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0_使い方" sheetId="1" state="visible" r:id="rId3"/>
    <sheet name="01_因子設定" sheetId="2" state="visible" r:id="rId4"/>
    <sheet name="02_実験計画" sheetId="3" state="visible" r:id="rId5"/>
    <sheet name="03_実験結果" sheetId="4" state="visible" r:id="rId6"/>
    <sheet name="04_回帰ANOVA" sheetId="5" state="visible" r:id="rId7"/>
    <sheet name="05_残差診断" sheetId="6" state="visible" r:id="rId8"/>
    <sheet name="06_正準解析" sheetId="7" state="visible" r:id="rId9"/>
    <sheet name="07_最適化" sheetId="8" state="visible" r:id="rId10"/>
    <sheet name="08_工程窓" sheetId="9" state="visible" r:id="rId11"/>
    <sheet name="09_確認実験" sheetId="10" state="visible" r:id="rId12"/>
    <sheet name="_XtX" sheetId="11" state="visible" r:id="rId13"/>
    <sheet name="_grid" sheetId="12" state="visible" r:id="rId14"/>
    <sheet name="_eig" sheetId="13" state="visible" r:id="rId15"/>
    <sheet name="_slice" sheetId="14" state="visible" r:id="rId16"/>
    <sheet name="_win" sheetId="15" state="visible" r:id="rId1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<sst xmlns="http://schemas.openxmlformats.org/spreadsheetml/2006/main" count="457" uniqueCount="336">
  <si>
    <r>
      <rPr>
        <b val="true"/>
        <sz val="14"/>
        <color rgb="FF1F3864"/>
        <rFont val="Noto Sans CJK SC"/>
        <family val="2"/>
      </rPr>
      <t xml:space="preserve">応答曲面法（</t>
    </r>
    <r>
      <rPr>
        <b val="true"/>
        <sz val="14"/>
        <color rgb="FF1F3864"/>
        <rFont val="Meiryo UI"/>
        <family val="0"/>
        <charset val="1"/>
      </rPr>
      <t xml:space="preserve">RSM</t>
    </r>
    <r>
      <rPr>
        <b val="true"/>
        <sz val="14"/>
        <color rgb="FF1F3864"/>
        <rFont val="Noto Sans CJK SC"/>
        <family val="2"/>
      </rPr>
      <t xml:space="preserve">）ツール </t>
    </r>
    <r>
      <rPr>
        <b val="true"/>
        <sz val="14"/>
        <color rgb="FF1F3864"/>
        <rFont val="Meiryo UI"/>
        <family val="0"/>
        <charset val="1"/>
      </rPr>
      <t xml:space="preserve">v1.1 ── 2</t>
    </r>
    <r>
      <rPr>
        <b val="true"/>
        <sz val="14"/>
        <color rgb="FF1F3864"/>
        <rFont val="Noto Sans CJK SC"/>
        <family val="2"/>
      </rPr>
      <t xml:space="preserve">因子・</t>
    </r>
    <r>
      <rPr>
        <b val="true"/>
        <sz val="14"/>
        <color rgb="FF1F3864"/>
        <rFont val="Meiryo UI"/>
        <family val="0"/>
        <charset val="1"/>
      </rPr>
      <t xml:space="preserve">2</t>
    </r>
    <r>
      <rPr>
        <b val="true"/>
        <sz val="14"/>
        <color rgb="FF1F3864"/>
        <rFont val="Noto Sans CJK SC"/>
        <family val="2"/>
      </rPr>
      <t xml:space="preserve">次モデル</t>
    </r>
  </si>
  <si>
    <r>
      <rPr>
        <sz val="9"/>
        <color rgb="FF595959"/>
        <rFont val="Noto Sans CJK SC"/>
        <family val="2"/>
      </rPr>
      <t xml:space="preserve">作成日 </t>
    </r>
    <r>
      <rPr>
        <sz val="9"/>
        <color rgb="FF595959"/>
        <rFont val="Meiryo UI"/>
        <family val="0"/>
        <charset val="1"/>
      </rPr>
      <t xml:space="preserve">2026-09-30</t>
    </r>
    <r>
      <rPr>
        <sz val="9"/>
        <color rgb="FF595959"/>
        <rFont val="Noto Sans CJK SC"/>
        <family val="2"/>
      </rPr>
      <t xml:space="preserve">　／　同梱データは架空の乾燥炉データ（検証用）　／　</t>
    </r>
    <r>
      <rPr>
        <sz val="9"/>
        <color rgb="FF595959"/>
        <rFont val="Meiryo UI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因子版・</t>
    </r>
    <r>
      <rPr>
        <sz val="9"/>
        <color rgb="FF595959"/>
        <rFont val="Meiryo UI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因子版・</t>
    </r>
    <r>
      <rPr>
        <sz val="9"/>
        <color rgb="FF595959"/>
        <rFont val="Meiryo UI"/>
        <family val="0"/>
        <charset val="1"/>
      </rPr>
      <t xml:space="preserve">4</t>
    </r>
    <r>
      <rPr>
        <sz val="9"/>
        <color rgb="FF595959"/>
        <rFont val="Noto Sans CJK SC"/>
        <family val="2"/>
      </rPr>
      <t xml:space="preserve">因子版は別ファイル</t>
    </r>
  </si>
  <si>
    <t xml:space="preserve">この版でできること</t>
  </si>
  <si>
    <r>
      <rPr>
        <sz val="10"/>
        <rFont val="Meiryo UI"/>
        <family val="0"/>
        <charset val="1"/>
      </rPr>
      <t xml:space="preserve">2</t>
    </r>
    <r>
      <rPr>
        <sz val="10"/>
        <rFont val="Noto Sans CJK SC"/>
        <family val="2"/>
      </rPr>
      <t xml:space="preserve">因子の中心複合計画（面心／回転可能）（</t>
    </r>
    <r>
      <rPr>
        <sz val="10"/>
        <rFont val="Meiryo UI"/>
        <family val="0"/>
        <charset val="1"/>
      </rPr>
      <t xml:space="preserve">2</t>
    </r>
    <r>
      <rPr>
        <sz val="10"/>
        <rFont val="Noto Sans CJK SC"/>
        <family val="2"/>
      </rPr>
      <t xml:space="preserve">因子に</t>
    </r>
    <r>
      <rPr>
        <sz val="10"/>
        <rFont val="Meiryo UI"/>
        <family val="0"/>
        <charset val="1"/>
      </rPr>
      <t xml:space="preserve">Box-Behnken</t>
    </r>
    <r>
      <rPr>
        <sz val="10"/>
        <rFont val="Noto Sans CJK SC"/>
        <family val="2"/>
      </rPr>
      <t xml:space="preserve">はない）の生成、安全限界チェック、ランダマイズ（完全ランダム／変更困難因子でグループ化した順序生成）、</t>
    </r>
    <r>
      <rPr>
        <sz val="10"/>
        <rFont val="Meiryo UI"/>
        <family val="0"/>
        <charset val="1"/>
      </rPr>
      <t xml:space="preserve">2</t>
    </r>
    <r>
      <rPr>
        <sz val="10"/>
        <rFont val="Noto Sans CJK SC"/>
        <family val="2"/>
      </rPr>
      <t xml:space="preserve">次回帰・</t>
    </r>
    <r>
      <rPr>
        <sz val="10"/>
        <rFont val="Meiryo UI"/>
        <family val="0"/>
        <charset val="1"/>
      </rPr>
      <t xml:space="preserve">ANOVA</t>
    </r>
    <r>
      <rPr>
        <sz val="10"/>
        <rFont val="Noto Sans CJK SC"/>
        <family val="2"/>
      </rPr>
      <t xml:space="preserve">・適合度の欠如・残差診断・モデル縮小、正準解析（停留点・固有値）、領域内の最適化（点予測／予測限界ベース）、工程窓の可視化と組合せチェック、確認実験の判定</t>
    </r>
  </si>
  <si>
    <t xml:space="preserve">手順と判断ゲート</t>
  </si>
  <si>
    <r>
      <rPr>
        <b val="true"/>
        <sz val="10"/>
        <rFont val="Meiryo UI"/>
        <family val="0"/>
        <charset val="1"/>
      </rPr>
      <t xml:space="preserve">① 01_</t>
    </r>
    <r>
      <rPr>
        <b val="true"/>
        <sz val="10"/>
        <rFont val="Noto Sans CJK SC"/>
        <family val="2"/>
      </rPr>
      <t xml:space="preserve">因子設定</t>
    </r>
  </si>
  <si>
    <r>
      <rPr>
        <sz val="10"/>
        <rFont val="Noto Sans CJK SC"/>
        <family val="2"/>
      </rPr>
      <t xml:space="preserve">因子名・単位・範囲（</t>
    </r>
    <r>
      <rPr>
        <sz val="10"/>
        <rFont val="Meiryo UI"/>
        <family val="0"/>
        <charset val="1"/>
      </rPr>
      <t xml:space="preserve">±1</t>
    </r>
    <r>
      <rPr>
        <sz val="10"/>
        <rFont val="Noto Sans CJK SC"/>
        <family val="2"/>
      </rPr>
      <t xml:space="preserve">）・安全限界、</t>
    </r>
    <r>
      <rPr>
        <sz val="10"/>
        <rFont val="Meiryo UI"/>
        <family val="0"/>
        <charset val="1"/>
      </rPr>
      <t xml:space="preserve">Y</t>
    </r>
    <r>
      <rPr>
        <sz val="10"/>
        <rFont val="Noto Sans CJK SC"/>
        <family val="2"/>
      </rPr>
      <t xml:space="preserve">の方向と規格、計画の種類、中心点数を入力。『安全限界チェック』が</t>
    </r>
    <r>
      <rPr>
        <sz val="10"/>
        <rFont val="Meiryo UI"/>
        <family val="0"/>
        <charset val="1"/>
      </rPr>
      <t xml:space="preserve">×</t>
    </r>
    <r>
      <rPr>
        <sz val="10"/>
        <rFont val="Noto Sans CJK SC"/>
        <family val="2"/>
      </rPr>
      <t xml:space="preserve">の計画は実行不可。</t>
    </r>
  </si>
  <si>
    <r>
      <rPr>
        <b val="true"/>
        <sz val="10"/>
        <rFont val="Meiryo UI"/>
        <family val="0"/>
        <charset val="1"/>
      </rPr>
      <t xml:space="preserve">② 02_</t>
    </r>
    <r>
      <rPr>
        <b val="true"/>
        <sz val="10"/>
        <rFont val="Noto Sans CJK SC"/>
        <family val="2"/>
      </rPr>
      <t xml:space="preserve">実験計画</t>
    </r>
  </si>
  <si>
    <t xml:space="preserve">標準順の計画と実験順序を確認（通常は触らない）。順序を変えたいときは乱数キーを入れ替え。</t>
  </si>
  <si>
    <r>
      <rPr>
        <b val="true"/>
        <sz val="10"/>
        <rFont val="Meiryo UI"/>
        <family val="0"/>
        <charset val="1"/>
      </rPr>
      <t xml:space="preserve">③ 03_</t>
    </r>
    <r>
      <rPr>
        <b val="true"/>
        <sz val="10"/>
        <rFont val="Noto Sans CJK SC"/>
        <family val="2"/>
      </rPr>
      <t xml:space="preserve">実験結果</t>
    </r>
  </si>
  <si>
    <r>
      <rPr>
        <sz val="10"/>
        <rFont val="Noto Sans CJK SC"/>
        <family val="2"/>
      </rPr>
      <t xml:space="preserve">実験順に実施し、</t>
    </r>
    <r>
      <rPr>
        <sz val="10"/>
        <rFont val="Meiryo UI"/>
        <family val="0"/>
        <charset val="1"/>
      </rPr>
      <t xml:space="preserve">Y</t>
    </r>
    <r>
      <rPr>
        <sz val="10"/>
        <rFont val="Noto Sans CJK SC"/>
        <family val="2"/>
      </rPr>
      <t xml:space="preserve">を入力。異常があればメモ欄へ。</t>
    </r>
  </si>
  <si>
    <r>
      <rPr>
        <b val="true"/>
        <sz val="10"/>
        <rFont val="Meiryo UI"/>
        <family val="0"/>
        <charset val="1"/>
      </rPr>
      <t xml:space="preserve">④ 04_</t>
    </r>
    <r>
      <rPr>
        <b val="true"/>
        <sz val="10"/>
        <rFont val="Noto Sans CJK SC"/>
        <family val="2"/>
      </rPr>
      <t xml:space="preserve">回帰</t>
    </r>
    <r>
      <rPr>
        <b val="true"/>
        <sz val="10"/>
        <rFont val="Meiryo UI"/>
        <family val="0"/>
        <charset val="1"/>
      </rPr>
      <t xml:space="preserve">ANOVA</t>
    </r>
  </si>
  <si>
    <r>
      <rPr>
        <sz val="10"/>
        <rFont val="Noto Sans CJK SC"/>
        <family val="2"/>
      </rPr>
      <t xml:space="preserve">判断ゲートに</t>
    </r>
    <r>
      <rPr>
        <sz val="10"/>
        <rFont val="Meiryo UI"/>
        <family val="0"/>
        <charset val="1"/>
      </rPr>
      <t xml:space="preserve">×</t>
    </r>
    <r>
      <rPr>
        <sz val="10"/>
        <rFont val="Noto Sans CJK SC"/>
        <family val="2"/>
      </rPr>
      <t xml:space="preserve">がないことを確認し、△は内容を理解して記録。不要項は</t>
    </r>
    <r>
      <rPr>
        <sz val="10"/>
        <rFont val="Meiryo UI"/>
        <family val="0"/>
        <charset val="1"/>
      </rPr>
      <t xml:space="preserve">B</t>
    </r>
    <r>
      <rPr>
        <sz val="10"/>
        <rFont val="Noto Sans CJK SC"/>
        <family val="2"/>
      </rPr>
      <t xml:space="preserve">列を</t>
    </r>
    <r>
      <rPr>
        <sz val="10"/>
        <rFont val="Meiryo UI"/>
        <family val="0"/>
        <charset val="1"/>
      </rPr>
      <t xml:space="preserve">0</t>
    </r>
    <r>
      <rPr>
        <sz val="10"/>
        <rFont val="Noto Sans CJK SC"/>
        <family val="2"/>
      </rPr>
      <t xml:space="preserve">にして除外（階層性に注意）。</t>
    </r>
  </si>
  <si>
    <r>
      <rPr>
        <b val="true"/>
        <sz val="10"/>
        <rFont val="Meiryo UI"/>
        <family val="0"/>
        <charset val="1"/>
      </rPr>
      <t xml:space="preserve">⑤ 05_</t>
    </r>
    <r>
      <rPr>
        <b val="true"/>
        <sz val="10"/>
        <rFont val="Noto Sans CJK SC"/>
        <family val="2"/>
      </rPr>
      <t xml:space="preserve">残差診断</t>
    </r>
  </si>
  <si>
    <t xml:space="preserve">グラフでパターン・外れ値を目視確認。外れ値は消す前に原因を調査。</t>
  </si>
  <si>
    <r>
      <rPr>
        <b val="true"/>
        <sz val="10"/>
        <rFont val="Meiryo UI"/>
        <family val="0"/>
        <charset val="1"/>
      </rPr>
      <t xml:space="preserve">⑥ 06_</t>
    </r>
    <r>
      <rPr>
        <b val="true"/>
        <sz val="10"/>
        <rFont val="Noto Sans CJK SC"/>
        <family val="2"/>
      </rPr>
      <t xml:space="preserve">正準解析</t>
    </r>
  </si>
  <si>
    <r>
      <rPr>
        <sz val="10"/>
        <rFont val="Noto Sans CJK SC"/>
        <family val="2"/>
      </rPr>
      <t xml:space="preserve">停留点が最大／最小／鞍点か、領域内か外かを確認。鞍点・領域外なら</t>
    </r>
    <r>
      <rPr>
        <sz val="10"/>
        <rFont val="Meiryo UI"/>
        <family val="0"/>
        <charset val="1"/>
      </rPr>
      <t xml:space="preserve">07</t>
    </r>
    <r>
      <rPr>
        <sz val="10"/>
        <rFont val="Noto Sans CJK SC"/>
        <family val="2"/>
      </rPr>
      <t xml:space="preserve">の探索結果を採用。</t>
    </r>
  </si>
  <si>
    <r>
      <rPr>
        <b val="true"/>
        <sz val="10"/>
        <rFont val="Meiryo UI"/>
        <family val="0"/>
        <charset val="1"/>
      </rPr>
      <t xml:space="preserve">⑦ 07_</t>
    </r>
    <r>
      <rPr>
        <b val="true"/>
        <sz val="10"/>
        <rFont val="Noto Sans CJK SC"/>
        <family val="2"/>
      </rPr>
      <t xml:space="preserve">最適化</t>
    </r>
  </si>
  <si>
    <r>
      <rPr>
        <sz val="10"/>
        <rFont val="Noto Sans CJK SC"/>
        <family val="2"/>
      </rPr>
      <t xml:space="preserve">ロバスト最適（規格側の予測限界と規格の差が最大）を推奨条件とする。必要なら</t>
    </r>
    <r>
      <rPr>
        <sz val="10"/>
        <rFont val="Meiryo UI"/>
        <family val="0"/>
        <charset val="1"/>
      </rPr>
      <t xml:space="preserve">Solver</t>
    </r>
    <r>
      <rPr>
        <sz val="10"/>
        <rFont val="Noto Sans CJK SC"/>
        <family val="2"/>
      </rPr>
      <t xml:space="preserve">で精密化。</t>
    </r>
  </si>
  <si>
    <r>
      <rPr>
        <b val="true"/>
        <sz val="10"/>
        <rFont val="Meiryo UI"/>
        <family val="0"/>
        <charset val="1"/>
      </rPr>
      <t xml:space="preserve">⑧ 08_</t>
    </r>
    <r>
      <rPr>
        <b val="true"/>
        <sz val="10"/>
        <rFont val="Noto Sans CJK SC"/>
        <family val="2"/>
      </rPr>
      <t xml:space="preserve">工程窓</t>
    </r>
  </si>
  <si>
    <r>
      <rPr>
        <sz val="10"/>
        <rFont val="Meiryo UI"/>
        <family val="0"/>
        <charset val="1"/>
      </rPr>
      <t xml:space="preserve">2</t>
    </r>
    <r>
      <rPr>
        <sz val="10"/>
        <rFont val="Noto Sans CJK SC"/>
        <family val="2"/>
      </rPr>
      <t xml:space="preserve">因子断面の緑領域が工程窓。③の</t>
    </r>
    <r>
      <rPr>
        <sz val="10"/>
        <rFont val="Meiryo UI"/>
        <family val="0"/>
        <charset val="1"/>
      </rPr>
      <t xml:space="preserve">1</t>
    </r>
    <r>
      <rPr>
        <sz val="10"/>
        <rFont val="Noto Sans CJK SC"/>
        <family val="2"/>
      </rPr>
      <t xml:space="preserve">因子窓は楽観的なので、④で運用範囲の全組合せを必ず確認。</t>
    </r>
  </si>
  <si>
    <r>
      <rPr>
        <b val="true"/>
        <sz val="10"/>
        <rFont val="Meiryo UI"/>
        <family val="0"/>
        <charset val="1"/>
      </rPr>
      <t xml:space="preserve">⑨ 09_</t>
    </r>
    <r>
      <rPr>
        <b val="true"/>
        <sz val="10"/>
        <rFont val="Noto Sans CJK SC"/>
        <family val="2"/>
      </rPr>
      <t xml:space="preserve">確認実験</t>
    </r>
  </si>
  <si>
    <t xml:space="preserve">推奨条件で確認実験。両側予測区間内なら採用、外れたら計画・モデルを見直す。</t>
  </si>
  <si>
    <t xml:space="preserve">セルの色</t>
  </si>
  <si>
    <t xml:space="preserve">黄色・青字</t>
  </si>
  <si>
    <t xml:space="preserve">入力セル。ほかは計算式なので編集しない。</t>
  </si>
  <si>
    <r>
      <rPr>
        <b val="true"/>
        <sz val="10"/>
        <rFont val="Noto Sans CJK SC"/>
        <family val="2"/>
      </rPr>
      <t xml:space="preserve">『</t>
    </r>
    <r>
      <rPr>
        <b val="true"/>
        <sz val="10"/>
        <rFont val="Meiryo UI"/>
        <family val="0"/>
        <charset val="1"/>
      </rPr>
      <t xml:space="preserve">_</t>
    </r>
    <r>
      <rPr>
        <b val="true"/>
        <sz val="10"/>
        <rFont val="Noto Sans CJK SC"/>
        <family val="2"/>
      </rPr>
      <t xml:space="preserve">』で始まるシート</t>
    </r>
  </si>
  <si>
    <r>
      <rPr>
        <sz val="10"/>
        <rFont val="Noto Sans CJK SC"/>
        <family val="2"/>
      </rPr>
      <t xml:space="preserve">計算用（編集不要）。</t>
    </r>
    <r>
      <rPr>
        <sz val="10"/>
        <rFont val="Meiryo UI"/>
        <family val="0"/>
        <charset val="1"/>
      </rPr>
      <t xml:space="preserve">_XtX</t>
    </r>
    <r>
      <rPr>
        <sz val="10"/>
        <rFont val="Noto Sans CJK SC"/>
        <family val="2"/>
      </rPr>
      <t xml:space="preserve">＝回帰の行列計算、</t>
    </r>
    <r>
      <rPr>
        <sz val="10"/>
        <rFont val="Meiryo UI"/>
        <family val="0"/>
        <charset val="1"/>
      </rPr>
      <t xml:space="preserve">_grid</t>
    </r>
    <r>
      <rPr>
        <sz val="10"/>
        <rFont val="Noto Sans CJK SC"/>
        <family val="2"/>
      </rPr>
      <t xml:space="preserve">＝</t>
    </r>
    <r>
      <rPr>
        <sz val="10"/>
        <rFont val="Meiryo UI"/>
        <family val="0"/>
        <charset val="1"/>
      </rPr>
      <t xml:space="preserve">1681</t>
    </r>
    <r>
      <rPr>
        <sz val="10"/>
        <rFont val="Noto Sans CJK SC"/>
        <family val="2"/>
      </rPr>
      <t xml:space="preserve">点の探索、</t>
    </r>
    <r>
      <rPr>
        <sz val="10"/>
        <rFont val="Meiryo UI"/>
        <family val="0"/>
        <charset val="1"/>
      </rPr>
      <t xml:space="preserve">_eig</t>
    </r>
    <r>
      <rPr>
        <sz val="10"/>
        <rFont val="Noto Sans CJK SC"/>
        <family val="2"/>
      </rPr>
      <t xml:space="preserve">＝固有値、</t>
    </r>
    <r>
      <rPr>
        <sz val="10"/>
        <rFont val="Meiryo UI"/>
        <family val="0"/>
        <charset val="1"/>
      </rPr>
      <t xml:space="preserve">_slice</t>
    </r>
    <r>
      <rPr>
        <sz val="10"/>
        <rFont val="Noto Sans CJK SC"/>
        <family val="2"/>
      </rPr>
      <t xml:space="preserve">＝断面、</t>
    </r>
    <r>
      <rPr>
        <sz val="10"/>
        <rFont val="Meiryo UI"/>
        <family val="0"/>
        <charset val="1"/>
      </rPr>
      <t xml:space="preserve">_win</t>
    </r>
    <r>
      <rPr>
        <sz val="10"/>
        <rFont val="Noto Sans CJK SC"/>
        <family val="2"/>
      </rPr>
      <t xml:space="preserve">＝工程窓。</t>
    </r>
  </si>
  <si>
    <t xml:space="preserve">前提と限界（重要）</t>
  </si>
  <si>
    <t xml:space="preserve">コード化単位</t>
  </si>
  <si>
    <r>
      <rPr>
        <sz val="10"/>
        <rFont val="Noto Sans CJK SC"/>
        <family val="2"/>
      </rPr>
      <t xml:space="preserve">回帰係数は −</t>
    </r>
    <r>
      <rPr>
        <sz val="10"/>
        <rFont val="Meiryo UI"/>
        <family val="0"/>
        <charset val="1"/>
      </rPr>
      <t xml:space="preserve">1</t>
    </r>
    <r>
      <rPr>
        <sz val="10"/>
        <rFont val="Noto Sans CJK SC"/>
        <family val="2"/>
      </rPr>
      <t xml:space="preserve">〜</t>
    </r>
    <r>
      <rPr>
        <sz val="10"/>
        <rFont val="Meiryo UI"/>
        <family val="0"/>
        <charset val="1"/>
      </rPr>
      <t xml:space="preserve">+1 </t>
    </r>
    <r>
      <rPr>
        <sz val="10"/>
        <rFont val="Noto Sans CJK SC"/>
        <family val="2"/>
      </rPr>
      <t xml:space="preserve">に正規化した単位。係数の大小がそのまま効果の大きさ比較になる。</t>
    </r>
  </si>
  <si>
    <t xml:space="preserve">予測限界の片側／両側</t>
  </si>
  <si>
    <r>
      <rPr>
        <sz val="10"/>
        <rFont val="Noto Sans CJK SC"/>
        <family val="2"/>
      </rPr>
      <t xml:space="preserve">工程窓・ロバスト最適は、最大化・最小化では片側の予測限界（信頼水準</t>
    </r>
    <r>
      <rPr>
        <sz val="10"/>
        <rFont val="Meiryo UI"/>
        <family val="0"/>
        <charset val="1"/>
      </rPr>
      <t xml:space="preserve">95%</t>
    </r>
    <r>
      <rPr>
        <sz val="10"/>
        <rFont val="Noto Sans CJK SC"/>
        <family val="2"/>
      </rPr>
      <t xml:space="preserve">なら下側</t>
    </r>
    <r>
      <rPr>
        <sz val="10"/>
        <rFont val="Meiryo UI"/>
        <family val="0"/>
        <charset val="1"/>
      </rPr>
      <t xml:space="preserve">95%</t>
    </r>
    <r>
      <rPr>
        <sz val="10"/>
        <rFont val="Noto Sans CJK SC"/>
        <family val="2"/>
      </rPr>
      <t xml:space="preserve">限界＝</t>
    </r>
    <r>
      <rPr>
        <sz val="10"/>
        <rFont val="Meiryo UI"/>
        <family val="0"/>
        <charset val="1"/>
      </rPr>
      <t xml:space="preserve">t0.95</t>
    </r>
    <r>
      <rPr>
        <sz val="10"/>
        <rFont val="Noto Sans CJK SC"/>
        <family val="2"/>
      </rPr>
      <t xml:space="preserve">）、目標値では両側予測区間（</t>
    </r>
    <r>
      <rPr>
        <sz val="10"/>
        <rFont val="Meiryo UI"/>
        <family val="0"/>
        <charset val="1"/>
      </rPr>
      <t xml:space="preserve">t0.975</t>
    </r>
    <r>
      <rPr>
        <sz val="10"/>
        <rFont val="Noto Sans CJK SC"/>
        <family val="2"/>
      </rPr>
      <t xml:space="preserve">）で判定。確認実験の判定は常に両側予測区間。</t>
    </r>
  </si>
  <si>
    <t xml:space="preserve">予測区間と許容区間</t>
  </si>
  <si>
    <r>
      <rPr>
        <sz val="10"/>
        <rFont val="Noto Sans CJK SC"/>
        <family val="2"/>
      </rPr>
      <t xml:space="preserve">予測区間が保証するのは『将来の</t>
    </r>
    <r>
      <rPr>
        <sz val="10"/>
        <rFont val="Meiryo UI"/>
        <family val="0"/>
        <charset val="1"/>
      </rPr>
      <t xml:space="preserve">1</t>
    </r>
    <r>
      <rPr>
        <sz val="10"/>
        <rFont val="Noto Sans CJK SC"/>
        <family val="2"/>
      </rPr>
      <t xml:space="preserve">回の測定値』。量産で『ロットの大部分（例：</t>
    </r>
    <r>
      <rPr>
        <sz val="10"/>
        <rFont val="Meiryo UI"/>
        <family val="0"/>
        <charset val="1"/>
      </rPr>
      <t xml:space="preserve">99%</t>
    </r>
    <r>
      <rPr>
        <sz val="10"/>
        <rFont val="Noto Sans CJK SC"/>
        <family val="2"/>
      </rPr>
      <t xml:space="preserve">）が規格内』と言うには許容区間（</t>
    </r>
    <r>
      <rPr>
        <sz val="10"/>
        <rFont val="Meiryo UI"/>
        <family val="0"/>
        <charset val="1"/>
      </rPr>
      <t xml:space="preserve">Tolerance Interval</t>
    </r>
    <r>
      <rPr>
        <sz val="10"/>
        <rFont val="Noto Sans CJK SC"/>
        <family val="2"/>
      </rPr>
      <t xml:space="preserve">）が本来の指標で、予測区間より広くなる。この工程窓は量産の工程能力保証ではなく、条件設定の目安として使う。量産移行時は工程能力調査（</t>
    </r>
    <r>
      <rPr>
        <sz val="10"/>
        <rFont val="Meiryo UI"/>
        <family val="0"/>
        <charset val="1"/>
      </rPr>
      <t xml:space="preserve">Cpk</t>
    </r>
    <r>
      <rPr>
        <sz val="10"/>
        <rFont val="Noto Sans CJK SC"/>
        <family val="2"/>
      </rPr>
      <t xml:space="preserve">）で確認。</t>
    </r>
  </si>
  <si>
    <t xml:space="preserve">探索範囲</t>
  </si>
  <si>
    <r>
      <rPr>
        <sz val="10"/>
        <rFont val="Noto Sans CJK SC"/>
        <family val="2"/>
      </rPr>
      <t xml:space="preserve">最適化・工程窓は </t>
    </r>
    <r>
      <rPr>
        <sz val="10"/>
        <rFont val="Meiryo UI"/>
        <family val="0"/>
        <charset val="1"/>
      </rPr>
      <t xml:space="preserve">±1</t>
    </r>
    <r>
      <rPr>
        <sz val="10"/>
        <rFont val="Noto Sans CJK SC"/>
        <family val="2"/>
      </rPr>
      <t xml:space="preserve">（要因点の範囲）内のみ。外挿はしない。</t>
    </r>
  </si>
  <si>
    <r>
      <rPr>
        <b val="true"/>
        <sz val="10"/>
        <rFont val="Noto Sans CJK SC"/>
        <family val="2"/>
      </rPr>
      <t xml:space="preserve">分割区画（</t>
    </r>
    <r>
      <rPr>
        <b val="true"/>
        <sz val="10"/>
        <rFont val="Meiryo UI"/>
        <family val="0"/>
        <charset val="1"/>
      </rPr>
      <t xml:space="preserve">Split-Plot</t>
    </r>
    <r>
      <rPr>
        <b val="true"/>
        <sz val="10"/>
        <rFont val="Noto Sans CJK SC"/>
        <family val="2"/>
      </rPr>
      <t xml:space="preserve">）</t>
    </r>
  </si>
  <si>
    <r>
      <rPr>
        <sz val="10"/>
        <rFont val="Meiryo UI"/>
        <family val="0"/>
        <charset val="1"/>
      </rPr>
      <t xml:space="preserve">v1</t>
    </r>
    <r>
      <rPr>
        <sz val="10"/>
        <rFont val="Noto Sans CJK SC"/>
        <family val="2"/>
      </rPr>
      <t xml:space="preserve">は分割区画の解析に対応していない。『変更困難因子でグループ化』は実験順序を作るだけで、解析は完全ランダムとみなした近似（変更困難因子の</t>
    </r>
    <r>
      <rPr>
        <sz val="10"/>
        <rFont val="Meiryo UI"/>
        <family val="0"/>
        <charset val="1"/>
      </rPr>
      <t xml:space="preserve">p</t>
    </r>
    <r>
      <rPr>
        <sz val="10"/>
        <rFont val="Noto Sans CJK SC"/>
        <family val="2"/>
      </rPr>
      <t xml:space="preserve">値は小さく出やすい）。</t>
    </r>
    <r>
      <rPr>
        <sz val="10"/>
        <rFont val="Meiryo UI"/>
        <family val="0"/>
        <charset val="1"/>
      </rPr>
      <t xml:space="preserve">04</t>
    </r>
    <r>
      <rPr>
        <sz val="10"/>
        <rFont val="Noto Sans CJK SC"/>
        <family val="2"/>
      </rPr>
      <t xml:space="preserve">の判断ゲートに△を表示。正式な解析は</t>
    </r>
    <r>
      <rPr>
        <sz val="10"/>
        <rFont val="Meiryo UI"/>
        <family val="0"/>
        <charset val="1"/>
      </rPr>
      <t xml:space="preserve">JMP</t>
    </r>
    <r>
      <rPr>
        <sz val="10"/>
        <rFont val="Noto Sans CJK SC"/>
        <family val="2"/>
      </rPr>
      <t xml:space="preserve">・</t>
    </r>
    <r>
      <rPr>
        <sz val="10"/>
        <rFont val="Meiryo UI"/>
        <family val="0"/>
        <charset val="1"/>
      </rPr>
      <t xml:space="preserve">R</t>
    </r>
    <r>
      <rPr>
        <sz val="10"/>
        <rFont val="Noto Sans CJK SC"/>
        <family val="2"/>
      </rPr>
      <t xml:space="preserve">（</t>
    </r>
    <r>
      <rPr>
        <sz val="10"/>
        <rFont val="Meiryo UI"/>
        <family val="0"/>
        <charset val="1"/>
      </rPr>
      <t xml:space="preserve">lme4</t>
    </r>
    <r>
      <rPr>
        <sz val="10"/>
        <rFont val="Noto Sans CJK SC"/>
        <family val="2"/>
      </rPr>
      <t xml:space="preserve">等）で。</t>
    </r>
  </si>
  <si>
    <t xml:space="preserve">固有値</t>
  </si>
  <si>
    <r>
      <rPr>
        <sz val="10"/>
        <rFont val="Meiryo UI"/>
        <family val="0"/>
        <charset val="1"/>
      </rPr>
      <t xml:space="preserve">Jacobi</t>
    </r>
    <r>
      <rPr>
        <sz val="10"/>
        <rFont val="Noto Sans CJK SC"/>
        <family val="2"/>
      </rPr>
      <t xml:space="preserve">法の数値計算（</t>
    </r>
    <r>
      <rPr>
        <sz val="10"/>
        <rFont val="Meiryo UI"/>
        <family val="0"/>
        <charset val="1"/>
      </rPr>
      <t xml:space="preserve">8</t>
    </r>
    <r>
      <rPr>
        <sz val="10"/>
        <rFont val="Noto Sans CJK SC"/>
        <family val="2"/>
      </rPr>
      <t xml:space="preserve">回転）。</t>
    </r>
    <r>
      <rPr>
        <sz val="10"/>
        <rFont val="Meiryo UI"/>
        <family val="0"/>
        <charset val="1"/>
      </rPr>
      <t xml:space="preserve">2×2</t>
    </r>
    <r>
      <rPr>
        <sz val="10"/>
        <rFont val="Noto Sans CJK SC"/>
        <family val="2"/>
      </rPr>
      <t xml:space="preserve">行列では十分収束する。</t>
    </r>
  </si>
  <si>
    <t xml:space="preserve">この版にないもの</t>
  </si>
  <si>
    <r>
      <rPr>
        <sz val="10"/>
        <rFont val="Noto Sans CJK SC"/>
        <family val="2"/>
      </rPr>
      <t xml:space="preserve">スクリーニング（</t>
    </r>
    <r>
      <rPr>
        <sz val="10"/>
        <rFont val="Meiryo UI"/>
        <family val="0"/>
        <charset val="1"/>
      </rPr>
      <t xml:space="preserve">Plackett-Burman</t>
    </r>
    <r>
      <rPr>
        <sz val="10"/>
        <rFont val="Noto Sans CJK SC"/>
        <family val="2"/>
      </rPr>
      <t xml:space="preserve">）・曲率判定・最急上昇法（</t>
    </r>
    <r>
      <rPr>
        <sz val="10"/>
        <rFont val="Meiryo UI"/>
        <family val="0"/>
        <charset val="1"/>
      </rPr>
      <t xml:space="preserve">v2</t>
    </r>
    <r>
      <rPr>
        <sz val="10"/>
        <rFont val="Noto Sans CJK SC"/>
        <family val="2"/>
      </rPr>
      <t xml:space="preserve">予定）、多目的最適化（望ましさ関数）・モンテカルロ・分割区画の正式解析（</t>
    </r>
    <r>
      <rPr>
        <sz val="10"/>
        <rFont val="Meiryo UI"/>
        <family val="0"/>
        <charset val="1"/>
      </rPr>
      <t xml:space="preserve">v3</t>
    </r>
    <r>
      <rPr>
        <sz val="10"/>
        <rFont val="Noto Sans CJK SC"/>
        <family val="2"/>
      </rPr>
      <t xml:space="preserve">予定）。</t>
    </r>
  </si>
  <si>
    <t xml:space="preserve">動作環境</t>
  </si>
  <si>
    <r>
      <rPr>
        <sz val="10"/>
        <rFont val="Meiryo UI"/>
        <family val="0"/>
        <charset val="1"/>
      </rPr>
      <t xml:space="preserve">Excel 2019</t>
    </r>
    <r>
      <rPr>
        <sz val="10"/>
        <rFont val="Noto Sans CJK SC"/>
        <family val="2"/>
      </rPr>
      <t xml:space="preserve">以降または </t>
    </r>
    <r>
      <rPr>
        <sz val="10"/>
        <rFont val="Meiryo UI"/>
        <family val="0"/>
        <charset val="1"/>
      </rPr>
      <t xml:space="preserve">Microsoft 365</t>
    </r>
    <r>
      <rPr>
        <sz val="10"/>
        <rFont val="Noto Sans CJK SC"/>
        <family val="2"/>
      </rPr>
      <t xml:space="preserve">（</t>
    </r>
    <r>
      <rPr>
        <sz val="10"/>
        <rFont val="Meiryo UI"/>
        <family val="0"/>
        <charset val="1"/>
      </rPr>
      <t xml:space="preserve">1</t>
    </r>
    <r>
      <rPr>
        <sz val="10"/>
        <rFont val="Noto Sans CJK SC"/>
        <family val="2"/>
      </rPr>
      <t xml:space="preserve">因子窓で </t>
    </r>
    <r>
      <rPr>
        <sz val="10"/>
        <rFont val="Meiryo UI"/>
        <family val="0"/>
        <charset val="1"/>
      </rPr>
      <t xml:space="preserve">MAXIFS/MINIFS </t>
    </r>
    <r>
      <rPr>
        <sz val="10"/>
        <rFont val="Noto Sans CJK SC"/>
        <family val="2"/>
      </rPr>
      <t xml:space="preserve">を使用）。マクロなし。</t>
    </r>
  </si>
  <si>
    <t xml:space="preserve">架空データについて</t>
  </si>
  <si>
    <r>
      <rPr>
        <sz val="10"/>
        <rFont val="Noto Sans CJK SC"/>
        <family val="2"/>
      </rPr>
      <t xml:space="preserve">炉温</t>
    </r>
    <r>
      <rPr>
        <sz val="10"/>
        <rFont val="Meiryo UI"/>
        <family val="0"/>
        <charset val="1"/>
      </rPr>
      <t xml:space="preserve">55</t>
    </r>
    <r>
      <rPr>
        <sz val="10"/>
        <rFont val="Noto Sans CJK SC"/>
        <family val="2"/>
      </rPr>
      <t xml:space="preserve">〜</t>
    </r>
    <r>
      <rPr>
        <sz val="10"/>
        <rFont val="Meiryo UI"/>
        <family val="0"/>
        <charset val="1"/>
      </rPr>
      <t xml:space="preserve">75℃</t>
    </r>
    <r>
      <rPr>
        <sz val="10"/>
        <rFont val="Noto Sans CJK SC"/>
        <family val="2"/>
      </rPr>
      <t xml:space="preserve">・乾燥時間</t>
    </r>
    <r>
      <rPr>
        <sz val="10"/>
        <rFont val="Meiryo UI"/>
        <family val="0"/>
        <charset val="1"/>
      </rPr>
      <t xml:space="preserve">20</t>
    </r>
    <r>
      <rPr>
        <sz val="10"/>
        <rFont val="Noto Sans CJK SC"/>
        <family val="2"/>
      </rPr>
      <t xml:space="preserve">〜</t>
    </r>
    <r>
      <rPr>
        <sz val="10"/>
        <rFont val="Meiryo UI"/>
        <family val="0"/>
        <charset val="1"/>
      </rPr>
      <t xml:space="preserve">40min</t>
    </r>
    <r>
      <rPr>
        <sz val="10"/>
        <rFont val="Noto Sans CJK SC"/>
        <family val="2"/>
      </rPr>
      <t xml:space="preserve">、</t>
    </r>
    <r>
      <rPr>
        <sz val="10"/>
        <rFont val="Meiryo UI"/>
        <family val="0"/>
        <charset val="1"/>
      </rPr>
      <t xml:space="preserve">Y</t>
    </r>
    <r>
      <rPr>
        <sz val="10"/>
        <rFont val="Noto Sans CJK SC"/>
        <family val="2"/>
      </rPr>
      <t xml:space="preserve">＝剥離強度（最大化、</t>
    </r>
    <r>
      <rPr>
        <sz val="10"/>
        <rFont val="Meiryo UI"/>
        <family val="0"/>
        <charset val="1"/>
      </rPr>
      <t xml:space="preserve">LSL=46.5</t>
    </r>
    <r>
      <rPr>
        <sz val="10"/>
        <rFont val="Noto Sans CJK SC"/>
        <family val="2"/>
      </rPr>
      <t xml:space="preserve">）。数値はツール検証用の作り物。安全上限（炉温</t>
    </r>
    <r>
      <rPr>
        <sz val="10"/>
        <rFont val="Meiryo UI"/>
        <family val="0"/>
        <charset val="1"/>
      </rPr>
      <t xml:space="preserve">80℃</t>
    </r>
    <r>
      <rPr>
        <sz val="10"/>
        <rFont val="Noto Sans CJK SC"/>
        <family val="2"/>
      </rPr>
      <t xml:space="preserve">等）も仮値なので、実案件では必ず再設定。</t>
    </r>
  </si>
  <si>
    <r>
      <rPr>
        <b val="true"/>
        <sz val="14"/>
        <color rgb="FF1F3864"/>
        <rFont val="Meiryo UI"/>
        <family val="0"/>
        <charset val="1"/>
      </rPr>
      <t xml:space="preserve">01 </t>
    </r>
    <r>
      <rPr>
        <b val="true"/>
        <sz val="14"/>
        <color rgb="FF1F3864"/>
        <rFont val="Noto Sans CJK SC"/>
        <family val="2"/>
      </rPr>
      <t xml:space="preserve">因子と目的変数の設定（</t>
    </r>
    <r>
      <rPr>
        <b val="true"/>
        <sz val="14"/>
        <color rgb="FF1F3864"/>
        <rFont val="Meiryo UI"/>
        <family val="0"/>
        <charset val="1"/>
      </rPr>
      <t xml:space="preserve">2</t>
    </r>
    <r>
      <rPr>
        <b val="true"/>
        <sz val="14"/>
        <color rgb="FF1F3864"/>
        <rFont val="Noto Sans CJK SC"/>
        <family val="2"/>
      </rPr>
      <t xml:space="preserve">因子）</t>
    </r>
  </si>
  <si>
    <t xml:space="preserve">黄色セル（青字）が入力欄。架空の乾燥炉データ（接着剤塗布後の溶剤乾燥・バッチ式）を例として入れてあります。</t>
  </si>
  <si>
    <t xml:space="preserve">No</t>
  </si>
  <si>
    <t xml:space="preserve">因子名</t>
  </si>
  <si>
    <t xml:space="preserve">記号</t>
  </si>
  <si>
    <t xml:space="preserve">単位</t>
  </si>
  <si>
    <r>
      <rPr>
        <b val="true"/>
        <sz val="10"/>
        <color rgb="FFFFFFFF"/>
        <rFont val="Noto Sans CJK SC"/>
        <family val="2"/>
      </rPr>
      <t xml:space="preserve">下限</t>
    </r>
    <r>
      <rPr>
        <b val="true"/>
        <sz val="10"/>
        <color rgb="FFFFFFFF"/>
        <rFont val="Meiryo UI"/>
        <family val="0"/>
        <charset val="1"/>
      </rPr>
      <t xml:space="preserve">(-1)</t>
    </r>
  </si>
  <si>
    <r>
      <rPr>
        <b val="true"/>
        <sz val="10"/>
        <color rgb="FFFFFFFF"/>
        <rFont val="Noto Sans CJK SC"/>
        <family val="2"/>
      </rPr>
      <t xml:space="preserve">上限</t>
    </r>
    <r>
      <rPr>
        <b val="true"/>
        <sz val="10"/>
        <color rgb="FFFFFFFF"/>
        <rFont val="Meiryo UI"/>
        <family val="0"/>
        <charset val="1"/>
      </rPr>
      <t xml:space="preserve">(+1)</t>
    </r>
  </si>
  <si>
    <r>
      <rPr>
        <b val="true"/>
        <sz val="10"/>
        <color rgb="FFFFFFFF"/>
        <rFont val="Noto Sans CJK SC"/>
        <family val="2"/>
      </rPr>
      <t xml:space="preserve">中心</t>
    </r>
    <r>
      <rPr>
        <b val="true"/>
        <sz val="10"/>
        <color rgb="FFFFFFFF"/>
        <rFont val="Meiryo UI"/>
        <family val="0"/>
        <charset val="1"/>
      </rPr>
      <t xml:space="preserve">(0)</t>
    </r>
  </si>
  <si>
    <t xml:space="preserve">半幅</t>
  </si>
  <si>
    <t xml:space="preserve">安全下限</t>
  </si>
  <si>
    <t xml:space="preserve">安全上限</t>
  </si>
  <si>
    <t xml:space="preserve">変更困難</t>
  </si>
  <si>
    <r>
      <rPr>
        <b val="true"/>
        <sz val="10"/>
        <color rgb="FFFFFFFF"/>
        <rFont val="Noto Sans CJK SC"/>
        <family val="2"/>
      </rPr>
      <t xml:space="preserve">安全下限</t>
    </r>
    <r>
      <rPr>
        <b val="true"/>
        <sz val="10"/>
        <color rgb="FFFFFFFF"/>
        <rFont val="Meiryo UI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コード</t>
    </r>
    <r>
      <rPr>
        <b val="true"/>
        <sz val="10"/>
        <color rgb="FFFFFFFF"/>
        <rFont val="Meiryo UI"/>
        <family val="0"/>
        <charset val="1"/>
      </rPr>
      <t xml:space="preserve">)</t>
    </r>
  </si>
  <si>
    <r>
      <rPr>
        <b val="true"/>
        <sz val="10"/>
        <color rgb="FFFFFFFF"/>
        <rFont val="Noto Sans CJK SC"/>
        <family val="2"/>
      </rPr>
      <t xml:space="preserve">安全上限</t>
    </r>
    <r>
      <rPr>
        <b val="true"/>
        <sz val="10"/>
        <color rgb="FFFFFFFF"/>
        <rFont val="Meiryo UI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コード</t>
    </r>
    <r>
      <rPr>
        <b val="true"/>
        <sz val="10"/>
        <color rgb="FFFFFFFF"/>
        <rFont val="Meiryo UI"/>
        <family val="0"/>
        <charset val="1"/>
      </rPr>
      <t xml:space="preserve">)</t>
    </r>
  </si>
  <si>
    <t xml:space="preserve">備考</t>
  </si>
  <si>
    <t xml:space="preserve">炉温</t>
  </si>
  <si>
    <t xml:space="preserve">X1</t>
  </si>
  <si>
    <t xml:space="preserve">℃</t>
  </si>
  <si>
    <t xml:space="preserve">○</t>
  </si>
  <si>
    <r>
      <rPr>
        <sz val="10"/>
        <rFont val="Noto Sans CJK SC"/>
        <family val="2"/>
      </rPr>
      <t xml:space="preserve">安全上限</t>
    </r>
    <r>
      <rPr>
        <sz val="10"/>
        <rFont val="Meiryo UI"/>
        <family val="0"/>
        <charset val="1"/>
      </rPr>
      <t xml:space="preserve">80℃</t>
    </r>
    <r>
      <rPr>
        <sz val="10"/>
        <rFont val="Noto Sans CJK SC"/>
        <family val="2"/>
      </rPr>
      <t xml:space="preserve">は仮値。溶剤の引火点・防爆の温度等級から必ず再設定</t>
    </r>
  </si>
  <si>
    <t xml:space="preserve">乾燥時間</t>
  </si>
  <si>
    <t xml:space="preserve">X2</t>
  </si>
  <si>
    <t xml:space="preserve">min</t>
  </si>
  <si>
    <r>
      <rPr>
        <b val="true"/>
        <sz val="10"/>
        <rFont val="Noto Sans CJK SC"/>
        <family val="2"/>
      </rPr>
      <t xml:space="preserve">目的変数（</t>
    </r>
    <r>
      <rPr>
        <b val="true"/>
        <sz val="10"/>
        <rFont val="Meiryo UI"/>
        <family val="0"/>
        <charset val="1"/>
      </rPr>
      <t xml:space="preserve">Y</t>
    </r>
    <r>
      <rPr>
        <b val="true"/>
        <sz val="10"/>
        <rFont val="Noto Sans CJK SC"/>
        <family val="2"/>
      </rPr>
      <t xml:space="preserve">）</t>
    </r>
  </si>
  <si>
    <t xml:space="preserve">名称</t>
  </si>
  <si>
    <t xml:space="preserve">剥離強度</t>
  </si>
  <si>
    <t xml:space="preserve">N/25mm</t>
  </si>
  <si>
    <t xml:space="preserve">最適化の方向</t>
  </si>
  <si>
    <t xml:space="preserve">最大化</t>
  </si>
  <si>
    <r>
      <rPr>
        <sz val="10"/>
        <rFont val="Noto Sans CJK SC"/>
        <family val="2"/>
      </rPr>
      <t xml:space="preserve">最大化→</t>
    </r>
    <r>
      <rPr>
        <sz val="10"/>
        <rFont val="Meiryo UI"/>
        <family val="0"/>
        <charset val="1"/>
      </rPr>
      <t xml:space="preserve">LSL</t>
    </r>
    <r>
      <rPr>
        <sz val="10"/>
        <rFont val="Noto Sans CJK SC"/>
        <family val="2"/>
      </rPr>
      <t xml:space="preserve">のみ使用 </t>
    </r>
    <r>
      <rPr>
        <sz val="10"/>
        <rFont val="Meiryo UI"/>
        <family val="0"/>
        <charset val="1"/>
      </rPr>
      <t xml:space="preserve">/ </t>
    </r>
    <r>
      <rPr>
        <sz val="10"/>
        <rFont val="Noto Sans CJK SC"/>
        <family val="2"/>
      </rPr>
      <t xml:space="preserve">最小化→</t>
    </r>
    <r>
      <rPr>
        <sz val="10"/>
        <rFont val="Meiryo UI"/>
        <family val="0"/>
        <charset val="1"/>
      </rPr>
      <t xml:space="preserve">USL</t>
    </r>
    <r>
      <rPr>
        <sz val="10"/>
        <rFont val="Noto Sans CJK SC"/>
        <family val="2"/>
      </rPr>
      <t xml:space="preserve">のみ </t>
    </r>
    <r>
      <rPr>
        <sz val="10"/>
        <rFont val="Meiryo UI"/>
        <family val="0"/>
        <charset val="1"/>
      </rPr>
      <t xml:space="preserve">/ </t>
    </r>
    <r>
      <rPr>
        <sz val="10"/>
        <rFont val="Noto Sans CJK SC"/>
        <family val="2"/>
      </rPr>
      <t xml:space="preserve">目標値→</t>
    </r>
    <r>
      <rPr>
        <sz val="10"/>
        <rFont val="Meiryo UI"/>
        <family val="0"/>
        <charset val="1"/>
      </rPr>
      <t xml:space="preserve">LSL</t>
    </r>
    <r>
      <rPr>
        <sz val="10"/>
        <rFont val="Noto Sans CJK SC"/>
        <family val="2"/>
      </rPr>
      <t xml:space="preserve">・</t>
    </r>
    <r>
      <rPr>
        <sz val="10"/>
        <rFont val="Meiryo UI"/>
        <family val="0"/>
        <charset val="1"/>
      </rPr>
      <t xml:space="preserve">USL</t>
    </r>
    <r>
      <rPr>
        <sz val="10"/>
        <rFont val="Noto Sans CJK SC"/>
        <family val="2"/>
      </rPr>
      <t xml:space="preserve">・</t>
    </r>
    <r>
      <rPr>
        <sz val="10"/>
        <rFont val="Meiryo UI"/>
        <family val="0"/>
        <charset val="1"/>
      </rPr>
      <t xml:space="preserve">T </t>
    </r>
    <r>
      <rPr>
        <sz val="10"/>
        <rFont val="Noto Sans CJK SC"/>
        <family val="2"/>
      </rPr>
      <t xml:space="preserve">を使用</t>
    </r>
  </si>
  <si>
    <r>
      <rPr>
        <b val="true"/>
        <sz val="10"/>
        <rFont val="Noto Sans CJK SC"/>
        <family val="2"/>
      </rPr>
      <t xml:space="preserve">下限規格 </t>
    </r>
    <r>
      <rPr>
        <b val="true"/>
        <sz val="10"/>
        <rFont val="Meiryo UI"/>
        <family val="0"/>
        <charset val="1"/>
      </rPr>
      <t xml:space="preserve">LSL</t>
    </r>
  </si>
  <si>
    <r>
      <rPr>
        <b val="true"/>
        <sz val="10"/>
        <rFont val="Noto Sans CJK SC"/>
        <family val="2"/>
      </rPr>
      <t xml:space="preserve">上限規格 </t>
    </r>
    <r>
      <rPr>
        <b val="true"/>
        <sz val="10"/>
        <rFont val="Meiryo UI"/>
        <family val="0"/>
        <charset val="1"/>
      </rPr>
      <t xml:space="preserve">USL</t>
    </r>
  </si>
  <si>
    <r>
      <rPr>
        <b val="true"/>
        <sz val="10"/>
        <rFont val="Noto Sans CJK SC"/>
        <family val="2"/>
      </rPr>
      <t xml:space="preserve">目標値 </t>
    </r>
    <r>
      <rPr>
        <b val="true"/>
        <sz val="10"/>
        <rFont val="Meiryo UI"/>
        <family val="0"/>
        <charset val="1"/>
      </rPr>
      <t xml:space="preserve">T</t>
    </r>
  </si>
  <si>
    <t xml:space="preserve">予測区間の信頼水準</t>
  </si>
  <si>
    <r>
      <rPr>
        <sz val="10"/>
        <rFont val="Noto Sans CJK SC"/>
        <family val="2"/>
      </rPr>
      <t xml:space="preserve">最大化・最小化は片側の予測限界（例：</t>
    </r>
    <r>
      <rPr>
        <sz val="10"/>
        <rFont val="Meiryo UI"/>
        <family val="0"/>
        <charset val="1"/>
      </rPr>
      <t xml:space="preserve">95%</t>
    </r>
    <r>
      <rPr>
        <sz val="10"/>
        <rFont val="Noto Sans CJK SC"/>
        <family val="2"/>
      </rPr>
      <t xml:space="preserve">なら下側</t>
    </r>
    <r>
      <rPr>
        <sz val="10"/>
        <rFont val="Meiryo UI"/>
        <family val="0"/>
        <charset val="1"/>
      </rPr>
      <t xml:space="preserve">95%</t>
    </r>
    <r>
      <rPr>
        <sz val="10"/>
        <rFont val="Noto Sans CJK SC"/>
        <family val="2"/>
      </rPr>
      <t xml:space="preserve">限界）、目標値は両側の予測区間で工程窓を判定</t>
    </r>
  </si>
  <si>
    <t xml:space="preserve">実験計画</t>
  </si>
  <si>
    <t xml:space="preserve">計画の種類</t>
  </si>
  <si>
    <r>
      <rPr>
        <sz val="10"/>
        <color rgb="FF0000FF"/>
        <rFont val="Noto Sans CJK SC"/>
        <family val="2"/>
      </rPr>
      <t xml:space="preserve">面心</t>
    </r>
    <r>
      <rPr>
        <sz val="10"/>
        <color rgb="FF0000FF"/>
        <rFont val="Meiryo UI"/>
        <family val="0"/>
        <charset val="1"/>
      </rPr>
      <t xml:space="preserve">CCD(α=1)</t>
    </r>
  </si>
  <si>
    <r>
      <rPr>
        <sz val="10"/>
        <rFont val="Meiryo UI"/>
        <family val="0"/>
        <charset val="1"/>
      </rPr>
      <t xml:space="preserve">2</t>
    </r>
    <r>
      <rPr>
        <sz val="10"/>
        <rFont val="Noto Sans CJK SC"/>
        <family val="2"/>
      </rPr>
      <t xml:space="preserve">因子</t>
    </r>
    <r>
      <rPr>
        <sz val="10"/>
        <rFont val="Meiryo UI"/>
        <family val="0"/>
        <charset val="1"/>
      </rPr>
      <t xml:space="preserve">: CCD=</t>
    </r>
    <r>
      <rPr>
        <sz val="10"/>
        <rFont val="Noto Sans CJK SC"/>
        <family val="2"/>
      </rPr>
      <t xml:space="preserve">要因</t>
    </r>
    <r>
      <rPr>
        <sz val="10"/>
        <rFont val="Meiryo UI"/>
        <family val="0"/>
        <charset val="1"/>
      </rPr>
      <t xml:space="preserve">4+</t>
    </r>
    <r>
      <rPr>
        <sz val="10"/>
        <rFont val="Noto Sans CJK SC"/>
        <family val="2"/>
      </rPr>
      <t xml:space="preserve">軸</t>
    </r>
    <r>
      <rPr>
        <sz val="10"/>
        <rFont val="Meiryo UI"/>
        <family val="0"/>
        <charset val="1"/>
      </rPr>
      <t xml:space="preserve">4+</t>
    </r>
    <r>
      <rPr>
        <sz val="10"/>
        <rFont val="Noto Sans CJK SC"/>
        <family val="2"/>
      </rPr>
      <t xml:space="preserve">中心。</t>
    </r>
    <r>
      <rPr>
        <sz val="10"/>
        <rFont val="Meiryo UI"/>
        <family val="0"/>
        <charset val="1"/>
      </rPr>
      <t xml:space="preserve">2</t>
    </r>
    <r>
      <rPr>
        <sz val="10"/>
        <rFont val="Noto Sans CJK SC"/>
        <family val="2"/>
      </rPr>
      <t xml:space="preserve">因子には</t>
    </r>
    <r>
      <rPr>
        <sz val="10"/>
        <rFont val="Meiryo UI"/>
        <family val="0"/>
        <charset val="1"/>
      </rPr>
      <t xml:space="preserve">Box-Behnken</t>
    </r>
    <r>
      <rPr>
        <sz val="10"/>
        <rFont val="Noto Sans CJK SC"/>
        <family val="2"/>
      </rPr>
      <t xml:space="preserve">計画はありません（面心</t>
    </r>
    <r>
      <rPr>
        <sz val="10"/>
        <rFont val="Meiryo UI"/>
        <family val="0"/>
        <charset val="1"/>
      </rPr>
      <t xml:space="preserve">CCD</t>
    </r>
    <r>
      <rPr>
        <sz val="10"/>
        <rFont val="Noto Sans CJK SC"/>
        <family val="2"/>
      </rPr>
      <t xml:space="preserve">＝</t>
    </r>
    <r>
      <rPr>
        <sz val="10"/>
        <rFont val="Meiryo UI"/>
        <family val="0"/>
        <charset val="1"/>
      </rPr>
      <t xml:space="preserve">3</t>
    </r>
    <r>
      <rPr>
        <sz val="10"/>
        <rFont val="Noto Sans CJK SC"/>
        <family val="2"/>
      </rPr>
      <t xml:space="preserve">水準全組合せ）</t>
    </r>
  </si>
  <si>
    <t xml:space="preserve">中心点の数</t>
  </si>
  <si>
    <r>
      <rPr>
        <sz val="10"/>
        <rFont val="Noto Sans CJK SC"/>
        <family val="2"/>
      </rPr>
      <t xml:space="preserve">純誤差（適合度の欠如の検定）に使うため</t>
    </r>
    <r>
      <rPr>
        <sz val="10"/>
        <rFont val="Meiryo UI"/>
        <family val="0"/>
        <charset val="1"/>
      </rPr>
      <t xml:space="preserve">3</t>
    </r>
    <r>
      <rPr>
        <sz val="10"/>
        <rFont val="Noto Sans CJK SC"/>
        <family val="2"/>
      </rPr>
      <t xml:space="preserve">以上。推奨</t>
    </r>
    <r>
      <rPr>
        <sz val="10"/>
        <rFont val="Meiryo UI"/>
        <family val="0"/>
        <charset val="1"/>
      </rPr>
      <t xml:space="preserve">5</t>
    </r>
    <r>
      <rPr>
        <sz val="10"/>
        <rFont val="Noto Sans CJK SC"/>
        <family val="2"/>
      </rPr>
      <t xml:space="preserve">〜</t>
    </r>
    <r>
      <rPr>
        <sz val="10"/>
        <rFont val="Meiryo UI"/>
        <family val="0"/>
        <charset val="1"/>
      </rPr>
      <t xml:space="preserve">6</t>
    </r>
  </si>
  <si>
    <r>
      <rPr>
        <b val="true"/>
        <sz val="10"/>
        <rFont val="Meiryo UI"/>
        <family val="0"/>
        <charset val="1"/>
      </rPr>
      <t xml:space="preserve">α</t>
    </r>
    <r>
      <rPr>
        <b val="true"/>
        <sz val="10"/>
        <rFont val="Noto Sans CJK SC"/>
        <family val="2"/>
      </rPr>
      <t xml:space="preserve">（軸点距離）</t>
    </r>
  </si>
  <si>
    <r>
      <rPr>
        <b val="true"/>
        <sz val="10"/>
        <rFont val="Noto Sans CJK SC"/>
        <family val="2"/>
      </rPr>
      <t xml:space="preserve">総実験数 </t>
    </r>
    <r>
      <rPr>
        <b val="true"/>
        <sz val="10"/>
        <rFont val="Meiryo UI"/>
        <family val="0"/>
        <charset val="1"/>
      </rPr>
      <t xml:space="preserve">N</t>
    </r>
  </si>
  <si>
    <t xml:space="preserve">ランダマイズ方式</t>
  </si>
  <si>
    <t xml:space="preserve">完全ランダム</t>
  </si>
  <si>
    <r>
      <rPr>
        <sz val="10"/>
        <rFont val="Noto Sans CJK SC"/>
        <family val="2"/>
      </rPr>
      <t xml:space="preserve">グループ化＝変更困難因子の水準ごとに実験をまとめる順序生成のみ。解析は分割区画に対応していない（</t>
    </r>
    <r>
      <rPr>
        <sz val="10"/>
        <rFont val="Meiryo UI"/>
        <family val="0"/>
        <charset val="1"/>
      </rPr>
      <t xml:space="preserve">04</t>
    </r>
    <r>
      <rPr>
        <sz val="10"/>
        <rFont val="Noto Sans CJK SC"/>
        <family val="2"/>
      </rPr>
      <t xml:space="preserve">に警告表示）</t>
    </r>
  </si>
  <si>
    <r>
      <rPr>
        <b val="true"/>
        <sz val="10"/>
        <rFont val="Noto Sans CJK SC"/>
        <family val="2"/>
      </rPr>
      <t xml:space="preserve">変更困難因子 </t>
    </r>
    <r>
      <rPr>
        <b val="true"/>
        <sz val="10"/>
        <rFont val="Meiryo UI"/>
        <family val="0"/>
        <charset val="1"/>
      </rPr>
      <t xml:space="preserve">No</t>
    </r>
  </si>
  <si>
    <t xml:space="preserve">計画点数（中心点除く）</t>
  </si>
  <si>
    <t xml:space="preserve">安全限界チェック（計画上の最小・最大の実値）</t>
  </si>
  <si>
    <t xml:space="preserve">因子</t>
  </si>
  <si>
    <t xml:space="preserve">計画の最小</t>
  </si>
  <si>
    <t xml:space="preserve">計画の最大</t>
  </si>
  <si>
    <t xml:space="preserve">判定</t>
  </si>
  <si>
    <t xml:space="preserve">総合判定</t>
  </si>
  <si>
    <r>
      <rPr>
        <b val="true"/>
        <sz val="14"/>
        <color rgb="FF1F3864"/>
        <rFont val="Meiryo UI"/>
        <family val="0"/>
        <charset val="1"/>
      </rPr>
      <t xml:space="preserve">02 </t>
    </r>
    <r>
      <rPr>
        <b val="true"/>
        <sz val="14"/>
        <color rgb="FF1F3864"/>
        <rFont val="Noto Sans CJK SC"/>
        <family val="2"/>
      </rPr>
      <t xml:space="preserve">実験計画（標準順）とランダマイズ</t>
    </r>
  </si>
  <si>
    <r>
      <rPr>
        <sz val="9"/>
        <color rgb="FF595959"/>
        <rFont val="Noto Sans CJK SC"/>
        <family val="2"/>
      </rPr>
      <t xml:space="preserve">計画の種類・中心点数は</t>
    </r>
    <r>
      <rPr>
        <sz val="9"/>
        <color rgb="FF595959"/>
        <rFont val="Meiryo UI"/>
        <family val="0"/>
        <charset val="1"/>
      </rPr>
      <t xml:space="preserve">01</t>
    </r>
    <r>
      <rPr>
        <sz val="9"/>
        <color rgb="FF595959"/>
        <rFont val="Noto Sans CJK SC"/>
        <family val="2"/>
      </rPr>
      <t xml:space="preserve">で選択。乱数キーを入れ替えると実験順序が変わります（</t>
    </r>
    <r>
      <rPr>
        <sz val="9"/>
        <color rgb="FF595959"/>
        <rFont val="Meiryo UI"/>
        <family val="0"/>
        <charset val="1"/>
      </rPr>
      <t xml:space="preserve">=RAND()</t>
    </r>
    <r>
      <rPr>
        <sz val="9"/>
        <color rgb="FF595959"/>
        <rFont val="Noto Sans CJK SC"/>
        <family val="2"/>
      </rPr>
      <t xml:space="preserve">を入れ→コピー→値貼り付け）。</t>
    </r>
  </si>
  <si>
    <t xml:space="preserve">標準順</t>
  </si>
  <si>
    <t xml:space="preserve">区分</t>
  </si>
  <si>
    <t xml:space="preserve">使用</t>
  </si>
  <si>
    <r>
      <rPr>
        <b val="true"/>
        <sz val="10"/>
        <color rgb="FFFFFFFF"/>
        <rFont val="Meiryo UI"/>
        <family val="0"/>
        <charset val="1"/>
      </rPr>
      <t xml:space="preserve">X1(</t>
    </r>
    <r>
      <rPr>
        <b val="true"/>
        <sz val="10"/>
        <color rgb="FFFFFFFF"/>
        <rFont val="Noto Sans CJK SC"/>
        <family val="2"/>
      </rPr>
      <t xml:space="preserve">コード</t>
    </r>
    <r>
      <rPr>
        <b val="true"/>
        <sz val="10"/>
        <color rgb="FFFFFFFF"/>
        <rFont val="Meiryo UI"/>
        <family val="0"/>
        <charset val="1"/>
      </rPr>
      <t xml:space="preserve">)</t>
    </r>
  </si>
  <si>
    <r>
      <rPr>
        <b val="true"/>
        <sz val="10"/>
        <color rgb="FFFFFFFF"/>
        <rFont val="Meiryo UI"/>
        <family val="0"/>
        <charset val="1"/>
      </rPr>
      <t xml:space="preserve">X2(</t>
    </r>
    <r>
      <rPr>
        <b val="true"/>
        <sz val="10"/>
        <color rgb="FFFFFFFF"/>
        <rFont val="Noto Sans CJK SC"/>
        <family val="2"/>
      </rPr>
      <t xml:space="preserve">コード</t>
    </r>
    <r>
      <rPr>
        <b val="true"/>
        <sz val="10"/>
        <color rgb="FFFFFFFF"/>
        <rFont val="Meiryo UI"/>
        <family val="0"/>
        <charset val="1"/>
      </rPr>
      <t xml:space="preserve">)</t>
    </r>
  </si>
  <si>
    <t xml:space="preserve">安全判定</t>
  </si>
  <si>
    <t xml:space="preserve">乱数キー</t>
  </si>
  <si>
    <t xml:space="preserve">並べ替えキー</t>
  </si>
  <si>
    <t xml:space="preserve">実験順序</t>
  </si>
  <si>
    <r>
      <rPr>
        <b val="true"/>
        <sz val="10"/>
        <color rgb="FFFFFFFF"/>
        <rFont val="Meiryo UI"/>
        <family val="0"/>
        <charset val="1"/>
      </rPr>
      <t xml:space="preserve">Y</t>
    </r>
    <r>
      <rPr>
        <b val="true"/>
        <sz val="10"/>
        <color rgb="FFFFFFFF"/>
        <rFont val="Noto Sans CJK SC"/>
        <family val="2"/>
      </rPr>
      <t xml:space="preserve">（</t>
    </r>
    <r>
      <rPr>
        <b val="true"/>
        <sz val="10"/>
        <color rgb="FFFFFFFF"/>
        <rFont val="Meiryo UI"/>
        <family val="0"/>
        <charset val="1"/>
      </rPr>
      <t xml:space="preserve">03</t>
    </r>
    <r>
      <rPr>
        <b val="true"/>
        <sz val="10"/>
        <color rgb="FFFFFFFF"/>
        <rFont val="Noto Sans CJK SC"/>
        <family val="2"/>
      </rPr>
      <t xml:space="preserve">から）</t>
    </r>
  </si>
  <si>
    <t xml:space="preserve">CCD1</t>
  </si>
  <si>
    <t xml:space="preserve">CCD2</t>
  </si>
  <si>
    <r>
      <rPr>
        <b val="true"/>
        <sz val="10"/>
        <color rgb="FFFFFFFF"/>
        <rFont val="Noto Sans CJK SC"/>
        <family val="2"/>
      </rPr>
      <t xml:space="preserve">水準</t>
    </r>
    <r>
      <rPr>
        <b val="true"/>
        <sz val="10"/>
        <color rgb="FFFFFFFF"/>
        <rFont val="Meiryo UI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コード</t>
    </r>
    <r>
      <rPr>
        <b val="true"/>
        <sz val="10"/>
        <color rgb="FFFFFFFF"/>
        <rFont val="Meiryo UI"/>
        <family val="0"/>
        <charset val="1"/>
      </rPr>
      <t xml:space="preserve">)</t>
    </r>
  </si>
  <si>
    <t xml:space="preserve">グループ順位</t>
  </si>
  <si>
    <r>
      <rPr>
        <sz val="10"/>
        <rFont val="Noto Sans CJK SC"/>
        <family val="2"/>
      </rPr>
      <t xml:space="preserve">グループ順位＝変更困難因子の水準を実施する順番（</t>
    </r>
    <r>
      <rPr>
        <sz val="10"/>
        <rFont val="Meiryo UI"/>
        <family val="0"/>
        <charset val="1"/>
      </rPr>
      <t xml:space="preserve">1</t>
    </r>
    <r>
      <rPr>
        <sz val="10"/>
        <rFont val="Noto Sans CJK SC"/>
        <family val="2"/>
      </rPr>
      <t xml:space="preserve">が最初）。入れ替え可</t>
    </r>
  </si>
  <si>
    <r>
      <rPr>
        <sz val="10"/>
        <rFont val="Noto Sans CJK SC"/>
        <family val="2"/>
      </rPr>
      <t xml:space="preserve">右側のパターン列：</t>
    </r>
    <r>
      <rPr>
        <sz val="10"/>
        <rFont val="Meiryo UI"/>
        <family val="0"/>
        <charset val="1"/>
      </rPr>
      <t xml:space="preserve">CCD</t>
    </r>
    <r>
      <rPr>
        <sz val="10"/>
        <rFont val="Noto Sans CJK SC"/>
        <family val="2"/>
      </rPr>
      <t xml:space="preserve">／</t>
    </r>
    <r>
      <rPr>
        <sz val="10"/>
        <rFont val="Meiryo UI"/>
        <family val="0"/>
        <charset val="1"/>
      </rPr>
      <t xml:space="preserve">BBD</t>
    </r>
    <r>
      <rPr>
        <sz val="10"/>
        <rFont val="Noto Sans CJK SC"/>
        <family val="2"/>
      </rPr>
      <t xml:space="preserve">の基本パターン（編集不要）</t>
    </r>
  </si>
  <si>
    <r>
      <rPr>
        <b val="true"/>
        <sz val="14"/>
        <color rgb="FF1F3864"/>
        <rFont val="Meiryo UI"/>
        <family val="0"/>
        <charset val="1"/>
      </rPr>
      <t xml:space="preserve">03 </t>
    </r>
    <r>
      <rPr>
        <b val="true"/>
        <sz val="14"/>
        <color rgb="FF1F3864"/>
        <rFont val="Noto Sans CJK SC"/>
        <family val="2"/>
      </rPr>
      <t xml:space="preserve">実験指示書・結果入力（実験順）</t>
    </r>
  </si>
  <si>
    <r>
      <rPr>
        <sz val="9"/>
        <color rgb="FF595959"/>
        <rFont val="Noto Sans CJK SC"/>
        <family val="2"/>
      </rPr>
      <t xml:space="preserve">この順番で実験し、</t>
    </r>
    <r>
      <rPr>
        <sz val="9"/>
        <color rgb="FF595959"/>
        <rFont val="Meiryo UI"/>
        <family val="0"/>
        <charset val="1"/>
      </rPr>
      <t xml:space="preserve">Y</t>
    </r>
    <r>
      <rPr>
        <sz val="9"/>
        <color rgb="FF595959"/>
        <rFont val="Noto Sans CJK SC"/>
        <family val="2"/>
      </rPr>
      <t xml:space="preserve">を入力。現在の</t>
    </r>
    <r>
      <rPr>
        <sz val="9"/>
        <color rgb="FF595959"/>
        <rFont val="Meiryo UI"/>
        <family val="0"/>
        <charset val="1"/>
      </rPr>
      <t xml:space="preserve">Y</t>
    </r>
    <r>
      <rPr>
        <sz val="9"/>
        <color rgb="FF595959"/>
        <rFont val="Noto Sans CJK SC"/>
        <family val="2"/>
      </rPr>
      <t xml:space="preserve">は検証用の架空データ。計画を変えたら入れ直してください。</t>
    </r>
  </si>
  <si>
    <t xml:space="preserve">変更困難因子の水準</t>
  </si>
  <si>
    <t xml:space="preserve">メモ（異常・気付き）</t>
  </si>
  <si>
    <r>
      <rPr>
        <b val="true"/>
        <sz val="14"/>
        <color rgb="FF1F3864"/>
        <rFont val="Meiryo UI"/>
        <family val="0"/>
        <charset val="1"/>
      </rPr>
      <t xml:space="preserve">04 2</t>
    </r>
    <r>
      <rPr>
        <b val="true"/>
        <sz val="14"/>
        <color rgb="FF1F3864"/>
        <rFont val="Noto Sans CJK SC"/>
        <family val="2"/>
      </rPr>
      <t xml:space="preserve">次回帰モデルと</t>
    </r>
    <r>
      <rPr>
        <b val="true"/>
        <sz val="14"/>
        <color rgb="FF1F3864"/>
        <rFont val="Meiryo UI"/>
        <family val="0"/>
        <charset val="1"/>
      </rPr>
      <t xml:space="preserve">ANOVA</t>
    </r>
    <r>
      <rPr>
        <b val="true"/>
        <sz val="14"/>
        <color rgb="FF1F3864"/>
        <rFont val="Noto Sans CJK SC"/>
        <family val="2"/>
      </rPr>
      <t xml:space="preserve">（コード化単位）</t>
    </r>
  </si>
  <si>
    <r>
      <rPr>
        <sz val="9"/>
        <color rgb="FF595959"/>
        <rFont val="Meiryo UI"/>
        <family val="0"/>
        <charset val="1"/>
      </rPr>
      <t xml:space="preserve">B</t>
    </r>
    <r>
      <rPr>
        <sz val="9"/>
        <color rgb="FF595959"/>
        <rFont val="Noto Sans CJK SC"/>
        <family val="2"/>
      </rPr>
      <t xml:space="preserve">列を</t>
    </r>
    <r>
      <rPr>
        <sz val="9"/>
        <color rgb="FF595959"/>
        <rFont val="Meiryo UI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にすると、その項を除外して再計算（モデル縮小）。切片は常に</t>
    </r>
    <r>
      <rPr>
        <sz val="9"/>
        <color rgb="FF595959"/>
        <rFont val="Meiryo UI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。</t>
    </r>
  </si>
  <si>
    <t xml:space="preserve">項</t>
  </si>
  <si>
    <r>
      <rPr>
        <b val="true"/>
        <sz val="10"/>
        <color rgb="FFFFFFFF"/>
        <rFont val="Noto Sans CJK SC"/>
        <family val="2"/>
      </rPr>
      <t xml:space="preserve">使用</t>
    </r>
    <r>
      <rPr>
        <b val="true"/>
        <sz val="10"/>
        <color rgb="FFFFFFFF"/>
        <rFont val="Meiryo UI"/>
        <family val="0"/>
        <charset val="1"/>
      </rPr>
      <t xml:space="preserve">(1/0)</t>
    </r>
  </si>
  <si>
    <t xml:space="preserve">係数</t>
  </si>
  <si>
    <t xml:space="preserve">標準誤差</t>
  </si>
  <si>
    <r>
      <rPr>
        <b val="true"/>
        <sz val="10"/>
        <color rgb="FFFFFFFF"/>
        <rFont val="Meiryo UI"/>
        <family val="0"/>
        <charset val="1"/>
      </rPr>
      <t xml:space="preserve">t</t>
    </r>
    <r>
      <rPr>
        <b val="true"/>
        <sz val="10"/>
        <color rgb="FFFFFFFF"/>
        <rFont val="Noto Sans CJK SC"/>
        <family val="2"/>
      </rPr>
      <t xml:space="preserve">値</t>
    </r>
  </si>
  <si>
    <r>
      <rPr>
        <b val="true"/>
        <sz val="10"/>
        <color rgb="FFFFFFFF"/>
        <rFont val="Meiryo UI"/>
        <family val="0"/>
        <charset val="1"/>
      </rPr>
      <t xml:space="preserve">p</t>
    </r>
    <r>
      <rPr>
        <b val="true"/>
        <sz val="10"/>
        <color rgb="FFFFFFFF"/>
        <rFont val="Noto Sans CJK SC"/>
        <family val="2"/>
      </rPr>
      <t xml:space="preserve">値</t>
    </r>
  </si>
  <si>
    <t xml:space="preserve">有意</t>
  </si>
  <si>
    <t xml:space="preserve">階層性チェック</t>
  </si>
  <si>
    <t xml:space="preserve">統計量</t>
  </si>
  <si>
    <t xml:space="preserve">値</t>
  </si>
  <si>
    <t xml:space="preserve">切片</t>
  </si>
  <si>
    <r>
      <rPr>
        <b val="true"/>
        <sz val="10"/>
        <rFont val="Meiryo UI"/>
        <family val="0"/>
        <charset val="1"/>
      </rPr>
      <t xml:space="preserve">n</t>
    </r>
    <r>
      <rPr>
        <b val="true"/>
        <sz val="10"/>
        <rFont val="Noto Sans CJK SC"/>
        <family val="2"/>
      </rPr>
      <t xml:space="preserve">（実験数）</t>
    </r>
  </si>
  <si>
    <r>
      <rPr>
        <b val="true"/>
        <sz val="10"/>
        <rFont val="Meiryo UI"/>
        <family val="0"/>
        <charset val="1"/>
      </rPr>
      <t xml:space="preserve">p</t>
    </r>
    <r>
      <rPr>
        <b val="true"/>
        <sz val="10"/>
        <rFont val="Noto Sans CJK SC"/>
        <family val="2"/>
      </rPr>
      <t xml:space="preserve">（項数）</t>
    </r>
  </si>
  <si>
    <t xml:space="preserve">残差自由度</t>
  </si>
  <si>
    <t xml:space="preserve">X1·X2</t>
  </si>
  <si>
    <t xml:space="preserve">SSE</t>
  </si>
  <si>
    <t xml:space="preserve">X1²</t>
  </si>
  <si>
    <r>
      <rPr>
        <b val="true"/>
        <sz val="10"/>
        <rFont val="Meiryo UI"/>
        <family val="0"/>
        <charset val="1"/>
      </rPr>
      <t xml:space="preserve">Y</t>
    </r>
    <r>
      <rPr>
        <b val="true"/>
        <sz val="10"/>
        <rFont val="Noto Sans CJK SC"/>
        <family val="2"/>
      </rPr>
      <t xml:space="preserve">の平均</t>
    </r>
  </si>
  <si>
    <t xml:space="preserve">X2²</t>
  </si>
  <si>
    <t xml:space="preserve">SST</t>
  </si>
  <si>
    <t xml:space="preserve">SSR</t>
  </si>
  <si>
    <r>
      <rPr>
        <sz val="10"/>
        <rFont val="Noto Sans CJK SC"/>
        <family val="2"/>
      </rPr>
      <t xml:space="preserve">有意：</t>
    </r>
    <r>
      <rPr>
        <sz val="10"/>
        <rFont val="Meiryo UI"/>
        <family val="0"/>
        <charset val="1"/>
      </rPr>
      <t xml:space="preserve">** p&lt;0.01</t>
    </r>
    <r>
      <rPr>
        <sz val="10"/>
        <rFont val="Noto Sans CJK SC"/>
        <family val="2"/>
      </rPr>
      <t xml:space="preserve">　</t>
    </r>
    <r>
      <rPr>
        <sz val="10"/>
        <rFont val="Meiryo UI"/>
        <family val="0"/>
        <charset val="1"/>
      </rPr>
      <t xml:space="preserve">* p&lt;0.05</t>
    </r>
    <r>
      <rPr>
        <sz val="10"/>
        <rFont val="Noto Sans CJK SC"/>
        <family val="2"/>
      </rPr>
      <t xml:space="preserve">　△ </t>
    </r>
    <r>
      <rPr>
        <sz val="10"/>
        <rFont val="Meiryo UI"/>
        <family val="0"/>
        <charset val="1"/>
      </rPr>
      <t xml:space="preserve">p&lt;0.1</t>
    </r>
    <r>
      <rPr>
        <sz val="10"/>
        <rFont val="Noto Sans CJK SC"/>
        <family val="2"/>
      </rPr>
      <t xml:space="preserve">。</t>
    </r>
    <r>
      <rPr>
        <sz val="10"/>
        <rFont val="Meiryo UI"/>
        <family val="0"/>
        <charset val="1"/>
      </rPr>
      <t xml:space="preserve">p</t>
    </r>
    <r>
      <rPr>
        <sz val="10"/>
        <rFont val="Noto Sans CJK SC"/>
        <family val="2"/>
      </rPr>
      <t xml:space="preserve">値だけで機械的に削らず、技術的な意味と階層性を優先。</t>
    </r>
  </si>
  <si>
    <t xml:space="preserve">MSE</t>
  </si>
  <si>
    <r>
      <rPr>
        <b val="true"/>
        <sz val="10"/>
        <rFont val="Meiryo UI"/>
        <family val="0"/>
        <charset val="1"/>
      </rPr>
      <t xml:space="preserve">s</t>
    </r>
    <r>
      <rPr>
        <b val="true"/>
        <sz val="10"/>
        <rFont val="Noto Sans CJK SC"/>
        <family val="2"/>
      </rPr>
      <t xml:space="preserve">（残差標準偏差）</t>
    </r>
  </si>
  <si>
    <t xml:space="preserve">R²</t>
  </si>
  <si>
    <r>
      <rPr>
        <b val="true"/>
        <sz val="10"/>
        <rFont val="Noto Sans CJK SC"/>
        <family val="2"/>
      </rPr>
      <t xml:space="preserve">調整済み</t>
    </r>
    <r>
      <rPr>
        <b val="true"/>
        <sz val="10"/>
        <rFont val="Meiryo UI"/>
        <family val="0"/>
        <charset val="1"/>
      </rPr>
      <t xml:space="preserve">R²</t>
    </r>
  </si>
  <si>
    <t xml:space="preserve">PRESS</t>
  </si>
  <si>
    <r>
      <rPr>
        <b val="true"/>
        <sz val="10"/>
        <rFont val="Noto Sans CJK SC"/>
        <family val="2"/>
      </rPr>
      <t xml:space="preserve">予測</t>
    </r>
    <r>
      <rPr>
        <b val="true"/>
        <sz val="10"/>
        <rFont val="Meiryo UI"/>
        <family val="0"/>
        <charset val="1"/>
      </rPr>
      <t xml:space="preserve">R²</t>
    </r>
  </si>
  <si>
    <r>
      <rPr>
        <b val="true"/>
        <sz val="10"/>
        <rFont val="Meiryo UI"/>
        <family val="0"/>
        <charset val="1"/>
      </rPr>
      <t xml:space="preserve">t</t>
    </r>
    <r>
      <rPr>
        <b val="true"/>
        <sz val="10"/>
        <rFont val="Noto Sans CJK SC"/>
        <family val="2"/>
      </rPr>
      <t xml:space="preserve">値（工程窓・最適化用）</t>
    </r>
  </si>
  <si>
    <r>
      <rPr>
        <b val="true"/>
        <sz val="10"/>
        <rFont val="Meiryo UI"/>
        <family val="0"/>
        <charset val="1"/>
      </rPr>
      <t xml:space="preserve">Y</t>
    </r>
    <r>
      <rPr>
        <b val="true"/>
        <sz val="10"/>
        <rFont val="Noto Sans CJK SC"/>
        <family val="2"/>
      </rPr>
      <t xml:space="preserve">未入力数</t>
    </r>
  </si>
  <si>
    <r>
      <rPr>
        <b val="true"/>
        <sz val="10"/>
        <rFont val="Noto Sans CJK SC"/>
        <family val="2"/>
      </rPr>
      <t xml:space="preserve">中心点</t>
    </r>
    <r>
      <rPr>
        <b val="true"/>
        <sz val="10"/>
        <rFont val="Meiryo UI"/>
        <family val="0"/>
        <charset val="1"/>
      </rPr>
      <t xml:space="preserve">Y</t>
    </r>
    <r>
      <rPr>
        <b val="true"/>
        <sz val="10"/>
        <rFont val="Noto Sans CJK SC"/>
        <family val="2"/>
      </rPr>
      <t xml:space="preserve">の平均</t>
    </r>
  </si>
  <si>
    <r>
      <rPr>
        <b val="true"/>
        <sz val="10"/>
        <rFont val="Meiryo UI"/>
        <family val="0"/>
        <charset val="1"/>
      </rPr>
      <t xml:space="preserve">t</t>
    </r>
    <r>
      <rPr>
        <b val="true"/>
        <sz val="10"/>
        <rFont val="Noto Sans CJK SC"/>
        <family val="2"/>
      </rPr>
      <t xml:space="preserve">値（両側・確認実験用）</t>
    </r>
  </si>
  <si>
    <r>
      <rPr>
        <sz val="10"/>
        <rFont val="Noto Sans CJK SC"/>
        <family val="2"/>
      </rPr>
      <t xml:space="preserve">工程窓用</t>
    </r>
    <r>
      <rPr>
        <sz val="10"/>
        <rFont val="Meiryo UI"/>
        <family val="0"/>
        <charset val="1"/>
      </rPr>
      <t xml:space="preserve">t</t>
    </r>
    <r>
      <rPr>
        <sz val="10"/>
        <rFont val="Noto Sans CJK SC"/>
        <family val="2"/>
      </rPr>
      <t xml:space="preserve">：最大化・最小化＝片側（信頼水準</t>
    </r>
    <r>
      <rPr>
        <sz val="10"/>
        <rFont val="Meiryo UI"/>
        <family val="0"/>
        <charset val="1"/>
      </rPr>
      <t xml:space="preserve">95%</t>
    </r>
    <r>
      <rPr>
        <sz val="10"/>
        <rFont val="Noto Sans CJK SC"/>
        <family val="2"/>
      </rPr>
      <t xml:space="preserve">なら </t>
    </r>
    <r>
      <rPr>
        <sz val="10"/>
        <rFont val="Meiryo UI"/>
        <family val="0"/>
        <charset val="1"/>
      </rPr>
      <t xml:space="preserve">t0.95</t>
    </r>
    <r>
      <rPr>
        <sz val="10"/>
        <rFont val="Noto Sans CJK SC"/>
        <family val="2"/>
      </rPr>
      <t xml:space="preserve">）、目標値＝両側（</t>
    </r>
    <r>
      <rPr>
        <sz val="10"/>
        <rFont val="Meiryo UI"/>
        <family val="0"/>
        <charset val="1"/>
      </rPr>
      <t xml:space="preserve">t0.975</t>
    </r>
    <r>
      <rPr>
        <sz val="10"/>
        <rFont val="Noto Sans CJK SC"/>
        <family val="2"/>
      </rPr>
      <t xml:space="preserve">）</t>
    </r>
  </si>
  <si>
    <t xml:space="preserve">要因</t>
  </si>
  <si>
    <t xml:space="preserve">自由度</t>
  </si>
  <si>
    <t xml:space="preserve">平方和</t>
  </si>
  <si>
    <t xml:space="preserve">平均平方</t>
  </si>
  <si>
    <r>
      <rPr>
        <b val="true"/>
        <sz val="10"/>
        <color rgb="FFFFFFFF"/>
        <rFont val="Meiryo UI"/>
        <family val="0"/>
        <charset val="1"/>
      </rPr>
      <t xml:space="preserve">F</t>
    </r>
    <r>
      <rPr>
        <b val="true"/>
        <sz val="10"/>
        <color rgb="FFFFFFFF"/>
        <rFont val="Noto Sans CJK SC"/>
        <family val="2"/>
      </rPr>
      <t xml:space="preserve">値</t>
    </r>
  </si>
  <si>
    <t xml:space="preserve">回帰</t>
  </si>
  <si>
    <t xml:space="preserve">残差</t>
  </si>
  <si>
    <t xml:space="preserve">　適合度の欠如</t>
  </si>
  <si>
    <t xml:space="preserve">　純誤差</t>
  </si>
  <si>
    <t xml:space="preserve">合計</t>
  </si>
  <si>
    <t xml:space="preserve">判断ゲート</t>
  </si>
  <si>
    <t xml:space="preserve">計画の安全性</t>
  </si>
  <si>
    <t xml:space="preserve">ランダマイズ</t>
  </si>
  <si>
    <t xml:space="preserve">データ</t>
  </si>
  <si>
    <t xml:space="preserve">回帰の有意性</t>
  </si>
  <si>
    <t xml:space="preserve">適合度の欠如</t>
  </si>
  <si>
    <r>
      <rPr>
        <b val="true"/>
        <sz val="10"/>
        <rFont val="Meiryo UI"/>
        <family val="0"/>
        <charset val="1"/>
      </rPr>
      <t xml:space="preserve">R²</t>
    </r>
    <r>
      <rPr>
        <b val="true"/>
        <sz val="10"/>
        <rFont val="Noto Sans CJK SC"/>
        <family val="2"/>
      </rPr>
      <t xml:space="preserve">と予測</t>
    </r>
    <r>
      <rPr>
        <b val="true"/>
        <sz val="10"/>
        <rFont val="Meiryo UI"/>
        <family val="0"/>
        <charset val="1"/>
      </rPr>
      <t xml:space="preserve">R²</t>
    </r>
  </si>
  <si>
    <r>
      <rPr>
        <b val="true"/>
        <sz val="10"/>
        <rFont val="Meiryo UI"/>
        <family val="0"/>
        <charset val="1"/>
      </rPr>
      <t xml:space="preserve">×</t>
    </r>
    <r>
      <rPr>
        <b val="true"/>
        <sz val="10"/>
        <rFont val="Noto Sans CJK SC"/>
        <family val="2"/>
      </rPr>
      <t xml:space="preserve">がなく、△の内容を理解・記録してから </t>
    </r>
    <r>
      <rPr>
        <b val="true"/>
        <sz val="10"/>
        <rFont val="Meiryo UI"/>
        <family val="0"/>
        <charset val="1"/>
      </rPr>
      <t xml:space="preserve">06</t>
    </r>
    <r>
      <rPr>
        <b val="true"/>
        <sz val="10"/>
        <rFont val="Noto Sans CJK SC"/>
        <family val="2"/>
      </rPr>
      <t xml:space="preserve">（正準解析）→</t>
    </r>
    <r>
      <rPr>
        <b val="true"/>
        <sz val="10"/>
        <rFont val="Meiryo UI"/>
        <family val="0"/>
        <charset val="1"/>
      </rPr>
      <t xml:space="preserve">07</t>
    </r>
    <r>
      <rPr>
        <b val="true"/>
        <sz val="10"/>
        <rFont val="Noto Sans CJK SC"/>
        <family val="2"/>
      </rPr>
      <t xml:space="preserve">（最適化）→</t>
    </r>
    <r>
      <rPr>
        <b val="true"/>
        <sz val="10"/>
        <rFont val="Meiryo UI"/>
        <family val="0"/>
        <charset val="1"/>
      </rPr>
      <t xml:space="preserve">08</t>
    </r>
    <r>
      <rPr>
        <b val="true"/>
        <sz val="10"/>
        <rFont val="Noto Sans CJK SC"/>
        <family val="2"/>
      </rPr>
      <t xml:space="preserve">（工程窓）へ進みます。</t>
    </r>
  </si>
  <si>
    <r>
      <rPr>
        <b val="true"/>
        <sz val="14"/>
        <color rgb="FF1F3864"/>
        <rFont val="Meiryo UI"/>
        <family val="0"/>
        <charset val="1"/>
      </rPr>
      <t xml:space="preserve">05 </t>
    </r>
    <r>
      <rPr>
        <b val="true"/>
        <sz val="14"/>
        <color rgb="FF1F3864"/>
        <rFont val="Noto Sans CJK SC"/>
        <family val="2"/>
      </rPr>
      <t xml:space="preserve">残差診断</t>
    </r>
  </si>
  <si>
    <r>
      <rPr>
        <sz val="9"/>
        <color rgb="FF595959"/>
        <rFont val="Noto Sans CJK SC"/>
        <family val="2"/>
      </rPr>
      <t xml:space="preserve">スチューデント化残差の絶対値が</t>
    </r>
    <r>
      <rPr>
        <sz val="9"/>
        <color rgb="FF595959"/>
        <rFont val="Meiryo UI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超は要確認（測定ミス・異常の可能性）。消す前に原因を調べる。</t>
    </r>
  </si>
  <si>
    <t xml:space="preserve">実験順</t>
  </si>
  <si>
    <r>
      <rPr>
        <b val="true"/>
        <sz val="10"/>
        <color rgb="FFFFFFFF"/>
        <rFont val="Meiryo UI"/>
        <family val="0"/>
        <charset val="1"/>
      </rPr>
      <t xml:space="preserve">Y</t>
    </r>
    <r>
      <rPr>
        <b val="true"/>
        <sz val="10"/>
        <color rgb="FFFFFFFF"/>
        <rFont val="Noto Sans CJK SC"/>
        <family val="2"/>
      </rPr>
      <t xml:space="preserve">実測</t>
    </r>
  </si>
  <si>
    <t xml:space="preserve">予測</t>
  </si>
  <si>
    <t xml:space="preserve">標準化残差</t>
  </si>
  <si>
    <r>
      <rPr>
        <b val="true"/>
        <sz val="10"/>
        <color rgb="FFFFFFFF"/>
        <rFont val="Noto Sans CJK SC"/>
        <family val="2"/>
      </rPr>
      <t xml:space="preserve">てこ比</t>
    </r>
    <r>
      <rPr>
        <b val="true"/>
        <sz val="10"/>
        <color rgb="FFFFFFFF"/>
        <rFont val="Meiryo UI"/>
        <family val="0"/>
        <charset val="1"/>
      </rPr>
      <t xml:space="preserve">h</t>
    </r>
  </si>
  <si>
    <t xml:space="preserve">スチューデント化残差</t>
  </si>
  <si>
    <t xml:space="preserve">k</t>
  </si>
  <si>
    <r>
      <rPr>
        <b val="true"/>
        <sz val="10"/>
        <color rgb="FFFFFFFF"/>
        <rFont val="Noto Sans CJK SC"/>
        <family val="2"/>
      </rPr>
      <t xml:space="preserve">採用</t>
    </r>
    <r>
      <rPr>
        <b val="true"/>
        <sz val="10"/>
        <color rgb="FFFFFFFF"/>
        <rFont val="Meiryo UI"/>
        <family val="0"/>
        <charset val="1"/>
      </rPr>
      <t xml:space="preserve">k</t>
    </r>
  </si>
  <si>
    <r>
      <rPr>
        <b val="true"/>
        <sz val="10"/>
        <color rgb="FFFFFFFF"/>
        <rFont val="Noto Sans CJK SC"/>
        <family val="2"/>
      </rPr>
      <t xml:space="preserve">残差</t>
    </r>
    <r>
      <rPr>
        <b val="true"/>
        <sz val="10"/>
        <color rgb="FFFFFFFF"/>
        <rFont val="Meiryo UI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昇順</t>
    </r>
    <r>
      <rPr>
        <b val="true"/>
        <sz val="10"/>
        <color rgb="FFFFFFFF"/>
        <rFont val="Meiryo UI"/>
        <family val="0"/>
        <charset val="1"/>
      </rPr>
      <t xml:space="preserve">)</t>
    </r>
  </si>
  <si>
    <t xml:space="preserve">理論分位点</t>
  </si>
  <si>
    <t xml:space="preserve">実測</t>
  </si>
  <si>
    <r>
      <rPr>
        <sz val="10"/>
        <rFont val="Noto Sans CJK SC"/>
        <family val="2"/>
      </rPr>
      <t xml:space="preserve">見方：①残差</t>
    </r>
    <r>
      <rPr>
        <sz val="10"/>
        <rFont val="Meiryo UI"/>
        <family val="0"/>
        <charset val="1"/>
      </rPr>
      <t xml:space="preserve">vs</t>
    </r>
    <r>
      <rPr>
        <sz val="10"/>
        <rFont val="Noto Sans CJK SC"/>
        <family val="2"/>
      </rPr>
      <t xml:space="preserve">予測に漏斗形・曲線パターンがない ②正規確率がほぼ直線 ③実験順に傾向（ドリフト）がない ④実測</t>
    </r>
    <r>
      <rPr>
        <sz val="10"/>
        <rFont val="Meiryo UI"/>
        <family val="0"/>
        <charset val="1"/>
      </rPr>
      <t xml:space="preserve">vs</t>
    </r>
    <r>
      <rPr>
        <sz val="10"/>
        <rFont val="Noto Sans CJK SC"/>
        <family val="2"/>
      </rPr>
      <t xml:space="preserve">予測が</t>
    </r>
    <r>
      <rPr>
        <sz val="10"/>
        <rFont val="Meiryo UI"/>
        <family val="0"/>
        <charset val="1"/>
      </rPr>
      <t xml:space="preserve">45°</t>
    </r>
    <r>
      <rPr>
        <sz val="10"/>
        <rFont val="Noto Sans CJK SC"/>
        <family val="2"/>
      </rPr>
      <t xml:space="preserve">線上</t>
    </r>
  </si>
  <si>
    <r>
      <rPr>
        <b val="true"/>
        <sz val="14"/>
        <color rgb="FF1F3864"/>
        <rFont val="Meiryo UI"/>
        <family val="0"/>
        <charset val="1"/>
      </rPr>
      <t xml:space="preserve">06 </t>
    </r>
    <r>
      <rPr>
        <b val="true"/>
        <sz val="14"/>
        <color rgb="FF1F3864"/>
        <rFont val="Noto Sans CJK SC"/>
        <family val="2"/>
      </rPr>
      <t xml:space="preserve">正準解析（停留点の種類と位置）</t>
    </r>
  </si>
  <si>
    <t xml:space="preserve">最適化の前に必ず確認：停留点が最大点・最小点・鞍点のどれか、実験領域の内か外か。</t>
  </si>
  <si>
    <r>
      <rPr>
        <b val="true"/>
        <sz val="10"/>
        <rFont val="Meiryo UI"/>
        <family val="0"/>
        <charset val="1"/>
      </rPr>
      <t xml:space="preserve">2</t>
    </r>
    <r>
      <rPr>
        <b val="true"/>
        <sz val="10"/>
        <rFont val="Noto Sans CJK SC"/>
        <family val="2"/>
      </rPr>
      <t xml:space="preserve">次係数行列 </t>
    </r>
    <r>
      <rPr>
        <b val="true"/>
        <sz val="10"/>
        <rFont val="Meiryo UI"/>
        <family val="0"/>
        <charset val="1"/>
      </rPr>
      <t xml:space="preserve">B</t>
    </r>
  </si>
  <si>
    <r>
      <rPr>
        <b val="true"/>
        <sz val="10"/>
        <rFont val="Meiryo UI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次係数 </t>
    </r>
    <r>
      <rPr>
        <b val="true"/>
        <sz val="10"/>
        <rFont val="Meiryo UI"/>
        <family val="0"/>
        <charset val="1"/>
      </rPr>
      <t xml:space="preserve">b</t>
    </r>
  </si>
  <si>
    <r>
      <rPr>
        <b val="true"/>
        <sz val="10"/>
        <color rgb="FFFFFFFF"/>
        <rFont val="Noto Sans CJK SC"/>
        <family val="2"/>
      </rPr>
      <t xml:space="preserve">停留点</t>
    </r>
    <r>
      <rPr>
        <b val="true"/>
        <sz val="10"/>
        <color rgb="FFFFFFFF"/>
        <rFont val="Meiryo UI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コード</t>
    </r>
    <r>
      <rPr>
        <b val="true"/>
        <sz val="10"/>
        <color rgb="FFFFFFFF"/>
        <rFont val="Meiryo UI"/>
        <family val="0"/>
        <charset val="1"/>
      </rPr>
      <t xml:space="preserve">)</t>
    </r>
  </si>
  <si>
    <r>
      <rPr>
        <b val="true"/>
        <sz val="10"/>
        <color rgb="FFFFFFFF"/>
        <rFont val="Noto Sans CJK SC"/>
        <family val="2"/>
      </rPr>
      <t xml:space="preserve">停留点</t>
    </r>
    <r>
      <rPr>
        <b val="true"/>
        <sz val="10"/>
        <color rgb="FFFFFFFF"/>
        <rFont val="Meiryo UI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実値</t>
    </r>
    <r>
      <rPr>
        <b val="true"/>
        <sz val="10"/>
        <color rgb="FFFFFFFF"/>
        <rFont val="Meiryo UI"/>
        <family val="0"/>
        <charset val="1"/>
      </rPr>
      <t xml:space="preserve">)</t>
    </r>
  </si>
  <si>
    <r>
      <rPr>
        <b val="true"/>
        <sz val="10"/>
        <rFont val="Noto Sans CJK SC"/>
        <family val="2"/>
      </rPr>
      <t xml:space="preserve">停留点での予測</t>
    </r>
    <r>
      <rPr>
        <b val="true"/>
        <sz val="10"/>
        <rFont val="Meiryo UI"/>
        <family val="0"/>
        <charset val="1"/>
      </rPr>
      <t xml:space="preserve">Y</t>
    </r>
  </si>
  <si>
    <t xml:space="preserve">中心からの距離</t>
  </si>
  <si>
    <t xml:space="preserve">実験領域内か</t>
  </si>
  <si>
    <t xml:space="preserve">λ1</t>
  </si>
  <si>
    <t xml:space="preserve">λ2</t>
  </si>
  <si>
    <t xml:space="preserve">停留点の種類</t>
  </si>
  <si>
    <t xml:space="preserve">尾根（リッジ）</t>
  </si>
  <si>
    <t xml:space="preserve">判断</t>
  </si>
  <si>
    <r>
      <rPr>
        <sz val="10"/>
        <rFont val="Noto Sans CJK SC"/>
        <family val="2"/>
      </rPr>
      <t xml:space="preserve">固有値は</t>
    </r>
    <r>
      <rPr>
        <sz val="10"/>
        <rFont val="Meiryo UI"/>
        <family val="0"/>
        <charset val="1"/>
      </rPr>
      <t xml:space="preserve">Jacobi</t>
    </r>
    <r>
      <rPr>
        <sz val="10"/>
        <rFont val="Noto Sans CJK SC"/>
        <family val="2"/>
      </rPr>
      <t xml:space="preserve">法で数値計算（</t>
    </r>
    <r>
      <rPr>
        <sz val="10"/>
        <rFont val="Meiryo UI"/>
        <family val="0"/>
        <charset val="1"/>
      </rPr>
      <t xml:space="preserve">_eig</t>
    </r>
    <r>
      <rPr>
        <sz val="10"/>
        <rFont val="Noto Sans CJK SC"/>
        <family val="2"/>
      </rPr>
      <t xml:space="preserve">シート）。</t>
    </r>
    <r>
      <rPr>
        <sz val="10"/>
        <rFont val="Meiryo UI"/>
        <family val="0"/>
        <charset val="1"/>
      </rPr>
      <t xml:space="preserve">λ</t>
    </r>
    <r>
      <rPr>
        <sz val="10"/>
        <rFont val="Noto Sans CJK SC"/>
        <family val="2"/>
      </rPr>
      <t xml:space="preserve">が全て負→最大点、全て正→最小点、正負混在→鞍点。</t>
    </r>
  </si>
  <si>
    <r>
      <rPr>
        <b val="true"/>
        <sz val="14"/>
        <color rgb="FF1F3864"/>
        <rFont val="Meiryo UI"/>
        <family val="0"/>
        <charset val="1"/>
      </rPr>
      <t xml:space="preserve">07 </t>
    </r>
    <r>
      <rPr>
        <b val="true"/>
        <sz val="14"/>
        <color rgb="FF1F3864"/>
        <rFont val="Noto Sans CJK SC"/>
        <family val="2"/>
      </rPr>
      <t xml:space="preserve">最適化（実験領域内の</t>
    </r>
    <r>
      <rPr>
        <b val="true"/>
        <sz val="14"/>
        <color rgb="FF1F3864"/>
        <rFont val="Meiryo UI"/>
        <family val="0"/>
        <charset val="1"/>
      </rPr>
      <t xml:space="preserve">2</t>
    </r>
    <r>
      <rPr>
        <b val="true"/>
        <sz val="14"/>
        <color rgb="FF1F3864"/>
        <rFont val="Noto Sans CJK SC"/>
        <family val="2"/>
      </rPr>
      <t xml:space="preserve">次元グリッド探索）</t>
    </r>
  </si>
  <si>
    <t xml:space="preserve">『点予測の最適』と『予測限界で規格への余裕が最大の条件（ロバスト最適）』を並べて表示します。</t>
  </si>
  <si>
    <t xml:space="preserve">項目</t>
  </si>
  <si>
    <t xml:space="preserve">ロバスト最適（推奨）</t>
  </si>
  <si>
    <t xml:space="preserve">点予測の最適</t>
  </si>
  <si>
    <t xml:space="preserve">説明</t>
  </si>
  <si>
    <t xml:space="preserve">グリッド行</t>
  </si>
  <si>
    <r>
      <rPr>
        <sz val="10"/>
        <rFont val="Noto Sans CJK SC"/>
        <family val="2"/>
      </rPr>
      <t xml:space="preserve">ロバスト最適：規格側の予測限界（最大化なら下側限界）と規格の差が最大の条件。ばらつきを考慮した推奨条件。
点予測の最適：予測値そのものが最大（最小・目標値に最も近い）条件。境界に張り付きやすく、区間は広め。
両者が大きく違う場合、点予測の最適は『予測のばらつきが大きい場所』にある。原則ロバスト最適を採用。
判定用下限・上限：最大化・最小化は片側、目標値は両側の予測限界（</t>
    </r>
    <r>
      <rPr>
        <sz val="10"/>
        <rFont val="Meiryo UI"/>
        <family val="0"/>
        <charset val="1"/>
      </rPr>
      <t xml:space="preserve">04</t>
    </r>
    <r>
      <rPr>
        <sz val="10"/>
        <rFont val="Noto Sans CJK SC"/>
        <family val="2"/>
      </rPr>
      <t xml:space="preserve">の</t>
    </r>
    <r>
      <rPr>
        <sz val="10"/>
        <rFont val="Meiryo UI"/>
        <family val="0"/>
        <charset val="1"/>
      </rPr>
      <t xml:space="preserve">t</t>
    </r>
    <r>
      <rPr>
        <sz val="10"/>
        <rFont val="Noto Sans CJK SC"/>
        <family val="2"/>
      </rPr>
      <t xml:space="preserve">値を使用）。
</t>
    </r>
    <r>
      <rPr>
        <sz val="10"/>
        <rFont val="Meiryo UI"/>
        <family val="0"/>
        <charset val="1"/>
      </rPr>
      <t xml:space="preserve">×</t>
    </r>
    <r>
      <rPr>
        <sz val="10"/>
        <rFont val="Noto Sans CJK SC"/>
        <family val="2"/>
      </rPr>
      <t xml:space="preserve">の場合：規格が厳しすぎる／因子範囲が不適切／モデル誤差が大きい。範囲を移して追加実験、</t>
    </r>
    <r>
      <rPr>
        <sz val="10"/>
        <rFont val="Meiryo UI"/>
        <family val="0"/>
        <charset val="1"/>
      </rPr>
      <t xml:space="preserve">s</t>
    </r>
    <r>
      <rPr>
        <sz val="10"/>
        <rFont val="Noto Sans CJK SC"/>
        <family val="2"/>
      </rPr>
      <t xml:space="preserve">の低減を検討。</t>
    </r>
  </si>
  <si>
    <r>
      <rPr>
        <b val="true"/>
        <sz val="10"/>
        <rFont val="Noto Sans CJK SC"/>
        <family val="2"/>
      </rPr>
      <t xml:space="preserve">予測</t>
    </r>
    <r>
      <rPr>
        <b val="true"/>
        <sz val="10"/>
        <rFont val="Meiryo UI"/>
        <family val="0"/>
        <charset val="1"/>
      </rPr>
      <t xml:space="preserve">Y</t>
    </r>
  </si>
  <si>
    <t xml:space="preserve">判定用下限</t>
  </si>
  <si>
    <t xml:space="preserve">判定用上限</t>
  </si>
  <si>
    <t xml:space="preserve">規格への余裕</t>
  </si>
  <si>
    <r>
      <rPr>
        <b val="true"/>
        <sz val="10"/>
        <rFont val="Noto Sans CJK SC"/>
        <family val="2"/>
      </rPr>
      <t xml:space="preserve">ロバスト最適の上位</t>
    </r>
    <r>
      <rPr>
        <b val="true"/>
        <sz val="10"/>
        <rFont val="Meiryo UI"/>
        <family val="0"/>
        <charset val="1"/>
      </rPr>
      <t xml:space="preserve">5</t>
    </r>
    <r>
      <rPr>
        <b val="true"/>
        <sz val="10"/>
        <rFont val="Noto Sans CJK SC"/>
        <family val="2"/>
      </rPr>
      <t xml:space="preserve">候補（実値）</t>
    </r>
  </si>
  <si>
    <t xml:space="preserve">順位</t>
  </si>
  <si>
    <r>
      <rPr>
        <b val="true"/>
        <sz val="10"/>
        <color rgb="FFFFFFFF"/>
        <rFont val="Noto Sans CJK SC"/>
        <family val="2"/>
      </rPr>
      <t xml:space="preserve">予測</t>
    </r>
    <r>
      <rPr>
        <b val="true"/>
        <sz val="10"/>
        <color rgb="FFFFFFFF"/>
        <rFont val="Meiryo UI"/>
        <family val="0"/>
        <charset val="1"/>
      </rPr>
      <t xml:space="preserve">Y</t>
    </r>
  </si>
  <si>
    <t xml:space="preserve">余裕</t>
  </si>
  <si>
    <t xml:space="preserve">上位候補が近い値に集まっていれば最適点は安定。ばらばらなら平坦（尾根）で、工程窓を広く取れる可能性。</t>
  </si>
  <si>
    <r>
      <rPr>
        <b val="true"/>
        <sz val="10"/>
        <rFont val="Noto Sans CJK SC"/>
        <family val="2"/>
      </rPr>
      <t xml:space="preserve">（任意）</t>
    </r>
    <r>
      <rPr>
        <b val="true"/>
        <sz val="10"/>
        <rFont val="Meiryo UI"/>
        <family val="0"/>
        <charset val="1"/>
      </rPr>
      <t xml:space="preserve">Solver</t>
    </r>
    <r>
      <rPr>
        <b val="true"/>
        <sz val="10"/>
        <rFont val="Noto Sans CJK SC"/>
        <family val="2"/>
      </rPr>
      <t xml:space="preserve">で精密化</t>
    </r>
  </si>
  <si>
    <r>
      <rPr>
        <sz val="10"/>
        <rFont val="Noto Sans CJK SC"/>
        <family val="2"/>
      </rPr>
      <t xml:space="preserve">グリッドは</t>
    </r>
    <r>
      <rPr>
        <sz val="10"/>
        <rFont val="Meiryo UI"/>
        <family val="0"/>
        <charset val="1"/>
      </rPr>
      <t xml:space="preserve">0.050</t>
    </r>
    <r>
      <rPr>
        <sz val="10"/>
        <rFont val="Noto Sans CJK SC"/>
        <family val="2"/>
      </rPr>
      <t xml:space="preserve">刻み。細かく詰める場合は、下の黄色セルにロバスト最適のコード値を値貼り付け→データ→ソルバー：目的セル『余裕』を最大化、変数セルは黄色セル、制約は右の表示、解法『</t>
    </r>
    <r>
      <rPr>
        <sz val="10"/>
        <rFont val="Meiryo UI"/>
        <family val="0"/>
        <charset val="1"/>
      </rPr>
      <t xml:space="preserve">GRG</t>
    </r>
    <r>
      <rPr>
        <sz val="10"/>
        <rFont val="Noto Sans CJK SC"/>
        <family val="2"/>
      </rPr>
      <t xml:space="preserve">非線形』（マルチスタート推奨）。</t>
    </r>
  </si>
  <si>
    <t xml:space="preserve">q</t>
  </si>
  <si>
    <t xml:space="preserve">判定用下限／上限</t>
  </si>
  <si>
    <t xml:space="preserve">余裕（目的セル）</t>
  </si>
  <si>
    <r>
      <rPr>
        <b val="true"/>
        <sz val="14"/>
        <color rgb="FF1F3864"/>
        <rFont val="Meiryo UI"/>
        <family val="0"/>
        <charset val="1"/>
      </rPr>
      <t xml:space="preserve">08 </t>
    </r>
    <r>
      <rPr>
        <b val="true"/>
        <sz val="14"/>
        <color rgb="FF1F3864"/>
        <rFont val="Noto Sans CJK SC"/>
        <family val="2"/>
      </rPr>
      <t xml:space="preserve">工程窓（予測限界ベース）</t>
    </r>
  </si>
  <si>
    <r>
      <rPr>
        <sz val="9"/>
        <color rgb="FF595959"/>
        <rFont val="Meiryo UI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因子を軸にした断面で予測値と『規格への余裕』を表示。余裕≧</t>
    </r>
    <r>
      <rPr>
        <sz val="9"/>
        <color rgb="FF595959"/>
        <rFont val="Meiryo UI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（緑）が工程窓。</t>
    </r>
  </si>
  <si>
    <t xml:space="preserve">横軸の因子</t>
  </si>
  <si>
    <t xml:space="preserve">縦軸の因子</t>
  </si>
  <si>
    <t xml:space="preserve">固定因子の値</t>
  </si>
  <si>
    <t xml:space="preserve">ロバスト最適点</t>
  </si>
  <si>
    <r>
      <rPr>
        <b val="true"/>
        <sz val="10"/>
        <color rgb="FFFFFFFF"/>
        <rFont val="Noto Sans CJK SC"/>
        <family val="2"/>
      </rPr>
      <t xml:space="preserve">手入力</t>
    </r>
    <r>
      <rPr>
        <b val="true"/>
        <sz val="10"/>
        <color rgb="FFFFFFFF"/>
        <rFont val="Meiryo UI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コード</t>
    </r>
    <r>
      <rPr>
        <b val="true"/>
        <sz val="10"/>
        <color rgb="FFFFFFFF"/>
        <rFont val="Meiryo UI"/>
        <family val="0"/>
        <charset val="1"/>
      </rPr>
      <t xml:space="preserve">)</t>
    </r>
  </si>
  <si>
    <r>
      <rPr>
        <b val="true"/>
        <sz val="10"/>
        <color rgb="FFFFFFFF"/>
        <rFont val="Noto Sans CJK SC"/>
        <family val="2"/>
      </rPr>
      <t xml:space="preserve">使用する固定値</t>
    </r>
    <r>
      <rPr>
        <b val="true"/>
        <sz val="10"/>
        <color rgb="FFFFFFFF"/>
        <rFont val="Meiryo UI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コード</t>
    </r>
    <r>
      <rPr>
        <b val="true"/>
        <sz val="10"/>
        <color rgb="FFFFFFFF"/>
        <rFont val="Meiryo UI"/>
        <family val="0"/>
        <charset val="1"/>
      </rPr>
      <t xml:space="preserve">)</t>
    </r>
  </si>
  <si>
    <t xml:space="preserve">実値</t>
  </si>
  <si>
    <t xml:space="preserve">役割</t>
  </si>
  <si>
    <r>
      <rPr>
        <b val="true"/>
        <sz val="10"/>
        <rFont val="Noto Sans CJK SC"/>
        <family val="2"/>
      </rPr>
      <t xml:space="preserve">① 予測値 </t>
    </r>
    <r>
      <rPr>
        <b val="true"/>
        <sz val="10"/>
        <rFont val="Meiryo UI"/>
        <family val="0"/>
        <charset val="1"/>
      </rPr>
      <t xml:space="preserve">Ŷ</t>
    </r>
    <r>
      <rPr>
        <b val="true"/>
        <sz val="10"/>
        <rFont val="Noto Sans CJK SC"/>
        <family val="2"/>
      </rPr>
      <t xml:space="preserve">（点予測）</t>
    </r>
  </si>
  <si>
    <t xml:space="preserve">縦↓ 実値</t>
  </si>
  <si>
    <t xml:space="preserve">コード</t>
  </si>
  <si>
    <r>
      <rPr>
        <b val="true"/>
        <sz val="10"/>
        <rFont val="Noto Sans CJK SC"/>
        <family val="2"/>
      </rPr>
      <t xml:space="preserve">② 規格への余裕（予測限界ベース）　緑＝工程窓（余裕≧</t>
    </r>
    <r>
      <rPr>
        <b val="true"/>
        <sz val="10"/>
        <rFont val="Meiryo UI"/>
        <family val="0"/>
        <charset val="1"/>
      </rPr>
      <t xml:space="preserve">0</t>
    </r>
    <r>
      <rPr>
        <b val="true"/>
        <sz val="10"/>
        <rFont val="Noto Sans CJK SC"/>
        <family val="2"/>
      </rPr>
      <t xml:space="preserve">）／赤＝規格外のおそれ／外＝安全限界・領域外</t>
    </r>
  </si>
  <si>
    <r>
      <rPr>
        <b val="true"/>
        <sz val="10"/>
        <rFont val="Meiryo UI"/>
        <family val="0"/>
        <charset val="1"/>
      </rPr>
      <t xml:space="preserve">③ 1</t>
    </r>
    <r>
      <rPr>
        <b val="true"/>
        <sz val="10"/>
        <rFont val="Noto Sans CJK SC"/>
        <family val="2"/>
      </rPr>
      <t xml:space="preserve">因子ずつの工程窓（他の因子はロバスト最適点に固定、</t>
    </r>
    <r>
      <rPr>
        <b val="true"/>
        <sz val="10"/>
        <rFont val="Meiryo UI"/>
        <family val="0"/>
        <charset val="1"/>
      </rPr>
      <t xml:space="preserve">0.05</t>
    </r>
    <r>
      <rPr>
        <b val="true"/>
        <sz val="10"/>
        <rFont val="Noto Sans CJK SC"/>
        <family val="2"/>
      </rPr>
      <t xml:space="preserve">刻み）</t>
    </r>
  </si>
  <si>
    <r>
      <rPr>
        <b val="true"/>
        <sz val="10"/>
        <color rgb="FFFFFFFF"/>
        <rFont val="Noto Sans CJK SC"/>
        <family val="2"/>
      </rPr>
      <t xml:space="preserve">最適</t>
    </r>
    <r>
      <rPr>
        <b val="true"/>
        <sz val="10"/>
        <color rgb="FFFFFFFF"/>
        <rFont val="Meiryo UI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コード</t>
    </r>
    <r>
      <rPr>
        <b val="true"/>
        <sz val="10"/>
        <color rgb="FFFFFFFF"/>
        <rFont val="Meiryo UI"/>
        <family val="0"/>
        <charset val="1"/>
      </rPr>
      <t xml:space="preserve">)</t>
    </r>
  </si>
  <si>
    <r>
      <rPr>
        <b val="true"/>
        <sz val="10"/>
        <color rgb="FFFFFFFF"/>
        <rFont val="Noto Sans CJK SC"/>
        <family val="2"/>
      </rPr>
      <t xml:space="preserve">窓下限</t>
    </r>
    <r>
      <rPr>
        <b val="true"/>
        <sz val="10"/>
        <color rgb="FFFFFFFF"/>
        <rFont val="Meiryo UI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コード</t>
    </r>
    <r>
      <rPr>
        <b val="true"/>
        <sz val="10"/>
        <color rgb="FFFFFFFF"/>
        <rFont val="Meiryo UI"/>
        <family val="0"/>
        <charset val="1"/>
      </rPr>
      <t xml:space="preserve">)</t>
    </r>
  </si>
  <si>
    <r>
      <rPr>
        <b val="true"/>
        <sz val="10"/>
        <color rgb="FFFFFFFF"/>
        <rFont val="Noto Sans CJK SC"/>
        <family val="2"/>
      </rPr>
      <t xml:space="preserve">窓上限</t>
    </r>
    <r>
      <rPr>
        <b val="true"/>
        <sz val="10"/>
        <color rgb="FFFFFFFF"/>
        <rFont val="Meiryo UI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コード</t>
    </r>
    <r>
      <rPr>
        <b val="true"/>
        <sz val="10"/>
        <color rgb="FFFFFFFF"/>
        <rFont val="Meiryo UI"/>
        <family val="0"/>
        <charset val="1"/>
      </rPr>
      <t xml:space="preserve">)</t>
    </r>
  </si>
  <si>
    <r>
      <rPr>
        <b val="true"/>
        <sz val="10"/>
        <color rgb="FFFFFFFF"/>
        <rFont val="Noto Sans CJK SC"/>
        <family val="2"/>
      </rPr>
      <t xml:space="preserve">窓下限</t>
    </r>
    <r>
      <rPr>
        <b val="true"/>
        <sz val="10"/>
        <color rgb="FFFFFFFF"/>
        <rFont val="Meiryo UI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実値</t>
    </r>
    <r>
      <rPr>
        <b val="true"/>
        <sz val="10"/>
        <color rgb="FFFFFFFF"/>
        <rFont val="Meiryo UI"/>
        <family val="0"/>
        <charset val="1"/>
      </rPr>
      <t xml:space="preserve">)</t>
    </r>
  </si>
  <si>
    <r>
      <rPr>
        <b val="true"/>
        <sz val="10"/>
        <color rgb="FFFFFFFF"/>
        <rFont val="Noto Sans CJK SC"/>
        <family val="2"/>
      </rPr>
      <t xml:space="preserve">窓上限</t>
    </r>
    <r>
      <rPr>
        <b val="true"/>
        <sz val="10"/>
        <color rgb="FFFFFFFF"/>
        <rFont val="Meiryo UI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実値</t>
    </r>
    <r>
      <rPr>
        <b val="true"/>
        <sz val="10"/>
        <color rgb="FFFFFFFF"/>
        <rFont val="Meiryo UI"/>
        <family val="0"/>
        <charset val="1"/>
      </rPr>
      <t xml:space="preserve">)</t>
    </r>
  </si>
  <si>
    <r>
      <rPr>
        <b val="true"/>
        <sz val="10"/>
        <color rgb="FFC00000"/>
        <rFont val="Noto Sans CJK SC"/>
        <family val="2"/>
      </rPr>
      <t xml:space="preserve">注意：③は</t>
    </r>
    <r>
      <rPr>
        <b val="true"/>
        <sz val="10"/>
        <color rgb="FFC00000"/>
        <rFont val="Meiryo UI"/>
        <family val="0"/>
        <charset val="1"/>
      </rPr>
      <t xml:space="preserve">1</t>
    </r>
    <r>
      <rPr>
        <b val="true"/>
        <sz val="10"/>
        <color rgb="FFC00000"/>
        <rFont val="Noto Sans CJK SC"/>
        <family val="2"/>
      </rPr>
      <t xml:space="preserve">因子だけを動かした範囲なので楽観的。複数因子が同時にずれると外れることがある → ④で必ず組合せ確認。</t>
    </r>
  </si>
  <si>
    <r>
      <rPr>
        <b val="true"/>
        <sz val="10"/>
        <rFont val="Noto Sans CJK SC"/>
        <family val="2"/>
      </rPr>
      <t xml:space="preserve">④ 提案工程窓の組合せチェック（各因子の下限・中央・上限の全組合せ </t>
    </r>
    <r>
      <rPr>
        <b val="true"/>
        <sz val="10"/>
        <rFont val="Meiryo UI"/>
        <family val="0"/>
        <charset val="1"/>
      </rPr>
      <t xml:space="preserve">3^2=9</t>
    </r>
    <r>
      <rPr>
        <b val="true"/>
        <sz val="10"/>
        <rFont val="Noto Sans CJK SC"/>
        <family val="2"/>
      </rPr>
      <t xml:space="preserve">点を評価）</t>
    </r>
  </si>
  <si>
    <r>
      <rPr>
        <sz val="10"/>
        <rFont val="Noto Sans CJK SC"/>
        <family val="2"/>
      </rPr>
      <t xml:space="preserve">初期値は③の窓にリンク。実際に運用したい範囲（例：炉温</t>
    </r>
    <r>
      <rPr>
        <sz val="10"/>
        <rFont val="Meiryo UI"/>
        <family val="0"/>
        <charset val="1"/>
      </rPr>
      <t xml:space="preserve">65</t>
    </r>
    <r>
      <rPr>
        <sz val="10"/>
        <rFont val="Noto Sans CJK SC"/>
        <family val="2"/>
      </rPr>
      <t xml:space="preserve">〜</t>
    </r>
    <r>
      <rPr>
        <sz val="10"/>
        <rFont val="Meiryo UI"/>
        <family val="0"/>
        <charset val="1"/>
      </rPr>
      <t xml:space="preserve">70℃</t>
    </r>
    <r>
      <rPr>
        <sz val="10"/>
        <rFont val="Noto Sans CJK SC"/>
        <family val="2"/>
      </rPr>
      <t xml:space="preserve">）を数値で上書きして確認します。</t>
    </r>
  </si>
  <si>
    <t xml:space="preserve">評価点数</t>
  </si>
  <si>
    <t xml:space="preserve">安全限界・領域外の点</t>
  </si>
  <si>
    <t xml:space="preserve">規格外のおそれがある点</t>
  </si>
  <si>
    <t xml:space="preserve">最小の余裕</t>
  </si>
  <si>
    <t xml:space="preserve">最悪の組合せ（実値）</t>
  </si>
  <si>
    <r>
      <rPr>
        <b val="true"/>
        <sz val="14"/>
        <color rgb="FF1F3864"/>
        <rFont val="Meiryo UI"/>
        <family val="0"/>
        <charset val="1"/>
      </rPr>
      <t xml:space="preserve">09 </t>
    </r>
    <r>
      <rPr>
        <b val="true"/>
        <sz val="14"/>
        <color rgb="FF1F3864"/>
        <rFont val="Noto Sans CJK SC"/>
        <family val="2"/>
      </rPr>
      <t xml:space="preserve">確認実験（予測 </t>
    </r>
    <r>
      <rPr>
        <b val="true"/>
        <sz val="14"/>
        <color rgb="FF1F3864"/>
        <rFont val="Meiryo UI"/>
        <family val="0"/>
        <charset val="1"/>
      </rPr>
      <t xml:space="preserve">vs </t>
    </r>
    <r>
      <rPr>
        <b val="true"/>
        <sz val="14"/>
        <color rgb="FF1F3864"/>
        <rFont val="Noto Sans CJK SC"/>
        <family val="2"/>
      </rPr>
      <t xml:space="preserve">実測）</t>
    </r>
  </si>
  <si>
    <r>
      <rPr>
        <sz val="9"/>
        <color rgb="FF595959"/>
        <rFont val="Noto Sans CJK SC"/>
        <family val="2"/>
      </rPr>
      <t xml:space="preserve">推奨条件で確認実験を行い、実測値が両側予測区間に入るかを確認。</t>
    </r>
    <r>
      <rPr>
        <sz val="9"/>
        <color rgb="FF595959"/>
        <rFont val="Meiryo UI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行目はロバスト最適にリンク済み（上書き可）。</t>
    </r>
  </si>
  <si>
    <r>
      <rPr>
        <b val="true"/>
        <sz val="10"/>
        <color rgb="FFFFFFFF"/>
        <rFont val="Noto Sans CJK SC"/>
        <family val="2"/>
      </rPr>
      <t xml:space="preserve">予測区間下限</t>
    </r>
    <r>
      <rPr>
        <b val="true"/>
        <sz val="10"/>
        <color rgb="FFFFFFFF"/>
        <rFont val="Meiryo UI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両側</t>
    </r>
    <r>
      <rPr>
        <b val="true"/>
        <sz val="10"/>
        <color rgb="FFFFFFFF"/>
        <rFont val="Meiryo UI"/>
        <family val="0"/>
        <charset val="1"/>
      </rPr>
      <t xml:space="preserve">)</t>
    </r>
  </si>
  <si>
    <r>
      <rPr>
        <b val="true"/>
        <sz val="10"/>
        <color rgb="FFFFFFFF"/>
        <rFont val="Noto Sans CJK SC"/>
        <family val="2"/>
      </rPr>
      <t xml:space="preserve">予測区間上限</t>
    </r>
    <r>
      <rPr>
        <b val="true"/>
        <sz val="10"/>
        <color rgb="FFFFFFFF"/>
        <rFont val="Meiryo UI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両側</t>
    </r>
    <r>
      <rPr>
        <b val="true"/>
        <sz val="10"/>
        <color rgb="FFFFFFFF"/>
        <rFont val="Meiryo UI"/>
        <family val="0"/>
        <charset val="1"/>
      </rPr>
      <t xml:space="preserve">)</t>
    </r>
  </si>
  <si>
    <t xml:space="preserve">モデル判定</t>
  </si>
  <si>
    <t xml:space="preserve">規格判定</t>
  </si>
  <si>
    <t xml:space="preserve">X1c</t>
  </si>
  <si>
    <t xml:space="preserve">X2c</t>
  </si>
  <si>
    <r>
      <rPr>
        <sz val="10"/>
        <rFont val="Noto Sans CJK SC"/>
        <family val="2"/>
      </rPr>
      <t xml:space="preserve">確認実験は同条件で</t>
    </r>
    <r>
      <rPr>
        <sz val="10"/>
        <rFont val="Meiryo UI"/>
        <family val="0"/>
        <charset val="1"/>
      </rPr>
      <t xml:space="preserve">3</t>
    </r>
    <r>
      <rPr>
        <sz val="10"/>
        <rFont val="Noto Sans CJK SC"/>
        <family val="2"/>
      </rPr>
      <t xml:space="preserve">回以上を推奨。平均が予測区間の中にあり、個々も区間内ならモデルを採用。外れたら</t>
    </r>
    <r>
      <rPr>
        <sz val="10"/>
        <rFont val="Meiryo UI"/>
        <family val="0"/>
        <charset val="1"/>
      </rPr>
      <t xml:space="preserve">02</t>
    </r>
    <r>
      <rPr>
        <sz val="10"/>
        <rFont val="Noto Sans CJK SC"/>
        <family val="2"/>
      </rPr>
      <t xml:space="preserve">〜</t>
    </r>
    <r>
      <rPr>
        <sz val="10"/>
        <rFont val="Meiryo UI"/>
        <family val="0"/>
        <charset val="1"/>
      </rPr>
      <t xml:space="preserve">04</t>
    </r>
    <r>
      <rPr>
        <sz val="10"/>
        <rFont val="Noto Sans CJK SC"/>
        <family val="2"/>
      </rPr>
      <t xml:space="preserve">へ戻る。</t>
    </r>
  </si>
  <si>
    <t xml:space="preserve">計算用：モデル行列・正規方程式（編集不要）</t>
  </si>
  <si>
    <t xml:space="preserve">使用項→</t>
  </si>
  <si>
    <t xml:space="preserve">Y</t>
  </si>
  <si>
    <r>
      <rPr>
        <b val="true"/>
        <sz val="10"/>
        <rFont val="Meiryo UI"/>
        <family val="0"/>
        <charset val="1"/>
      </rPr>
      <t xml:space="preserve">X'X</t>
    </r>
    <r>
      <rPr>
        <b val="true"/>
        <sz val="10"/>
        <rFont val="Noto Sans CJK SC"/>
        <family val="2"/>
      </rPr>
      <t xml:space="preserve">（除外項は単位行列扱い）</t>
    </r>
  </si>
  <si>
    <t xml:space="preserve">X'y</t>
  </si>
  <si>
    <t xml:space="preserve">(X'X)^-1</t>
  </si>
  <si>
    <r>
      <rPr>
        <b val="true"/>
        <sz val="10"/>
        <rFont val="Noto Sans CJK SC"/>
        <family val="2"/>
      </rPr>
      <t xml:space="preserve">係数</t>
    </r>
    <r>
      <rPr>
        <b val="true"/>
        <sz val="10"/>
        <rFont val="Meiryo UI"/>
        <family val="0"/>
        <charset val="1"/>
      </rPr>
      <t xml:space="preserve">b</t>
    </r>
  </si>
  <si>
    <r>
      <rPr>
        <b val="true"/>
        <sz val="10"/>
        <rFont val="Meiryo UI"/>
        <family val="0"/>
        <charset val="1"/>
      </rPr>
      <t xml:space="preserve">C</t>
    </r>
    <r>
      <rPr>
        <b val="true"/>
        <sz val="10"/>
        <rFont val="Noto Sans CJK SC"/>
        <family val="2"/>
      </rPr>
      <t xml:space="preserve">（使用項のみの</t>
    </r>
    <r>
      <rPr>
        <b val="true"/>
        <sz val="10"/>
        <rFont val="Meiryo UI"/>
        <family val="0"/>
        <charset val="1"/>
      </rPr>
      <t xml:space="preserve">(X'X)^-1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</si>
  <si>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係数</t>
    </r>
    <r>
      <rPr>
        <b val="true"/>
        <sz val="10"/>
        <rFont val="Meiryo UI"/>
        <family val="0"/>
        <charset val="1"/>
      </rPr>
      <t xml:space="preserve">b</t>
    </r>
    <r>
      <rPr>
        <b val="true"/>
        <sz val="10"/>
        <rFont val="Noto Sans CJK SC"/>
        <family val="2"/>
      </rPr>
      <t xml:space="preserve">（横並び）</t>
    </r>
  </si>
  <si>
    <r>
      <rPr>
        <b val="true"/>
        <sz val="14"/>
        <color rgb="FF1F3864"/>
        <rFont val="Noto Sans CJK SC"/>
        <family val="2"/>
      </rPr>
      <t xml:space="preserve">計算用：</t>
    </r>
    <r>
      <rPr>
        <b val="true"/>
        <sz val="14"/>
        <color rgb="FF1F3864"/>
        <rFont val="Meiryo UI"/>
        <family val="0"/>
        <charset val="1"/>
      </rPr>
      <t xml:space="preserve">2</t>
    </r>
    <r>
      <rPr>
        <b val="true"/>
        <sz val="14"/>
        <color rgb="FF1F3864"/>
        <rFont val="Noto Sans CJK SC"/>
        <family val="2"/>
      </rPr>
      <t xml:space="preserve">次元グリッド探索（各因子 </t>
    </r>
    <r>
      <rPr>
        <b val="true"/>
        <sz val="14"/>
        <color rgb="FF1F3864"/>
        <rFont val="Meiryo UI"/>
        <family val="0"/>
        <charset val="1"/>
      </rPr>
      <t xml:space="preserve">-1</t>
    </r>
    <r>
      <rPr>
        <b val="true"/>
        <sz val="14"/>
        <color rgb="FF1F3864"/>
        <rFont val="Noto Sans CJK SC"/>
        <family val="2"/>
      </rPr>
      <t xml:space="preserve">〜</t>
    </r>
    <r>
      <rPr>
        <b val="true"/>
        <sz val="14"/>
        <color rgb="FF1F3864"/>
        <rFont val="Meiryo UI"/>
        <family val="0"/>
        <charset val="1"/>
      </rPr>
      <t xml:space="preserve">+1 </t>
    </r>
    <r>
      <rPr>
        <b val="true"/>
        <sz val="14"/>
        <color rgb="FF1F3864"/>
        <rFont val="Noto Sans CJK SC"/>
        <family val="2"/>
      </rPr>
      <t xml:space="preserve">を</t>
    </r>
    <r>
      <rPr>
        <b val="true"/>
        <sz val="14"/>
        <color rgb="FF1F3864"/>
        <rFont val="Meiryo UI"/>
        <family val="0"/>
        <charset val="1"/>
      </rPr>
      <t xml:space="preserve">0.050</t>
    </r>
    <r>
      <rPr>
        <b val="true"/>
        <sz val="14"/>
        <color rgb="FF1F3864"/>
        <rFont val="Noto Sans CJK SC"/>
        <family val="2"/>
      </rPr>
      <t xml:space="preserve">刻み、</t>
    </r>
    <r>
      <rPr>
        <b val="true"/>
        <sz val="14"/>
        <color rgb="FF1F3864"/>
        <rFont val="Meiryo UI"/>
        <family val="0"/>
        <charset val="1"/>
      </rPr>
      <t xml:space="preserve">41^2=1681</t>
    </r>
    <r>
      <rPr>
        <b val="true"/>
        <sz val="14"/>
        <color rgb="FF1F3864"/>
        <rFont val="Noto Sans CJK SC"/>
        <family val="2"/>
      </rPr>
      <t xml:space="preserve">点）</t>
    </r>
  </si>
  <si>
    <t xml:space="preserve">i1</t>
  </si>
  <si>
    <t xml:space="preserve">i2</t>
  </si>
  <si>
    <t xml:space="preserve">有効</t>
  </si>
  <si>
    <t xml:space="preserve">点予測スコア</t>
  </si>
  <si>
    <r>
      <rPr>
        <b val="true"/>
        <sz val="10"/>
        <color rgb="FFFFFFFF"/>
        <rFont val="Noto Sans CJK SC"/>
        <family val="2"/>
      </rPr>
      <t xml:space="preserve">順位用</t>
    </r>
    <r>
      <rPr>
        <b val="true"/>
        <sz val="10"/>
        <color rgb="FFFFFFFF"/>
        <rFont val="Meiryo UI"/>
        <family val="0"/>
        <charset val="1"/>
      </rPr>
      <t xml:space="preserve">1</t>
    </r>
  </si>
  <si>
    <r>
      <rPr>
        <b val="true"/>
        <sz val="10"/>
        <color rgb="FFFFFFFF"/>
        <rFont val="Noto Sans CJK SC"/>
        <family val="2"/>
      </rPr>
      <t xml:space="preserve">順位用</t>
    </r>
    <r>
      <rPr>
        <b val="true"/>
        <sz val="10"/>
        <color rgb="FFFFFFFF"/>
        <rFont val="Meiryo UI"/>
        <family val="0"/>
        <charset val="1"/>
      </rPr>
      <t xml:space="preserve">2</t>
    </r>
  </si>
  <si>
    <r>
      <rPr>
        <b val="true"/>
        <sz val="14"/>
        <color rgb="FF1F3864"/>
        <rFont val="Noto Sans CJK SC"/>
        <family val="2"/>
      </rPr>
      <t xml:space="preserve">計算用：</t>
    </r>
    <r>
      <rPr>
        <b val="true"/>
        <sz val="14"/>
        <color rgb="FF1F3864"/>
        <rFont val="Meiryo UI"/>
        <family val="0"/>
        <charset val="1"/>
      </rPr>
      <t xml:space="preserve">Jacobi</t>
    </r>
    <r>
      <rPr>
        <b val="true"/>
        <sz val="14"/>
        <color rgb="FF1F3864"/>
        <rFont val="Noto Sans CJK SC"/>
        <family val="2"/>
      </rPr>
      <t xml:space="preserve">法による固有値（編集不要）</t>
    </r>
  </si>
  <si>
    <r>
      <rPr>
        <b val="true"/>
        <sz val="10"/>
        <rFont val="Noto Sans CJK SC"/>
        <family val="2"/>
      </rPr>
      <t xml:space="preserve">回転</t>
    </r>
    <r>
      <rPr>
        <b val="true"/>
        <sz val="10"/>
        <rFont val="Meiryo UI"/>
        <family val="0"/>
        <charset val="1"/>
      </rPr>
      <t xml:space="preserve">1 (1,2)</t>
    </r>
  </si>
  <si>
    <r>
      <rPr>
        <b val="true"/>
        <sz val="10"/>
        <rFont val="Noto Sans CJK SC"/>
        <family val="2"/>
      </rPr>
      <t xml:space="preserve">回転</t>
    </r>
    <r>
      <rPr>
        <b val="true"/>
        <sz val="10"/>
        <rFont val="Meiryo UI"/>
        <family val="0"/>
        <charset val="1"/>
      </rPr>
      <t xml:space="preserve">2 (1,2)</t>
    </r>
  </si>
  <si>
    <r>
      <rPr>
        <b val="true"/>
        <sz val="10"/>
        <rFont val="Noto Sans CJK SC"/>
        <family val="2"/>
      </rPr>
      <t xml:space="preserve">回転</t>
    </r>
    <r>
      <rPr>
        <b val="true"/>
        <sz val="10"/>
        <rFont val="Meiryo UI"/>
        <family val="0"/>
        <charset val="1"/>
      </rPr>
      <t xml:space="preserve">3 (1,2)</t>
    </r>
  </si>
  <si>
    <r>
      <rPr>
        <b val="true"/>
        <sz val="10"/>
        <rFont val="Noto Sans CJK SC"/>
        <family val="2"/>
      </rPr>
      <t xml:space="preserve">回転</t>
    </r>
    <r>
      <rPr>
        <b val="true"/>
        <sz val="10"/>
        <rFont val="Meiryo UI"/>
        <family val="0"/>
        <charset val="1"/>
      </rPr>
      <t xml:space="preserve">4 (1,2)</t>
    </r>
  </si>
  <si>
    <r>
      <rPr>
        <b val="true"/>
        <sz val="10"/>
        <rFont val="Noto Sans CJK SC"/>
        <family val="2"/>
      </rPr>
      <t xml:space="preserve">回転</t>
    </r>
    <r>
      <rPr>
        <b val="true"/>
        <sz val="10"/>
        <rFont val="Meiryo UI"/>
        <family val="0"/>
        <charset val="1"/>
      </rPr>
      <t xml:space="preserve">5 (1,2)</t>
    </r>
  </si>
  <si>
    <r>
      <rPr>
        <b val="true"/>
        <sz val="10"/>
        <rFont val="Noto Sans CJK SC"/>
        <family val="2"/>
      </rPr>
      <t xml:space="preserve">回転</t>
    </r>
    <r>
      <rPr>
        <b val="true"/>
        <sz val="10"/>
        <rFont val="Meiryo UI"/>
        <family val="0"/>
        <charset val="1"/>
      </rPr>
      <t xml:space="preserve">6 (1,2)</t>
    </r>
  </si>
  <si>
    <r>
      <rPr>
        <b val="true"/>
        <sz val="10"/>
        <rFont val="Noto Sans CJK SC"/>
        <family val="2"/>
      </rPr>
      <t xml:space="preserve">回転</t>
    </r>
    <r>
      <rPr>
        <b val="true"/>
        <sz val="10"/>
        <rFont val="Meiryo UI"/>
        <family val="0"/>
        <charset val="1"/>
      </rPr>
      <t xml:space="preserve">7 (1,2)</t>
    </r>
  </si>
  <si>
    <r>
      <rPr>
        <b val="true"/>
        <sz val="10"/>
        <rFont val="Noto Sans CJK SC"/>
        <family val="2"/>
      </rPr>
      <t xml:space="preserve">回転</t>
    </r>
    <r>
      <rPr>
        <b val="true"/>
        <sz val="10"/>
        <rFont val="Meiryo UI"/>
        <family val="0"/>
        <charset val="1"/>
      </rPr>
      <t xml:space="preserve">8 (1,2)</t>
    </r>
  </si>
  <si>
    <r>
      <rPr>
        <b val="true"/>
        <sz val="14"/>
        <color rgb="FF1F3864"/>
        <rFont val="Noto Sans CJK SC"/>
        <family val="2"/>
      </rPr>
      <t xml:space="preserve">計算用：</t>
    </r>
    <r>
      <rPr>
        <b val="true"/>
        <sz val="14"/>
        <color rgb="FF1F3864"/>
        <rFont val="Meiryo UI"/>
        <family val="0"/>
        <charset val="1"/>
      </rPr>
      <t xml:space="preserve">2</t>
    </r>
    <r>
      <rPr>
        <b val="true"/>
        <sz val="14"/>
        <color rgb="FF1F3864"/>
        <rFont val="Noto Sans CJK SC"/>
        <family val="2"/>
      </rPr>
      <t xml:space="preserve">因子断面の多項式展開（編集不要）</t>
    </r>
  </si>
  <si>
    <r>
      <rPr>
        <b val="true"/>
        <sz val="10"/>
        <color rgb="FFFFFFFF"/>
        <rFont val="Noto Sans CJK SC"/>
        <family val="2"/>
      </rPr>
      <t xml:space="preserve">定数</t>
    </r>
    <r>
      <rPr>
        <b val="true"/>
        <sz val="10"/>
        <color rgb="FFFFFFFF"/>
        <rFont val="Meiryo UI"/>
        <family val="0"/>
        <charset val="1"/>
      </rPr>
      <t xml:space="preserve">c</t>
    </r>
  </si>
  <si>
    <r>
      <rPr>
        <b val="true"/>
        <sz val="10"/>
        <color rgb="FFFFFFFF"/>
        <rFont val="Meiryo UI"/>
        <family val="0"/>
        <charset val="1"/>
      </rPr>
      <t xml:space="preserve">α(</t>
    </r>
    <r>
      <rPr>
        <b val="true"/>
        <sz val="10"/>
        <color rgb="FFFFFFFF"/>
        <rFont val="Noto Sans CJK SC"/>
        <family val="2"/>
      </rPr>
      <t xml:space="preserve">横</t>
    </r>
    <r>
      <rPr>
        <b val="true"/>
        <sz val="10"/>
        <color rgb="FFFFFFFF"/>
        <rFont val="Meiryo UI"/>
        <family val="0"/>
        <charset val="1"/>
      </rPr>
      <t xml:space="preserve">)</t>
    </r>
  </si>
  <si>
    <r>
      <rPr>
        <b val="true"/>
        <sz val="10"/>
        <color rgb="FFFFFFFF"/>
        <rFont val="Meiryo UI"/>
        <family val="0"/>
        <charset val="1"/>
      </rPr>
      <t xml:space="preserve">β(</t>
    </r>
    <r>
      <rPr>
        <b val="true"/>
        <sz val="10"/>
        <color rgb="FFFFFFFF"/>
        <rFont val="Noto Sans CJK SC"/>
        <family val="2"/>
      </rPr>
      <t xml:space="preserve">縦</t>
    </r>
    <r>
      <rPr>
        <b val="true"/>
        <sz val="10"/>
        <color rgb="FFFFFFFF"/>
        <rFont val="Meiryo UI"/>
        <family val="0"/>
        <charset val="1"/>
      </rPr>
      <t xml:space="preserve">)</t>
    </r>
  </si>
  <si>
    <r>
      <rPr>
        <b val="true"/>
        <sz val="10"/>
        <color rgb="FFFFFFFF"/>
        <rFont val="Noto Sans CJK SC"/>
        <family val="2"/>
      </rPr>
      <t xml:space="preserve">固定値</t>
    </r>
    <r>
      <rPr>
        <b val="true"/>
        <sz val="10"/>
        <color rgb="FFFFFFFF"/>
        <rFont val="Meiryo UI"/>
        <family val="0"/>
        <charset val="1"/>
      </rPr>
      <t xml:space="preserve">OK</t>
    </r>
  </si>
  <si>
    <r>
      <rPr>
        <sz val="10"/>
        <rFont val="Noto Sans CJK SC"/>
        <family val="2"/>
      </rPr>
      <t xml:space="preserve">固定値すべて</t>
    </r>
    <r>
      <rPr>
        <sz val="10"/>
        <rFont val="Meiryo UI"/>
        <family val="0"/>
        <charset val="1"/>
      </rPr>
      <t xml:space="preserve">OK</t>
    </r>
  </si>
  <si>
    <r>
      <rPr>
        <sz val="10"/>
        <rFont val="Noto Sans CJK SC"/>
        <family val="2"/>
      </rPr>
      <t xml:space="preserve">横軸 安全下限</t>
    </r>
    <r>
      <rPr>
        <sz val="10"/>
        <rFont val="Meiryo UI"/>
        <family val="0"/>
        <charset val="1"/>
      </rPr>
      <t xml:space="preserve">/</t>
    </r>
    <r>
      <rPr>
        <sz val="10"/>
        <rFont val="Noto Sans CJK SC"/>
        <family val="2"/>
      </rPr>
      <t xml:space="preserve">上限</t>
    </r>
  </si>
  <si>
    <r>
      <rPr>
        <sz val="10"/>
        <rFont val="Noto Sans CJK SC"/>
        <family val="2"/>
      </rPr>
      <t xml:space="preserve">縦軸 安全下限</t>
    </r>
    <r>
      <rPr>
        <sz val="10"/>
        <rFont val="Meiryo UI"/>
        <family val="0"/>
        <charset val="1"/>
      </rPr>
      <t xml:space="preserve">/</t>
    </r>
    <r>
      <rPr>
        <sz val="10"/>
        <rFont val="Noto Sans CJK SC"/>
        <family val="2"/>
      </rPr>
      <t xml:space="preserve">上限</t>
    </r>
  </si>
  <si>
    <t xml:space="preserve">固定値の二乗和</t>
  </si>
  <si>
    <t xml:space="preserve">1</t>
  </si>
  <si>
    <t xml:space="preserve">a</t>
  </si>
  <si>
    <t xml:space="preserve">b</t>
  </si>
  <si>
    <t xml:space="preserve">ab</t>
  </si>
  <si>
    <t xml:space="preserve">a²</t>
  </si>
  <si>
    <t xml:space="preserve">b²</t>
  </si>
  <si>
    <r>
      <rPr>
        <b val="true"/>
        <sz val="10"/>
        <rFont val="Meiryo UI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転置</t>
    </r>
  </si>
  <si>
    <t xml:space="preserve">C·M</t>
  </si>
  <si>
    <t xml:space="preserve">G=M'CM</t>
  </si>
  <si>
    <t xml:space="preserve">h=M'b</t>
  </si>
  <si>
    <t xml:space="preserve">単項式</t>
  </si>
  <si>
    <r>
      <rPr>
        <b val="true"/>
        <sz val="10"/>
        <color rgb="FFFFFFFF"/>
        <rFont val="Meiryo UI"/>
        <family val="0"/>
        <charset val="1"/>
      </rPr>
      <t xml:space="preserve">a</t>
    </r>
    <r>
      <rPr>
        <b val="true"/>
        <sz val="10"/>
        <color rgb="FFFFFFFF"/>
        <rFont val="Noto Sans CJK SC"/>
        <family val="2"/>
      </rPr>
      <t xml:space="preserve">の次数</t>
    </r>
  </si>
  <si>
    <r>
      <rPr>
        <b val="true"/>
        <sz val="10"/>
        <color rgb="FFFFFFFF"/>
        <rFont val="Meiryo UI"/>
        <family val="0"/>
        <charset val="1"/>
      </rPr>
      <t xml:space="preserve">b</t>
    </r>
    <r>
      <rPr>
        <b val="true"/>
        <sz val="10"/>
        <color rgb="FFFFFFFF"/>
        <rFont val="Noto Sans CJK SC"/>
        <family val="2"/>
      </rPr>
      <t xml:space="preserve">の次数</t>
    </r>
  </si>
  <si>
    <t xml:space="preserve">a^0 b^0</t>
  </si>
  <si>
    <t xml:space="preserve">a^0 b^1</t>
  </si>
  <si>
    <t xml:space="preserve">a^0 b^2</t>
  </si>
  <si>
    <t xml:space="preserve">a^0 b^3</t>
  </si>
  <si>
    <t xml:space="preserve">a^0 b^4</t>
  </si>
  <si>
    <t xml:space="preserve">a^1 b^0</t>
  </si>
  <si>
    <t xml:space="preserve">a^1 b^1</t>
  </si>
  <si>
    <t xml:space="preserve">a^1 b^2</t>
  </si>
  <si>
    <t xml:space="preserve">a^1 b^3</t>
  </si>
  <si>
    <t xml:space="preserve">a^2 b^0</t>
  </si>
  <si>
    <t xml:space="preserve">a^2 b^1</t>
  </si>
  <si>
    <t xml:space="preserve">a^2 b^2</t>
  </si>
  <si>
    <t xml:space="preserve">a^3 b^0</t>
  </si>
  <si>
    <t xml:space="preserve">a^3 b^1</t>
  </si>
  <si>
    <t xml:space="preserve">a^4 b^0</t>
  </si>
  <si>
    <r>
      <rPr>
        <b val="true"/>
        <sz val="10"/>
        <rFont val="Noto Sans CJK SC"/>
        <family val="2"/>
      </rPr>
      <t xml:space="preserve">予測</t>
    </r>
    <r>
      <rPr>
        <b val="true"/>
        <sz val="10"/>
        <rFont val="Meiryo UI"/>
        <family val="0"/>
        <charset val="1"/>
      </rPr>
      <t xml:space="preserve">Y </t>
    </r>
    <r>
      <rPr>
        <b val="true"/>
        <sz val="10"/>
        <rFont val="Noto Sans CJK SC"/>
        <family val="2"/>
      </rPr>
      <t xml:space="preserve">格子（行</t>
    </r>
    <r>
      <rPr>
        <b val="true"/>
        <sz val="10"/>
        <rFont val="Meiryo UI"/>
        <family val="0"/>
        <charset val="1"/>
      </rPr>
      <t xml:space="preserve">=</t>
    </r>
    <r>
      <rPr>
        <b val="true"/>
        <sz val="10"/>
        <rFont val="Noto Sans CJK SC"/>
        <family val="2"/>
      </rPr>
      <t xml:space="preserve">縦軸</t>
    </r>
    <r>
      <rPr>
        <b val="true"/>
        <sz val="10"/>
        <rFont val="Meiryo UI"/>
        <family val="0"/>
        <charset val="1"/>
      </rPr>
      <t xml:space="preserve">b</t>
    </r>
    <r>
      <rPr>
        <b val="true"/>
        <sz val="10"/>
        <rFont val="Noto Sans CJK SC"/>
        <family val="2"/>
      </rPr>
      <t xml:space="preserve">、列</t>
    </r>
    <r>
      <rPr>
        <b val="true"/>
        <sz val="10"/>
        <rFont val="Meiryo UI"/>
        <family val="0"/>
        <charset val="1"/>
      </rPr>
      <t xml:space="preserve">=</t>
    </r>
    <r>
      <rPr>
        <b val="true"/>
        <sz val="10"/>
        <rFont val="Noto Sans CJK SC"/>
        <family val="2"/>
      </rPr>
      <t xml:space="preserve">横軸</t>
    </r>
    <r>
      <rPr>
        <b val="true"/>
        <sz val="10"/>
        <rFont val="Meiryo UI"/>
        <family val="0"/>
        <charset val="1"/>
      </rPr>
      <t xml:space="preserve">a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</si>
  <si>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Meiryo UI"/>
        <family val="0"/>
        <charset val="1"/>
      </rPr>
      <t xml:space="preserve">q </t>
    </r>
    <r>
      <rPr>
        <b val="true"/>
        <sz val="10"/>
        <rFont val="Noto Sans CJK SC"/>
        <family val="2"/>
      </rPr>
      <t xml:space="preserve">格子</t>
    </r>
  </si>
  <si>
    <r>
      <rPr>
        <b val="true"/>
        <sz val="14"/>
        <color rgb="FF1F3864"/>
        <rFont val="Noto Sans CJK SC"/>
        <family val="2"/>
      </rPr>
      <t xml:space="preserve">計算用：</t>
    </r>
    <r>
      <rPr>
        <b val="true"/>
        <sz val="14"/>
        <color rgb="FF1F3864"/>
        <rFont val="Meiryo UI"/>
        <family val="0"/>
        <charset val="1"/>
      </rPr>
      <t xml:space="preserve">1</t>
    </r>
    <r>
      <rPr>
        <b val="true"/>
        <sz val="14"/>
        <color rgb="FF1F3864"/>
        <rFont val="Noto Sans CJK SC"/>
        <family val="2"/>
      </rPr>
      <t xml:space="preserve">因子ずつの窓（他因子はロバスト最適に固定）と、提案窓の組合せチェック</t>
    </r>
  </si>
  <si>
    <t xml:space="preserve">t</t>
  </si>
  <si>
    <t xml:space="preserve">下限</t>
  </si>
  <si>
    <t xml:space="preserve">上限</t>
  </si>
  <si>
    <t xml:space="preserve">合格</t>
  </si>
  <si>
    <r>
      <rPr>
        <b val="true"/>
        <sz val="10"/>
        <color rgb="FFFFFFFF"/>
        <rFont val="Meiryo UI"/>
        <family val="0"/>
        <charset val="1"/>
      </rPr>
      <t xml:space="preserve">X1</t>
    </r>
    <r>
      <rPr>
        <b val="true"/>
        <sz val="10"/>
        <color rgb="FFFFFFFF"/>
        <rFont val="Noto Sans CJK SC"/>
        <family val="2"/>
      </rPr>
      <t xml:space="preserve">実</t>
    </r>
  </si>
  <si>
    <r>
      <rPr>
        <b val="true"/>
        <sz val="10"/>
        <color rgb="FFFFFFFF"/>
        <rFont val="Meiryo UI"/>
        <family val="0"/>
        <charset val="1"/>
      </rPr>
      <t xml:space="preserve">X2</t>
    </r>
    <r>
      <rPr>
        <b val="true"/>
        <sz val="10"/>
        <color rgb="FFFFFFFF"/>
        <rFont val="Noto Sans CJK SC"/>
        <family val="2"/>
      </rPr>
      <t xml:space="preserve">実</t>
    </r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</si>
</sst>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0.00"/>
    <numFmt numFmtId="166" formatCode="0.000"/>
    <numFmt numFmtId="167" formatCode="0.0"/>
    <numFmt numFmtId="168" formatCode="0%"/>
    <numFmt numFmtId="169" formatCode="General"/>
    <numFmt numFmtId="170" formatCode="0.000;\-0.000;0"/>
    <numFmt numFmtId="171" formatCode="0.000000"/>
    <numFmt numFmtId="172" formatCode="0.0000"/>
    <numFmt numFmtId="173" formatCode="0"/>
    <numFmt numFmtId="174" formatCode="0.00000"/>
  </numFmts>
  <fonts count="2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Noto Sans CJK SC"/>
      <family val="2"/>
    </font>
    <font>
      <b val="true"/>
      <sz val="14"/>
      <color rgb="FF1F3864"/>
      <name val="Meiryo UI"/>
      <family val="0"/>
      <charset val="1"/>
    </font>
    <font>
      <sz val="9"/>
      <color rgb="FF595959"/>
      <name val="Noto Sans CJK SC"/>
      <family val="2"/>
    </font>
    <font>
      <sz val="9"/>
      <color rgb="FF595959"/>
      <name val="Meiryo UI"/>
      <family val="0"/>
      <charset val="1"/>
    </font>
    <font>
      <b val="true"/>
      <sz val="10"/>
      <color rgb="FFFFFFFF"/>
      <name val="Noto Sans CJK SC"/>
      <family val="2"/>
    </font>
    <font>
      <b val="true"/>
      <sz val="10"/>
      <name val="Meiryo UI"/>
      <family val="0"/>
      <charset val="1"/>
    </font>
    <font>
      <sz val="10"/>
      <name val="Meiryo UI"/>
      <family val="0"/>
      <charset val="1"/>
    </font>
    <font>
      <sz val="10"/>
      <name val="Noto Sans CJK SC"/>
      <family val="2"/>
    </font>
    <font>
      <b val="true"/>
      <sz val="10"/>
      <name val="Noto Sans CJK SC"/>
      <family val="2"/>
    </font>
    <font>
      <b val="true"/>
      <sz val="10"/>
      <color rgb="FFFFFFFF"/>
      <name val="Meiryo UI"/>
      <family val="0"/>
      <charset val="1"/>
    </font>
    <font>
      <sz val="10"/>
      <color rgb="FF0000FF"/>
      <name val="Noto Sans CJK SC"/>
      <family val="2"/>
    </font>
    <font>
      <sz val="10"/>
      <color rgb="FF0000FF"/>
      <name val="Meiryo UI"/>
      <family val="0"/>
      <charset val="1"/>
    </font>
    <font>
      <b val="true"/>
      <sz val="18"/>
      <color rgb="FF000000"/>
      <name val="Noto Sans CJK SC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Noto Sans CJK SC"/>
      <family val="2"/>
    </font>
    <font>
      <b val="true"/>
      <sz val="10"/>
      <color rgb="FFC00000"/>
      <name val="Meiryo UI"/>
      <family val="0"/>
      <charset val="1"/>
    </font>
    <font>
      <b val="true"/>
      <sz val="8"/>
      <color rgb="FFFFFFFF"/>
      <name val="Noto Sans CJK SC"/>
      <family val="2"/>
    </font>
    <font>
      <b val="true"/>
      <sz val="8"/>
      <color rgb="FFFFFFFF"/>
      <name val="Meiryo UI"/>
      <family val="0"/>
      <charset val="1"/>
    </font>
    <font>
      <sz val="8"/>
      <name val="Meiryo UI"/>
      <family val="0"/>
      <charset val="1"/>
    </font>
    <font>
      <b val="true"/>
      <sz val="10"/>
      <color rgb="FFC00000"/>
      <name val="Noto Sans CJK SC"/>
      <family val="2"/>
    </font>
    <font>
      <sz val="8"/>
      <name val="Noto Sans CJK SC"/>
      <family val="2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1F3864"/>
      </patternFill>
    </fill>
    <fill>
      <patternFill patternType="solid">
        <fgColor rgb="FFDDEBF7"/>
        <bgColor rgb="FFEDEDED"/>
      </patternFill>
    </fill>
    <fill>
      <patternFill patternType="solid">
        <fgColor rgb="FFFFF2CC"/>
        <bgColor rgb="FFF2F2F2"/>
      </patternFill>
    </fill>
    <fill>
      <patternFill patternType="solid">
        <fgColor rgb="FFEDEDED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1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3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2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>
          <bgColor rgb="FFF8CBAD"/>
        </patternFill>
      </fill>
    </dxf>
    <dxf>
      <font>
        <color rgb="FFBFBFBF"/>
      </font>
    </dxf>
    <dxf>
      <font>
        <color rgb="FFBFBFBF"/>
      </font>
      <fill>
        <patternFill>
          <bgColor rgb="FFF2F2F2"/>
        </patternFill>
      </fill>
    </dxf>
    <dxf>
      <fill>
        <patternFill>
          <bgColor rgb="FFFFE699"/>
        </patternFill>
      </fill>
    </dxf>
    <dxf>
      <fill>
        <patternFill>
          <bgColor rgb="FFD9D9D9"/>
        </patternFill>
      </fill>
    </dxf>
    <dxf>
      <fill>
        <patternFill>
          <bgColor rgb="FFA9D08E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993366"/>
      <rgbColor rgb="FFFFF2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DEDED"/>
      <rgbColor rgb="FFFFE699"/>
      <rgbColor rgb="FFA9D08E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95959"/>
      <rgbColor rgb="FFA6A6A6"/>
      <rgbColor rgb="FF1F3864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残差 vs 予測値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"残差 vs 予測値"</c:f>
              <c:strCache>
                <c:ptCount val="1"/>
                <c:pt idx="0">
                  <c:v>残差 vs 予測値</c:v>
                </c:pt>
              </c:strCache>
            </c:strRef>
          </c:tx>
          <c:spPr>
            <a:solidFill>
              <a:srgbClr val="ffffff"/>
            </a:solidFill>
            <a:ln w="47520">
              <a:noFill/>
            </a:ln>
          </c:spPr>
          <c:marker>
            <c:symbol val="circle"/>
            <c:size val="6"/>
            <c:spPr>
              <a:noFill/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05_残差診断!$O$5:$O$22</c:f>
              <c:numCache>
                <c:formatCode>0.00</c:formatCode>
                <c:ptCount val="18"/>
                <c:pt idx="0">
                  <c:v>48.0551724137931</c:v>
                </c:pt>
                <c:pt idx="1">
                  <c:v>48.0551724137931</c:v>
                </c:pt>
                <c:pt idx="2">
                  <c:v>43.3772988505747</c:v>
                </c:pt>
                <c:pt idx="3">
                  <c:v>39.9272988505747</c:v>
                </c:pt>
                <c:pt idx="4">
                  <c:v>43.110632183908</c:v>
                </c:pt>
                <c:pt idx="5">
                  <c:v>43.1954022988506</c:v>
                </c:pt>
                <c:pt idx="6">
                  <c:v>48.0551724137931</c:v>
                </c:pt>
                <c:pt idx="7">
                  <c:v>44.2620689655172</c:v>
                </c:pt>
                <c:pt idx="8">
                  <c:v>48.660632183908</c:v>
                </c:pt>
                <c:pt idx="9">
                  <c:v>47.4287356321839</c:v>
                </c:pt>
                <c:pt idx="10">
                  <c:v>48.7620689655172</c:v>
                </c:pt>
                <c:pt idx="11">
                  <c:v>48.0551724137931</c:v>
                </c:pt>
                <c:pt idx="12">
                  <c:v>48.0551724137931</c:v>
                </c:pt>
                <c:pt idx="13">
                  <c:v>48.0551724137931</c:v>
                </c:pt>
                <c:pt idx="14">
                  <c:v>48.0551724137931</c:v>
                </c:pt>
                <c:pt idx="15">
                  <c:v>48.0551724137931</c:v>
                </c:pt>
                <c:pt idx="16">
                  <c:v>48.0551724137931</c:v>
                </c:pt>
                <c:pt idx="17">
                  <c:v>48.0551724137931</c:v>
                </c:pt>
              </c:numCache>
            </c:numRef>
          </c:xVal>
          <c:yVal>
            <c:numRef>
              <c:f>05_残差診断!$P$5:$P$22</c:f>
              <c:numCache>
                <c:formatCode>0.000</c:formatCode>
                <c:ptCount val="18"/>
                <c:pt idx="0">
                  <c:v>-0.155172413793103</c:v>
                </c:pt>
                <c:pt idx="1">
                  <c:v>-1.3551724137931</c:v>
                </c:pt>
                <c:pt idx="2">
                  <c:v>0.122701149425303</c:v>
                </c:pt>
                <c:pt idx="3">
                  <c:v>0.0727011494253063</c:v>
                </c:pt>
                <c:pt idx="4">
                  <c:v>0.089367816091972</c:v>
                </c:pt>
                <c:pt idx="5">
                  <c:v>-0.195402298850553</c:v>
                </c:pt>
                <c:pt idx="6">
                  <c:v>0.444827586206898</c:v>
                </c:pt>
                <c:pt idx="7">
                  <c:v>-0.162068965517243</c:v>
                </c:pt>
                <c:pt idx="8">
                  <c:v>0.139367816091969</c:v>
                </c:pt>
                <c:pt idx="9">
                  <c:v>-0.228735632183884</c:v>
                </c:pt>
                <c:pt idx="10">
                  <c:v>-0.262068965517244</c:v>
                </c:pt>
                <c:pt idx="11">
                  <c:v>0.444827586206898</c:v>
                </c:pt>
                <c:pt idx="12">
                  <c:v>1.0448275862069</c:v>
                </c:pt>
                <c:pt idx="13">
                  <c:v>1.0448275862069</c:v>
                </c:pt>
                <c:pt idx="14">
                  <c:v>1.0448275862069</c:v>
                </c:pt>
                <c:pt idx="15">
                  <c:v>1.0448275862069</c:v>
                </c:pt>
                <c:pt idx="16">
                  <c:v>1.0448275862069</c:v>
                </c:pt>
                <c:pt idx="17">
                  <c:v>1.0448275862069</c:v>
                </c:pt>
              </c:numCache>
            </c:numRef>
          </c:yVal>
          <c:smooth val="1"/>
        </c:ser>
        <c:axId val="49051569"/>
        <c:axId val="90132187"/>
      </c:scatterChart>
      <c:valAx>
        <c:axId val="49051569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予測値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0132187"/>
        <c:crosses val="autoZero"/>
        <c:crossBetween val="midCat"/>
      </c:valAx>
      <c:valAx>
        <c:axId val="9013218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残差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9051569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正規確率プロット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"正規確率プロット"</c:f>
              <c:strCache>
                <c:ptCount val="1"/>
                <c:pt idx="0">
                  <c:v>正規確率プロット</c:v>
                </c:pt>
              </c:strCache>
            </c:strRef>
          </c:tx>
          <c:spPr>
            <a:solidFill>
              <a:srgbClr val="ffffff"/>
            </a:solidFill>
            <a:ln w="47520">
              <a:noFill/>
            </a:ln>
          </c:spPr>
          <c:marker>
            <c:symbol val="circle"/>
            <c:size val="6"/>
            <c:spPr>
              <a:noFill/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05_残差診断!$R$5:$R$22</c:f>
              <c:numCache>
                <c:formatCode>0.000</c:formatCode>
                <c:ptCount val="18"/>
                <c:pt idx="0">
                  <c:v>-1.3551724137931</c:v>
                </c:pt>
                <c:pt idx="1">
                  <c:v>-0.262068965517244</c:v>
                </c:pt>
                <c:pt idx="2">
                  <c:v>-0.228735632183884</c:v>
                </c:pt>
                <c:pt idx="3">
                  <c:v>-0.195402298850553</c:v>
                </c:pt>
                <c:pt idx="4">
                  <c:v>-0.162068965517243</c:v>
                </c:pt>
                <c:pt idx="5">
                  <c:v>-0.155172413793103</c:v>
                </c:pt>
                <c:pt idx="6">
                  <c:v>0.0727011494253063</c:v>
                </c:pt>
                <c:pt idx="7">
                  <c:v>0.089367816091972</c:v>
                </c:pt>
                <c:pt idx="8">
                  <c:v>0.122701149425303</c:v>
                </c:pt>
                <c:pt idx="9">
                  <c:v>0.139367816091969</c:v>
                </c:pt>
                <c:pt idx="10">
                  <c:v>0.444827586206898</c:v>
                </c:pt>
                <c:pt idx="11">
                  <c:v>0.444827586206898</c:v>
                </c:pt>
                <c:pt idx="12">
                  <c:v>1.0448275862069</c:v>
                </c:pt>
                <c:pt idx="13">
                  <c:v>1.0448275862069</c:v>
                </c:pt>
                <c:pt idx="14">
                  <c:v>1.0448275862069</c:v>
                </c:pt>
                <c:pt idx="15">
                  <c:v>1.0448275862069</c:v>
                </c:pt>
                <c:pt idx="16">
                  <c:v>1.0448275862069</c:v>
                </c:pt>
                <c:pt idx="17">
                  <c:v>1.0448275862069</c:v>
                </c:pt>
              </c:numCache>
            </c:numRef>
          </c:xVal>
          <c:yVal>
            <c:numRef>
              <c:f>05_残差診断!$S$5:$S$22</c:f>
              <c:numCache>
                <c:formatCode>0.000</c:formatCode>
                <c:ptCount val="18"/>
                <c:pt idx="0">
                  <c:v>-1.67293738760497</c:v>
                </c:pt>
                <c:pt idx="1">
                  <c:v>-1.16188293727674</c:v>
                </c:pt>
                <c:pt idx="2">
                  <c:v>-0.848379932076291</c:v>
                </c:pt>
                <c:pt idx="3">
                  <c:v>-0.602006499049553</c:v>
                </c:pt>
                <c:pt idx="4">
                  <c:v>-0.387868692685014</c:v>
                </c:pt>
                <c:pt idx="5">
                  <c:v>-0.190322269836495</c:v>
                </c:pt>
                <c:pt idx="6">
                  <c:v>0</c:v>
                </c:pt>
                <c:pt idx="7">
                  <c:v>0.190322269836495</c:v>
                </c:pt>
                <c:pt idx="8">
                  <c:v>0.387868692685013</c:v>
                </c:pt>
                <c:pt idx="9">
                  <c:v>0.602006499049553</c:v>
                </c:pt>
                <c:pt idx="10">
                  <c:v>0.848379932076291</c:v>
                </c:pt>
                <c:pt idx="11">
                  <c:v>1.16188293727674</c:v>
                </c:pt>
                <c:pt idx="12">
                  <c:v>1.67293738760497</c:v>
                </c:pt>
                <c:pt idx="13">
                  <c:v>1.67293738760497</c:v>
                </c:pt>
                <c:pt idx="14">
                  <c:v>1.67293738760497</c:v>
                </c:pt>
                <c:pt idx="15">
                  <c:v>1.67293738760497</c:v>
                </c:pt>
                <c:pt idx="16">
                  <c:v>1.67293738760497</c:v>
                </c:pt>
                <c:pt idx="17">
                  <c:v>1.67293738760497</c:v>
                </c:pt>
              </c:numCache>
            </c:numRef>
          </c:yVal>
          <c:smooth val="1"/>
        </c:ser>
        <c:axId val="3199582"/>
        <c:axId val="86757073"/>
      </c:scatterChart>
      <c:valAx>
        <c:axId val="3199582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残差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6757073"/>
        <c:crosses val="autoZero"/>
        <c:crossBetween val="midCat"/>
      </c:valAx>
      <c:valAx>
        <c:axId val="8675707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理論分位点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199582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残差 vs 実験順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"残差 vs 実験順"</c:f>
              <c:strCache>
                <c:ptCount val="1"/>
                <c:pt idx="0">
                  <c:v>残差 vs 実験順</c:v>
                </c:pt>
              </c:strCache>
            </c:strRef>
          </c:tx>
          <c:spPr>
            <a:solidFill>
              <a:srgbClr val="ffffff"/>
            </a:solidFill>
            <a:ln w="47520">
              <a:noFill/>
            </a:ln>
          </c:spPr>
          <c:marker>
            <c:symbol val="circle"/>
            <c:size val="6"/>
            <c:spPr>
              <a:noFill/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05_残差診断!$Q$5:$Q$22</c:f>
              <c:numCache>
                <c:formatCode>General</c:formatCode>
                <c:ptCount val="1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13</c:v>
                </c:pt>
                <c:pt idx="14">
                  <c:v>13</c:v>
                </c:pt>
                <c:pt idx="15">
                  <c:v>13</c:v>
                </c:pt>
                <c:pt idx="16">
                  <c:v>13</c:v>
                </c:pt>
                <c:pt idx="17">
                  <c:v>13</c:v>
                </c:pt>
              </c:numCache>
            </c:numRef>
          </c:xVal>
          <c:yVal>
            <c:numRef>
              <c:f>05_残差診断!$P$5:$P$22</c:f>
              <c:numCache>
                <c:formatCode>0.000</c:formatCode>
                <c:ptCount val="18"/>
                <c:pt idx="0">
                  <c:v>-0.155172413793103</c:v>
                </c:pt>
                <c:pt idx="1">
                  <c:v>-1.3551724137931</c:v>
                </c:pt>
                <c:pt idx="2">
                  <c:v>0.122701149425303</c:v>
                </c:pt>
                <c:pt idx="3">
                  <c:v>0.0727011494253063</c:v>
                </c:pt>
                <c:pt idx="4">
                  <c:v>0.089367816091972</c:v>
                </c:pt>
                <c:pt idx="5">
                  <c:v>-0.195402298850553</c:v>
                </c:pt>
                <c:pt idx="6">
                  <c:v>0.444827586206898</c:v>
                </c:pt>
                <c:pt idx="7">
                  <c:v>-0.162068965517243</c:v>
                </c:pt>
                <c:pt idx="8">
                  <c:v>0.139367816091969</c:v>
                </c:pt>
                <c:pt idx="9">
                  <c:v>-0.228735632183884</c:v>
                </c:pt>
                <c:pt idx="10">
                  <c:v>-0.262068965517244</c:v>
                </c:pt>
                <c:pt idx="11">
                  <c:v>0.444827586206898</c:v>
                </c:pt>
                <c:pt idx="12">
                  <c:v>1.0448275862069</c:v>
                </c:pt>
                <c:pt idx="13">
                  <c:v>1.0448275862069</c:v>
                </c:pt>
                <c:pt idx="14">
                  <c:v>1.0448275862069</c:v>
                </c:pt>
                <c:pt idx="15">
                  <c:v>1.0448275862069</c:v>
                </c:pt>
                <c:pt idx="16">
                  <c:v>1.0448275862069</c:v>
                </c:pt>
                <c:pt idx="17">
                  <c:v>1.0448275862069</c:v>
                </c:pt>
              </c:numCache>
            </c:numRef>
          </c:yVal>
          <c:smooth val="1"/>
        </c:ser>
        <c:axId val="69121085"/>
        <c:axId val="79491777"/>
      </c:scatterChart>
      <c:valAx>
        <c:axId val="69121085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実験順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9491777"/>
        <c:crosses val="autoZero"/>
        <c:crossBetween val="midCat"/>
      </c:valAx>
      <c:valAx>
        <c:axId val="7949177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残差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9121085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実測 vs 予測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"実測 vs 予測"</c:f>
              <c:strCache>
                <c:ptCount val="1"/>
                <c:pt idx="0">
                  <c:v>実測 vs 予測</c:v>
                </c:pt>
              </c:strCache>
            </c:strRef>
          </c:tx>
          <c:spPr>
            <a:solidFill>
              <a:srgbClr val="ffffff"/>
            </a:solidFill>
            <a:ln w="47520">
              <a:noFill/>
            </a:ln>
          </c:spPr>
          <c:marker>
            <c:symbol val="circle"/>
            <c:size val="6"/>
            <c:spPr>
              <a:noFill/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05_残差診断!$O$5:$O$22</c:f>
              <c:numCache>
                <c:formatCode>0.00</c:formatCode>
                <c:ptCount val="18"/>
                <c:pt idx="0">
                  <c:v>48.0551724137931</c:v>
                </c:pt>
                <c:pt idx="1">
                  <c:v>48.0551724137931</c:v>
                </c:pt>
                <c:pt idx="2">
                  <c:v>43.3772988505747</c:v>
                </c:pt>
                <c:pt idx="3">
                  <c:v>39.9272988505747</c:v>
                </c:pt>
                <c:pt idx="4">
                  <c:v>43.110632183908</c:v>
                </c:pt>
                <c:pt idx="5">
                  <c:v>43.1954022988506</c:v>
                </c:pt>
                <c:pt idx="6">
                  <c:v>48.0551724137931</c:v>
                </c:pt>
                <c:pt idx="7">
                  <c:v>44.2620689655172</c:v>
                </c:pt>
                <c:pt idx="8">
                  <c:v>48.660632183908</c:v>
                </c:pt>
                <c:pt idx="9">
                  <c:v>47.4287356321839</c:v>
                </c:pt>
                <c:pt idx="10">
                  <c:v>48.7620689655172</c:v>
                </c:pt>
                <c:pt idx="11">
                  <c:v>48.0551724137931</c:v>
                </c:pt>
                <c:pt idx="12">
                  <c:v>48.0551724137931</c:v>
                </c:pt>
                <c:pt idx="13">
                  <c:v>48.0551724137931</c:v>
                </c:pt>
                <c:pt idx="14">
                  <c:v>48.0551724137931</c:v>
                </c:pt>
                <c:pt idx="15">
                  <c:v>48.0551724137931</c:v>
                </c:pt>
                <c:pt idx="16">
                  <c:v>48.0551724137931</c:v>
                </c:pt>
                <c:pt idx="17">
                  <c:v>48.0551724137931</c:v>
                </c:pt>
              </c:numCache>
            </c:numRef>
          </c:xVal>
          <c:yVal>
            <c:numRef>
              <c:f>05_残差診断!$T$5:$T$22</c:f>
              <c:numCache>
                <c:formatCode>0.00</c:formatCode>
                <c:ptCount val="18"/>
                <c:pt idx="0">
                  <c:v>47.9</c:v>
                </c:pt>
                <c:pt idx="1">
                  <c:v>46.7</c:v>
                </c:pt>
                <c:pt idx="2">
                  <c:v>43.5</c:v>
                </c:pt>
                <c:pt idx="3">
                  <c:v>40</c:v>
                </c:pt>
                <c:pt idx="4">
                  <c:v>43.2</c:v>
                </c:pt>
                <c:pt idx="5">
                  <c:v>43</c:v>
                </c:pt>
                <c:pt idx="6">
                  <c:v>48.5</c:v>
                </c:pt>
                <c:pt idx="7">
                  <c:v>44.1</c:v>
                </c:pt>
                <c:pt idx="8">
                  <c:v>48.8</c:v>
                </c:pt>
                <c:pt idx="9">
                  <c:v>47.2</c:v>
                </c:pt>
                <c:pt idx="10">
                  <c:v>48.5</c:v>
                </c:pt>
                <c:pt idx="11">
                  <c:v>48.5</c:v>
                </c:pt>
                <c:pt idx="12">
                  <c:v>49.1</c:v>
                </c:pt>
                <c:pt idx="13">
                  <c:v>49.1</c:v>
                </c:pt>
                <c:pt idx="14">
                  <c:v>49.1</c:v>
                </c:pt>
                <c:pt idx="15">
                  <c:v>49.1</c:v>
                </c:pt>
                <c:pt idx="16">
                  <c:v>49.1</c:v>
                </c:pt>
                <c:pt idx="17">
                  <c:v>49.1</c:v>
                </c:pt>
              </c:numCache>
            </c:numRef>
          </c:yVal>
          <c:smooth val="1"/>
        </c:ser>
        <c:axId val="57974459"/>
        <c:axId val="13117322"/>
      </c:scatterChart>
      <c:valAx>
        <c:axId val="57974459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予測値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3117322"/>
        <c:crosses val="autoZero"/>
        <c:crossBetween val="midCat"/>
      </c:valAx>
      <c:valAx>
        <c:axId val="1311732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実測値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7974459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21</xdr:col>
      <xdr:colOff>0</xdr:colOff>
      <xdr:row>2</xdr:row>
      <xdr:rowOff>106920</xdr:rowOff>
    </xdr:from>
    <xdr:to>
      <xdr:col>28</xdr:col>
      <xdr:colOff>39240</xdr:colOff>
      <xdr:row>15</xdr:row>
      <xdr:rowOff>141480</xdr:rowOff>
    </xdr:to>
    <xdr:graphicFrame>
      <xdr:nvGraphicFramePr>
        <xdr:cNvPr id="0" name="Chart 1"/>
        <xdr:cNvGraphicFramePr/>
      </xdr:nvGraphicFramePr>
      <xdr:xfrm>
        <a:off x="12363480" y="571680"/>
        <a:ext cx="431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29</xdr:col>
      <xdr:colOff>0</xdr:colOff>
      <xdr:row>2</xdr:row>
      <xdr:rowOff>106920</xdr:rowOff>
    </xdr:from>
    <xdr:to>
      <xdr:col>36</xdr:col>
      <xdr:colOff>39240</xdr:colOff>
      <xdr:row>15</xdr:row>
      <xdr:rowOff>141480</xdr:rowOff>
    </xdr:to>
    <xdr:graphicFrame>
      <xdr:nvGraphicFramePr>
        <xdr:cNvPr id="1" name="Chart 2"/>
        <xdr:cNvGraphicFramePr/>
      </xdr:nvGraphicFramePr>
      <xdr:xfrm>
        <a:off x="17255520" y="571680"/>
        <a:ext cx="431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21</xdr:col>
      <xdr:colOff>0</xdr:colOff>
      <xdr:row>17</xdr:row>
      <xdr:rowOff>108360</xdr:rowOff>
    </xdr:from>
    <xdr:to>
      <xdr:col>28</xdr:col>
      <xdr:colOff>39240</xdr:colOff>
      <xdr:row>31</xdr:row>
      <xdr:rowOff>141120</xdr:rowOff>
    </xdr:to>
    <xdr:graphicFrame>
      <xdr:nvGraphicFramePr>
        <xdr:cNvPr id="2" name="Chart 3"/>
        <xdr:cNvGraphicFramePr/>
      </xdr:nvGraphicFramePr>
      <xdr:xfrm>
        <a:off x="12363480" y="3619440"/>
        <a:ext cx="431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29</xdr:col>
      <xdr:colOff>0</xdr:colOff>
      <xdr:row>17</xdr:row>
      <xdr:rowOff>108360</xdr:rowOff>
    </xdr:from>
    <xdr:to>
      <xdr:col>36</xdr:col>
      <xdr:colOff>39240</xdr:colOff>
      <xdr:row>31</xdr:row>
      <xdr:rowOff>141120</xdr:rowOff>
    </xdr:to>
    <xdr:graphicFrame>
      <xdr:nvGraphicFramePr>
        <xdr:cNvPr id="3" name="Chart 4"/>
        <xdr:cNvGraphicFramePr/>
      </xdr:nvGraphicFramePr>
      <xdr:xfrm>
        <a:off x="17255520" y="3619440"/>
        <a:ext cx="431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A1:B2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00"/>
  </cols>
  <sheetData>
    <row r="1" customFormat="false" ht="21.6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/>
    </row>
    <row r="5" customFormat="false" ht="45" hidden="false" customHeight="true" outlineLevel="0" collapsed="false">
      <c r="A5" s="4"/>
      <c r="B5" s="5" t="s">
        <v>3</v>
      </c>
    </row>
    <row r="6" customFormat="false" ht="15" hidden="false" customHeight="false" outlineLevel="0" collapsed="false">
      <c r="A6" s="3" t="s">
        <v>4</v>
      </c>
      <c r="B6" s="3"/>
    </row>
    <row r="7" customFormat="false" ht="30" hidden="false" customHeight="true" outlineLevel="0" collapsed="false">
      <c r="A7" s="4" t="s">
        <v>5</v>
      </c>
      <c r="B7" s="6" t="s">
        <v>6</v>
      </c>
    </row>
    <row r="8" customFormat="false" ht="18" hidden="false" customHeight="true" outlineLevel="0" collapsed="false">
      <c r="A8" s="4" t="s">
        <v>7</v>
      </c>
      <c r="B8" s="6" t="s">
        <v>8</v>
      </c>
    </row>
    <row r="9" customFormat="false" ht="18" hidden="false" customHeight="true" outlineLevel="0" collapsed="false">
      <c r="A9" s="4" t="s">
        <v>9</v>
      </c>
      <c r="B9" s="6" t="s">
        <v>10</v>
      </c>
    </row>
    <row r="10" customFormat="false" ht="18" hidden="false" customHeight="true" outlineLevel="0" collapsed="false">
      <c r="A10" s="4" t="s">
        <v>11</v>
      </c>
      <c r="B10" s="6" t="s">
        <v>12</v>
      </c>
    </row>
    <row r="11" customFormat="false" ht="18" hidden="false" customHeight="true" outlineLevel="0" collapsed="false">
      <c r="A11" s="4" t="s">
        <v>13</v>
      </c>
      <c r="B11" s="6" t="s">
        <v>14</v>
      </c>
    </row>
    <row r="12" customFormat="false" ht="18" hidden="false" customHeight="true" outlineLevel="0" collapsed="false">
      <c r="A12" s="4" t="s">
        <v>15</v>
      </c>
      <c r="B12" s="6" t="s">
        <v>16</v>
      </c>
    </row>
    <row r="13" customFormat="false" ht="18" hidden="false" customHeight="true" outlineLevel="0" collapsed="false">
      <c r="A13" s="4" t="s">
        <v>17</v>
      </c>
      <c r="B13" s="6" t="s">
        <v>18</v>
      </c>
    </row>
    <row r="14" customFormat="false" ht="18" hidden="false" customHeight="true" outlineLevel="0" collapsed="false">
      <c r="A14" s="4" t="s">
        <v>19</v>
      </c>
      <c r="B14" s="5" t="s">
        <v>20</v>
      </c>
    </row>
    <row r="15" customFormat="false" ht="18" hidden="false" customHeight="true" outlineLevel="0" collapsed="false">
      <c r="A15" s="4" t="s">
        <v>21</v>
      </c>
      <c r="B15" s="6" t="s">
        <v>22</v>
      </c>
    </row>
    <row r="16" customFormat="false" ht="15" hidden="false" customHeight="false" outlineLevel="0" collapsed="false">
      <c r="A16" s="3" t="s">
        <v>23</v>
      </c>
      <c r="B16" s="3"/>
    </row>
    <row r="17" customFormat="false" ht="18" hidden="false" customHeight="true" outlineLevel="0" collapsed="false">
      <c r="A17" s="7" t="s">
        <v>24</v>
      </c>
      <c r="B17" s="6" t="s">
        <v>25</v>
      </c>
    </row>
    <row r="18" customFormat="false" ht="30" hidden="false" customHeight="true" outlineLevel="0" collapsed="false">
      <c r="A18" s="7" t="s">
        <v>26</v>
      </c>
      <c r="B18" s="6" t="s">
        <v>27</v>
      </c>
    </row>
    <row r="19" customFormat="false" ht="15" hidden="false" customHeight="false" outlineLevel="0" collapsed="false">
      <c r="A19" s="3" t="s">
        <v>28</v>
      </c>
      <c r="B19" s="3"/>
    </row>
    <row r="20" customFormat="false" ht="18" hidden="false" customHeight="true" outlineLevel="0" collapsed="false">
      <c r="A20" s="7" t="s">
        <v>29</v>
      </c>
      <c r="B20" s="6" t="s">
        <v>30</v>
      </c>
    </row>
    <row r="21" customFormat="false" ht="30" hidden="false" customHeight="true" outlineLevel="0" collapsed="false">
      <c r="A21" s="7" t="s">
        <v>31</v>
      </c>
      <c r="B21" s="6" t="s">
        <v>32</v>
      </c>
    </row>
    <row r="22" customFormat="false" ht="45" hidden="false" customHeight="true" outlineLevel="0" collapsed="false">
      <c r="A22" s="7" t="s">
        <v>33</v>
      </c>
      <c r="B22" s="6" t="s">
        <v>34</v>
      </c>
    </row>
    <row r="23" customFormat="false" ht="18" hidden="false" customHeight="true" outlineLevel="0" collapsed="false">
      <c r="A23" s="7" t="s">
        <v>35</v>
      </c>
      <c r="B23" s="6" t="s">
        <v>36</v>
      </c>
    </row>
    <row r="24" customFormat="false" ht="30" hidden="false" customHeight="true" outlineLevel="0" collapsed="false">
      <c r="A24" s="7" t="s">
        <v>37</v>
      </c>
      <c r="B24" s="5" t="s">
        <v>38</v>
      </c>
    </row>
    <row r="25" customFormat="false" ht="18" hidden="false" customHeight="true" outlineLevel="0" collapsed="false">
      <c r="A25" s="7" t="s">
        <v>39</v>
      </c>
      <c r="B25" s="5" t="s">
        <v>40</v>
      </c>
    </row>
    <row r="26" customFormat="false" ht="30" hidden="false" customHeight="true" outlineLevel="0" collapsed="false">
      <c r="A26" s="7" t="s">
        <v>41</v>
      </c>
      <c r="B26" s="6" t="s">
        <v>42</v>
      </c>
    </row>
    <row r="27" customFormat="false" ht="30" hidden="false" customHeight="true" outlineLevel="0" collapsed="false">
      <c r="A27" s="7" t="s">
        <v>43</v>
      </c>
      <c r="B27" s="5" t="s">
        <v>44</v>
      </c>
    </row>
    <row r="28" customFormat="false" ht="30" hidden="false" customHeight="true" outlineLevel="0" collapsed="false">
      <c r="A28" s="7" t="s">
        <v>45</v>
      </c>
      <c r="B28" s="6" t="s">
        <v>46</v>
      </c>
    </row>
  </sheetData>
  <mergeCells count="4">
    <mergeCell ref="A4:B4"/>
    <mergeCell ref="A6:B6"/>
    <mergeCell ref="A16:B16"/>
    <mergeCell ref="A19:B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8"/>
    <pageSetUpPr fitToPage="false"/>
  </sheetPr>
  <dimension ref="A1:N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6"/>
    <col collapsed="false" customWidth="true" hidden="false" outlineLevel="0" max="3" min="3" style="0" width="7"/>
    <col collapsed="false" customWidth="true" hidden="false" outlineLevel="0" max="4" min="4" style="0" width="9"/>
    <col collapsed="false" customWidth="true" hidden="false" outlineLevel="0" max="6" min="5" style="0" width="10"/>
    <col collapsed="false" customWidth="true" hidden="false" outlineLevel="0" max="7" min="7" style="0" width="9"/>
    <col collapsed="false" customWidth="true" hidden="false" outlineLevel="0" max="8" min="8" style="0" width="8"/>
    <col collapsed="false" customWidth="true" hidden="false" outlineLevel="0" max="11" min="9" style="0" width="9"/>
    <col collapsed="false" customWidth="true" hidden="false" outlineLevel="0" max="13" min="12" style="0" width="11"/>
    <col collapsed="false" customWidth="true" hidden="false" outlineLevel="0" max="14" min="14" style="0" width="46"/>
  </cols>
  <sheetData>
    <row r="1" customFormat="false" ht="21.6" hidden="false" customHeight="false" outlineLevel="0" collapsed="false">
      <c r="A1" s="8" t="s">
        <v>47</v>
      </c>
    </row>
    <row r="2" customFormat="false" ht="15" hidden="false" customHeight="false" outlineLevel="0" collapsed="false">
      <c r="A2" s="2" t="s">
        <v>48</v>
      </c>
    </row>
    <row r="4" customFormat="false" ht="29.85" hidden="false" customHeight="false" outlineLevel="0" collapsed="false">
      <c r="A4" s="9" t="s">
        <v>49</v>
      </c>
      <c r="B4" s="10" t="s">
        <v>50</v>
      </c>
      <c r="C4" s="10" t="s">
        <v>51</v>
      </c>
      <c r="D4" s="10" t="s">
        <v>52</v>
      </c>
      <c r="E4" s="10" t="s">
        <v>53</v>
      </c>
      <c r="F4" s="10" t="s">
        <v>54</v>
      </c>
      <c r="G4" s="10" t="s">
        <v>55</v>
      </c>
      <c r="H4" s="10" t="s">
        <v>56</v>
      </c>
      <c r="I4" s="10" t="s">
        <v>57</v>
      </c>
      <c r="J4" s="10" t="s">
        <v>58</v>
      </c>
      <c r="K4" s="10" t="s">
        <v>59</v>
      </c>
      <c r="L4" s="10" t="s">
        <v>60</v>
      </c>
      <c r="M4" s="10" t="s">
        <v>61</v>
      </c>
      <c r="N4" s="10" t="s">
        <v>62</v>
      </c>
    </row>
    <row r="5" customFormat="false" ht="29.85" hidden="false" customHeight="false" outlineLevel="0" collapsed="false">
      <c r="A5" s="11" t="n">
        <v>1</v>
      </c>
      <c r="B5" s="12" t="s">
        <v>63</v>
      </c>
      <c r="C5" s="13" t="s">
        <v>64</v>
      </c>
      <c r="D5" s="14" t="s">
        <v>65</v>
      </c>
      <c r="E5" s="12" t="n">
        <v>55</v>
      </c>
      <c r="F5" s="12" t="n">
        <v>75</v>
      </c>
      <c r="G5" s="15" t="n">
        <f aca="false">(E5+F5)/2</f>
        <v>65</v>
      </c>
      <c r="H5" s="15" t="n">
        <f aca="false">(F5-E5)/2</f>
        <v>10</v>
      </c>
      <c r="I5" s="12"/>
      <c r="J5" s="12" t="n">
        <v>80</v>
      </c>
      <c r="K5" s="14" t="s">
        <v>66</v>
      </c>
      <c r="L5" s="16" t="n">
        <f aca="false">IF(I5="",-99,(I5-G5)/H5)</f>
        <v>-99</v>
      </c>
      <c r="M5" s="16" t="n">
        <f aca="false">IF(J5="",99,(J5-G5)/H5)</f>
        <v>1.5</v>
      </c>
      <c r="N5" s="6" t="s">
        <v>67</v>
      </c>
    </row>
    <row r="6" customFormat="false" ht="15" hidden="false" customHeight="false" outlineLevel="0" collapsed="false">
      <c r="A6" s="11" t="n">
        <v>2</v>
      </c>
      <c r="B6" s="12" t="s">
        <v>68</v>
      </c>
      <c r="C6" s="13" t="s">
        <v>69</v>
      </c>
      <c r="D6" s="14" t="s">
        <v>70</v>
      </c>
      <c r="E6" s="12" t="n">
        <v>20</v>
      </c>
      <c r="F6" s="12" t="n">
        <v>40</v>
      </c>
      <c r="G6" s="15" t="n">
        <f aca="false">(E6+F6)/2</f>
        <v>30</v>
      </c>
      <c r="H6" s="15" t="n">
        <f aca="false">(F6-E6)/2</f>
        <v>10</v>
      </c>
      <c r="I6" s="12" t="n">
        <v>10</v>
      </c>
      <c r="J6" s="12"/>
      <c r="K6" s="14"/>
      <c r="L6" s="16" t="n">
        <f aca="false">IF(I6="",-99,(I6-G6)/H6)</f>
        <v>-2</v>
      </c>
      <c r="M6" s="16" t="n">
        <f aca="false">IF(J6="",99,(J6-G6)/H6)</f>
        <v>99</v>
      </c>
      <c r="N6" s="5"/>
    </row>
    <row r="10" customFormat="false" ht="15" hidden="false" customHeight="false" outlineLevel="0" collapsed="false">
      <c r="A10" s="17" t="s">
        <v>71</v>
      </c>
    </row>
    <row r="11" customFormat="false" ht="15" hidden="false" customHeight="false" outlineLevel="0" collapsed="false">
      <c r="A11" s="18" t="s">
        <v>72</v>
      </c>
      <c r="B11" s="12" t="s">
        <v>73</v>
      </c>
    </row>
    <row r="12" customFormat="false" ht="15" hidden="false" customHeight="false" outlineLevel="0" collapsed="false">
      <c r="A12" s="18" t="s">
        <v>52</v>
      </c>
      <c r="B12" s="14" t="s">
        <v>74</v>
      </c>
    </row>
    <row r="13" customFormat="false" ht="15" hidden="false" customHeight="false" outlineLevel="0" collapsed="false">
      <c r="A13" s="18" t="s">
        <v>75</v>
      </c>
      <c r="B13" s="12" t="s">
        <v>76</v>
      </c>
      <c r="C13" s="19" t="s">
        <v>77</v>
      </c>
    </row>
    <row r="14" customFormat="false" ht="15" hidden="false" customHeight="false" outlineLevel="0" collapsed="false">
      <c r="A14" s="18" t="s">
        <v>78</v>
      </c>
      <c r="B14" s="20" t="n">
        <v>46.5</v>
      </c>
    </row>
    <row r="15" customFormat="false" ht="15" hidden="false" customHeight="false" outlineLevel="0" collapsed="false">
      <c r="A15" s="18" t="s">
        <v>79</v>
      </c>
      <c r="B15" s="20"/>
    </row>
    <row r="16" customFormat="false" ht="15" hidden="false" customHeight="false" outlineLevel="0" collapsed="false">
      <c r="A16" s="18" t="s">
        <v>80</v>
      </c>
      <c r="B16" s="20"/>
    </row>
    <row r="17" customFormat="false" ht="15" hidden="false" customHeight="false" outlineLevel="0" collapsed="false">
      <c r="A17" s="18" t="s">
        <v>81</v>
      </c>
      <c r="B17" s="21" t="n">
        <v>0.95</v>
      </c>
      <c r="C17" s="19" t="s">
        <v>82</v>
      </c>
    </row>
    <row r="19" customFormat="false" ht="15" hidden="false" customHeight="false" outlineLevel="0" collapsed="false">
      <c r="A19" s="17" t="s">
        <v>83</v>
      </c>
    </row>
    <row r="20" customFormat="false" ht="15" hidden="false" customHeight="false" outlineLevel="0" collapsed="false">
      <c r="A20" s="18" t="s">
        <v>84</v>
      </c>
      <c r="B20" s="12" t="s">
        <v>85</v>
      </c>
      <c r="C20" s="22" t="s">
        <v>86</v>
      </c>
    </row>
    <row r="21" customFormat="false" ht="15" hidden="false" customHeight="false" outlineLevel="0" collapsed="false">
      <c r="A21" s="18" t="s">
        <v>87</v>
      </c>
      <c r="B21" s="14" t="n">
        <v>5</v>
      </c>
      <c r="C21" s="19" t="s">
        <v>88</v>
      </c>
    </row>
    <row r="22" customFormat="false" ht="15" hidden="false" customHeight="false" outlineLevel="0" collapsed="false">
      <c r="A22" s="23" t="s">
        <v>89</v>
      </c>
      <c r="B22" s="16" t="n">
        <f aca="false">IF(B20="回転可能CCD(α=1.414)",1.4142135623731,1)</f>
        <v>1</v>
      </c>
    </row>
    <row r="23" customFormat="false" ht="15" hidden="false" customHeight="false" outlineLevel="0" collapsed="false">
      <c r="A23" s="18" t="s">
        <v>90</v>
      </c>
      <c r="B23" s="24" t="n">
        <f aca="false">B26+B21</f>
        <v>13</v>
      </c>
    </row>
    <row r="24" customFormat="false" ht="15" hidden="false" customHeight="false" outlineLevel="0" collapsed="false">
      <c r="A24" s="18" t="s">
        <v>91</v>
      </c>
      <c r="B24" s="12" t="s">
        <v>92</v>
      </c>
      <c r="C24" s="19" t="s">
        <v>93</v>
      </c>
    </row>
    <row r="25" customFormat="false" ht="15" hidden="false" customHeight="false" outlineLevel="0" collapsed="false">
      <c r="A25" s="18" t="s">
        <v>94</v>
      </c>
      <c r="B25" s="24" t="n">
        <f aca="false">IFERROR(MATCH("○",K5:K6,0),0)</f>
        <v>1</v>
      </c>
    </row>
    <row r="26" customFormat="false" ht="15" hidden="false" customHeight="false" outlineLevel="0" collapsed="false">
      <c r="A26" s="18" t="s">
        <v>95</v>
      </c>
      <c r="B26" s="24" t="n">
        <f aca="false">IF(B20="Box-Behnken",0,8)</f>
        <v>8</v>
      </c>
    </row>
    <row r="27" customFormat="false" ht="15" hidden="false" customHeight="false" outlineLevel="0" collapsed="false">
      <c r="A27" s="17" t="s">
        <v>96</v>
      </c>
    </row>
    <row r="28" customFormat="false" ht="29.85" hidden="false" customHeight="false" outlineLevel="0" collapsed="false">
      <c r="A28" s="10" t="s">
        <v>97</v>
      </c>
      <c r="B28" s="10" t="s">
        <v>98</v>
      </c>
      <c r="C28" s="10" t="s">
        <v>99</v>
      </c>
      <c r="D28" s="10" t="s">
        <v>57</v>
      </c>
      <c r="E28" s="10" t="s">
        <v>58</v>
      </c>
      <c r="F28" s="10" t="s">
        <v>100</v>
      </c>
    </row>
    <row r="29" customFormat="false" ht="15" hidden="false" customHeight="false" outlineLevel="0" collapsed="false">
      <c r="A29" s="24" t="str">
        <f aca="false">B5</f>
        <v>炉温</v>
      </c>
      <c r="B29" s="15" t="n">
        <f aca="false">G5-$B$22*H5</f>
        <v>55</v>
      </c>
      <c r="C29" s="15" t="n">
        <f aca="false">G5+$B$22*H5</f>
        <v>75</v>
      </c>
      <c r="D29" s="24" t="str">
        <f aca="false">IF(I5="","―",I5)</f>
        <v>―</v>
      </c>
      <c r="E29" s="24" t="n">
        <f aca="false">IF(J5="","―",J5)</f>
        <v>80</v>
      </c>
      <c r="F29" s="25" t="str">
        <f aca="false">IF(AND(OR(I5="",B29&gt;=I5),OR(J5="",C29&lt;=J5)),"OK","安全限界超過")</f>
        <v>OK</v>
      </c>
    </row>
    <row r="30" customFormat="false" ht="15" hidden="false" customHeight="false" outlineLevel="0" collapsed="false">
      <c r="A30" s="24" t="str">
        <f aca="false">B6</f>
        <v>乾燥時間</v>
      </c>
      <c r="B30" s="15" t="n">
        <f aca="false">G6-$B$22*H6</f>
        <v>20</v>
      </c>
      <c r="C30" s="15" t="n">
        <f aca="false">G6+$B$22*H6</f>
        <v>40</v>
      </c>
      <c r="D30" s="24" t="n">
        <f aca="false">IF(I6="","―",I6)</f>
        <v>10</v>
      </c>
      <c r="E30" s="24" t="str">
        <f aca="false">IF(J6="","―",J6)</f>
        <v>―</v>
      </c>
      <c r="F30" s="25" t="str">
        <f aca="false">IF(AND(OR(I6="",B30&gt;=I6),OR(J6="",C30&lt;=J6)),"OK","安全限界超過")</f>
        <v>OK</v>
      </c>
    </row>
    <row r="31" customFormat="false" ht="15" hidden="false" customHeight="false" outlineLevel="0" collapsed="false">
      <c r="A31" s="18" t="s">
        <v>101</v>
      </c>
      <c r="B31" s="26" t="str">
        <f aca="false">IF(COUNTIF(F29:F30,"安全限界超過")&gt;0,"× 安全限界を超える実験点あり → この計画は実行不可。面心CCDへ変更、または範囲を縮小","○ 全実験点が安全限界内")</f>
        <v>○ 全実験点が安全限界内</v>
      </c>
      <c r="C31" s="26"/>
      <c r="D31" s="26"/>
      <c r="E31" s="26"/>
      <c r="F31" s="26"/>
    </row>
  </sheetData>
  <mergeCells count="1">
    <mergeCell ref="B31:F31"/>
  </mergeCells>
  <conditionalFormatting sqref="F29:F30">
    <cfRule type="cellIs" priority="2" operator="equal" aboveAverage="0" equalAverage="0" bottom="0" percent="0" rank="0" text="" dxfId="0">
      <formula>"安全限界超過"</formula>
    </cfRule>
  </conditionalFormatting>
  <dataValidations count="5">
    <dataValidation allowBlank="true" errorStyle="stop" operator="between" showDropDown="false" showErrorMessage="false" showInputMessage="false" sqref="K5:K6" type="list">
      <formula1>"○"</formula1>
      <formula2>0</formula2>
    </dataValidation>
    <dataValidation allowBlank="false" errorStyle="stop" operator="between" showDropDown="false" showErrorMessage="false" showInputMessage="false" sqref="B13" type="list">
      <formula1>"最大化,最小化,目標値"</formula1>
      <formula2>0</formula2>
    </dataValidation>
    <dataValidation allowBlank="false" errorStyle="stop" operator="between" showDropDown="false" showErrorMessage="false" showInputMessage="false" sqref="B20" type="list">
      <formula1>"面心CCD(α=1),回転可能CCD(α=1.414)"</formula1>
      <formula2>0</formula2>
    </dataValidation>
    <dataValidation allowBlank="false" errorStyle="stop" operator="between" showDropDown="false" showErrorMessage="false" showInputMessage="false" sqref="B21" type="whole">
      <formula1>3</formula1>
      <formula2>10</formula2>
    </dataValidation>
    <dataValidation allowBlank="false" errorStyle="stop" operator="between" showDropDown="false" showErrorMessage="false" showInputMessage="false" sqref="B24" type="list">
      <formula1>"完全ランダム,変更困難因子でグループ化"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8"/>
    <pageSetUpPr fitToPage="false"/>
  </sheetPr>
  <dimension ref="A1:T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8"/>
    <col collapsed="false" customWidth="true" hidden="false" outlineLevel="0" max="3" min="3" style="0" width="5"/>
    <col collapsed="false" customWidth="true" hidden="false" outlineLevel="0" max="5" min="4" style="0" width="9"/>
    <col collapsed="false" customWidth="true" hidden="false" outlineLevel="0" max="7" min="6" style="0" width="13"/>
  </cols>
  <sheetData>
    <row r="1" customFormat="false" ht="21.6" hidden="false" customHeight="false" outlineLevel="0" collapsed="false">
      <c r="A1" s="8" t="s">
        <v>102</v>
      </c>
    </row>
    <row r="2" customFormat="false" ht="15" hidden="false" customHeight="false" outlineLevel="0" collapsed="false">
      <c r="A2" s="2" t="s">
        <v>103</v>
      </c>
    </row>
    <row r="4" customFormat="false" ht="29.85" hidden="false" customHeight="false" outlineLevel="0" collapsed="false">
      <c r="A4" s="10" t="s">
        <v>104</v>
      </c>
      <c r="B4" s="10" t="s">
        <v>105</v>
      </c>
      <c r="C4" s="10" t="s">
        <v>106</v>
      </c>
      <c r="D4" s="9" t="s">
        <v>107</v>
      </c>
      <c r="E4" s="9" t="s">
        <v>108</v>
      </c>
      <c r="F4" s="10" t="str">
        <f aca="false">"X1 "&amp;01_因子設定!B5&amp;"["&amp;01_因子設定!D5&amp;"]"</f>
        <v>X1 炉温[℃]</v>
      </c>
      <c r="G4" s="10" t="str">
        <f aca="false">"X2 "&amp;01_因子設定!B6&amp;"["&amp;01_因子設定!D6&amp;"]"</f>
        <v>X2 乾燥時間[min]</v>
      </c>
      <c r="H4" s="10" t="s">
        <v>109</v>
      </c>
      <c r="I4" s="10" t="s">
        <v>110</v>
      </c>
      <c r="J4" s="10" t="s">
        <v>111</v>
      </c>
      <c r="K4" s="10" t="s">
        <v>112</v>
      </c>
      <c r="L4" s="9" t="s">
        <v>113</v>
      </c>
      <c r="N4" s="9" t="s">
        <v>114</v>
      </c>
      <c r="O4" s="9" t="s">
        <v>115</v>
      </c>
      <c r="S4" s="10" t="s">
        <v>116</v>
      </c>
      <c r="T4" s="10" t="s">
        <v>117</v>
      </c>
    </row>
    <row r="5" customFormat="false" ht="15" hidden="false" customHeight="false" outlineLevel="0" collapsed="false">
      <c r="A5" s="11" t="n">
        <v>1</v>
      </c>
      <c r="B5" s="11" t="str">
        <f aca="false">IF(A5&gt;01_因子設定!$B$23,"未使用",IF(A5&gt;01_因子設定!$B$26,"中心点",IF(01_因子設定!$B$20="Box-Behnken","BBD点",IF(A5&lt;=4,"要因点","軸点"))))</f>
        <v>要因点</v>
      </c>
      <c r="C5" s="11" t="n">
        <f aca="false">IF(A5&lt;=01_因子設定!$B$23,1,0)</f>
        <v>1</v>
      </c>
      <c r="D5" s="27" t="n">
        <f aca="false">IF($C5=0,0,N5*IF($A5&gt;4,01_因子設定!$B$22,1))</f>
        <v>-1</v>
      </c>
      <c r="E5" s="27" t="n">
        <f aca="false">IF($C5=0,0,O5*IF($A5&gt;4,01_因子設定!$B$22,1))</f>
        <v>-1</v>
      </c>
      <c r="F5" s="28" t="n">
        <f aca="false">IF($C5=1,01_因子設定!$G$5+D5*01_因子設定!$H$5,"")</f>
        <v>55</v>
      </c>
      <c r="G5" s="28" t="n">
        <f aca="false">IF($C5=1,01_因子設定!$G$6+E5*01_因子設定!$H$6,"")</f>
        <v>20</v>
      </c>
      <c r="H5" s="11" t="str">
        <f aca="false">IF(C5=0,"",IF(AND(OR(01_因子設定!$I$5="",F5&gt;=01_因子設定!$I$5),OR(01_因子設定!$J$5="",F5&lt;=01_因子設定!$J$5),OR(01_因子設定!$I$6="",G5&gt;=01_因子設定!$I$6),OR(01_因子設定!$J$6="",G5&lt;=01_因子設定!$J$6)),"OK","安全限界超過"))</f>
        <v>OK</v>
      </c>
      <c r="I5" s="29" t="n">
        <v>0.304772</v>
      </c>
      <c r="J5" s="30" t="n">
        <f aca="false">IF(C5=0,99,IF(AND(01_因子設定!$B$24="変更困難因子でグループ化",01_因子設定!$B$25&gt;0),VLOOKUP(ROUND(INDEX(D5:E5,01_因子設定!$B$25),6),$S$5:$T$9,2,FALSE())+I5*0.9,I5))</f>
        <v>0.304772</v>
      </c>
      <c r="K5" s="31" t="n">
        <f aca="false">IF(C5=1,SUMPRODUCT(($C$5:$C$22=1)*($J$5:$J$22&lt;J5))+1,"")</f>
        <v>4</v>
      </c>
      <c r="L5" s="28" t="n">
        <f aca="false">IF(C5=1,INDEX(03_実験結果!$G$5:$G$22,K5),0)</f>
        <v>40</v>
      </c>
      <c r="N5" s="32" t="n">
        <v>-1</v>
      </c>
      <c r="O5" s="32" t="n">
        <v>-1</v>
      </c>
      <c r="S5" s="33" t="n">
        <v>-1.414214</v>
      </c>
      <c r="T5" s="12" t="n">
        <v>3</v>
      </c>
    </row>
    <row r="6" customFormat="false" ht="15" hidden="false" customHeight="false" outlineLevel="0" collapsed="false">
      <c r="A6" s="11" t="n">
        <v>2</v>
      </c>
      <c r="B6" s="11" t="str">
        <f aca="false">IF(A6&gt;01_因子設定!$B$23,"未使用",IF(A6&gt;01_因子設定!$B$26,"中心点",IF(01_因子設定!$B$20="Box-Behnken","BBD点",IF(A6&lt;=4,"要因点","軸点"))))</f>
        <v>要因点</v>
      </c>
      <c r="C6" s="11" t="n">
        <f aca="false">IF(A6&lt;=01_因子設定!$B$23,1,0)</f>
        <v>1</v>
      </c>
      <c r="D6" s="27" t="n">
        <f aca="false">IF($C6=0,0,N6*IF($A6&gt;4,01_因子設定!$B$22,1))</f>
        <v>1</v>
      </c>
      <c r="E6" s="27" t="n">
        <f aca="false">IF($C6=0,0,O6*IF($A6&gt;4,01_因子設定!$B$22,1))</f>
        <v>-1</v>
      </c>
      <c r="F6" s="28" t="n">
        <f aca="false">IF($C6=1,01_因子設定!$G$5+D6*01_因子設定!$H$5,"")</f>
        <v>75</v>
      </c>
      <c r="G6" s="28" t="n">
        <f aca="false">IF($C6=1,01_因子設定!$G$6+E6*01_因子設定!$H$6,"")</f>
        <v>20</v>
      </c>
      <c r="H6" s="11" t="str">
        <f aca="false">IF(C6=0,"",IF(AND(OR(01_因子設定!$I$5="",F6&gt;=01_因子設定!$I$5),OR(01_因子設定!$J$5="",F6&lt;=01_因子設定!$J$5),OR(01_因子設定!$I$6="",G6&gt;=01_因子設定!$I$6),OR(01_因子設定!$J$6="",G6&lt;=01_因子設定!$J$6)),"OK","安全限界超過"))</f>
        <v>OK</v>
      </c>
      <c r="I6" s="29" t="n">
        <v>0.414749</v>
      </c>
      <c r="J6" s="30" t="n">
        <f aca="false">IF(C6=0,99,IF(AND(01_因子設定!$B$24="変更困難因子でグループ化",01_因子設定!$B$25&gt;0),VLOOKUP(ROUND(INDEX(D6:E6,01_因子設定!$B$25),6),$S$5:$T$9,2,FALSE())+I6*0.9,I6))</f>
        <v>0.414749</v>
      </c>
      <c r="K6" s="31" t="n">
        <f aca="false">IF(C6=1,SUMPRODUCT(($C$5:$C$22=1)*($J$5:$J$22&lt;J6))+1,"")</f>
        <v>5</v>
      </c>
      <c r="L6" s="28" t="n">
        <f aca="false">IF(C6=1,INDEX(03_実験結果!$G$5:$G$22,K6),0)</f>
        <v>43.2</v>
      </c>
      <c r="N6" s="32" t="n">
        <v>1</v>
      </c>
      <c r="O6" s="32" t="n">
        <v>-1</v>
      </c>
      <c r="S6" s="33" t="n">
        <v>-1</v>
      </c>
      <c r="T6" s="12" t="n">
        <v>1</v>
      </c>
    </row>
    <row r="7" customFormat="false" ht="15" hidden="false" customHeight="false" outlineLevel="0" collapsed="false">
      <c r="A7" s="11" t="n">
        <v>3</v>
      </c>
      <c r="B7" s="11" t="str">
        <f aca="false">IF(A7&gt;01_因子設定!$B$23,"未使用",IF(A7&gt;01_因子設定!$B$26,"中心点",IF(01_因子設定!$B$20="Box-Behnken","BBD点",IF(A7&lt;=4,"要因点","軸点"))))</f>
        <v>要因点</v>
      </c>
      <c r="C7" s="11" t="n">
        <f aca="false">IF(A7&lt;=01_因子設定!$B$23,1,0)</f>
        <v>1</v>
      </c>
      <c r="D7" s="27" t="n">
        <f aca="false">IF($C7=0,0,N7*IF($A7&gt;4,01_因子設定!$B$22,1))</f>
        <v>-1</v>
      </c>
      <c r="E7" s="27" t="n">
        <f aca="false">IF($C7=0,0,O7*IF($A7&gt;4,01_因子設定!$B$22,1))</f>
        <v>1</v>
      </c>
      <c r="F7" s="28" t="n">
        <f aca="false">IF($C7=1,01_因子設定!$G$5+D7*01_因子設定!$H$5,"")</f>
        <v>55</v>
      </c>
      <c r="G7" s="28" t="n">
        <f aca="false">IF($C7=1,01_因子設定!$G$6+E7*01_因子設定!$H$6,"")</f>
        <v>40</v>
      </c>
      <c r="H7" s="11" t="str">
        <f aca="false">IF(C7=0,"",IF(AND(OR(01_因子設定!$I$5="",F7&gt;=01_因子設定!$I$5),OR(01_因子設定!$J$5="",F7&lt;=01_因子設定!$J$5),OR(01_因子設定!$I$6="",G7&gt;=01_因子設定!$I$6),OR(01_因子設定!$J$6="",G7&lt;=01_因子設定!$J$6)),"OK","安全限界超過"))</f>
        <v>OK</v>
      </c>
      <c r="I7" s="29" t="n">
        <v>0.255268</v>
      </c>
      <c r="J7" s="30" t="n">
        <f aca="false">IF(C7=0,99,IF(AND(01_因子設定!$B$24="変更困難因子でグループ化",01_因子設定!$B$25&gt;0),VLOOKUP(ROUND(INDEX(D7:E7,01_因子設定!$B$25),6),$S$5:$T$9,2,FALSE())+I7*0.9,I7))</f>
        <v>0.255268</v>
      </c>
      <c r="K7" s="31" t="n">
        <f aca="false">IF(C7=1,SUMPRODUCT(($C$5:$C$22=1)*($J$5:$J$22&lt;J7))+1,"")</f>
        <v>3</v>
      </c>
      <c r="L7" s="28" t="n">
        <f aca="false">IF(C7=1,INDEX(03_実験結果!$G$5:$G$22,K7),0)</f>
        <v>43.5</v>
      </c>
      <c r="N7" s="32" t="n">
        <v>-1</v>
      </c>
      <c r="O7" s="32" t="n">
        <v>1</v>
      </c>
      <c r="S7" s="33" t="n">
        <v>0</v>
      </c>
      <c r="T7" s="12" t="n">
        <v>5</v>
      </c>
    </row>
    <row r="8" customFormat="false" ht="15" hidden="false" customHeight="false" outlineLevel="0" collapsed="false">
      <c r="A8" s="11" t="n">
        <v>4</v>
      </c>
      <c r="B8" s="11" t="str">
        <f aca="false">IF(A8&gt;01_因子設定!$B$23,"未使用",IF(A8&gt;01_因子設定!$B$26,"中心点",IF(01_因子設定!$B$20="Box-Behnken","BBD点",IF(A8&lt;=4,"要因点","軸点"))))</f>
        <v>要因点</v>
      </c>
      <c r="C8" s="11" t="n">
        <f aca="false">IF(A8&lt;=01_因子設定!$B$23,1,0)</f>
        <v>1</v>
      </c>
      <c r="D8" s="27" t="n">
        <f aca="false">IF($C8=0,0,N8*IF($A8&gt;4,01_因子設定!$B$22,1))</f>
        <v>1</v>
      </c>
      <c r="E8" s="27" t="n">
        <f aca="false">IF($C8=0,0,O8*IF($A8&gt;4,01_因子設定!$B$22,1))</f>
        <v>1</v>
      </c>
      <c r="F8" s="28" t="n">
        <f aca="false">IF($C8=1,01_因子設定!$G$5+D8*01_因子設定!$H$5,"")</f>
        <v>75</v>
      </c>
      <c r="G8" s="28" t="n">
        <f aca="false">IF($C8=1,01_因子設定!$G$6+E8*01_因子設定!$H$6,"")</f>
        <v>40</v>
      </c>
      <c r="H8" s="11" t="str">
        <f aca="false">IF(C8=0,"",IF(AND(OR(01_因子設定!$I$5="",F8&gt;=01_因子設定!$I$5),OR(01_因子設定!$J$5="",F8&lt;=01_因子設定!$J$5),OR(01_因子設定!$I$6="",G8&gt;=01_因子設定!$I$6),OR(01_因子設定!$J$6="",G8&lt;=01_因子設定!$J$6)),"OK","安全限界超過"))</f>
        <v>OK</v>
      </c>
      <c r="I8" s="29" t="n">
        <v>0.768538</v>
      </c>
      <c r="J8" s="30" t="n">
        <f aca="false">IF(C8=0,99,IF(AND(01_因子設定!$B$24="変更困難因子でグループ化",01_因子設定!$B$25&gt;0),VLOOKUP(ROUND(INDEX(D8:E8,01_因子設定!$B$25),6),$S$5:$T$9,2,FALSE())+I8*0.9,I8))</f>
        <v>0.768538</v>
      </c>
      <c r="K8" s="31" t="n">
        <f aca="false">IF(C8=1,SUMPRODUCT(($C$5:$C$22=1)*($J$5:$J$22&lt;J8))+1,"")</f>
        <v>9</v>
      </c>
      <c r="L8" s="28" t="n">
        <f aca="false">IF(C8=1,INDEX(03_実験結果!$G$5:$G$22,K8),0)</f>
        <v>48.8</v>
      </c>
      <c r="N8" s="32" t="n">
        <v>1</v>
      </c>
      <c r="O8" s="32" t="n">
        <v>1</v>
      </c>
      <c r="S8" s="33" t="n">
        <v>1</v>
      </c>
      <c r="T8" s="12" t="n">
        <v>2</v>
      </c>
    </row>
    <row r="9" customFormat="false" ht="15" hidden="false" customHeight="false" outlineLevel="0" collapsed="false">
      <c r="A9" s="11" t="n">
        <v>5</v>
      </c>
      <c r="B9" s="11" t="str">
        <f aca="false">IF(A9&gt;01_因子設定!$B$23,"未使用",IF(A9&gt;01_因子設定!$B$26,"中心点",IF(01_因子設定!$B$20="Box-Behnken","BBD点",IF(A9&lt;=4,"要因点","軸点"))))</f>
        <v>軸点</v>
      </c>
      <c r="C9" s="11" t="n">
        <f aca="false">IF(A9&lt;=01_因子設定!$B$23,1,0)</f>
        <v>1</v>
      </c>
      <c r="D9" s="27" t="n">
        <f aca="false">IF($C9=0,0,N9*IF($A9&gt;4,01_因子設定!$B$22,1))</f>
        <v>-1</v>
      </c>
      <c r="E9" s="27" t="n">
        <f aca="false">IF($C9=0,0,O9*IF($A9&gt;4,01_因子設定!$B$22,1))</f>
        <v>0</v>
      </c>
      <c r="F9" s="28" t="n">
        <f aca="false">IF($C9=1,01_因子設定!$G$5+D9*01_因子設定!$H$5,"")</f>
        <v>55</v>
      </c>
      <c r="G9" s="28" t="n">
        <f aca="false">IF($C9=1,01_因子設定!$G$6+E9*01_因子設定!$H$6,"")</f>
        <v>30</v>
      </c>
      <c r="H9" s="11" t="str">
        <f aca="false">IF(C9=0,"",IF(AND(OR(01_因子設定!$I$5="",F9&gt;=01_因子設定!$I$5),OR(01_因子設定!$J$5="",F9&lt;=01_因子設定!$J$5),OR(01_因子設定!$I$6="",G9&gt;=01_因子設定!$I$6),OR(01_因子設定!$J$6="",G9&lt;=01_因子設定!$J$6)),"OK","安全限界超過"))</f>
        <v>OK</v>
      </c>
      <c r="I9" s="29" t="n">
        <v>0.535958</v>
      </c>
      <c r="J9" s="30" t="n">
        <f aca="false">IF(C9=0,99,IF(AND(01_因子設定!$B$24="変更困難因子でグループ化",01_因子設定!$B$25&gt;0),VLOOKUP(ROUND(INDEX(D9:E9,01_因子設定!$B$25),6),$S$5:$T$9,2,FALSE())+I9*0.9,I9))</f>
        <v>0.535958</v>
      </c>
      <c r="K9" s="31" t="n">
        <f aca="false">IF(C9=1,SUMPRODUCT(($C$5:$C$22=1)*($J$5:$J$22&lt;J9))+1,"")</f>
        <v>6</v>
      </c>
      <c r="L9" s="28" t="n">
        <f aca="false">IF(C9=1,INDEX(03_実験結果!$G$5:$G$22,K9),0)</f>
        <v>43</v>
      </c>
      <c r="N9" s="32" t="n">
        <v>-1</v>
      </c>
      <c r="O9" s="32" t="n">
        <v>0</v>
      </c>
      <c r="S9" s="33" t="n">
        <v>1.414214</v>
      </c>
      <c r="T9" s="12" t="n">
        <v>4</v>
      </c>
    </row>
    <row r="10" customFormat="false" ht="15" hidden="false" customHeight="false" outlineLevel="0" collapsed="false">
      <c r="A10" s="11" t="n">
        <v>6</v>
      </c>
      <c r="B10" s="11" t="str">
        <f aca="false">IF(A10&gt;01_因子設定!$B$23,"未使用",IF(A10&gt;01_因子設定!$B$26,"中心点",IF(01_因子設定!$B$20="Box-Behnken","BBD点",IF(A10&lt;=4,"要因点","軸点"))))</f>
        <v>軸点</v>
      </c>
      <c r="C10" s="11" t="n">
        <f aca="false">IF(A10&lt;=01_因子設定!$B$23,1,0)</f>
        <v>1</v>
      </c>
      <c r="D10" s="27" t="n">
        <f aca="false">IF($C10=0,0,N10*IF($A10&gt;4,01_因子設定!$B$22,1))</f>
        <v>1</v>
      </c>
      <c r="E10" s="27" t="n">
        <f aca="false">IF($C10=0,0,O10*IF($A10&gt;4,01_因子設定!$B$22,1))</f>
        <v>0</v>
      </c>
      <c r="F10" s="28" t="n">
        <f aca="false">IF($C10=1,01_因子設定!$G$5+D10*01_因子設定!$H$5,"")</f>
        <v>75</v>
      </c>
      <c r="G10" s="28" t="n">
        <f aca="false">IF($C10=1,01_因子設定!$G$6+E10*01_因子設定!$H$6,"")</f>
        <v>30</v>
      </c>
      <c r="H10" s="11" t="str">
        <f aca="false">IF(C10=0,"",IF(AND(OR(01_因子設定!$I$5="",F10&gt;=01_因子設定!$I$5),OR(01_因子設定!$J$5="",F10&lt;=01_因子設定!$J$5),OR(01_因子設定!$I$6="",G10&gt;=01_因子設定!$I$6),OR(01_因子設定!$J$6="",G10&lt;=01_因子設定!$J$6)),"OK","安全限界超過"))</f>
        <v>OK</v>
      </c>
      <c r="I10" s="29" t="n">
        <v>0.821638</v>
      </c>
      <c r="J10" s="30" t="n">
        <f aca="false">IF(C10=0,99,IF(AND(01_因子設定!$B$24="変更困難因子でグループ化",01_因子設定!$B$25&gt;0),VLOOKUP(ROUND(INDEX(D10:E10,01_因子設定!$B$25),6),$S$5:$T$9,2,FALSE())+I10*0.9,I10))</f>
        <v>0.821638</v>
      </c>
      <c r="K10" s="31" t="n">
        <f aca="false">IF(C10=1,SUMPRODUCT(($C$5:$C$22=1)*($J$5:$J$22&lt;J10))+1,"")</f>
        <v>10</v>
      </c>
      <c r="L10" s="28" t="n">
        <f aca="false">IF(C10=1,INDEX(03_実験結果!$G$5:$G$22,K10),0)</f>
        <v>47.2</v>
      </c>
      <c r="N10" s="32" t="n">
        <v>1</v>
      </c>
      <c r="O10" s="32" t="n">
        <v>0</v>
      </c>
    </row>
    <row r="11" customFormat="false" ht="15" hidden="false" customHeight="false" outlineLevel="0" collapsed="false">
      <c r="A11" s="11" t="n">
        <v>7</v>
      </c>
      <c r="B11" s="11" t="str">
        <f aca="false">IF(A11&gt;01_因子設定!$B$23,"未使用",IF(A11&gt;01_因子設定!$B$26,"中心点",IF(01_因子設定!$B$20="Box-Behnken","BBD点",IF(A11&lt;=4,"要因点","軸点"))))</f>
        <v>軸点</v>
      </c>
      <c r="C11" s="11" t="n">
        <f aca="false">IF(A11&lt;=01_因子設定!$B$23,1,0)</f>
        <v>1</v>
      </c>
      <c r="D11" s="27" t="n">
        <f aca="false">IF($C11=0,0,N11*IF($A11&gt;4,01_因子設定!$B$22,1))</f>
        <v>0</v>
      </c>
      <c r="E11" s="27" t="n">
        <f aca="false">IF($C11=0,0,O11*IF($A11&gt;4,01_因子設定!$B$22,1))</f>
        <v>-1</v>
      </c>
      <c r="F11" s="28" t="n">
        <f aca="false">IF($C11=1,01_因子設定!$G$5+D11*01_因子設定!$H$5,"")</f>
        <v>65</v>
      </c>
      <c r="G11" s="28" t="n">
        <f aca="false">IF($C11=1,01_因子設定!$G$6+E11*01_因子設定!$H$6,"")</f>
        <v>20</v>
      </c>
      <c r="H11" s="11" t="str">
        <f aca="false">IF(C11=0,"",IF(AND(OR(01_因子設定!$I$5="",F11&gt;=01_因子設定!$I$5),OR(01_因子設定!$J$5="",F11&lt;=01_因子設定!$J$5),OR(01_因子設定!$I$6="",G11&gt;=01_因子設定!$I$6),OR(01_因子設定!$J$6="",G11&lt;=01_因子設定!$J$6)),"OK","安全限界超過"))</f>
        <v>OK</v>
      </c>
      <c r="I11" s="29" t="n">
        <v>0.741846</v>
      </c>
      <c r="J11" s="30" t="n">
        <f aca="false">IF(C11=0,99,IF(AND(01_因子設定!$B$24="変更困難因子でグループ化",01_因子設定!$B$25&gt;0),VLOOKUP(ROUND(INDEX(D11:E11,01_因子設定!$B$25),6),$S$5:$T$9,2,FALSE())+I11*0.9,I11))</f>
        <v>0.741846</v>
      </c>
      <c r="K11" s="31" t="n">
        <f aca="false">IF(C11=1,SUMPRODUCT(($C$5:$C$22=1)*($J$5:$J$22&lt;J11))+1,"")</f>
        <v>8</v>
      </c>
      <c r="L11" s="28" t="n">
        <f aca="false">IF(C11=1,INDEX(03_実験結果!$G$5:$G$22,K11),0)</f>
        <v>44.1</v>
      </c>
      <c r="N11" s="32" t="n">
        <v>0</v>
      </c>
      <c r="O11" s="32" t="n">
        <v>-1</v>
      </c>
      <c r="S11" s="19" t="s">
        <v>118</v>
      </c>
    </row>
    <row r="12" customFormat="false" ht="15" hidden="false" customHeight="false" outlineLevel="0" collapsed="false">
      <c r="A12" s="11" t="n">
        <v>8</v>
      </c>
      <c r="B12" s="11" t="str">
        <f aca="false">IF(A12&gt;01_因子設定!$B$23,"未使用",IF(A12&gt;01_因子設定!$B$26,"中心点",IF(01_因子設定!$B$20="Box-Behnken","BBD点",IF(A12&lt;=4,"要因点","軸点"))))</f>
        <v>軸点</v>
      </c>
      <c r="C12" s="11" t="n">
        <f aca="false">IF(A12&lt;=01_因子設定!$B$23,1,0)</f>
        <v>1</v>
      </c>
      <c r="D12" s="27" t="n">
        <f aca="false">IF($C12=0,0,N12*IF($A12&gt;4,01_因子設定!$B$22,1))</f>
        <v>0</v>
      </c>
      <c r="E12" s="27" t="n">
        <f aca="false">IF($C12=0,0,O12*IF($A12&gt;4,01_因子設定!$B$22,1))</f>
        <v>1</v>
      </c>
      <c r="F12" s="28" t="n">
        <f aca="false">IF($C12=1,01_因子設定!$G$5+D12*01_因子設定!$H$5,"")</f>
        <v>65</v>
      </c>
      <c r="G12" s="28" t="n">
        <f aca="false">IF($C12=1,01_因子設定!$G$6+E12*01_因子設定!$H$6,"")</f>
        <v>40</v>
      </c>
      <c r="H12" s="11" t="str">
        <f aca="false">IF(C12=0,"",IF(AND(OR(01_因子設定!$I$5="",F12&gt;=01_因子設定!$I$5),OR(01_因子設定!$J$5="",F12&lt;=01_因子設定!$J$5),OR(01_因子設定!$I$6="",G12&gt;=01_因子設定!$I$6),OR(01_因子設定!$J$6="",G12&lt;=01_因子設定!$J$6)),"OK","安全限界超過"))</f>
        <v>OK</v>
      </c>
      <c r="I12" s="29" t="n">
        <v>0.85567</v>
      </c>
      <c r="J12" s="30" t="n">
        <f aca="false">IF(C12=0,99,IF(AND(01_因子設定!$B$24="変更困難因子でグループ化",01_因子設定!$B$25&gt;0),VLOOKUP(ROUND(INDEX(D12:E12,01_因子設定!$B$25),6),$S$5:$T$9,2,FALSE())+I12*0.9,I12))</f>
        <v>0.85567</v>
      </c>
      <c r="K12" s="31" t="n">
        <f aca="false">IF(C12=1,SUMPRODUCT(($C$5:$C$22=1)*($J$5:$J$22&lt;J12))+1,"")</f>
        <v>11</v>
      </c>
      <c r="L12" s="28" t="n">
        <f aca="false">IF(C12=1,INDEX(03_実験結果!$G$5:$G$22,K12),0)</f>
        <v>48.5</v>
      </c>
      <c r="N12" s="32" t="n">
        <v>0</v>
      </c>
      <c r="O12" s="32" t="n">
        <v>1</v>
      </c>
    </row>
    <row r="13" customFormat="false" ht="15" hidden="false" customHeight="false" outlineLevel="0" collapsed="false">
      <c r="A13" s="11" t="n">
        <v>9</v>
      </c>
      <c r="B13" s="11" t="str">
        <f aca="false">IF(A13&gt;01_因子設定!$B$23,"未使用",IF(A13&gt;01_因子設定!$B$26,"中心点",IF(01_因子設定!$B$20="Box-Behnken","BBD点",IF(A13&lt;=4,"要因点","軸点"))))</f>
        <v>中心点</v>
      </c>
      <c r="C13" s="11" t="n">
        <f aca="false">IF(A13&lt;=01_因子設定!$B$23,1,0)</f>
        <v>1</v>
      </c>
      <c r="D13" s="27" t="n">
        <f aca="false">IF($C13=0,0,N13*IF($A13&gt;4,01_因子設定!$B$22,1))</f>
        <v>0</v>
      </c>
      <c r="E13" s="27" t="n">
        <f aca="false">IF($C13=0,0,O13*IF($A13&gt;4,01_因子設定!$B$22,1))</f>
        <v>0</v>
      </c>
      <c r="F13" s="28" t="n">
        <f aca="false">IF($C13=1,01_因子設定!$G$5+D13*01_因子設定!$H$5,"")</f>
        <v>65</v>
      </c>
      <c r="G13" s="28" t="n">
        <f aca="false">IF($C13=1,01_因子設定!$G$6+E13*01_因子設定!$H$6,"")</f>
        <v>30</v>
      </c>
      <c r="H13" s="11" t="str">
        <f aca="false">IF(C13=0,"",IF(AND(OR(01_因子設定!$I$5="",F13&gt;=01_因子設定!$I$5),OR(01_因子設定!$J$5="",F13&lt;=01_因子設定!$J$5),OR(01_因子設定!$I$6="",G13&gt;=01_因子設定!$I$6),OR(01_因子設定!$J$6="",G13&lt;=01_因子設定!$J$6)),"OK","安全限界超過"))</f>
        <v>OK</v>
      </c>
      <c r="I13" s="29" t="n">
        <v>0.967413</v>
      </c>
      <c r="J13" s="30" t="n">
        <f aca="false">IF(C13=0,99,IF(AND(01_因子設定!$B$24="変更困難因子でグループ化",01_因子設定!$B$25&gt;0),VLOOKUP(ROUND(INDEX(D13:E13,01_因子設定!$B$25),6),$S$5:$T$9,2,FALSE())+I13*0.9,I13))</f>
        <v>0.967413</v>
      </c>
      <c r="K13" s="31" t="n">
        <f aca="false">IF(C13=1,SUMPRODUCT(($C$5:$C$22=1)*($J$5:$J$22&lt;J13))+1,"")</f>
        <v>12</v>
      </c>
      <c r="L13" s="28" t="n">
        <f aca="false">IF(C13=1,INDEX(03_実験結果!$G$5:$G$22,K13),0)</f>
        <v>48.5</v>
      </c>
      <c r="N13" s="32" t="n">
        <v>0</v>
      </c>
      <c r="O13" s="32" t="n">
        <v>0</v>
      </c>
    </row>
    <row r="14" customFormat="false" ht="15" hidden="false" customHeight="false" outlineLevel="0" collapsed="false">
      <c r="A14" s="11" t="n">
        <v>10</v>
      </c>
      <c r="B14" s="11" t="str">
        <f aca="false">IF(A14&gt;01_因子設定!$B$23,"未使用",IF(A14&gt;01_因子設定!$B$26,"中心点",IF(01_因子設定!$B$20="Box-Behnken","BBD点",IF(A14&lt;=4,"要因点","軸点"))))</f>
        <v>中心点</v>
      </c>
      <c r="C14" s="11" t="n">
        <f aca="false">IF(A14&lt;=01_因子設定!$B$23,1,0)</f>
        <v>1</v>
      </c>
      <c r="D14" s="27" t="n">
        <f aca="false">IF($C14=0,0,N14*IF($A14&gt;4,01_因子設定!$B$22,1))</f>
        <v>0</v>
      </c>
      <c r="E14" s="27" t="n">
        <f aca="false">IF($C14=0,0,O14*IF($A14&gt;4,01_因子設定!$B$22,1))</f>
        <v>0</v>
      </c>
      <c r="F14" s="28" t="n">
        <f aca="false">IF($C14=1,01_因子設定!$G$5+D14*01_因子設定!$H$5,"")</f>
        <v>65</v>
      </c>
      <c r="G14" s="28" t="n">
        <f aca="false">IF($C14=1,01_因子設定!$G$6+E14*01_因子設定!$H$6,"")</f>
        <v>30</v>
      </c>
      <c r="H14" s="11" t="str">
        <f aca="false">IF(C14=0,"",IF(AND(OR(01_因子設定!$I$5="",F14&gt;=01_因子設定!$I$5),OR(01_因子設定!$J$5="",F14&lt;=01_因子設定!$J$5),OR(01_因子設定!$I$6="",G14&gt;=01_因子設定!$I$6),OR(01_因子設定!$J$6="",G14&lt;=01_因子設定!$J$6)),"OK","安全限界超過"))</f>
        <v>OK</v>
      </c>
      <c r="I14" s="29" t="n">
        <v>0.064566</v>
      </c>
      <c r="J14" s="30" t="n">
        <f aca="false">IF(C14=0,99,IF(AND(01_因子設定!$B$24="変更困難因子でグループ化",01_因子設定!$B$25&gt;0),VLOOKUP(ROUND(INDEX(D14:E14,01_因子設定!$B$25),6),$S$5:$T$9,2,FALSE())+I14*0.9,I14))</f>
        <v>0.064566</v>
      </c>
      <c r="K14" s="31" t="n">
        <f aca="false">IF(C14=1,SUMPRODUCT(($C$5:$C$22=1)*($J$5:$J$22&lt;J14))+1,"")</f>
        <v>2</v>
      </c>
      <c r="L14" s="28" t="n">
        <f aca="false">IF(C14=1,INDEX(03_実験結果!$G$5:$G$22,K14),0)</f>
        <v>46.7</v>
      </c>
      <c r="N14" s="32" t="n">
        <v>0</v>
      </c>
      <c r="O14" s="32" t="n">
        <v>0</v>
      </c>
    </row>
    <row r="15" customFormat="false" ht="15" hidden="false" customHeight="false" outlineLevel="0" collapsed="false">
      <c r="A15" s="11" t="n">
        <v>11</v>
      </c>
      <c r="B15" s="11" t="str">
        <f aca="false">IF(A15&gt;01_因子設定!$B$23,"未使用",IF(A15&gt;01_因子設定!$B$26,"中心点",IF(01_因子設定!$B$20="Box-Behnken","BBD点",IF(A15&lt;=4,"要因点","軸点"))))</f>
        <v>中心点</v>
      </c>
      <c r="C15" s="11" t="n">
        <f aca="false">IF(A15&lt;=01_因子設定!$B$23,1,0)</f>
        <v>1</v>
      </c>
      <c r="D15" s="27" t="n">
        <f aca="false">IF($C15=0,0,N15*IF($A15&gt;4,01_因子設定!$B$22,1))</f>
        <v>0</v>
      </c>
      <c r="E15" s="27" t="n">
        <f aca="false">IF($C15=0,0,O15*IF($A15&gt;4,01_因子設定!$B$22,1))</f>
        <v>0</v>
      </c>
      <c r="F15" s="28" t="n">
        <f aca="false">IF($C15=1,01_因子設定!$G$5+D15*01_因子設定!$H$5,"")</f>
        <v>65</v>
      </c>
      <c r="G15" s="28" t="n">
        <f aca="false">IF($C15=1,01_因子設定!$G$6+E15*01_因子設定!$H$6,"")</f>
        <v>30</v>
      </c>
      <c r="H15" s="11" t="str">
        <f aca="false">IF(C15=0,"",IF(AND(OR(01_因子設定!$I$5="",F15&gt;=01_因子設定!$I$5),OR(01_因子設定!$J$5="",F15&lt;=01_因子設定!$J$5),OR(01_因子設定!$I$6="",G15&gt;=01_因子設定!$I$6),OR(01_因子設定!$J$6="",G15&lt;=01_因子設定!$J$6)),"OK","安全限界超過"))</f>
        <v>OK</v>
      </c>
      <c r="I15" s="29" t="n">
        <v>0.977205</v>
      </c>
      <c r="J15" s="30" t="n">
        <f aca="false">IF(C15=0,99,IF(AND(01_因子設定!$B$24="変更困難因子でグループ化",01_因子設定!$B$25&gt;0),VLOOKUP(ROUND(INDEX(D15:E15,01_因子設定!$B$25),6),$S$5:$T$9,2,FALSE())+I15*0.9,I15))</f>
        <v>0.977205</v>
      </c>
      <c r="K15" s="31" t="n">
        <f aca="false">IF(C15=1,SUMPRODUCT(($C$5:$C$22=1)*($J$5:$J$22&lt;J15))+1,"")</f>
        <v>13</v>
      </c>
      <c r="L15" s="28" t="n">
        <f aca="false">IF(C15=1,INDEX(03_実験結果!$G$5:$G$22,K15),0)</f>
        <v>49.1</v>
      </c>
      <c r="N15" s="32" t="n">
        <v>0</v>
      </c>
      <c r="O15" s="32" t="n">
        <v>0</v>
      </c>
    </row>
    <row r="16" customFormat="false" ht="15" hidden="false" customHeight="false" outlineLevel="0" collapsed="false">
      <c r="A16" s="11" t="n">
        <v>12</v>
      </c>
      <c r="B16" s="11" t="str">
        <f aca="false">IF(A16&gt;01_因子設定!$B$23,"未使用",IF(A16&gt;01_因子設定!$B$26,"中心点",IF(01_因子設定!$B$20="Box-Behnken","BBD点",IF(A16&lt;=4,"要因点","軸点"))))</f>
        <v>中心点</v>
      </c>
      <c r="C16" s="11" t="n">
        <f aca="false">IF(A16&lt;=01_因子設定!$B$23,1,0)</f>
        <v>1</v>
      </c>
      <c r="D16" s="27" t="n">
        <f aca="false">IF($C16=0,0,N16*IF($A16&gt;4,01_因子設定!$B$22,1))</f>
        <v>0</v>
      </c>
      <c r="E16" s="27" t="n">
        <f aca="false">IF($C16=0,0,O16*IF($A16&gt;4,01_因子設定!$B$22,1))</f>
        <v>0</v>
      </c>
      <c r="F16" s="28" t="n">
        <f aca="false">IF($C16=1,01_因子設定!$G$5+D16*01_因子設定!$H$5,"")</f>
        <v>65</v>
      </c>
      <c r="G16" s="28" t="n">
        <f aca="false">IF($C16=1,01_因子設定!$G$6+E16*01_因子設定!$H$6,"")</f>
        <v>30</v>
      </c>
      <c r="H16" s="11" t="str">
        <f aca="false">IF(C16=0,"",IF(AND(OR(01_因子設定!$I$5="",F16&gt;=01_因子設定!$I$5),OR(01_因子設定!$J$5="",F16&lt;=01_因子設定!$J$5),OR(01_因子設定!$I$6="",G16&gt;=01_因子設定!$I$6),OR(01_因子設定!$J$6="",G16&lt;=01_因子設定!$J$6)),"OK","安全限界超過"))</f>
        <v>OK</v>
      </c>
      <c r="I16" s="29" t="n">
        <v>0.062067</v>
      </c>
      <c r="J16" s="30" t="n">
        <f aca="false">IF(C16=0,99,IF(AND(01_因子設定!$B$24="変更困難因子でグループ化",01_因子設定!$B$25&gt;0),VLOOKUP(ROUND(INDEX(D16:E16,01_因子設定!$B$25),6),$S$5:$T$9,2,FALSE())+I16*0.9,I16))</f>
        <v>0.062067</v>
      </c>
      <c r="K16" s="31" t="n">
        <f aca="false">IF(C16=1,SUMPRODUCT(($C$5:$C$22=1)*($J$5:$J$22&lt;J16))+1,"")</f>
        <v>1</v>
      </c>
      <c r="L16" s="28" t="n">
        <f aca="false">IF(C16=1,INDEX(03_実験結果!$G$5:$G$22,K16),0)</f>
        <v>47.9</v>
      </c>
      <c r="N16" s="32" t="n">
        <v>0</v>
      </c>
      <c r="O16" s="32" t="n">
        <v>0</v>
      </c>
    </row>
    <row r="17" customFormat="false" ht="15" hidden="false" customHeight="false" outlineLevel="0" collapsed="false">
      <c r="A17" s="11" t="n">
        <v>13</v>
      </c>
      <c r="B17" s="11" t="str">
        <f aca="false">IF(A17&gt;01_因子設定!$B$23,"未使用",IF(A17&gt;01_因子設定!$B$26,"中心点",IF(01_因子設定!$B$20="Box-Behnken","BBD点",IF(A17&lt;=4,"要因点","軸点"))))</f>
        <v>中心点</v>
      </c>
      <c r="C17" s="11" t="n">
        <f aca="false">IF(A17&lt;=01_因子設定!$B$23,1,0)</f>
        <v>1</v>
      </c>
      <c r="D17" s="27" t="n">
        <f aca="false">IF($C17=0,0,N17*IF($A17&gt;4,01_因子設定!$B$22,1))</f>
        <v>0</v>
      </c>
      <c r="E17" s="27" t="n">
        <f aca="false">IF($C17=0,0,O17*IF($A17&gt;4,01_因子設定!$B$22,1))</f>
        <v>0</v>
      </c>
      <c r="F17" s="28" t="n">
        <f aca="false">IF($C17=1,01_因子設定!$G$5+D17*01_因子設定!$H$5,"")</f>
        <v>65</v>
      </c>
      <c r="G17" s="28" t="n">
        <f aca="false">IF($C17=1,01_因子設定!$G$6+E17*01_因子設定!$H$6,"")</f>
        <v>30</v>
      </c>
      <c r="H17" s="11" t="str">
        <f aca="false">IF(C17=0,"",IF(AND(OR(01_因子設定!$I$5="",F17&gt;=01_因子設定!$I$5),OR(01_因子設定!$J$5="",F17&lt;=01_因子設定!$J$5),OR(01_因子設定!$I$6="",G17&gt;=01_因子設定!$I$6),OR(01_因子設定!$J$6="",G17&lt;=01_因子設定!$J$6)),"OK","安全限界超過"))</f>
        <v>OK</v>
      </c>
      <c r="I17" s="29" t="n">
        <v>0.536927</v>
      </c>
      <c r="J17" s="30" t="n">
        <f aca="false">IF(C17=0,99,IF(AND(01_因子設定!$B$24="変更困難因子でグループ化",01_因子設定!$B$25&gt;0),VLOOKUP(ROUND(INDEX(D17:E17,01_因子設定!$B$25),6),$S$5:$T$9,2,FALSE())+I17*0.9,I17))</f>
        <v>0.536927</v>
      </c>
      <c r="K17" s="31" t="n">
        <f aca="false">IF(C17=1,SUMPRODUCT(($C$5:$C$22=1)*($J$5:$J$22&lt;J17))+1,"")</f>
        <v>7</v>
      </c>
      <c r="L17" s="28" t="n">
        <f aca="false">IF(C17=1,INDEX(03_実験結果!$G$5:$G$22,K17),0)</f>
        <v>48.5</v>
      </c>
      <c r="N17" s="32" t="n">
        <v>0</v>
      </c>
      <c r="O17" s="32" t="n">
        <v>0</v>
      </c>
    </row>
    <row r="18" customFormat="false" ht="15" hidden="false" customHeight="false" outlineLevel="0" collapsed="false">
      <c r="A18" s="11" t="n">
        <v>14</v>
      </c>
      <c r="B18" s="11" t="str">
        <f aca="false">IF(A18&gt;01_因子設定!$B$23,"未使用",IF(A18&gt;01_因子設定!$B$26,"中心点",IF(01_因子設定!$B$20="Box-Behnken","BBD点",IF(A18&lt;=4,"要因点","軸点"))))</f>
        <v>未使用</v>
      </c>
      <c r="C18" s="11" t="n">
        <f aca="false">IF(A18&lt;=01_因子設定!$B$23,1,0)</f>
        <v>0</v>
      </c>
      <c r="D18" s="27" t="n">
        <f aca="false">IF($C18=0,0,N18*IF($A18&gt;4,01_因子設定!$B$22,1))</f>
        <v>0</v>
      </c>
      <c r="E18" s="27" t="n">
        <f aca="false">IF($C18=0,0,O18*IF($A18&gt;4,01_因子設定!$B$22,1))</f>
        <v>0</v>
      </c>
      <c r="F18" s="28" t="str">
        <f aca="false">IF($C18=1,01_因子設定!$G$5+D18*01_因子設定!$H$5,"")</f>
        <v/>
      </c>
      <c r="G18" s="28" t="str">
        <f aca="false">IF($C18=1,01_因子設定!$G$6+E18*01_因子設定!$H$6,"")</f>
        <v/>
      </c>
      <c r="H18" s="11" t="str">
        <f aca="false">IF(C18=0,"",IF(AND(OR(01_因子設定!$I$5="",F18&gt;=01_因子設定!$I$5),OR(01_因子設定!$J$5="",F18&lt;=01_因子設定!$J$5),OR(01_因子設定!$I$6="",G18&gt;=01_因子設定!$I$6),OR(01_因子設定!$J$6="",G18&lt;=01_因子設定!$J$6)),"OK","安全限界超過"))</f>
        <v/>
      </c>
      <c r="I18" s="29" t="n">
        <v>0.110535</v>
      </c>
      <c r="J18" s="30" t="n">
        <f aca="false">IF(C18=0,99,IF(AND(01_因子設定!$B$24="変更困難因子でグループ化",01_因子設定!$B$25&gt;0),VLOOKUP(ROUND(INDEX(D18:E18,01_因子設定!$B$25),6),$S$5:$T$9,2,FALSE())+I18*0.9,I18))</f>
        <v>99</v>
      </c>
      <c r="K18" s="31" t="str">
        <f aca="false">IF(C18=1,SUMPRODUCT(($C$5:$C$22=1)*($J$5:$J$22&lt;J18))+1,"")</f>
        <v/>
      </c>
      <c r="L18" s="28" t="n">
        <f aca="false">IF(C18=1,INDEX(03_実験結果!$G$5:$G$22,K18),0)</f>
        <v>0</v>
      </c>
      <c r="N18" s="32" t="n">
        <v>0</v>
      </c>
      <c r="O18" s="32" t="n">
        <v>0</v>
      </c>
    </row>
    <row r="19" customFormat="false" ht="15" hidden="false" customHeight="false" outlineLevel="0" collapsed="false">
      <c r="A19" s="11" t="n">
        <v>15</v>
      </c>
      <c r="B19" s="11" t="str">
        <f aca="false">IF(A19&gt;01_因子設定!$B$23,"未使用",IF(A19&gt;01_因子設定!$B$26,"中心点",IF(01_因子設定!$B$20="Box-Behnken","BBD点",IF(A19&lt;=4,"要因点","軸点"))))</f>
        <v>未使用</v>
      </c>
      <c r="C19" s="11" t="n">
        <f aca="false">IF(A19&lt;=01_因子設定!$B$23,1,0)</f>
        <v>0</v>
      </c>
      <c r="D19" s="27" t="n">
        <f aca="false">IF($C19=0,0,N19*IF($A19&gt;4,01_因子設定!$B$22,1))</f>
        <v>0</v>
      </c>
      <c r="E19" s="27" t="n">
        <f aca="false">IF($C19=0,0,O19*IF($A19&gt;4,01_因子設定!$B$22,1))</f>
        <v>0</v>
      </c>
      <c r="F19" s="28" t="str">
        <f aca="false">IF($C19=1,01_因子設定!$G$5+D19*01_因子設定!$H$5,"")</f>
        <v/>
      </c>
      <c r="G19" s="28" t="str">
        <f aca="false">IF($C19=1,01_因子設定!$G$6+E19*01_因子設定!$H$6,"")</f>
        <v/>
      </c>
      <c r="H19" s="11" t="str">
        <f aca="false">IF(C19=0,"",IF(AND(OR(01_因子設定!$I$5="",F19&gt;=01_因子設定!$I$5),OR(01_因子設定!$J$5="",F19&lt;=01_因子設定!$J$5),OR(01_因子設定!$I$6="",G19&gt;=01_因子設定!$I$6),OR(01_因子設定!$J$6="",G19&lt;=01_因子設定!$J$6)),"OK","安全限界超過"))</f>
        <v/>
      </c>
      <c r="I19" s="29" t="n">
        <v>0.201322</v>
      </c>
      <c r="J19" s="30" t="n">
        <f aca="false">IF(C19=0,99,IF(AND(01_因子設定!$B$24="変更困難因子でグループ化",01_因子設定!$B$25&gt;0),VLOOKUP(ROUND(INDEX(D19:E19,01_因子設定!$B$25),6),$S$5:$T$9,2,FALSE())+I19*0.9,I19))</f>
        <v>99</v>
      </c>
      <c r="K19" s="31" t="str">
        <f aca="false">IF(C19=1,SUMPRODUCT(($C$5:$C$22=1)*($J$5:$J$22&lt;J19))+1,"")</f>
        <v/>
      </c>
      <c r="L19" s="28" t="n">
        <f aca="false">IF(C19=1,INDEX(03_実験結果!$G$5:$G$22,K19),0)</f>
        <v>0</v>
      </c>
      <c r="N19" s="32" t="n">
        <v>0</v>
      </c>
      <c r="O19" s="32" t="n">
        <v>0</v>
      </c>
    </row>
    <row r="20" customFormat="false" ht="15" hidden="false" customHeight="false" outlineLevel="0" collapsed="false">
      <c r="A20" s="11" t="n">
        <v>16</v>
      </c>
      <c r="B20" s="11" t="str">
        <f aca="false">IF(A20&gt;01_因子設定!$B$23,"未使用",IF(A20&gt;01_因子設定!$B$26,"中心点",IF(01_因子設定!$B$20="Box-Behnken","BBD点",IF(A20&lt;=4,"要因点","軸点"))))</f>
        <v>未使用</v>
      </c>
      <c r="C20" s="11" t="n">
        <f aca="false">IF(A20&lt;=01_因子設定!$B$23,1,0)</f>
        <v>0</v>
      </c>
      <c r="D20" s="27" t="n">
        <f aca="false">IF($C20=0,0,N20*IF($A20&gt;4,01_因子設定!$B$22,1))</f>
        <v>0</v>
      </c>
      <c r="E20" s="27" t="n">
        <f aca="false">IF($C20=0,0,O20*IF($A20&gt;4,01_因子設定!$B$22,1))</f>
        <v>0</v>
      </c>
      <c r="F20" s="28" t="str">
        <f aca="false">IF($C20=1,01_因子設定!$G$5+D20*01_因子設定!$H$5,"")</f>
        <v/>
      </c>
      <c r="G20" s="28" t="str">
        <f aca="false">IF($C20=1,01_因子設定!$G$6+E20*01_因子設定!$H$6,"")</f>
        <v/>
      </c>
      <c r="H20" s="11" t="str">
        <f aca="false">IF(C20=0,"",IF(AND(OR(01_因子設定!$I$5="",F20&gt;=01_因子設定!$I$5),OR(01_因子設定!$J$5="",F20&lt;=01_因子設定!$J$5),OR(01_因子設定!$I$6="",G20&gt;=01_因子設定!$I$6),OR(01_因子設定!$J$6="",G20&lt;=01_因子設定!$J$6)),"OK","安全限界超過"))</f>
        <v/>
      </c>
      <c r="I20" s="29" t="n">
        <v>0.319799</v>
      </c>
      <c r="J20" s="30" t="n">
        <f aca="false">IF(C20=0,99,IF(AND(01_因子設定!$B$24="変更困難因子でグループ化",01_因子設定!$B$25&gt;0),VLOOKUP(ROUND(INDEX(D20:E20,01_因子設定!$B$25),6),$S$5:$T$9,2,FALSE())+I20*0.9,I20))</f>
        <v>99</v>
      </c>
      <c r="K20" s="31" t="str">
        <f aca="false">IF(C20=1,SUMPRODUCT(($C$5:$C$22=1)*($J$5:$J$22&lt;J20))+1,"")</f>
        <v/>
      </c>
      <c r="L20" s="28" t="n">
        <f aca="false">IF(C20=1,INDEX(03_実験結果!$G$5:$G$22,K20),0)</f>
        <v>0</v>
      </c>
      <c r="N20" s="32" t="n">
        <v>0</v>
      </c>
      <c r="O20" s="32" t="n">
        <v>0</v>
      </c>
    </row>
    <row r="21" customFormat="false" ht="15" hidden="false" customHeight="false" outlineLevel="0" collapsed="false">
      <c r="A21" s="11" t="n">
        <v>17</v>
      </c>
      <c r="B21" s="11" t="str">
        <f aca="false">IF(A21&gt;01_因子設定!$B$23,"未使用",IF(A21&gt;01_因子設定!$B$26,"中心点",IF(01_因子設定!$B$20="Box-Behnken","BBD点",IF(A21&lt;=4,"要因点","軸点"))))</f>
        <v>未使用</v>
      </c>
      <c r="C21" s="11" t="n">
        <f aca="false">IF(A21&lt;=01_因子設定!$B$23,1,0)</f>
        <v>0</v>
      </c>
      <c r="D21" s="27" t="n">
        <f aca="false">IF($C21=0,0,N21*IF($A21&gt;4,01_因子設定!$B$22,1))</f>
        <v>0</v>
      </c>
      <c r="E21" s="27" t="n">
        <f aca="false">IF($C21=0,0,O21*IF($A21&gt;4,01_因子設定!$B$22,1))</f>
        <v>0</v>
      </c>
      <c r="F21" s="28" t="str">
        <f aca="false">IF($C21=1,01_因子設定!$G$5+D21*01_因子設定!$H$5,"")</f>
        <v/>
      </c>
      <c r="G21" s="28" t="str">
        <f aca="false">IF($C21=1,01_因子設定!$G$6+E21*01_因子設定!$H$6,"")</f>
        <v/>
      </c>
      <c r="H21" s="11" t="str">
        <f aca="false">IF(C21=0,"",IF(AND(OR(01_因子設定!$I$5="",F21&gt;=01_因子設定!$I$5),OR(01_因子設定!$J$5="",F21&lt;=01_因子設定!$J$5),OR(01_因子設定!$I$6="",G21&gt;=01_因子設定!$I$6),OR(01_因子設定!$J$6="",G21&lt;=01_因子設定!$J$6)),"OK","安全限界超過"))</f>
        <v/>
      </c>
      <c r="I21" s="29" t="n">
        <v>0.665792</v>
      </c>
      <c r="J21" s="30" t="n">
        <f aca="false">IF(C21=0,99,IF(AND(01_因子設定!$B$24="変更困難因子でグループ化",01_因子設定!$B$25&gt;0),VLOOKUP(ROUND(INDEX(D21:E21,01_因子設定!$B$25),6),$S$5:$T$9,2,FALSE())+I21*0.9,I21))</f>
        <v>99</v>
      </c>
      <c r="K21" s="31" t="str">
        <f aca="false">IF(C21=1,SUMPRODUCT(($C$5:$C$22=1)*($J$5:$J$22&lt;J21))+1,"")</f>
        <v/>
      </c>
      <c r="L21" s="28" t="n">
        <f aca="false">IF(C21=1,INDEX(03_実験結果!$G$5:$G$22,K21),0)</f>
        <v>0</v>
      </c>
      <c r="N21" s="32" t="n">
        <v>0</v>
      </c>
      <c r="O21" s="32" t="n">
        <v>0</v>
      </c>
    </row>
    <row r="22" customFormat="false" ht="15" hidden="false" customHeight="false" outlineLevel="0" collapsed="false">
      <c r="A22" s="11" t="n">
        <v>18</v>
      </c>
      <c r="B22" s="11" t="str">
        <f aca="false">IF(A22&gt;01_因子設定!$B$23,"未使用",IF(A22&gt;01_因子設定!$B$26,"中心点",IF(01_因子設定!$B$20="Box-Behnken","BBD点",IF(A22&lt;=4,"要因点","軸点"))))</f>
        <v>未使用</v>
      </c>
      <c r="C22" s="11" t="n">
        <f aca="false">IF(A22&lt;=01_因子設定!$B$23,1,0)</f>
        <v>0</v>
      </c>
      <c r="D22" s="27" t="n">
        <f aca="false">IF($C22=0,0,N22*IF($A22&gt;4,01_因子設定!$B$22,1))</f>
        <v>0</v>
      </c>
      <c r="E22" s="27" t="n">
        <f aca="false">IF($C22=0,0,O22*IF($A22&gt;4,01_因子設定!$B$22,1))</f>
        <v>0</v>
      </c>
      <c r="F22" s="28" t="str">
        <f aca="false">IF($C22=1,01_因子設定!$G$5+D22*01_因子設定!$H$5,"")</f>
        <v/>
      </c>
      <c r="G22" s="28" t="str">
        <f aca="false">IF($C22=1,01_因子設定!$G$6+E22*01_因子設定!$H$6,"")</f>
        <v/>
      </c>
      <c r="H22" s="11" t="str">
        <f aca="false">IF(C22=0,"",IF(AND(OR(01_因子設定!$I$5="",F22&gt;=01_因子設定!$I$5),OR(01_因子設定!$J$5="",F22&lt;=01_因子設定!$J$5),OR(01_因子設定!$I$6="",G22&gt;=01_因子設定!$I$6),OR(01_因子設定!$J$6="",G22&lt;=01_因子設定!$J$6)),"OK","安全限界超過"))</f>
        <v/>
      </c>
      <c r="I22" s="29" t="n">
        <v>0.101479</v>
      </c>
      <c r="J22" s="30" t="n">
        <f aca="false">IF(C22=0,99,IF(AND(01_因子設定!$B$24="変更困難因子でグループ化",01_因子設定!$B$25&gt;0),VLOOKUP(ROUND(INDEX(D22:E22,01_因子設定!$B$25),6),$S$5:$T$9,2,FALSE())+I22*0.9,I22))</f>
        <v>99</v>
      </c>
      <c r="K22" s="31" t="str">
        <f aca="false">IF(C22=1,SUMPRODUCT(($C$5:$C$22=1)*($J$5:$J$22&lt;J22))+1,"")</f>
        <v/>
      </c>
      <c r="L22" s="28" t="n">
        <f aca="false">IF(C22=1,INDEX(03_実験結果!$G$5:$G$22,K22),0)</f>
        <v>0</v>
      </c>
      <c r="N22" s="32" t="n">
        <v>0</v>
      </c>
      <c r="O22" s="32" t="n">
        <v>0</v>
      </c>
    </row>
    <row r="24" customFormat="false" ht="15" hidden="false" customHeight="false" outlineLevel="0" collapsed="false">
      <c r="N24" s="19" t="s">
        <v>119</v>
      </c>
    </row>
  </sheetData>
  <conditionalFormatting sqref="H5:H22">
    <cfRule type="cellIs" priority="2" operator="equal" aboveAverage="0" equalAverage="0" bottom="0" percent="0" rank="0" text="" dxfId="0">
      <formula>"安全限界超過"</formula>
    </cfRule>
  </conditionalFormatting>
  <conditionalFormatting sqref="A5:L22">
    <cfRule type="expression" priority="3" aboveAverage="0" equalAverage="0" bottom="0" percent="0" rank="0" text="" dxfId="1">
      <formula>$C5=0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8"/>
    <pageSetUpPr fitToPage="false"/>
  </sheetPr>
  <dimension ref="A1:H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7"/>
    <col collapsed="false" customWidth="true" hidden="false" outlineLevel="0" max="3" min="3" style="0" width="8"/>
    <col collapsed="false" customWidth="true" hidden="false" outlineLevel="0" max="6" min="4" style="0" width="12"/>
    <col collapsed="false" customWidth="true" hidden="false" outlineLevel="0" max="7" min="7" style="0" width="16"/>
    <col collapsed="false" customWidth="true" hidden="false" outlineLevel="0" max="8" min="8" style="0" width="30"/>
  </cols>
  <sheetData>
    <row r="1" customFormat="false" ht="21.6" hidden="false" customHeight="false" outlineLevel="0" collapsed="false">
      <c r="A1" s="8" t="s">
        <v>120</v>
      </c>
    </row>
    <row r="2" customFormat="false" ht="15" hidden="false" customHeight="false" outlineLevel="0" collapsed="false">
      <c r="A2" s="2" t="s">
        <v>121</v>
      </c>
    </row>
    <row r="4" customFormat="false" ht="29.85" hidden="false" customHeight="false" outlineLevel="0" collapsed="false">
      <c r="A4" s="10" t="s">
        <v>112</v>
      </c>
      <c r="B4" s="10" t="s">
        <v>104</v>
      </c>
      <c r="C4" s="10" t="s">
        <v>105</v>
      </c>
      <c r="D4" s="10" t="str">
        <f aca="false">01_因子設定!B5&amp;"["&amp;01_因子設定!D5&amp;"]"</f>
        <v>炉温[℃]</v>
      </c>
      <c r="E4" s="10" t="str">
        <f aca="false">01_因子設定!B6&amp;"["&amp;01_因子設定!D6&amp;"]"</f>
        <v>乾燥時間[min]</v>
      </c>
      <c r="F4" s="10" t="s">
        <v>122</v>
      </c>
      <c r="G4" s="10" t="str">
        <f aca="false">"Y："&amp;01_因子設定!B11&amp;"["&amp;01_因子設定!B12&amp;"]"</f>
        <v>Y：剥離強度[N/25mm]</v>
      </c>
      <c r="H4" s="10" t="s">
        <v>123</v>
      </c>
    </row>
    <row r="5" customFormat="false" ht="15" hidden="false" customHeight="false" outlineLevel="0" collapsed="false">
      <c r="A5" s="13" t="n">
        <v>1</v>
      </c>
      <c r="B5" s="34" t="n">
        <f aca="false">IF(A5&lt;=01_因子設定!$B$23,INDEX(02_実験計画!$A$5:$A$22,MATCH(A5,02_実験計画!$K$5:$K$22,0)),"")</f>
        <v>12</v>
      </c>
      <c r="C5" s="34" t="str">
        <f aca="false">IF(B5="","",INDEX(02_実験計画!$B$5:$B$22,B5))</f>
        <v>中心点</v>
      </c>
      <c r="D5" s="28" t="n">
        <f aca="false">IF($B5="","",INDEX(02_実験計画!$F$5:$F$22,$B5))</f>
        <v>65</v>
      </c>
      <c r="E5" s="28" t="n">
        <f aca="false">IF($B5="","",INDEX(02_実験計画!$G$5:$G$22,$B5))</f>
        <v>30</v>
      </c>
      <c r="F5" s="28" t="n">
        <f aca="false">IF(OR(B5="",01_因子設定!$B$25=0),"",INDEX(D5:E5,01_因子設定!$B$25))</f>
        <v>65</v>
      </c>
      <c r="G5" s="20" t="n">
        <v>47.9</v>
      </c>
      <c r="H5" s="14"/>
    </row>
    <row r="6" customFormat="false" ht="15" hidden="false" customHeight="false" outlineLevel="0" collapsed="false">
      <c r="A6" s="13" t="n">
        <v>2</v>
      </c>
      <c r="B6" s="34" t="n">
        <f aca="false">IF(A6&lt;=01_因子設定!$B$23,INDEX(02_実験計画!$A$5:$A$22,MATCH(A6,02_実験計画!$K$5:$K$22,0)),"")</f>
        <v>10</v>
      </c>
      <c r="C6" s="34" t="str">
        <f aca="false">IF(B6="","",INDEX(02_実験計画!$B$5:$B$22,B6))</f>
        <v>中心点</v>
      </c>
      <c r="D6" s="28" t="n">
        <f aca="false">IF($B6="","",INDEX(02_実験計画!$F$5:$F$22,$B6))</f>
        <v>65</v>
      </c>
      <c r="E6" s="28" t="n">
        <f aca="false">IF($B6="","",INDEX(02_実験計画!$G$5:$G$22,$B6))</f>
        <v>30</v>
      </c>
      <c r="F6" s="28" t="n">
        <f aca="false">IF(OR(B6="",01_因子設定!$B$25=0),"",INDEX(D6:E6,01_因子設定!$B$25))</f>
        <v>65</v>
      </c>
      <c r="G6" s="20" t="n">
        <v>46.7</v>
      </c>
      <c r="H6" s="14"/>
    </row>
    <row r="7" customFormat="false" ht="15" hidden="false" customHeight="false" outlineLevel="0" collapsed="false">
      <c r="A7" s="13" t="n">
        <v>3</v>
      </c>
      <c r="B7" s="34" t="n">
        <f aca="false">IF(A7&lt;=01_因子設定!$B$23,INDEX(02_実験計画!$A$5:$A$22,MATCH(A7,02_実験計画!$K$5:$K$22,0)),"")</f>
        <v>3</v>
      </c>
      <c r="C7" s="34" t="str">
        <f aca="false">IF(B7="","",INDEX(02_実験計画!$B$5:$B$22,B7))</f>
        <v>要因点</v>
      </c>
      <c r="D7" s="28" t="n">
        <f aca="false">IF($B7="","",INDEX(02_実験計画!$F$5:$F$22,$B7))</f>
        <v>55</v>
      </c>
      <c r="E7" s="28" t="n">
        <f aca="false">IF($B7="","",INDEX(02_実験計画!$G$5:$G$22,$B7))</f>
        <v>40</v>
      </c>
      <c r="F7" s="28" t="n">
        <f aca="false">IF(OR(B7="",01_因子設定!$B$25=0),"",INDEX(D7:E7,01_因子設定!$B$25))</f>
        <v>55</v>
      </c>
      <c r="G7" s="20" t="n">
        <v>43.5</v>
      </c>
      <c r="H7" s="14"/>
    </row>
    <row r="8" customFormat="false" ht="15" hidden="false" customHeight="false" outlineLevel="0" collapsed="false">
      <c r="A8" s="13" t="n">
        <v>4</v>
      </c>
      <c r="B8" s="34" t="n">
        <f aca="false">IF(A8&lt;=01_因子設定!$B$23,INDEX(02_実験計画!$A$5:$A$22,MATCH(A8,02_実験計画!$K$5:$K$22,0)),"")</f>
        <v>1</v>
      </c>
      <c r="C8" s="34" t="str">
        <f aca="false">IF(B8="","",INDEX(02_実験計画!$B$5:$B$22,B8))</f>
        <v>要因点</v>
      </c>
      <c r="D8" s="28" t="n">
        <f aca="false">IF($B8="","",INDEX(02_実験計画!$F$5:$F$22,$B8))</f>
        <v>55</v>
      </c>
      <c r="E8" s="28" t="n">
        <f aca="false">IF($B8="","",INDEX(02_実験計画!$G$5:$G$22,$B8))</f>
        <v>20</v>
      </c>
      <c r="F8" s="28" t="n">
        <f aca="false">IF(OR(B8="",01_因子設定!$B$25=0),"",INDEX(D8:E8,01_因子設定!$B$25))</f>
        <v>55</v>
      </c>
      <c r="G8" s="20" t="n">
        <v>40</v>
      </c>
      <c r="H8" s="14"/>
    </row>
    <row r="9" customFormat="false" ht="15" hidden="false" customHeight="false" outlineLevel="0" collapsed="false">
      <c r="A9" s="13" t="n">
        <v>5</v>
      </c>
      <c r="B9" s="34" t="n">
        <f aca="false">IF(A9&lt;=01_因子設定!$B$23,INDEX(02_実験計画!$A$5:$A$22,MATCH(A9,02_実験計画!$K$5:$K$22,0)),"")</f>
        <v>2</v>
      </c>
      <c r="C9" s="34" t="str">
        <f aca="false">IF(B9="","",INDEX(02_実験計画!$B$5:$B$22,B9))</f>
        <v>要因点</v>
      </c>
      <c r="D9" s="28" t="n">
        <f aca="false">IF($B9="","",INDEX(02_実験計画!$F$5:$F$22,$B9))</f>
        <v>75</v>
      </c>
      <c r="E9" s="28" t="n">
        <f aca="false">IF($B9="","",INDEX(02_実験計画!$G$5:$G$22,$B9))</f>
        <v>20</v>
      </c>
      <c r="F9" s="28" t="n">
        <f aca="false">IF(OR(B9="",01_因子設定!$B$25=0),"",INDEX(D9:E9,01_因子設定!$B$25))</f>
        <v>75</v>
      </c>
      <c r="G9" s="20" t="n">
        <v>43.2</v>
      </c>
      <c r="H9" s="14"/>
    </row>
    <row r="10" customFormat="false" ht="15" hidden="false" customHeight="false" outlineLevel="0" collapsed="false">
      <c r="A10" s="13" t="n">
        <v>6</v>
      </c>
      <c r="B10" s="34" t="n">
        <f aca="false">IF(A10&lt;=01_因子設定!$B$23,INDEX(02_実験計画!$A$5:$A$22,MATCH(A10,02_実験計画!$K$5:$K$22,0)),"")</f>
        <v>5</v>
      </c>
      <c r="C10" s="34" t="str">
        <f aca="false">IF(B10="","",INDEX(02_実験計画!$B$5:$B$22,B10))</f>
        <v>軸点</v>
      </c>
      <c r="D10" s="28" t="n">
        <f aca="false">IF($B10="","",INDEX(02_実験計画!$F$5:$F$22,$B10))</f>
        <v>55</v>
      </c>
      <c r="E10" s="28" t="n">
        <f aca="false">IF($B10="","",INDEX(02_実験計画!$G$5:$G$22,$B10))</f>
        <v>30</v>
      </c>
      <c r="F10" s="28" t="n">
        <f aca="false">IF(OR(B10="",01_因子設定!$B$25=0),"",INDEX(D10:E10,01_因子設定!$B$25))</f>
        <v>55</v>
      </c>
      <c r="G10" s="20" t="n">
        <v>43</v>
      </c>
      <c r="H10" s="14"/>
    </row>
    <row r="11" customFormat="false" ht="15" hidden="false" customHeight="false" outlineLevel="0" collapsed="false">
      <c r="A11" s="13" t="n">
        <v>7</v>
      </c>
      <c r="B11" s="34" t="n">
        <f aca="false">IF(A11&lt;=01_因子設定!$B$23,INDEX(02_実験計画!$A$5:$A$22,MATCH(A11,02_実験計画!$K$5:$K$22,0)),"")</f>
        <v>13</v>
      </c>
      <c r="C11" s="34" t="str">
        <f aca="false">IF(B11="","",INDEX(02_実験計画!$B$5:$B$22,B11))</f>
        <v>中心点</v>
      </c>
      <c r="D11" s="28" t="n">
        <f aca="false">IF($B11="","",INDEX(02_実験計画!$F$5:$F$22,$B11))</f>
        <v>65</v>
      </c>
      <c r="E11" s="28" t="n">
        <f aca="false">IF($B11="","",INDEX(02_実験計画!$G$5:$G$22,$B11))</f>
        <v>30</v>
      </c>
      <c r="F11" s="28" t="n">
        <f aca="false">IF(OR(B11="",01_因子設定!$B$25=0),"",INDEX(D11:E11,01_因子設定!$B$25))</f>
        <v>65</v>
      </c>
      <c r="G11" s="20" t="n">
        <v>48.5</v>
      </c>
      <c r="H11" s="14"/>
    </row>
    <row r="12" customFormat="false" ht="15" hidden="false" customHeight="false" outlineLevel="0" collapsed="false">
      <c r="A12" s="13" t="n">
        <v>8</v>
      </c>
      <c r="B12" s="34" t="n">
        <f aca="false">IF(A12&lt;=01_因子設定!$B$23,INDEX(02_実験計画!$A$5:$A$22,MATCH(A12,02_実験計画!$K$5:$K$22,0)),"")</f>
        <v>7</v>
      </c>
      <c r="C12" s="34" t="str">
        <f aca="false">IF(B12="","",INDEX(02_実験計画!$B$5:$B$22,B12))</f>
        <v>軸点</v>
      </c>
      <c r="D12" s="28" t="n">
        <f aca="false">IF($B12="","",INDEX(02_実験計画!$F$5:$F$22,$B12))</f>
        <v>65</v>
      </c>
      <c r="E12" s="28" t="n">
        <f aca="false">IF($B12="","",INDEX(02_実験計画!$G$5:$G$22,$B12))</f>
        <v>20</v>
      </c>
      <c r="F12" s="28" t="n">
        <f aca="false">IF(OR(B12="",01_因子設定!$B$25=0),"",INDEX(D12:E12,01_因子設定!$B$25))</f>
        <v>65</v>
      </c>
      <c r="G12" s="20" t="n">
        <v>44.1</v>
      </c>
      <c r="H12" s="14"/>
    </row>
    <row r="13" customFormat="false" ht="15" hidden="false" customHeight="false" outlineLevel="0" collapsed="false">
      <c r="A13" s="13" t="n">
        <v>9</v>
      </c>
      <c r="B13" s="34" t="n">
        <f aca="false">IF(A13&lt;=01_因子設定!$B$23,INDEX(02_実験計画!$A$5:$A$22,MATCH(A13,02_実験計画!$K$5:$K$22,0)),"")</f>
        <v>4</v>
      </c>
      <c r="C13" s="34" t="str">
        <f aca="false">IF(B13="","",INDEX(02_実験計画!$B$5:$B$22,B13))</f>
        <v>要因点</v>
      </c>
      <c r="D13" s="28" t="n">
        <f aca="false">IF($B13="","",INDEX(02_実験計画!$F$5:$F$22,$B13))</f>
        <v>75</v>
      </c>
      <c r="E13" s="28" t="n">
        <f aca="false">IF($B13="","",INDEX(02_実験計画!$G$5:$G$22,$B13))</f>
        <v>40</v>
      </c>
      <c r="F13" s="28" t="n">
        <f aca="false">IF(OR(B13="",01_因子設定!$B$25=0),"",INDEX(D13:E13,01_因子設定!$B$25))</f>
        <v>75</v>
      </c>
      <c r="G13" s="20" t="n">
        <v>48.8</v>
      </c>
      <c r="H13" s="14"/>
    </row>
    <row r="14" customFormat="false" ht="15" hidden="false" customHeight="false" outlineLevel="0" collapsed="false">
      <c r="A14" s="13" t="n">
        <v>10</v>
      </c>
      <c r="B14" s="34" t="n">
        <f aca="false">IF(A14&lt;=01_因子設定!$B$23,INDEX(02_実験計画!$A$5:$A$22,MATCH(A14,02_実験計画!$K$5:$K$22,0)),"")</f>
        <v>6</v>
      </c>
      <c r="C14" s="34" t="str">
        <f aca="false">IF(B14="","",INDEX(02_実験計画!$B$5:$B$22,B14))</f>
        <v>軸点</v>
      </c>
      <c r="D14" s="28" t="n">
        <f aca="false">IF($B14="","",INDEX(02_実験計画!$F$5:$F$22,$B14))</f>
        <v>75</v>
      </c>
      <c r="E14" s="28" t="n">
        <f aca="false">IF($B14="","",INDEX(02_実験計画!$G$5:$G$22,$B14))</f>
        <v>30</v>
      </c>
      <c r="F14" s="28" t="n">
        <f aca="false">IF(OR(B14="",01_因子設定!$B$25=0),"",INDEX(D14:E14,01_因子設定!$B$25))</f>
        <v>75</v>
      </c>
      <c r="G14" s="20" t="n">
        <v>47.2</v>
      </c>
      <c r="H14" s="14"/>
    </row>
    <row r="15" customFormat="false" ht="15" hidden="false" customHeight="false" outlineLevel="0" collapsed="false">
      <c r="A15" s="13" t="n">
        <v>11</v>
      </c>
      <c r="B15" s="34" t="n">
        <f aca="false">IF(A15&lt;=01_因子設定!$B$23,INDEX(02_実験計画!$A$5:$A$22,MATCH(A15,02_実験計画!$K$5:$K$22,0)),"")</f>
        <v>8</v>
      </c>
      <c r="C15" s="34" t="str">
        <f aca="false">IF(B15="","",INDEX(02_実験計画!$B$5:$B$22,B15))</f>
        <v>軸点</v>
      </c>
      <c r="D15" s="28" t="n">
        <f aca="false">IF($B15="","",INDEX(02_実験計画!$F$5:$F$22,$B15))</f>
        <v>65</v>
      </c>
      <c r="E15" s="28" t="n">
        <f aca="false">IF($B15="","",INDEX(02_実験計画!$G$5:$G$22,$B15))</f>
        <v>40</v>
      </c>
      <c r="F15" s="28" t="n">
        <f aca="false">IF(OR(B15="",01_因子設定!$B$25=0),"",INDEX(D15:E15,01_因子設定!$B$25))</f>
        <v>65</v>
      </c>
      <c r="G15" s="20" t="n">
        <v>48.5</v>
      </c>
      <c r="H15" s="14"/>
    </row>
    <row r="16" customFormat="false" ht="15" hidden="false" customHeight="false" outlineLevel="0" collapsed="false">
      <c r="A16" s="13" t="n">
        <v>12</v>
      </c>
      <c r="B16" s="34" t="n">
        <f aca="false">IF(A16&lt;=01_因子設定!$B$23,INDEX(02_実験計画!$A$5:$A$22,MATCH(A16,02_実験計画!$K$5:$K$22,0)),"")</f>
        <v>9</v>
      </c>
      <c r="C16" s="34" t="str">
        <f aca="false">IF(B16="","",INDEX(02_実験計画!$B$5:$B$22,B16))</f>
        <v>中心点</v>
      </c>
      <c r="D16" s="28" t="n">
        <f aca="false">IF($B16="","",INDEX(02_実験計画!$F$5:$F$22,$B16))</f>
        <v>65</v>
      </c>
      <c r="E16" s="28" t="n">
        <f aca="false">IF($B16="","",INDEX(02_実験計画!$G$5:$G$22,$B16))</f>
        <v>30</v>
      </c>
      <c r="F16" s="28" t="n">
        <f aca="false">IF(OR(B16="",01_因子設定!$B$25=0),"",INDEX(D16:E16,01_因子設定!$B$25))</f>
        <v>65</v>
      </c>
      <c r="G16" s="20" t="n">
        <v>48.5</v>
      </c>
      <c r="H16" s="14"/>
    </row>
    <row r="17" customFormat="false" ht="15" hidden="false" customHeight="false" outlineLevel="0" collapsed="false">
      <c r="A17" s="13" t="n">
        <v>13</v>
      </c>
      <c r="B17" s="34" t="n">
        <f aca="false">IF(A17&lt;=01_因子設定!$B$23,INDEX(02_実験計画!$A$5:$A$22,MATCH(A17,02_実験計画!$K$5:$K$22,0)),"")</f>
        <v>11</v>
      </c>
      <c r="C17" s="34" t="str">
        <f aca="false">IF(B17="","",INDEX(02_実験計画!$B$5:$B$22,B17))</f>
        <v>中心点</v>
      </c>
      <c r="D17" s="28" t="n">
        <f aca="false">IF($B17="","",INDEX(02_実験計画!$F$5:$F$22,$B17))</f>
        <v>65</v>
      </c>
      <c r="E17" s="28" t="n">
        <f aca="false">IF($B17="","",INDEX(02_実験計画!$G$5:$G$22,$B17))</f>
        <v>30</v>
      </c>
      <c r="F17" s="28" t="n">
        <f aca="false">IF(OR(B17="",01_因子設定!$B$25=0),"",INDEX(D17:E17,01_因子設定!$B$25))</f>
        <v>65</v>
      </c>
      <c r="G17" s="20" t="n">
        <v>49.1</v>
      </c>
      <c r="H17" s="14"/>
    </row>
    <row r="18" customFormat="false" ht="15" hidden="false" customHeight="false" outlineLevel="0" collapsed="false">
      <c r="A18" s="13" t="n">
        <v>14</v>
      </c>
      <c r="B18" s="34" t="str">
        <f aca="false">IF(A18&lt;=01_因子設定!$B$23,INDEX(02_実験計画!$A$5:$A$22,MATCH(A18,02_実験計画!$K$5:$K$22,0)),"")</f>
        <v/>
      </c>
      <c r="C18" s="34" t="str">
        <f aca="false">IF(B18="","",INDEX(02_実験計画!$B$5:$B$22,B18))</f>
        <v/>
      </c>
      <c r="D18" s="28" t="str">
        <f aca="false">IF($B18="","",INDEX(02_実験計画!$F$5:$F$22,$B18))</f>
        <v/>
      </c>
      <c r="E18" s="28" t="str">
        <f aca="false">IF($B18="","",INDEX(02_実験計画!$G$5:$G$22,$B18))</f>
        <v/>
      </c>
      <c r="F18" s="28" t="str">
        <f aca="false">IF(OR(B18="",01_因子設定!$B$25=0),"",INDEX(D18:E18,01_因子設定!$B$25))</f>
        <v/>
      </c>
      <c r="G18" s="20"/>
      <c r="H18" s="14"/>
    </row>
    <row r="19" customFormat="false" ht="15" hidden="false" customHeight="false" outlineLevel="0" collapsed="false">
      <c r="A19" s="13" t="n">
        <v>15</v>
      </c>
      <c r="B19" s="34" t="str">
        <f aca="false">IF(A19&lt;=01_因子設定!$B$23,INDEX(02_実験計画!$A$5:$A$22,MATCH(A19,02_実験計画!$K$5:$K$22,0)),"")</f>
        <v/>
      </c>
      <c r="C19" s="34" t="str">
        <f aca="false">IF(B19="","",INDEX(02_実験計画!$B$5:$B$22,B19))</f>
        <v/>
      </c>
      <c r="D19" s="28" t="str">
        <f aca="false">IF($B19="","",INDEX(02_実験計画!$F$5:$F$22,$B19))</f>
        <v/>
      </c>
      <c r="E19" s="28" t="str">
        <f aca="false">IF($B19="","",INDEX(02_実験計画!$G$5:$G$22,$B19))</f>
        <v/>
      </c>
      <c r="F19" s="28" t="str">
        <f aca="false">IF(OR(B19="",01_因子設定!$B$25=0),"",INDEX(D19:E19,01_因子設定!$B$25))</f>
        <v/>
      </c>
      <c r="G19" s="20"/>
      <c r="H19" s="14"/>
    </row>
    <row r="20" customFormat="false" ht="15" hidden="false" customHeight="false" outlineLevel="0" collapsed="false">
      <c r="A20" s="13" t="n">
        <v>16</v>
      </c>
      <c r="B20" s="34" t="str">
        <f aca="false">IF(A20&lt;=01_因子設定!$B$23,INDEX(02_実験計画!$A$5:$A$22,MATCH(A20,02_実験計画!$K$5:$K$22,0)),"")</f>
        <v/>
      </c>
      <c r="C20" s="34" t="str">
        <f aca="false">IF(B20="","",INDEX(02_実験計画!$B$5:$B$22,B20))</f>
        <v/>
      </c>
      <c r="D20" s="28" t="str">
        <f aca="false">IF($B20="","",INDEX(02_実験計画!$F$5:$F$22,$B20))</f>
        <v/>
      </c>
      <c r="E20" s="28" t="str">
        <f aca="false">IF($B20="","",INDEX(02_実験計画!$G$5:$G$22,$B20))</f>
        <v/>
      </c>
      <c r="F20" s="28" t="str">
        <f aca="false">IF(OR(B20="",01_因子設定!$B$25=0),"",INDEX(D20:E20,01_因子設定!$B$25))</f>
        <v/>
      </c>
      <c r="G20" s="20"/>
      <c r="H20" s="14"/>
    </row>
    <row r="21" customFormat="false" ht="15" hidden="false" customHeight="false" outlineLevel="0" collapsed="false">
      <c r="A21" s="13" t="n">
        <v>17</v>
      </c>
      <c r="B21" s="34" t="str">
        <f aca="false">IF(A21&lt;=01_因子設定!$B$23,INDEX(02_実験計画!$A$5:$A$22,MATCH(A21,02_実験計画!$K$5:$K$22,0)),"")</f>
        <v/>
      </c>
      <c r="C21" s="34" t="str">
        <f aca="false">IF(B21="","",INDEX(02_実験計画!$B$5:$B$22,B21))</f>
        <v/>
      </c>
      <c r="D21" s="28" t="str">
        <f aca="false">IF($B21="","",INDEX(02_実験計画!$F$5:$F$22,$B21))</f>
        <v/>
      </c>
      <c r="E21" s="28" t="str">
        <f aca="false">IF($B21="","",INDEX(02_実験計画!$G$5:$G$22,$B21))</f>
        <v/>
      </c>
      <c r="F21" s="28" t="str">
        <f aca="false">IF(OR(B21="",01_因子設定!$B$25=0),"",INDEX(D21:E21,01_因子設定!$B$25))</f>
        <v/>
      </c>
      <c r="G21" s="20"/>
      <c r="H21" s="14"/>
    </row>
    <row r="22" customFormat="false" ht="15" hidden="false" customHeight="false" outlineLevel="0" collapsed="false">
      <c r="A22" s="13" t="n">
        <v>18</v>
      </c>
      <c r="B22" s="34" t="str">
        <f aca="false">IF(A22&lt;=01_因子設定!$B$23,INDEX(02_実験計画!$A$5:$A$22,MATCH(A22,02_実験計画!$K$5:$K$22,0)),"")</f>
        <v/>
      </c>
      <c r="C22" s="34" t="str">
        <f aca="false">IF(B22="","",INDEX(02_実験計画!$B$5:$B$22,B22))</f>
        <v/>
      </c>
      <c r="D22" s="28" t="str">
        <f aca="false">IF($B22="","",INDEX(02_実験計画!$F$5:$F$22,$B22))</f>
        <v/>
      </c>
      <c r="E22" s="28" t="str">
        <f aca="false">IF($B22="","",INDEX(02_実験計画!$G$5:$G$22,$B22))</f>
        <v/>
      </c>
      <c r="F22" s="28" t="str">
        <f aca="false">IF(OR(B22="",01_因子設定!$B$25=0),"",INDEX(D22:E22,01_因子設定!$B$25))</f>
        <v/>
      </c>
      <c r="G22" s="20"/>
      <c r="H22" s="14"/>
    </row>
  </sheetData>
  <conditionalFormatting sqref="A5:H22">
    <cfRule type="expression" priority="2" aboveAverage="0" equalAverage="0" bottom="0" percent="0" rank="0" text="" dxfId="2">
      <formula>$B5=""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8"/>
    <pageSetUpPr fitToPage="false"/>
  </sheetPr>
  <dimension ref="A1:K4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0"/>
    <col collapsed="false" customWidth="true" hidden="false" outlineLevel="0" max="4" min="3" style="0" width="12"/>
    <col collapsed="false" customWidth="true" hidden="false" outlineLevel="0" max="5" min="5" style="0" width="9"/>
    <col collapsed="false" customWidth="true" hidden="false" outlineLevel="0" max="6" min="6" style="0" width="10"/>
    <col collapsed="false" customWidth="true" hidden="false" outlineLevel="0" max="7" min="7" style="0" width="16"/>
    <col collapsed="false" customWidth="true" hidden="false" outlineLevel="0" max="8" min="8" style="0" width="24"/>
    <col collapsed="false" customWidth="true" hidden="false" outlineLevel="0" max="10" min="10" style="0" width="22"/>
    <col collapsed="false" customWidth="true" hidden="false" outlineLevel="0" max="11" min="11" style="0" width="12"/>
  </cols>
  <sheetData>
    <row r="1" customFormat="false" ht="21.6" hidden="false" customHeight="false" outlineLevel="0" collapsed="false">
      <c r="A1" s="8" t="s">
        <v>124</v>
      </c>
    </row>
    <row r="2" customFormat="false" ht="15" hidden="false" customHeight="false" outlineLevel="0" collapsed="false">
      <c r="A2" s="35" t="s">
        <v>125</v>
      </c>
    </row>
    <row r="5" customFormat="false" ht="15" hidden="false" customHeight="false" outlineLevel="0" collapsed="false">
      <c r="A5" s="10" t="s">
        <v>126</v>
      </c>
      <c r="B5" s="10" t="s">
        <v>127</v>
      </c>
      <c r="C5" s="10" t="s">
        <v>128</v>
      </c>
      <c r="D5" s="10" t="s">
        <v>129</v>
      </c>
      <c r="E5" s="9" t="s">
        <v>130</v>
      </c>
      <c r="F5" s="9" t="s">
        <v>131</v>
      </c>
      <c r="G5" s="10" t="s">
        <v>132</v>
      </c>
      <c r="H5" s="10" t="s">
        <v>133</v>
      </c>
      <c r="J5" s="3" t="s">
        <v>134</v>
      </c>
      <c r="K5" s="3" t="s">
        <v>135</v>
      </c>
    </row>
    <row r="6" customFormat="false" ht="15" hidden="false" customHeight="false" outlineLevel="0" collapsed="false">
      <c r="A6" s="36" t="s">
        <v>136</v>
      </c>
      <c r="B6" s="11" t="n">
        <v>1</v>
      </c>
      <c r="C6" s="30" t="n">
        <f aca="false">IF(B6=1,_XtX!I35,0)</f>
        <v>48.0551724137931</v>
      </c>
      <c r="D6" s="30" t="n">
        <f aca="false">IF(B6=1,SQRT($K$13*INDEX(_XtX!$B$44:$G$49,1,1)),"")</f>
        <v>0.296995553238324</v>
      </c>
      <c r="E6" s="15" t="n">
        <f aca="false">IF(B6=1,C6/D6,"")</f>
        <v>161.804349896213</v>
      </c>
      <c r="F6" s="30" t="n">
        <f aca="false">IF(B6=1,TDIST(ABS(E6),$K$8,2),"")</f>
        <v>9.08829970958843E-014</v>
      </c>
      <c r="G6" s="13" t="str">
        <f aca="false">IF(F6="","",IF(F6&lt;0.01,"**",IF(F6&lt;0.05,"*",IF(F6&lt;0.1,"△",""))))</f>
        <v>**</v>
      </c>
      <c r="H6" s="24"/>
      <c r="J6" s="23" t="s">
        <v>137</v>
      </c>
      <c r="K6" s="37" t="n">
        <f aca="false">SUM(_XtX!A5:A22)</f>
        <v>13</v>
      </c>
    </row>
    <row r="7" customFormat="false" ht="15" hidden="false" customHeight="false" outlineLevel="0" collapsed="false">
      <c r="A7" s="13" t="s">
        <v>64</v>
      </c>
      <c r="B7" s="14" t="n">
        <v>1</v>
      </c>
      <c r="C7" s="30" t="n">
        <f aca="false">IF(B7=1,_XtX!I36,0)</f>
        <v>2.11666666666667</v>
      </c>
      <c r="D7" s="30" t="n">
        <f aca="false">IF(B7=1,SQRT($K$13*INDEX(_XtX!$B$44:$G$49,2,2)),"")</f>
        <v>0.29200367581344</v>
      </c>
      <c r="E7" s="15" t="n">
        <f aca="false">IF(B7=1,C7/D7,"")</f>
        <v>7.24876719709173</v>
      </c>
      <c r="F7" s="30" t="n">
        <f aca="false">IF(B7=1,TDIST(ABS(E7),$K$8,2),"")</f>
        <v>0.000170110973758853</v>
      </c>
      <c r="G7" s="13" t="str">
        <f aca="false">IF(F7="","",IF(F7&lt;0.01,"**",IF(F7&lt;0.05,"*",IF(F7&lt;0.1,"△",""))))</f>
        <v>**</v>
      </c>
      <c r="H7" s="24"/>
      <c r="J7" s="23" t="s">
        <v>138</v>
      </c>
      <c r="K7" s="37" t="n">
        <f aca="false">SUM($B$6:$B$11)</f>
        <v>6</v>
      </c>
    </row>
    <row r="8" customFormat="false" ht="15" hidden="false" customHeight="false" outlineLevel="0" collapsed="false">
      <c r="A8" s="13" t="s">
        <v>69</v>
      </c>
      <c r="B8" s="14" t="n">
        <v>1</v>
      </c>
      <c r="C8" s="30" t="n">
        <f aca="false">IF(B8=1,_XtX!I37,0)</f>
        <v>2.25</v>
      </c>
      <c r="D8" s="30" t="n">
        <f aca="false">IF(B8=1,SQRT($K$13*INDEX(_XtX!$B$44:$G$49,3,3)),"")</f>
        <v>0.29200367581344</v>
      </c>
      <c r="E8" s="15" t="n">
        <f aca="false">IF(B8=1,C8/D8,"")</f>
        <v>7.70538245360143</v>
      </c>
      <c r="F8" s="30" t="n">
        <f aca="false">IF(B8=1,TDIST(ABS(E8),$K$8,2),"")</f>
        <v>0.000115733426507588</v>
      </c>
      <c r="G8" s="13" t="str">
        <f aca="false">IF(F8="","",IF(F8&lt;0.01,"**",IF(F8&lt;0.05,"*",IF(F8&lt;0.1,"△",""))))</f>
        <v>**</v>
      </c>
      <c r="H8" s="24"/>
      <c r="J8" s="18" t="s">
        <v>139</v>
      </c>
      <c r="K8" s="37" t="n">
        <f aca="false">K6-K7</f>
        <v>7</v>
      </c>
    </row>
    <row r="9" customFormat="false" ht="15" hidden="false" customHeight="false" outlineLevel="0" collapsed="false">
      <c r="A9" s="13" t="s">
        <v>140</v>
      </c>
      <c r="B9" s="14" t="n">
        <v>1</v>
      </c>
      <c r="C9" s="30" t="n">
        <f aca="false">IF(B9=1,_XtX!I38,0)</f>
        <v>0.524999999999999</v>
      </c>
      <c r="D9" s="30" t="n">
        <f aca="false">IF(B9=1,SQRT($K$13*INDEX(_XtX!$B$44:$G$49,4,4)),"")</f>
        <v>0.357630004380002</v>
      </c>
      <c r="E9" s="15" t="n">
        <f aca="false">IF(B9=1,C9/D9,"")</f>
        <v>1.46799763322475</v>
      </c>
      <c r="F9" s="30" t="n">
        <f aca="false">IF(B9=1,TDIST(ABS(E9),$K$8,2),"")</f>
        <v>0.185549384709819</v>
      </c>
      <c r="G9" s="13" t="str">
        <f aca="false">IF(F9="","",IF(F9&lt;0.01,"**",IF(F9&lt;0.05,"*",IF(F9&lt;0.1,"△",""))))</f>
        <v/>
      </c>
      <c r="H9" s="24" t="str">
        <f aca="false">IF(AND(B9=1,OR($B$7=0,$B$8=0)),"主効果が除外されています","")</f>
        <v/>
      </c>
      <c r="J9" s="23" t="s">
        <v>141</v>
      </c>
      <c r="K9" s="16" t="n">
        <f aca="false">SUMSQ(_XtX!L5:L22)</f>
        <v>3.58117816091953</v>
      </c>
    </row>
    <row r="10" customFormat="false" ht="15" hidden="false" customHeight="false" outlineLevel="0" collapsed="false">
      <c r="A10" s="13" t="s">
        <v>142</v>
      </c>
      <c r="B10" s="14" t="n">
        <v>1</v>
      </c>
      <c r="C10" s="30" t="n">
        <f aca="false">IF(B10=1,_XtX!I39,0)</f>
        <v>-2.74310344827588</v>
      </c>
      <c r="D10" s="30" t="n">
        <f aca="false">IF(B10=1,SQRT($K$13*INDEX(_XtX!$B$44:$G$49,5,5)),"")</f>
        <v>0.430387445391952</v>
      </c>
      <c r="E10" s="15" t="n">
        <f aca="false">IF(B10=1,C10/D10,"")</f>
        <v>-6.37356753233764</v>
      </c>
      <c r="F10" s="30" t="n">
        <f aca="false">IF(B10=1,TDIST(ABS(E10),$K$8,2),"")</f>
        <v>0.000376649767636805</v>
      </c>
      <c r="G10" s="13" t="str">
        <f aca="false">IF(F10="","",IF(F10&lt;0.01,"**",IF(F10&lt;0.05,"*",IF(F10&lt;0.1,"△",""))))</f>
        <v>**</v>
      </c>
      <c r="H10" s="24" t="str">
        <f aca="false">IF(AND(B10=1,OR($B$7=0)),"主効果が除外されています","")</f>
        <v/>
      </c>
      <c r="J10" s="23" t="s">
        <v>143</v>
      </c>
      <c r="K10" s="16" t="n">
        <f aca="false">SUMPRODUCT(_XtX!H5:H22,_XtX!A5:A22)/K6</f>
        <v>46.0769230769231</v>
      </c>
    </row>
    <row r="11" customFormat="false" ht="15" hidden="false" customHeight="false" outlineLevel="0" collapsed="false">
      <c r="A11" s="13" t="s">
        <v>144</v>
      </c>
      <c r="B11" s="14" t="n">
        <v>1</v>
      </c>
      <c r="C11" s="30" t="n">
        <f aca="false">IF(B11=1,_XtX!I40,0)</f>
        <v>-1.54310344827586</v>
      </c>
      <c r="D11" s="30" t="n">
        <f aca="false">IF(B11=1,SQRT($K$13*INDEX(_XtX!$B$44:$G$49,6,6)),"")</f>
        <v>0.430387445391952</v>
      </c>
      <c r="E11" s="15" t="n">
        <f aca="false">IF(B11=1,C11/D11,"")</f>
        <v>-3.58538211278575</v>
      </c>
      <c r="F11" s="30" t="n">
        <f aca="false">IF(B11=1,TDIST(ABS(E11),$K$8,2),"")</f>
        <v>0.00891188835015798</v>
      </c>
      <c r="G11" s="13" t="str">
        <f aca="false">IF(F11="","",IF(F11&lt;0.01,"**",IF(F11&lt;0.05,"*",IF(F11&lt;0.1,"△",""))))</f>
        <v>**</v>
      </c>
      <c r="H11" s="24" t="str">
        <f aca="false">IF(AND(B11=1,OR($B$8=0)),"主効果が除外されています","")</f>
        <v/>
      </c>
      <c r="J11" s="23" t="s">
        <v>145</v>
      </c>
      <c r="K11" s="16" t="n">
        <f aca="false">SUMPRODUCT(_XtX!A5:A22,(_XtX!H5:H22-K10)^2)</f>
        <v>104.363076923077</v>
      </c>
    </row>
    <row r="12" customFormat="false" ht="15" hidden="false" customHeight="false" outlineLevel="0" collapsed="false">
      <c r="J12" s="23" t="s">
        <v>146</v>
      </c>
      <c r="K12" s="16" t="n">
        <f aca="false">K11-K9</f>
        <v>100.781898762157</v>
      </c>
    </row>
    <row r="13" customFormat="false" ht="15" hidden="false" customHeight="false" outlineLevel="0" collapsed="false">
      <c r="A13" s="19" t="s">
        <v>147</v>
      </c>
      <c r="J13" s="23" t="s">
        <v>148</v>
      </c>
      <c r="K13" s="30" t="n">
        <f aca="false">K9/K8</f>
        <v>0.511596880131362</v>
      </c>
    </row>
    <row r="14" customFormat="false" ht="15" hidden="false" customHeight="false" outlineLevel="0" collapsed="false">
      <c r="J14" s="23" t="s">
        <v>149</v>
      </c>
      <c r="K14" s="16" t="n">
        <f aca="false">SQRT(K13)</f>
        <v>0.715260008760005</v>
      </c>
    </row>
    <row r="15" customFormat="false" ht="15" hidden="false" customHeight="false" outlineLevel="0" collapsed="false">
      <c r="J15" s="23" t="s">
        <v>150</v>
      </c>
      <c r="K15" s="16" t="n">
        <f aca="false">1-K9/K11</f>
        <v>0.965685391169914</v>
      </c>
    </row>
    <row r="16" customFormat="false" ht="15" hidden="false" customHeight="false" outlineLevel="0" collapsed="false">
      <c r="J16" s="18" t="s">
        <v>151</v>
      </c>
      <c r="K16" s="16" t="n">
        <f aca="false">1-(K9/K8)/(K11/(K6-1))</f>
        <v>0.941174956291282</v>
      </c>
    </row>
    <row r="17" customFormat="false" ht="15" hidden="false" customHeight="false" outlineLevel="0" collapsed="false">
      <c r="J17" s="23" t="s">
        <v>152</v>
      </c>
      <c r="K17" s="16" t="n">
        <f aca="false">SUMPRODUCT(_XtX!A5:A22,(_XtX!L5:L22/(1-_XtX!J5:J22))^2)</f>
        <v>6.69847643764496</v>
      </c>
    </row>
    <row r="18" customFormat="false" ht="15" hidden="false" customHeight="false" outlineLevel="0" collapsed="false">
      <c r="J18" s="18" t="s">
        <v>153</v>
      </c>
      <c r="K18" s="16" t="n">
        <f aca="false">1-K17/K11</f>
        <v>0.935815648262439</v>
      </c>
    </row>
    <row r="19" customFormat="false" ht="15" hidden="false" customHeight="false" outlineLevel="0" collapsed="false">
      <c r="J19" s="23" t="s">
        <v>154</v>
      </c>
      <c r="K19" s="16" t="n">
        <f aca="false">IF(01_因子設定!$B$13="目標値",TINV(1-01_因子設定!B17,K8),TINV(2*(1-01_因子設定!B17),K8))</f>
        <v>1.89457860509001</v>
      </c>
    </row>
    <row r="20" customFormat="false" ht="15" hidden="false" customHeight="false" outlineLevel="0" collapsed="false">
      <c r="J20" s="23" t="s">
        <v>155</v>
      </c>
      <c r="K20" s="37" t="n">
        <f aca="false">SUMPRODUCT((03_実験結果!$A$5:$A$22&lt;=01_因子設定!$B$23)*(03_実験結果!$G$5:$G$22=""))</f>
        <v>0</v>
      </c>
    </row>
    <row r="21" customFormat="false" ht="15" hidden="false" customHeight="false" outlineLevel="0" collapsed="false">
      <c r="J21" s="18" t="s">
        <v>87</v>
      </c>
      <c r="K21" s="37" t="n">
        <f aca="false">COUNTIF(02_実験計画!B5:B22,"中心点")</f>
        <v>5</v>
      </c>
    </row>
    <row r="22" customFormat="false" ht="15" hidden="false" customHeight="false" outlineLevel="0" collapsed="false">
      <c r="J22" s="18" t="s">
        <v>156</v>
      </c>
      <c r="K22" s="16" t="n">
        <f aca="false">IFERROR(AVERAGEIF(02_実験計画!B5:B22,"中心点",02_実験計画!$L$5:$L$22),0)</f>
        <v>48.14</v>
      </c>
    </row>
    <row r="23" customFormat="false" ht="15" hidden="false" customHeight="false" outlineLevel="0" collapsed="false">
      <c r="J23" s="23" t="s">
        <v>157</v>
      </c>
      <c r="K23" s="16" t="n">
        <f aca="false">TINV(1-01_因子設定!B17,K8)</f>
        <v>2.36462425159279</v>
      </c>
    </row>
    <row r="24" customFormat="false" ht="15" hidden="false" customHeight="false" outlineLevel="0" collapsed="false">
      <c r="J24" s="19" t="s">
        <v>158</v>
      </c>
    </row>
    <row r="25" customFormat="false" ht="15" hidden="false" customHeight="false" outlineLevel="0" collapsed="false">
      <c r="A25" s="10" t="s">
        <v>159</v>
      </c>
      <c r="B25" s="10" t="s">
        <v>160</v>
      </c>
      <c r="C25" s="10" t="s">
        <v>161</v>
      </c>
      <c r="D25" s="10" t="s">
        <v>162</v>
      </c>
      <c r="E25" s="9" t="s">
        <v>163</v>
      </c>
      <c r="F25" s="9" t="s">
        <v>131</v>
      </c>
      <c r="G25" s="10" t="s">
        <v>100</v>
      </c>
    </row>
    <row r="26" customFormat="false" ht="15" hidden="false" customHeight="false" outlineLevel="0" collapsed="false">
      <c r="A26" s="26" t="s">
        <v>164</v>
      </c>
      <c r="B26" s="37" t="n">
        <f aca="false">K7-1</f>
        <v>5</v>
      </c>
      <c r="C26" s="16" t="n">
        <f aca="false">K12</f>
        <v>100.781898762157</v>
      </c>
      <c r="D26" s="30" t="n">
        <f aca="false">C26/B26</f>
        <v>20.1563797524315</v>
      </c>
      <c r="E26" s="15" t="n">
        <f aca="false">D26/D27</f>
        <v>39.3989497106705</v>
      </c>
      <c r="F26" s="30" t="n">
        <f aca="false">FDIST(E26,B26,B27)</f>
        <v>5.57777749818863E-005</v>
      </c>
      <c r="G26" s="26" t="str">
        <f aca="false">IF(F26&lt;0.05,"有意","有意でない")</f>
        <v>有意</v>
      </c>
    </row>
    <row r="27" customFormat="false" ht="15" hidden="false" customHeight="false" outlineLevel="0" collapsed="false">
      <c r="A27" s="26" t="s">
        <v>165</v>
      </c>
      <c r="B27" s="37" t="n">
        <f aca="false">K8</f>
        <v>7</v>
      </c>
      <c r="C27" s="16" t="n">
        <f aca="false">K9</f>
        <v>3.58117816091953</v>
      </c>
      <c r="D27" s="30" t="n">
        <f aca="false">K13</f>
        <v>0.511596880131362</v>
      </c>
      <c r="E27" s="15"/>
      <c r="F27" s="30"/>
    </row>
    <row r="28" customFormat="false" ht="15" hidden="false" customHeight="false" outlineLevel="0" collapsed="false">
      <c r="A28" s="26" t="s">
        <v>166</v>
      </c>
      <c r="B28" s="37" t="n">
        <f aca="false">B27-B29</f>
        <v>3</v>
      </c>
      <c r="C28" s="16" t="n">
        <f aca="false">C27-C29</f>
        <v>0.269178160919538</v>
      </c>
      <c r="D28" s="30" t="n">
        <f aca="false">IF(B28&gt;0,C28/B28,"")</f>
        <v>0.0897260536398461</v>
      </c>
      <c r="E28" s="15" t="n">
        <f aca="false">IF(AND(B28&gt;0,B29&gt;0),D28/D29,"")</f>
        <v>0.10836479908194</v>
      </c>
      <c r="F28" s="30" t="n">
        <f aca="false">IF(E28="","",FDIST(E28,B28,B29))</f>
        <v>0.950805190671015</v>
      </c>
      <c r="G28" s="26" t="str">
        <f aca="false">IF(F28="","検定不可",IF(F28&lt;0.05,"有意（不適合）","有意でない（適合）"))</f>
        <v>有意でない（適合）</v>
      </c>
    </row>
    <row r="29" customFormat="false" ht="15" hidden="false" customHeight="false" outlineLevel="0" collapsed="false">
      <c r="A29" s="26" t="s">
        <v>167</v>
      </c>
      <c r="B29" s="37" t="n">
        <f aca="false">MAX(K21-1,0)</f>
        <v>4</v>
      </c>
      <c r="C29" s="16" t="n">
        <f aca="false">SUMPRODUCT((02_実験計画!$B$5:$B$22="中心点")*(02_実験計画!$L$5:$L$22-K22)^2)</f>
        <v>3.312</v>
      </c>
      <c r="D29" s="30" t="n">
        <f aca="false">IF(B29&gt;0,C29/B29,"")</f>
        <v>0.827999999999999</v>
      </c>
      <c r="E29" s="15"/>
      <c r="F29" s="30"/>
    </row>
    <row r="30" customFormat="false" ht="15" hidden="false" customHeight="false" outlineLevel="0" collapsed="false">
      <c r="A30" s="26" t="s">
        <v>168</v>
      </c>
      <c r="B30" s="37" t="n">
        <f aca="false">K6-1</f>
        <v>12</v>
      </c>
      <c r="C30" s="16" t="n">
        <f aca="false">K11</f>
        <v>104.363076923077</v>
      </c>
      <c r="D30" s="30"/>
      <c r="E30" s="15"/>
      <c r="F30" s="30"/>
    </row>
    <row r="33" customFormat="false" ht="15" hidden="false" customHeight="false" outlineLevel="0" collapsed="false">
      <c r="A33" s="17" t="s">
        <v>169</v>
      </c>
    </row>
    <row r="34" customFormat="false" ht="30" hidden="false" customHeight="true" outlineLevel="0" collapsed="false">
      <c r="A34" s="18" t="s">
        <v>170</v>
      </c>
      <c r="B34" s="6" t="str">
        <f aca="false">IF(LEFT(01_因子設定!$B$31,1)="×","× 計画が安全限界を超過（01参照）→ 計画を変更してから実験する","○ 全実験点が安全限界内")</f>
        <v>○ 全実験点が安全限界内</v>
      </c>
      <c r="C34" s="6"/>
      <c r="D34" s="6"/>
      <c r="E34" s="6"/>
      <c r="F34" s="6"/>
      <c r="G34" s="6"/>
      <c r="H34" s="6"/>
    </row>
    <row r="35" customFormat="false" ht="30" hidden="false" customHeight="true" outlineLevel="0" collapsed="false">
      <c r="A35" s="18" t="s">
        <v>171</v>
      </c>
      <c r="B35" s="6" t="str">
        <f aca="false">IF(01_因子設定!$B$24="変更困難因子でグループ化",IF(01_因子設定!$B$25&gt;0,"△ 分割区画の順序で実施。この解析は完全ランダムとみなした近似で、変更困難因子のp値は小さく（有意に）出やすい → 正式にはJMP/R等で分割区画解析","△ グループ化を選んでいるが変更困難因子に○がない（完全ランダムとして生成）"),IF(01_因子設定!$B$25&gt;0,"△ 変更困難因子に○があるが完全ランダムで生成。現場で実施できるか確認（できなければグループ化＋正式解析はJMP/R等）","○ 完全ランダム"))</f>
        <v>△ 変更困難因子に○があるが完全ランダムで生成。現場で実施できるか確認（できなければグループ化＋正式解析はJMP/R等）</v>
      </c>
      <c r="C35" s="6"/>
      <c r="D35" s="6"/>
      <c r="E35" s="6"/>
      <c r="F35" s="6"/>
      <c r="G35" s="6"/>
      <c r="H35" s="6"/>
    </row>
    <row r="36" customFormat="false" ht="30" hidden="false" customHeight="true" outlineLevel="0" collapsed="false">
      <c r="A36" s="18" t="s">
        <v>172</v>
      </c>
      <c r="B36" s="6" t="str">
        <f aca="false">IF(K20&gt;0,"× Yが"&amp;K20&amp;"件未入力 → 結果は無効","○ 全件入力済")</f>
        <v>○ 全件入力済</v>
      </c>
      <c r="C36" s="6"/>
      <c r="D36" s="6"/>
      <c r="E36" s="6"/>
      <c r="F36" s="6"/>
      <c r="G36" s="6"/>
      <c r="H36" s="6"/>
    </row>
    <row r="37" customFormat="false" ht="30" hidden="false" customHeight="true" outlineLevel="0" collapsed="false">
      <c r="A37" s="18" t="s">
        <v>173</v>
      </c>
      <c r="B37" s="6" t="str">
        <f aca="false">IF(F26&lt;0.05,"○ 回帰は有意","× 有意でない → 因子・範囲の見直し。最適化に進まない")</f>
        <v>○ 回帰は有意</v>
      </c>
      <c r="C37" s="6"/>
      <c r="D37" s="6"/>
      <c r="E37" s="6"/>
      <c r="F37" s="6"/>
      <c r="G37" s="6"/>
      <c r="H37" s="6"/>
    </row>
    <row r="38" customFormat="false" ht="30" hidden="false" customHeight="true" outlineLevel="0" collapsed="false">
      <c r="A38" s="18" t="s">
        <v>174</v>
      </c>
      <c r="B38" s="6" t="str">
        <f aca="false">IF(F28="","－ 純誤差がないため検定不可（中心点を増やす）",IF(F28&lt;0.05,"× 2次モデルで説明しきれない → 変換・領域縮小・因子追加を検討","○ 2次モデルで説明できている"))</f>
        <v>○ 2次モデルで説明できている</v>
      </c>
      <c r="C38" s="6"/>
      <c r="D38" s="6"/>
      <c r="E38" s="6"/>
      <c r="F38" s="6"/>
      <c r="G38" s="6"/>
      <c r="H38" s="6"/>
    </row>
    <row r="39" customFormat="false" ht="30" hidden="false" customHeight="true" outlineLevel="0" collapsed="false">
      <c r="A39" s="23" t="s">
        <v>175</v>
      </c>
      <c r="B39" s="6" t="str">
        <f aca="false">IF(K15-K18&gt;0.2,"△ 差が0.2超 → 過学習の可能性。不要項の除外を検討","○ 差は0.2以内")</f>
        <v>○ 差は0.2以内</v>
      </c>
      <c r="C39" s="6"/>
      <c r="D39" s="6"/>
      <c r="E39" s="6"/>
      <c r="F39" s="6"/>
      <c r="G39" s="6"/>
      <c r="H39" s="6"/>
    </row>
    <row r="40" customFormat="false" ht="30" hidden="false" customHeight="true" outlineLevel="0" collapsed="false">
      <c r="A40" s="18" t="s">
        <v>165</v>
      </c>
      <c r="B40" s="6" t="str">
        <f aca="false">"05_残差診断のグラフで、パターン・外れ値がないことを目視確認"</f>
        <v>05_残差診断のグラフで、パターン・外れ値がないことを目視確認</v>
      </c>
      <c r="C40" s="6"/>
      <c r="D40" s="6"/>
      <c r="E40" s="6"/>
      <c r="F40" s="6"/>
      <c r="G40" s="6"/>
      <c r="H40" s="6"/>
    </row>
    <row r="42" customFormat="false" ht="15" hidden="false" customHeight="false" outlineLevel="0" collapsed="false">
      <c r="A42" s="38" t="s">
        <v>176</v>
      </c>
    </row>
  </sheetData>
  <mergeCells count="7">
    <mergeCell ref="B34:H34"/>
    <mergeCell ref="B35:H35"/>
    <mergeCell ref="B36:H36"/>
    <mergeCell ref="B37:H37"/>
    <mergeCell ref="B38:H38"/>
    <mergeCell ref="B39:H39"/>
    <mergeCell ref="B40:H40"/>
  </mergeCells>
  <conditionalFormatting sqref="B34:B40">
    <cfRule type="expression" priority="2" aboveAverage="0" equalAverage="0" bottom="0" percent="0" rank="0" text="" dxfId="0">
      <formula>LEFT(B34,1)="×"</formula>
    </cfRule>
    <cfRule type="expression" priority="3" aboveAverage="0" equalAverage="0" bottom="0" percent="0" rank="0" text="" dxfId="3">
      <formula>LEFT(B34,1)="△"</formula>
    </cfRule>
  </conditionalFormatting>
  <dataValidations count="1">
    <dataValidation allowBlank="false" errorStyle="stop" operator="between" showDropDown="false" showErrorMessage="false" showInputMessage="false" sqref="B7:B11" type="list">
      <formula1>"1,0"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8"/>
    <pageSetUpPr fitToPage="false"/>
  </sheetPr>
  <dimension ref="A1:V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7"/>
    <col collapsed="false" customWidth="true" hidden="false" outlineLevel="0" max="3" min="3" style="0" width="5"/>
    <col collapsed="false" customWidth="true" hidden="false" outlineLevel="0" max="6" min="4" style="0" width="9"/>
    <col collapsed="false" customWidth="true" hidden="false" outlineLevel="0" max="7" min="7" style="0" width="10"/>
    <col collapsed="false" customWidth="true" hidden="false" outlineLevel="0" max="8" min="8" style="0" width="9"/>
    <col collapsed="false" customWidth="true" hidden="false" outlineLevel="0" max="9" min="9" style="0" width="14"/>
    <col collapsed="false" customWidth="true" hidden="false" outlineLevel="0" max="10" min="10" style="0" width="9"/>
    <col collapsed="false" customWidth="true" hidden="false" outlineLevel="0" max="12" min="12" style="0" width="5"/>
    <col collapsed="false" customWidth="true" hidden="false" outlineLevel="0" max="13" min="13" style="0" width="6"/>
    <col collapsed="false" customWidth="true" hidden="false" outlineLevel="0" max="14" min="14" style="0" width="7"/>
  </cols>
  <sheetData>
    <row r="1" customFormat="false" ht="21.6" hidden="false" customHeight="false" outlineLevel="0" collapsed="false">
      <c r="A1" s="8" t="s">
        <v>177</v>
      </c>
    </row>
    <row r="2" customFormat="false" ht="15" hidden="false" customHeight="false" outlineLevel="0" collapsed="false">
      <c r="A2" s="2" t="s">
        <v>178</v>
      </c>
    </row>
    <row r="4" customFormat="false" ht="29.85" hidden="false" customHeight="false" outlineLevel="0" collapsed="false">
      <c r="A4" s="10" t="s">
        <v>104</v>
      </c>
      <c r="B4" s="10" t="s">
        <v>179</v>
      </c>
      <c r="C4" s="10" t="s">
        <v>106</v>
      </c>
      <c r="D4" s="9" t="s">
        <v>180</v>
      </c>
      <c r="E4" s="10" t="s">
        <v>181</v>
      </c>
      <c r="F4" s="10" t="s">
        <v>165</v>
      </c>
      <c r="G4" s="10" t="s">
        <v>182</v>
      </c>
      <c r="H4" s="10" t="s">
        <v>183</v>
      </c>
      <c r="I4" s="10" t="s">
        <v>184</v>
      </c>
      <c r="J4" s="10" t="s">
        <v>100</v>
      </c>
      <c r="L4" s="9" t="s">
        <v>185</v>
      </c>
      <c r="M4" s="10" t="s">
        <v>186</v>
      </c>
      <c r="N4" s="10" t="s">
        <v>104</v>
      </c>
      <c r="O4" s="10" t="s">
        <v>181</v>
      </c>
      <c r="P4" s="10" t="s">
        <v>165</v>
      </c>
      <c r="Q4" s="10" t="s">
        <v>179</v>
      </c>
      <c r="R4" s="10" t="s">
        <v>187</v>
      </c>
      <c r="S4" s="10" t="s">
        <v>188</v>
      </c>
      <c r="T4" s="10" t="s">
        <v>189</v>
      </c>
    </row>
    <row r="5" customFormat="false" ht="15" hidden="false" customHeight="false" outlineLevel="0" collapsed="false">
      <c r="A5" s="11" t="n">
        <v>1</v>
      </c>
      <c r="B5" s="11" t="n">
        <f aca="false">02_実験計画!K5</f>
        <v>4</v>
      </c>
      <c r="C5" s="11" t="n">
        <f aca="false">02_実験計画!C5</f>
        <v>1</v>
      </c>
      <c r="D5" s="15" t="n">
        <f aca="false">IF(C5=1,_XtX!H5,"")</f>
        <v>40</v>
      </c>
      <c r="E5" s="15" t="n">
        <f aca="false">IF(C5=1,_XtX!K5,"")</f>
        <v>39.9272988505747</v>
      </c>
      <c r="F5" s="16" t="n">
        <f aca="false">IF(C5=1,D5-E5,"")</f>
        <v>0.0727011494253063</v>
      </c>
      <c r="G5" s="15" t="n">
        <f aca="false">IF(C5=1,F5/04_回帰ANOVA!$K$14,"")</f>
        <v>0.10164296694197</v>
      </c>
      <c r="H5" s="16" t="n">
        <f aca="false">IF(C5=1,_XtX!J5,"")</f>
        <v>0.790229885057471</v>
      </c>
      <c r="I5" s="15" t="n">
        <f aca="false">IF(C5=1,IF(H5&lt;0.9999,F5/(04_回帰ANOVA!$K$14*SQRT(1-H5)),0),"")</f>
        <v>0.221924640720788</v>
      </c>
      <c r="J5" s="25" t="str">
        <f aca="false">IF(C5=1,IF(ABS(I5)&gt;3,"要確認",IF(ABS(I5)&gt;2,"注意","")),"")</f>
        <v/>
      </c>
      <c r="L5" s="24" t="n">
        <v>1</v>
      </c>
      <c r="M5" s="24" t="n">
        <f aca="false">MIN(L5,04_回帰ANOVA!$K$6)</f>
        <v>1</v>
      </c>
      <c r="N5" s="24" t="n">
        <f aca="false">MATCH(M5,$B$5:$B$22,0)</f>
        <v>12</v>
      </c>
      <c r="O5" s="15" t="n">
        <f aca="false">INDEX($E$5:$E$22,N5)</f>
        <v>48.0551724137931</v>
      </c>
      <c r="P5" s="16" t="n">
        <f aca="false">INDEX($F$5:$F$22,N5)</f>
        <v>-0.155172413793103</v>
      </c>
      <c r="Q5" s="24" t="n">
        <f aca="false">M5</f>
        <v>1</v>
      </c>
      <c r="R5" s="16" t="n">
        <f aca="false">SMALL($F$5:$F$22,M5)</f>
        <v>-1.3551724137931</v>
      </c>
      <c r="S5" s="16" t="n">
        <f aca="false">NORMSINV((M5-0.375)/(04_回帰ANOVA!$K$6+0.25))</f>
        <v>-1.67293738760497</v>
      </c>
      <c r="T5" s="15" t="n">
        <f aca="false">INDEX($D$5:$D$22,N5)</f>
        <v>47.9</v>
      </c>
    </row>
    <row r="6" customFormat="false" ht="15" hidden="false" customHeight="false" outlineLevel="0" collapsed="false">
      <c r="A6" s="11" t="n">
        <v>2</v>
      </c>
      <c r="B6" s="11" t="n">
        <f aca="false">02_実験計画!K6</f>
        <v>5</v>
      </c>
      <c r="C6" s="11" t="n">
        <f aca="false">02_実験計画!C6</f>
        <v>1</v>
      </c>
      <c r="D6" s="15" t="n">
        <f aca="false">IF(C6=1,_XtX!H6,"")</f>
        <v>43.2</v>
      </c>
      <c r="E6" s="15" t="n">
        <f aca="false">IF(C6=1,_XtX!K6,"")</f>
        <v>43.110632183908</v>
      </c>
      <c r="F6" s="16" t="n">
        <f aca="false">IF(C6=1,D6-E6,"")</f>
        <v>0.089367816091972</v>
      </c>
      <c r="G6" s="15" t="n">
        <f aca="false">IF(C6=1,F6/04_回帰ANOVA!$K$14,"")</f>
        <v>0.124944516675695</v>
      </c>
      <c r="H6" s="16" t="n">
        <f aca="false">IF(C6=1,_XtX!J6,"")</f>
        <v>0.790229885057471</v>
      </c>
      <c r="I6" s="15" t="n">
        <f aca="false">IF(C6=1,IF(H6&lt;0.9999,F6/(04_回帰ANOVA!$K$14*SQRT(1-H6)),0),"")</f>
        <v>0.272800645312889</v>
      </c>
      <c r="J6" s="25" t="str">
        <f aca="false">IF(C6=1,IF(ABS(I6)&gt;3,"要確認",IF(ABS(I6)&gt;2,"注意","")),"")</f>
        <v/>
      </c>
      <c r="L6" s="24" t="n">
        <v>2</v>
      </c>
      <c r="M6" s="24" t="n">
        <f aca="false">MIN(L6,04_回帰ANOVA!$K$6)</f>
        <v>2</v>
      </c>
      <c r="N6" s="24" t="n">
        <f aca="false">MATCH(M6,$B$5:$B$22,0)</f>
        <v>10</v>
      </c>
      <c r="O6" s="15" t="n">
        <f aca="false">INDEX($E$5:$E$22,N6)</f>
        <v>48.0551724137931</v>
      </c>
      <c r="P6" s="16" t="n">
        <f aca="false">INDEX($F$5:$F$22,N6)</f>
        <v>-1.3551724137931</v>
      </c>
      <c r="Q6" s="24" t="n">
        <f aca="false">M6</f>
        <v>2</v>
      </c>
      <c r="R6" s="16" t="n">
        <f aca="false">SMALL($F$5:$F$22,M6)</f>
        <v>-0.262068965517244</v>
      </c>
      <c r="S6" s="16" t="n">
        <f aca="false">NORMSINV((M6-0.375)/(04_回帰ANOVA!$K$6+0.25))</f>
        <v>-1.16188293727674</v>
      </c>
      <c r="T6" s="15" t="n">
        <f aca="false">INDEX($D$5:$D$22,N6)</f>
        <v>46.7</v>
      </c>
    </row>
    <row r="7" customFormat="false" ht="15" hidden="false" customHeight="false" outlineLevel="0" collapsed="false">
      <c r="A7" s="11" t="n">
        <v>3</v>
      </c>
      <c r="B7" s="11" t="n">
        <f aca="false">02_実験計画!K7</f>
        <v>3</v>
      </c>
      <c r="C7" s="11" t="n">
        <f aca="false">02_実験計画!C7</f>
        <v>1</v>
      </c>
      <c r="D7" s="15" t="n">
        <f aca="false">IF(C7=1,_XtX!H7,"")</f>
        <v>43.5</v>
      </c>
      <c r="E7" s="15" t="n">
        <f aca="false">IF(C7=1,_XtX!K7,"")</f>
        <v>43.3772988505747</v>
      </c>
      <c r="F7" s="16" t="n">
        <f aca="false">IF(C7=1,D7-E7,"")</f>
        <v>0.122701149425303</v>
      </c>
      <c r="G7" s="15" t="n">
        <f aca="false">IF(C7=1,F7/04_回帰ANOVA!$K$14,"")</f>
        <v>0.171547616143144</v>
      </c>
      <c r="H7" s="16" t="n">
        <f aca="false">IF(C7=1,_XtX!J7,"")</f>
        <v>0.790229885057471</v>
      </c>
      <c r="I7" s="15" t="n">
        <f aca="false">IF(C7=1,IF(H7&lt;0.9999,F7/(04_回帰ANOVA!$K$14*SQRT(1-H7)),0),"")</f>
        <v>0.374552654497091</v>
      </c>
      <c r="J7" s="25" t="str">
        <f aca="false">IF(C7=1,IF(ABS(I7)&gt;3,"要確認",IF(ABS(I7)&gt;2,"注意","")),"")</f>
        <v/>
      </c>
      <c r="L7" s="24" t="n">
        <v>3</v>
      </c>
      <c r="M7" s="24" t="n">
        <f aca="false">MIN(L7,04_回帰ANOVA!$K$6)</f>
        <v>3</v>
      </c>
      <c r="N7" s="24" t="n">
        <f aca="false">MATCH(M7,$B$5:$B$22,0)</f>
        <v>3</v>
      </c>
      <c r="O7" s="15" t="n">
        <f aca="false">INDEX($E$5:$E$22,N7)</f>
        <v>43.3772988505747</v>
      </c>
      <c r="P7" s="16" t="n">
        <f aca="false">INDEX($F$5:$F$22,N7)</f>
        <v>0.122701149425303</v>
      </c>
      <c r="Q7" s="24" t="n">
        <f aca="false">M7</f>
        <v>3</v>
      </c>
      <c r="R7" s="16" t="n">
        <f aca="false">SMALL($F$5:$F$22,M7)</f>
        <v>-0.228735632183884</v>
      </c>
      <c r="S7" s="16" t="n">
        <f aca="false">NORMSINV((M7-0.375)/(04_回帰ANOVA!$K$6+0.25))</f>
        <v>-0.848379932076291</v>
      </c>
      <c r="T7" s="15" t="n">
        <f aca="false">INDEX($D$5:$D$22,N7)</f>
        <v>43.5</v>
      </c>
    </row>
    <row r="8" customFormat="false" ht="15" hidden="false" customHeight="false" outlineLevel="0" collapsed="false">
      <c r="A8" s="11" t="n">
        <v>4</v>
      </c>
      <c r="B8" s="11" t="n">
        <f aca="false">02_実験計画!K8</f>
        <v>9</v>
      </c>
      <c r="C8" s="11" t="n">
        <f aca="false">02_実験計画!C8</f>
        <v>1</v>
      </c>
      <c r="D8" s="15" t="n">
        <f aca="false">IF(C8=1,_XtX!H8,"")</f>
        <v>48.8</v>
      </c>
      <c r="E8" s="15" t="n">
        <f aca="false">IF(C8=1,_XtX!K8,"")</f>
        <v>48.660632183908</v>
      </c>
      <c r="F8" s="16" t="n">
        <f aca="false">IF(C8=1,D8-E8,"")</f>
        <v>0.139367816091969</v>
      </c>
      <c r="G8" s="15" t="n">
        <f aca="false">IF(C8=1,F8/04_回帰ANOVA!$K$14,"")</f>
        <v>0.194849165876869</v>
      </c>
      <c r="H8" s="16" t="n">
        <f aca="false">IF(C8=1,_XtX!J8,"")</f>
        <v>0.790229885057471</v>
      </c>
      <c r="I8" s="15" t="n">
        <f aca="false">IF(C8=1,IF(H8&lt;0.9999,F8/(04_回帰ANOVA!$K$14*SQRT(1-H8)),0),"")</f>
        <v>0.425428659089193</v>
      </c>
      <c r="J8" s="25" t="str">
        <f aca="false">IF(C8=1,IF(ABS(I8)&gt;3,"要確認",IF(ABS(I8)&gt;2,"注意","")),"")</f>
        <v/>
      </c>
      <c r="L8" s="24" t="n">
        <v>4</v>
      </c>
      <c r="M8" s="24" t="n">
        <f aca="false">MIN(L8,04_回帰ANOVA!$K$6)</f>
        <v>4</v>
      </c>
      <c r="N8" s="24" t="n">
        <f aca="false">MATCH(M8,$B$5:$B$22,0)</f>
        <v>1</v>
      </c>
      <c r="O8" s="15" t="n">
        <f aca="false">INDEX($E$5:$E$22,N8)</f>
        <v>39.9272988505747</v>
      </c>
      <c r="P8" s="16" t="n">
        <f aca="false">INDEX($F$5:$F$22,N8)</f>
        <v>0.0727011494253063</v>
      </c>
      <c r="Q8" s="24" t="n">
        <f aca="false">M8</f>
        <v>4</v>
      </c>
      <c r="R8" s="16" t="n">
        <f aca="false">SMALL($F$5:$F$22,M8)</f>
        <v>-0.195402298850553</v>
      </c>
      <c r="S8" s="16" t="n">
        <f aca="false">NORMSINV((M8-0.375)/(04_回帰ANOVA!$K$6+0.25))</f>
        <v>-0.602006499049553</v>
      </c>
      <c r="T8" s="15" t="n">
        <f aca="false">INDEX($D$5:$D$22,N8)</f>
        <v>40</v>
      </c>
    </row>
    <row r="9" customFormat="false" ht="15" hidden="false" customHeight="false" outlineLevel="0" collapsed="false">
      <c r="A9" s="11" t="n">
        <v>5</v>
      </c>
      <c r="B9" s="11" t="n">
        <f aca="false">02_実験計画!K9</f>
        <v>6</v>
      </c>
      <c r="C9" s="11" t="n">
        <f aca="false">02_実験計画!C9</f>
        <v>1</v>
      </c>
      <c r="D9" s="15" t="n">
        <f aca="false">IF(C9=1,_XtX!H9,"")</f>
        <v>43</v>
      </c>
      <c r="E9" s="15" t="n">
        <f aca="false">IF(C9=1,_XtX!K9,"")</f>
        <v>43.1954022988506</v>
      </c>
      <c r="F9" s="16" t="n">
        <f aca="false">IF(C9=1,D9-E9,"")</f>
        <v>-0.195402298850553</v>
      </c>
      <c r="G9" s="15" t="n">
        <f aca="false">IF(C9=1,F9/04_回帰ANOVA!$K$14,"")</f>
        <v>-0.273190583085035</v>
      </c>
      <c r="H9" s="16" t="n">
        <f aca="false">IF(C9=1,_XtX!J9,"")</f>
        <v>0.494252873563218</v>
      </c>
      <c r="I9" s="15" t="n">
        <f aca="false">IF(C9=1,IF(H9&lt;0.9999,F9/(04_回帰ANOVA!$K$14*SQRT(1-H9)),0),"")</f>
        <v>-0.384148386271849</v>
      </c>
      <c r="J9" s="25" t="str">
        <f aca="false">IF(C9=1,IF(ABS(I9)&gt;3,"要確認",IF(ABS(I9)&gt;2,"注意","")),"")</f>
        <v/>
      </c>
      <c r="L9" s="24" t="n">
        <v>5</v>
      </c>
      <c r="M9" s="24" t="n">
        <f aca="false">MIN(L9,04_回帰ANOVA!$K$6)</f>
        <v>5</v>
      </c>
      <c r="N9" s="24" t="n">
        <f aca="false">MATCH(M9,$B$5:$B$22,0)</f>
        <v>2</v>
      </c>
      <c r="O9" s="15" t="n">
        <f aca="false">INDEX($E$5:$E$22,N9)</f>
        <v>43.110632183908</v>
      </c>
      <c r="P9" s="16" t="n">
        <f aca="false">INDEX($F$5:$F$22,N9)</f>
        <v>0.089367816091972</v>
      </c>
      <c r="Q9" s="24" t="n">
        <f aca="false">M9</f>
        <v>5</v>
      </c>
      <c r="R9" s="16" t="n">
        <f aca="false">SMALL($F$5:$F$22,M9)</f>
        <v>-0.162068965517243</v>
      </c>
      <c r="S9" s="16" t="n">
        <f aca="false">NORMSINV((M9-0.375)/(04_回帰ANOVA!$K$6+0.25))</f>
        <v>-0.387868692685014</v>
      </c>
      <c r="T9" s="15" t="n">
        <f aca="false">INDEX($D$5:$D$22,N9)</f>
        <v>43.2</v>
      </c>
    </row>
    <row r="10" customFormat="false" ht="15" hidden="false" customHeight="false" outlineLevel="0" collapsed="false">
      <c r="A10" s="11" t="n">
        <v>6</v>
      </c>
      <c r="B10" s="11" t="n">
        <f aca="false">02_実験計画!K10</f>
        <v>10</v>
      </c>
      <c r="C10" s="11" t="n">
        <f aca="false">02_実験計画!C10</f>
        <v>1</v>
      </c>
      <c r="D10" s="15" t="n">
        <f aca="false">IF(C10=1,_XtX!H10,"")</f>
        <v>47.2</v>
      </c>
      <c r="E10" s="15" t="n">
        <f aca="false">IF(C10=1,_XtX!K10,"")</f>
        <v>47.4287356321839</v>
      </c>
      <c r="F10" s="16" t="n">
        <f aca="false">IF(C10=1,D10-E10,"")</f>
        <v>-0.228735632183884</v>
      </c>
      <c r="G10" s="15" t="n">
        <f aca="false">IF(C10=1,F10/04_回帰ANOVA!$K$14,"")</f>
        <v>-0.319793682552485</v>
      </c>
      <c r="H10" s="16" t="n">
        <f aca="false">IF(C10=1,_XtX!J10,"")</f>
        <v>0.494252873563218</v>
      </c>
      <c r="I10" s="15" t="n">
        <f aca="false">IF(C10=1,IF(H10&lt;0.9999,F10/(04_回帰ANOVA!$K$14*SQRT(1-H10)),0),"")</f>
        <v>-0.449679581577051</v>
      </c>
      <c r="J10" s="25" t="str">
        <f aca="false">IF(C10=1,IF(ABS(I10)&gt;3,"要確認",IF(ABS(I10)&gt;2,"注意","")),"")</f>
        <v/>
      </c>
      <c r="L10" s="24" t="n">
        <v>6</v>
      </c>
      <c r="M10" s="24" t="n">
        <f aca="false">MIN(L10,04_回帰ANOVA!$K$6)</f>
        <v>6</v>
      </c>
      <c r="N10" s="24" t="n">
        <f aca="false">MATCH(M10,$B$5:$B$22,0)</f>
        <v>5</v>
      </c>
      <c r="O10" s="15" t="n">
        <f aca="false">INDEX($E$5:$E$22,N10)</f>
        <v>43.1954022988506</v>
      </c>
      <c r="P10" s="16" t="n">
        <f aca="false">INDEX($F$5:$F$22,N10)</f>
        <v>-0.195402298850553</v>
      </c>
      <c r="Q10" s="24" t="n">
        <f aca="false">M10</f>
        <v>6</v>
      </c>
      <c r="R10" s="16" t="n">
        <f aca="false">SMALL($F$5:$F$22,M10)</f>
        <v>-0.155172413793103</v>
      </c>
      <c r="S10" s="16" t="n">
        <f aca="false">NORMSINV((M10-0.375)/(04_回帰ANOVA!$K$6+0.25))</f>
        <v>-0.190322269836495</v>
      </c>
      <c r="T10" s="15" t="n">
        <f aca="false">INDEX($D$5:$D$22,N10)</f>
        <v>43</v>
      </c>
    </row>
    <row r="11" customFormat="false" ht="15" hidden="false" customHeight="false" outlineLevel="0" collapsed="false">
      <c r="A11" s="11" t="n">
        <v>7</v>
      </c>
      <c r="B11" s="11" t="n">
        <f aca="false">02_実験計画!K11</f>
        <v>8</v>
      </c>
      <c r="C11" s="11" t="n">
        <f aca="false">02_実験計画!C11</f>
        <v>1</v>
      </c>
      <c r="D11" s="15" t="n">
        <f aca="false">IF(C11=1,_XtX!H11,"")</f>
        <v>44.1</v>
      </c>
      <c r="E11" s="15" t="n">
        <f aca="false">IF(C11=1,_XtX!K11,"")</f>
        <v>44.2620689655172</v>
      </c>
      <c r="F11" s="16" t="n">
        <f aca="false">IF(C11=1,D11-E11,"")</f>
        <v>-0.162068965517243</v>
      </c>
      <c r="G11" s="15" t="n">
        <f aca="false">IF(C11=1,F11/04_回帰ANOVA!$K$14,"")</f>
        <v>-0.226587483617615</v>
      </c>
      <c r="H11" s="16" t="n">
        <f aca="false">IF(C11=1,_XtX!J11,"")</f>
        <v>0.494252873563218</v>
      </c>
      <c r="I11" s="15" t="n">
        <f aca="false">IF(C11=1,IF(H11&lt;0.9999,F11/(04_回帰ANOVA!$K$14*SQRT(1-H11)),0),"")</f>
        <v>-0.31861719096669</v>
      </c>
      <c r="J11" s="25" t="str">
        <f aca="false">IF(C11=1,IF(ABS(I11)&gt;3,"要確認",IF(ABS(I11)&gt;2,"注意","")),"")</f>
        <v/>
      </c>
      <c r="L11" s="24" t="n">
        <v>7</v>
      </c>
      <c r="M11" s="24" t="n">
        <f aca="false">MIN(L11,04_回帰ANOVA!$K$6)</f>
        <v>7</v>
      </c>
      <c r="N11" s="24" t="n">
        <f aca="false">MATCH(M11,$B$5:$B$22,0)</f>
        <v>13</v>
      </c>
      <c r="O11" s="15" t="n">
        <f aca="false">INDEX($E$5:$E$22,N11)</f>
        <v>48.0551724137931</v>
      </c>
      <c r="P11" s="16" t="n">
        <f aca="false">INDEX($F$5:$F$22,N11)</f>
        <v>0.444827586206898</v>
      </c>
      <c r="Q11" s="24" t="n">
        <f aca="false">M11</f>
        <v>7</v>
      </c>
      <c r="R11" s="16" t="n">
        <f aca="false">SMALL($F$5:$F$22,M11)</f>
        <v>0.0727011494253063</v>
      </c>
      <c r="S11" s="16" t="n">
        <f aca="false">NORMSINV((M11-0.375)/(04_回帰ANOVA!$K$6+0.25))</f>
        <v>0</v>
      </c>
      <c r="T11" s="15" t="n">
        <f aca="false">INDEX($D$5:$D$22,N11)</f>
        <v>48.5</v>
      </c>
    </row>
    <row r="12" customFormat="false" ht="15" hidden="false" customHeight="false" outlineLevel="0" collapsed="false">
      <c r="A12" s="11" t="n">
        <v>8</v>
      </c>
      <c r="B12" s="11" t="n">
        <f aca="false">02_実験計画!K12</f>
        <v>11</v>
      </c>
      <c r="C12" s="11" t="n">
        <f aca="false">02_実験計画!C12</f>
        <v>1</v>
      </c>
      <c r="D12" s="15" t="n">
        <f aca="false">IF(C12=1,_XtX!H12,"")</f>
        <v>48.5</v>
      </c>
      <c r="E12" s="15" t="n">
        <f aca="false">IF(C12=1,_XtX!K12,"")</f>
        <v>48.7620689655172</v>
      </c>
      <c r="F12" s="16" t="n">
        <f aca="false">IF(C12=1,D12-E12,"")</f>
        <v>-0.262068965517244</v>
      </c>
      <c r="G12" s="15" t="n">
        <f aca="false">IF(C12=1,F12/04_回帰ANOVA!$K$14,"")</f>
        <v>-0.366396782019974</v>
      </c>
      <c r="H12" s="16" t="n">
        <f aca="false">IF(C12=1,_XtX!J12,"")</f>
        <v>0.494252873563218</v>
      </c>
      <c r="I12" s="15" t="n">
        <f aca="false">IF(C12=1,IF(H12&lt;0.9999,F12/(04_回帰ANOVA!$K$14*SQRT(1-H12)),0),"")</f>
        <v>-0.515210776882308</v>
      </c>
      <c r="J12" s="25" t="str">
        <f aca="false">IF(C12=1,IF(ABS(I12)&gt;3,"要確認",IF(ABS(I12)&gt;2,"注意","")),"")</f>
        <v/>
      </c>
      <c r="L12" s="24" t="n">
        <v>8</v>
      </c>
      <c r="M12" s="24" t="n">
        <f aca="false">MIN(L12,04_回帰ANOVA!$K$6)</f>
        <v>8</v>
      </c>
      <c r="N12" s="24" t="n">
        <f aca="false">MATCH(M12,$B$5:$B$22,0)</f>
        <v>7</v>
      </c>
      <c r="O12" s="15" t="n">
        <f aca="false">INDEX($E$5:$E$22,N12)</f>
        <v>44.2620689655172</v>
      </c>
      <c r="P12" s="16" t="n">
        <f aca="false">INDEX($F$5:$F$22,N12)</f>
        <v>-0.162068965517243</v>
      </c>
      <c r="Q12" s="24" t="n">
        <f aca="false">M12</f>
        <v>8</v>
      </c>
      <c r="R12" s="16" t="n">
        <f aca="false">SMALL($F$5:$F$22,M12)</f>
        <v>0.089367816091972</v>
      </c>
      <c r="S12" s="16" t="n">
        <f aca="false">NORMSINV((M12-0.375)/(04_回帰ANOVA!$K$6+0.25))</f>
        <v>0.190322269836495</v>
      </c>
      <c r="T12" s="15" t="n">
        <f aca="false">INDEX($D$5:$D$22,N12)</f>
        <v>44.1</v>
      </c>
    </row>
    <row r="13" customFormat="false" ht="15" hidden="false" customHeight="false" outlineLevel="0" collapsed="false">
      <c r="A13" s="11" t="n">
        <v>9</v>
      </c>
      <c r="B13" s="11" t="n">
        <f aca="false">02_実験計画!K13</f>
        <v>12</v>
      </c>
      <c r="C13" s="11" t="n">
        <f aca="false">02_実験計画!C13</f>
        <v>1</v>
      </c>
      <c r="D13" s="15" t="n">
        <f aca="false">IF(C13=1,_XtX!H13,"")</f>
        <v>48.5</v>
      </c>
      <c r="E13" s="15" t="n">
        <f aca="false">IF(C13=1,_XtX!K13,"")</f>
        <v>48.0551724137931</v>
      </c>
      <c r="F13" s="16" t="n">
        <f aca="false">IF(C13=1,D13-E13,"")</f>
        <v>0.444827586206898</v>
      </c>
      <c r="G13" s="15" t="n">
        <f aca="false">IF(C13=1,F13/04_回帰ANOVA!$K$14,"")</f>
        <v>0.621910327376004</v>
      </c>
      <c r="H13" s="16" t="n">
        <f aca="false">IF(C13=1,_XtX!J13,"")</f>
        <v>0.172413793103448</v>
      </c>
      <c r="I13" s="15" t="n">
        <f aca="false">IF(C13=1,IF(H13&lt;0.9999,F13/(04_回帰ANOVA!$K$14*SQRT(1-H13)),0),"")</f>
        <v>0.683630053574633</v>
      </c>
      <c r="J13" s="25" t="str">
        <f aca="false">IF(C13=1,IF(ABS(I13)&gt;3,"要確認",IF(ABS(I13)&gt;2,"注意","")),"")</f>
        <v/>
      </c>
      <c r="L13" s="24" t="n">
        <v>9</v>
      </c>
      <c r="M13" s="24" t="n">
        <f aca="false">MIN(L13,04_回帰ANOVA!$K$6)</f>
        <v>9</v>
      </c>
      <c r="N13" s="24" t="n">
        <f aca="false">MATCH(M13,$B$5:$B$22,0)</f>
        <v>4</v>
      </c>
      <c r="O13" s="15" t="n">
        <f aca="false">INDEX($E$5:$E$22,N13)</f>
        <v>48.660632183908</v>
      </c>
      <c r="P13" s="16" t="n">
        <f aca="false">INDEX($F$5:$F$22,N13)</f>
        <v>0.139367816091969</v>
      </c>
      <c r="Q13" s="24" t="n">
        <f aca="false">M13</f>
        <v>9</v>
      </c>
      <c r="R13" s="16" t="n">
        <f aca="false">SMALL($F$5:$F$22,M13)</f>
        <v>0.122701149425303</v>
      </c>
      <c r="S13" s="16" t="n">
        <f aca="false">NORMSINV((M13-0.375)/(04_回帰ANOVA!$K$6+0.25))</f>
        <v>0.387868692685013</v>
      </c>
      <c r="T13" s="15" t="n">
        <f aca="false">INDEX($D$5:$D$22,N13)</f>
        <v>48.8</v>
      </c>
    </row>
    <row r="14" customFormat="false" ht="15" hidden="false" customHeight="false" outlineLevel="0" collapsed="false">
      <c r="A14" s="11" t="n">
        <v>10</v>
      </c>
      <c r="B14" s="11" t="n">
        <f aca="false">02_実験計画!K14</f>
        <v>2</v>
      </c>
      <c r="C14" s="11" t="n">
        <f aca="false">02_実験計画!C14</f>
        <v>1</v>
      </c>
      <c r="D14" s="15" t="n">
        <f aca="false">IF(C14=1,_XtX!H14,"")</f>
        <v>46.7</v>
      </c>
      <c r="E14" s="15" t="n">
        <f aca="false">IF(C14=1,_XtX!K14,"")</f>
        <v>48.0551724137931</v>
      </c>
      <c r="F14" s="16" t="n">
        <f aca="false">IF(C14=1,D14-E14,"")</f>
        <v>-1.3551724137931</v>
      </c>
      <c r="G14" s="15" t="n">
        <f aca="false">IF(C14=1,F14/04_回帰ANOVA!$K$14,"")</f>
        <v>-1.89465704386642</v>
      </c>
      <c r="H14" s="16" t="n">
        <f aca="false">IF(C14=1,_XtX!J14,"")</f>
        <v>0.172413793103448</v>
      </c>
      <c r="I14" s="15" t="n">
        <f aca="false">IF(C14=1,IF(H14&lt;0.9999,F14/(04_回帰ANOVA!$K$14*SQRT(1-H14)),0),"")</f>
        <v>-2.08268690740177</v>
      </c>
      <c r="J14" s="25" t="str">
        <f aca="false">IF(C14=1,IF(ABS(I14)&gt;3,"要確認",IF(ABS(I14)&gt;2,"注意","")),"")</f>
        <v>注意</v>
      </c>
      <c r="L14" s="24" t="n">
        <v>10</v>
      </c>
      <c r="M14" s="24" t="n">
        <f aca="false">MIN(L14,04_回帰ANOVA!$K$6)</f>
        <v>10</v>
      </c>
      <c r="N14" s="24" t="n">
        <f aca="false">MATCH(M14,$B$5:$B$22,0)</f>
        <v>6</v>
      </c>
      <c r="O14" s="15" t="n">
        <f aca="false">INDEX($E$5:$E$22,N14)</f>
        <v>47.4287356321839</v>
      </c>
      <c r="P14" s="16" t="n">
        <f aca="false">INDEX($F$5:$F$22,N14)</f>
        <v>-0.228735632183884</v>
      </c>
      <c r="Q14" s="24" t="n">
        <f aca="false">M14</f>
        <v>10</v>
      </c>
      <c r="R14" s="16" t="n">
        <f aca="false">SMALL($F$5:$F$22,M14)</f>
        <v>0.139367816091969</v>
      </c>
      <c r="S14" s="16" t="n">
        <f aca="false">NORMSINV((M14-0.375)/(04_回帰ANOVA!$K$6+0.25))</f>
        <v>0.602006499049553</v>
      </c>
      <c r="T14" s="15" t="n">
        <f aca="false">INDEX($D$5:$D$22,N14)</f>
        <v>47.2</v>
      </c>
    </row>
    <row r="15" customFormat="false" ht="15" hidden="false" customHeight="false" outlineLevel="0" collapsed="false">
      <c r="A15" s="11" t="n">
        <v>11</v>
      </c>
      <c r="B15" s="11" t="n">
        <f aca="false">02_実験計画!K15</f>
        <v>13</v>
      </c>
      <c r="C15" s="11" t="n">
        <f aca="false">02_実験計画!C15</f>
        <v>1</v>
      </c>
      <c r="D15" s="15" t="n">
        <f aca="false">IF(C15=1,_XtX!H15,"")</f>
        <v>49.1</v>
      </c>
      <c r="E15" s="15" t="n">
        <f aca="false">IF(C15=1,_XtX!K15,"")</f>
        <v>48.0551724137931</v>
      </c>
      <c r="F15" s="16" t="n">
        <f aca="false">IF(C15=1,D15-E15,"")</f>
        <v>1.0448275862069</v>
      </c>
      <c r="G15" s="15" t="n">
        <f aca="false">IF(C15=1,F15/04_回帰ANOVA!$K$14,"")</f>
        <v>1.46076611779015</v>
      </c>
      <c r="H15" s="16" t="n">
        <f aca="false">IF(C15=1,_XtX!J15,"")</f>
        <v>0.172413793103448</v>
      </c>
      <c r="I15" s="15" t="n">
        <f aca="false">IF(C15=1,IF(H15&lt;0.9999,F15/(04_回帰ANOVA!$K$14*SQRT(1-H15)),0),"")</f>
        <v>1.60573570723344</v>
      </c>
      <c r="J15" s="25" t="str">
        <f aca="false">IF(C15=1,IF(ABS(I15)&gt;3,"要確認",IF(ABS(I15)&gt;2,"注意","")),"")</f>
        <v/>
      </c>
      <c r="L15" s="24" t="n">
        <v>11</v>
      </c>
      <c r="M15" s="24" t="n">
        <f aca="false">MIN(L15,04_回帰ANOVA!$K$6)</f>
        <v>11</v>
      </c>
      <c r="N15" s="24" t="n">
        <f aca="false">MATCH(M15,$B$5:$B$22,0)</f>
        <v>8</v>
      </c>
      <c r="O15" s="15" t="n">
        <f aca="false">INDEX($E$5:$E$22,N15)</f>
        <v>48.7620689655172</v>
      </c>
      <c r="P15" s="16" t="n">
        <f aca="false">INDEX($F$5:$F$22,N15)</f>
        <v>-0.262068965517244</v>
      </c>
      <c r="Q15" s="24" t="n">
        <f aca="false">M15</f>
        <v>11</v>
      </c>
      <c r="R15" s="16" t="n">
        <f aca="false">SMALL($F$5:$F$22,M15)</f>
        <v>0.444827586206898</v>
      </c>
      <c r="S15" s="16" t="n">
        <f aca="false">NORMSINV((M15-0.375)/(04_回帰ANOVA!$K$6+0.25))</f>
        <v>0.848379932076291</v>
      </c>
      <c r="T15" s="15" t="n">
        <f aca="false">INDEX($D$5:$D$22,N15)</f>
        <v>48.5</v>
      </c>
    </row>
    <row r="16" customFormat="false" ht="15" hidden="false" customHeight="false" outlineLevel="0" collapsed="false">
      <c r="A16" s="11" t="n">
        <v>12</v>
      </c>
      <c r="B16" s="11" t="n">
        <f aca="false">02_実験計画!K16</f>
        <v>1</v>
      </c>
      <c r="C16" s="11" t="n">
        <f aca="false">02_実験計画!C16</f>
        <v>1</v>
      </c>
      <c r="D16" s="15" t="n">
        <f aca="false">IF(C16=1,_XtX!H16,"")</f>
        <v>47.9</v>
      </c>
      <c r="E16" s="15" t="n">
        <f aca="false">IF(C16=1,_XtX!K16,"")</f>
        <v>48.0551724137931</v>
      </c>
      <c r="F16" s="16" t="n">
        <f aca="false">IF(C16=1,D16-E16,"")</f>
        <v>-0.155172413793103</v>
      </c>
      <c r="G16" s="15" t="n">
        <f aca="false">IF(C16=1,F16/04_回帰ANOVA!$K$14,"")</f>
        <v>-0.21694546303814</v>
      </c>
      <c r="H16" s="16" t="n">
        <f aca="false">IF(C16=1,_XtX!J16,"")</f>
        <v>0.172413793103448</v>
      </c>
      <c r="I16" s="15" t="n">
        <f aca="false">IF(C16=1,IF(H16&lt;0.9999,F16/(04_回帰ANOVA!$K$14*SQRT(1-H16)),0),"")</f>
        <v>-0.238475600084173</v>
      </c>
      <c r="J16" s="25" t="str">
        <f aca="false">IF(C16=1,IF(ABS(I16)&gt;3,"要確認",IF(ABS(I16)&gt;2,"注意","")),"")</f>
        <v/>
      </c>
      <c r="L16" s="24" t="n">
        <v>12</v>
      </c>
      <c r="M16" s="24" t="n">
        <f aca="false">MIN(L16,04_回帰ANOVA!$K$6)</f>
        <v>12</v>
      </c>
      <c r="N16" s="24" t="n">
        <f aca="false">MATCH(M16,$B$5:$B$22,0)</f>
        <v>9</v>
      </c>
      <c r="O16" s="15" t="n">
        <f aca="false">INDEX($E$5:$E$22,N16)</f>
        <v>48.0551724137931</v>
      </c>
      <c r="P16" s="16" t="n">
        <f aca="false">INDEX($F$5:$F$22,N16)</f>
        <v>0.444827586206898</v>
      </c>
      <c r="Q16" s="24" t="n">
        <f aca="false">M16</f>
        <v>12</v>
      </c>
      <c r="R16" s="16" t="n">
        <f aca="false">SMALL($F$5:$F$22,M16)</f>
        <v>0.444827586206898</v>
      </c>
      <c r="S16" s="16" t="n">
        <f aca="false">NORMSINV((M16-0.375)/(04_回帰ANOVA!$K$6+0.25))</f>
        <v>1.16188293727674</v>
      </c>
      <c r="T16" s="15" t="n">
        <f aca="false">INDEX($D$5:$D$22,N16)</f>
        <v>48.5</v>
      </c>
    </row>
    <row r="17" customFormat="false" ht="15" hidden="false" customHeight="false" outlineLevel="0" collapsed="false">
      <c r="A17" s="11" t="n">
        <v>13</v>
      </c>
      <c r="B17" s="11" t="n">
        <f aca="false">02_実験計画!K17</f>
        <v>7</v>
      </c>
      <c r="C17" s="11" t="n">
        <f aca="false">02_実験計画!C17</f>
        <v>1</v>
      </c>
      <c r="D17" s="15" t="n">
        <f aca="false">IF(C17=1,_XtX!H17,"")</f>
        <v>48.5</v>
      </c>
      <c r="E17" s="15" t="n">
        <f aca="false">IF(C17=1,_XtX!K17,"")</f>
        <v>48.0551724137931</v>
      </c>
      <c r="F17" s="16" t="n">
        <f aca="false">IF(C17=1,D17-E17,"")</f>
        <v>0.444827586206898</v>
      </c>
      <c r="G17" s="15" t="n">
        <f aca="false">IF(C17=1,F17/04_回帰ANOVA!$K$14,"")</f>
        <v>0.621910327376004</v>
      </c>
      <c r="H17" s="16" t="n">
        <f aca="false">IF(C17=1,_XtX!J17,"")</f>
        <v>0.172413793103448</v>
      </c>
      <c r="I17" s="15" t="n">
        <f aca="false">IF(C17=1,IF(H17&lt;0.9999,F17/(04_回帰ANOVA!$K$14*SQRT(1-H17)),0),"")</f>
        <v>0.683630053574633</v>
      </c>
      <c r="J17" s="25" t="str">
        <f aca="false">IF(C17=1,IF(ABS(I17)&gt;3,"要確認",IF(ABS(I17)&gt;2,"注意","")),"")</f>
        <v/>
      </c>
      <c r="L17" s="24" t="n">
        <v>13</v>
      </c>
      <c r="M17" s="24" t="n">
        <f aca="false">MIN(L17,04_回帰ANOVA!$K$6)</f>
        <v>13</v>
      </c>
      <c r="N17" s="24" t="n">
        <f aca="false">MATCH(M17,$B$5:$B$22,0)</f>
        <v>11</v>
      </c>
      <c r="O17" s="15" t="n">
        <f aca="false">INDEX($E$5:$E$22,N17)</f>
        <v>48.0551724137931</v>
      </c>
      <c r="P17" s="16" t="n">
        <f aca="false">INDEX($F$5:$F$22,N17)</f>
        <v>1.0448275862069</v>
      </c>
      <c r="Q17" s="24" t="n">
        <f aca="false">M17</f>
        <v>13</v>
      </c>
      <c r="R17" s="16" t="n">
        <f aca="false">SMALL($F$5:$F$22,M17)</f>
        <v>1.0448275862069</v>
      </c>
      <c r="S17" s="16" t="n">
        <f aca="false">NORMSINV((M17-0.375)/(04_回帰ANOVA!$K$6+0.25))</f>
        <v>1.67293738760497</v>
      </c>
      <c r="T17" s="15" t="n">
        <f aca="false">INDEX($D$5:$D$22,N17)</f>
        <v>49.1</v>
      </c>
    </row>
    <row r="18" customFormat="false" ht="15" hidden="false" customHeight="false" outlineLevel="0" collapsed="false">
      <c r="A18" s="11" t="n">
        <v>14</v>
      </c>
      <c r="B18" s="11" t="str">
        <f aca="false">02_実験計画!K18</f>
        <v/>
      </c>
      <c r="C18" s="11" t="n">
        <f aca="false">02_実験計画!C18</f>
        <v>0</v>
      </c>
      <c r="D18" s="15" t="str">
        <f aca="false">IF(C18=1,_XtX!H18,"")</f>
        <v/>
      </c>
      <c r="E18" s="15" t="str">
        <f aca="false">IF(C18=1,_XtX!K18,"")</f>
        <v/>
      </c>
      <c r="F18" s="16" t="str">
        <f aca="false">IF(C18=1,D18-E18,"")</f>
        <v/>
      </c>
      <c r="G18" s="15" t="str">
        <f aca="false">IF(C18=1,F18/04_回帰ANOVA!$K$14,"")</f>
        <v/>
      </c>
      <c r="H18" s="16" t="str">
        <f aca="false">IF(C18=1,_XtX!J18,"")</f>
        <v/>
      </c>
      <c r="I18" s="15" t="str">
        <f aca="false">IF(C18=1,IF(H18&lt;0.9999,F18/(04_回帰ANOVA!$K$14*SQRT(1-H18)),0),"")</f>
        <v/>
      </c>
      <c r="J18" s="25" t="str">
        <f aca="false">IF(C18=1,IF(ABS(I18)&gt;3,"要確認",IF(ABS(I18)&gt;2,"注意","")),"")</f>
        <v/>
      </c>
      <c r="L18" s="24" t="n">
        <v>14</v>
      </c>
      <c r="M18" s="24" t="n">
        <f aca="false">MIN(L18,04_回帰ANOVA!$K$6)</f>
        <v>13</v>
      </c>
      <c r="N18" s="24" t="n">
        <f aca="false">MATCH(M18,$B$5:$B$22,0)</f>
        <v>11</v>
      </c>
      <c r="O18" s="15" t="n">
        <f aca="false">INDEX($E$5:$E$22,N18)</f>
        <v>48.0551724137931</v>
      </c>
      <c r="P18" s="16" t="n">
        <f aca="false">INDEX($F$5:$F$22,N18)</f>
        <v>1.0448275862069</v>
      </c>
      <c r="Q18" s="24" t="n">
        <f aca="false">M18</f>
        <v>13</v>
      </c>
      <c r="R18" s="16" t="n">
        <f aca="false">SMALL($F$5:$F$22,M18)</f>
        <v>1.0448275862069</v>
      </c>
      <c r="S18" s="16" t="n">
        <f aca="false">NORMSINV((M18-0.375)/(04_回帰ANOVA!$K$6+0.25))</f>
        <v>1.67293738760497</v>
      </c>
      <c r="T18" s="15" t="n">
        <f aca="false">INDEX($D$5:$D$22,N18)</f>
        <v>49.1</v>
      </c>
    </row>
    <row r="19" customFormat="false" ht="15" hidden="false" customHeight="false" outlineLevel="0" collapsed="false">
      <c r="A19" s="11" t="n">
        <v>15</v>
      </c>
      <c r="B19" s="11" t="str">
        <f aca="false">02_実験計画!K19</f>
        <v/>
      </c>
      <c r="C19" s="11" t="n">
        <f aca="false">02_実験計画!C19</f>
        <v>0</v>
      </c>
      <c r="D19" s="15" t="str">
        <f aca="false">IF(C19=1,_XtX!H19,"")</f>
        <v/>
      </c>
      <c r="E19" s="15" t="str">
        <f aca="false">IF(C19=1,_XtX!K19,"")</f>
        <v/>
      </c>
      <c r="F19" s="16" t="str">
        <f aca="false">IF(C19=1,D19-E19,"")</f>
        <v/>
      </c>
      <c r="G19" s="15" t="str">
        <f aca="false">IF(C19=1,F19/04_回帰ANOVA!$K$14,"")</f>
        <v/>
      </c>
      <c r="H19" s="16" t="str">
        <f aca="false">IF(C19=1,_XtX!J19,"")</f>
        <v/>
      </c>
      <c r="I19" s="15" t="str">
        <f aca="false">IF(C19=1,IF(H19&lt;0.9999,F19/(04_回帰ANOVA!$K$14*SQRT(1-H19)),0),"")</f>
        <v/>
      </c>
      <c r="J19" s="25" t="str">
        <f aca="false">IF(C19=1,IF(ABS(I19)&gt;3,"要確認",IF(ABS(I19)&gt;2,"注意","")),"")</f>
        <v/>
      </c>
      <c r="L19" s="24" t="n">
        <v>15</v>
      </c>
      <c r="M19" s="24" t="n">
        <f aca="false">MIN(L19,04_回帰ANOVA!$K$6)</f>
        <v>13</v>
      </c>
      <c r="N19" s="24" t="n">
        <f aca="false">MATCH(M19,$B$5:$B$22,0)</f>
        <v>11</v>
      </c>
      <c r="O19" s="15" t="n">
        <f aca="false">INDEX($E$5:$E$22,N19)</f>
        <v>48.0551724137931</v>
      </c>
      <c r="P19" s="16" t="n">
        <f aca="false">INDEX($F$5:$F$22,N19)</f>
        <v>1.0448275862069</v>
      </c>
      <c r="Q19" s="24" t="n">
        <f aca="false">M19</f>
        <v>13</v>
      </c>
      <c r="R19" s="16" t="n">
        <f aca="false">SMALL($F$5:$F$22,M19)</f>
        <v>1.0448275862069</v>
      </c>
      <c r="S19" s="16" t="n">
        <f aca="false">NORMSINV((M19-0.375)/(04_回帰ANOVA!$K$6+0.25))</f>
        <v>1.67293738760497</v>
      </c>
      <c r="T19" s="15" t="n">
        <f aca="false">INDEX($D$5:$D$22,N19)</f>
        <v>49.1</v>
      </c>
    </row>
    <row r="20" customFormat="false" ht="15" hidden="false" customHeight="false" outlineLevel="0" collapsed="false">
      <c r="A20" s="11" t="n">
        <v>16</v>
      </c>
      <c r="B20" s="11" t="str">
        <f aca="false">02_実験計画!K20</f>
        <v/>
      </c>
      <c r="C20" s="11" t="n">
        <f aca="false">02_実験計画!C20</f>
        <v>0</v>
      </c>
      <c r="D20" s="15" t="str">
        <f aca="false">IF(C20=1,_XtX!H20,"")</f>
        <v/>
      </c>
      <c r="E20" s="15" t="str">
        <f aca="false">IF(C20=1,_XtX!K20,"")</f>
        <v/>
      </c>
      <c r="F20" s="16" t="str">
        <f aca="false">IF(C20=1,D20-E20,"")</f>
        <v/>
      </c>
      <c r="G20" s="15" t="str">
        <f aca="false">IF(C20=1,F20/04_回帰ANOVA!$K$14,"")</f>
        <v/>
      </c>
      <c r="H20" s="16" t="str">
        <f aca="false">IF(C20=1,_XtX!J20,"")</f>
        <v/>
      </c>
      <c r="I20" s="15" t="str">
        <f aca="false">IF(C20=1,IF(H20&lt;0.9999,F20/(04_回帰ANOVA!$K$14*SQRT(1-H20)),0),"")</f>
        <v/>
      </c>
      <c r="J20" s="25" t="str">
        <f aca="false">IF(C20=1,IF(ABS(I20)&gt;3,"要確認",IF(ABS(I20)&gt;2,"注意","")),"")</f>
        <v/>
      </c>
      <c r="L20" s="24" t="n">
        <v>16</v>
      </c>
      <c r="M20" s="24" t="n">
        <f aca="false">MIN(L20,04_回帰ANOVA!$K$6)</f>
        <v>13</v>
      </c>
      <c r="N20" s="24" t="n">
        <f aca="false">MATCH(M20,$B$5:$B$22,0)</f>
        <v>11</v>
      </c>
      <c r="O20" s="15" t="n">
        <f aca="false">INDEX($E$5:$E$22,N20)</f>
        <v>48.0551724137931</v>
      </c>
      <c r="P20" s="16" t="n">
        <f aca="false">INDEX($F$5:$F$22,N20)</f>
        <v>1.0448275862069</v>
      </c>
      <c r="Q20" s="24" t="n">
        <f aca="false">M20</f>
        <v>13</v>
      </c>
      <c r="R20" s="16" t="n">
        <f aca="false">SMALL($F$5:$F$22,M20)</f>
        <v>1.0448275862069</v>
      </c>
      <c r="S20" s="16" t="n">
        <f aca="false">NORMSINV((M20-0.375)/(04_回帰ANOVA!$K$6+0.25))</f>
        <v>1.67293738760497</v>
      </c>
      <c r="T20" s="15" t="n">
        <f aca="false">INDEX($D$5:$D$22,N20)</f>
        <v>49.1</v>
      </c>
    </row>
    <row r="21" customFormat="false" ht="15" hidden="false" customHeight="false" outlineLevel="0" collapsed="false">
      <c r="A21" s="11" t="n">
        <v>17</v>
      </c>
      <c r="B21" s="11" t="str">
        <f aca="false">02_実験計画!K21</f>
        <v/>
      </c>
      <c r="C21" s="11" t="n">
        <f aca="false">02_実験計画!C21</f>
        <v>0</v>
      </c>
      <c r="D21" s="15" t="str">
        <f aca="false">IF(C21=1,_XtX!H21,"")</f>
        <v/>
      </c>
      <c r="E21" s="15" t="str">
        <f aca="false">IF(C21=1,_XtX!K21,"")</f>
        <v/>
      </c>
      <c r="F21" s="16" t="str">
        <f aca="false">IF(C21=1,D21-E21,"")</f>
        <v/>
      </c>
      <c r="G21" s="15" t="str">
        <f aca="false">IF(C21=1,F21/04_回帰ANOVA!$K$14,"")</f>
        <v/>
      </c>
      <c r="H21" s="16" t="str">
        <f aca="false">IF(C21=1,_XtX!J21,"")</f>
        <v/>
      </c>
      <c r="I21" s="15" t="str">
        <f aca="false">IF(C21=1,IF(H21&lt;0.9999,F21/(04_回帰ANOVA!$K$14*SQRT(1-H21)),0),"")</f>
        <v/>
      </c>
      <c r="J21" s="25" t="str">
        <f aca="false">IF(C21=1,IF(ABS(I21)&gt;3,"要確認",IF(ABS(I21)&gt;2,"注意","")),"")</f>
        <v/>
      </c>
      <c r="L21" s="24" t="n">
        <v>17</v>
      </c>
      <c r="M21" s="24" t="n">
        <f aca="false">MIN(L21,04_回帰ANOVA!$K$6)</f>
        <v>13</v>
      </c>
      <c r="N21" s="24" t="n">
        <f aca="false">MATCH(M21,$B$5:$B$22,0)</f>
        <v>11</v>
      </c>
      <c r="O21" s="15" t="n">
        <f aca="false">INDEX($E$5:$E$22,N21)</f>
        <v>48.0551724137931</v>
      </c>
      <c r="P21" s="16" t="n">
        <f aca="false">INDEX($F$5:$F$22,N21)</f>
        <v>1.0448275862069</v>
      </c>
      <c r="Q21" s="24" t="n">
        <f aca="false">M21</f>
        <v>13</v>
      </c>
      <c r="R21" s="16" t="n">
        <f aca="false">SMALL($F$5:$F$22,M21)</f>
        <v>1.0448275862069</v>
      </c>
      <c r="S21" s="16" t="n">
        <f aca="false">NORMSINV((M21-0.375)/(04_回帰ANOVA!$K$6+0.25))</f>
        <v>1.67293738760497</v>
      </c>
      <c r="T21" s="15" t="n">
        <f aca="false">INDEX($D$5:$D$22,N21)</f>
        <v>49.1</v>
      </c>
    </row>
    <row r="22" customFormat="false" ht="15" hidden="false" customHeight="false" outlineLevel="0" collapsed="false">
      <c r="A22" s="11" t="n">
        <v>18</v>
      </c>
      <c r="B22" s="11" t="str">
        <f aca="false">02_実験計画!K22</f>
        <v/>
      </c>
      <c r="C22" s="11" t="n">
        <f aca="false">02_実験計画!C22</f>
        <v>0</v>
      </c>
      <c r="D22" s="15" t="str">
        <f aca="false">IF(C22=1,_XtX!H22,"")</f>
        <v/>
      </c>
      <c r="E22" s="15" t="str">
        <f aca="false">IF(C22=1,_XtX!K22,"")</f>
        <v/>
      </c>
      <c r="F22" s="16" t="str">
        <f aca="false">IF(C22=1,D22-E22,"")</f>
        <v/>
      </c>
      <c r="G22" s="15" t="str">
        <f aca="false">IF(C22=1,F22/04_回帰ANOVA!$K$14,"")</f>
        <v/>
      </c>
      <c r="H22" s="16" t="str">
        <f aca="false">IF(C22=1,_XtX!J22,"")</f>
        <v/>
      </c>
      <c r="I22" s="15" t="str">
        <f aca="false">IF(C22=1,IF(H22&lt;0.9999,F22/(04_回帰ANOVA!$K$14*SQRT(1-H22)),0),"")</f>
        <v/>
      </c>
      <c r="J22" s="25" t="str">
        <f aca="false">IF(C22=1,IF(ABS(I22)&gt;3,"要確認",IF(ABS(I22)&gt;2,"注意","")),"")</f>
        <v/>
      </c>
      <c r="L22" s="24" t="n">
        <v>18</v>
      </c>
      <c r="M22" s="24" t="n">
        <f aca="false">MIN(L22,04_回帰ANOVA!$K$6)</f>
        <v>13</v>
      </c>
      <c r="N22" s="24" t="n">
        <f aca="false">MATCH(M22,$B$5:$B$22,0)</f>
        <v>11</v>
      </c>
      <c r="O22" s="15" t="n">
        <f aca="false">INDEX($E$5:$E$22,N22)</f>
        <v>48.0551724137931</v>
      </c>
      <c r="P22" s="16" t="n">
        <f aca="false">INDEX($F$5:$F$22,N22)</f>
        <v>1.0448275862069</v>
      </c>
      <c r="Q22" s="24" t="n">
        <f aca="false">M22</f>
        <v>13</v>
      </c>
      <c r="R22" s="16" t="n">
        <f aca="false">SMALL($F$5:$F$22,M22)</f>
        <v>1.0448275862069</v>
      </c>
      <c r="S22" s="16" t="n">
        <f aca="false">NORMSINV((M22-0.375)/(04_回帰ANOVA!$K$6+0.25))</f>
        <v>1.67293738760497</v>
      </c>
      <c r="T22" s="15" t="n">
        <f aca="false">INDEX($D$5:$D$22,N22)</f>
        <v>49.1</v>
      </c>
    </row>
    <row r="37" customFormat="false" ht="15" hidden="false" customHeight="false" outlineLevel="0" collapsed="false">
      <c r="V37" s="19" t="s">
        <v>190</v>
      </c>
    </row>
  </sheetData>
  <conditionalFormatting sqref="J5:J22">
    <cfRule type="cellIs" priority="2" operator="equal" aboveAverage="0" equalAverage="0" bottom="0" percent="0" rank="0" text="" dxfId="0">
      <formula>"要確認"</formula>
    </cfRule>
    <cfRule type="cellIs" priority="3" operator="equal" aboveAverage="0" equalAverage="0" bottom="0" percent="0" rank="0" text="" dxfId="3">
      <formula>"注意"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8"/>
    <pageSetUpPr fitToPage="false"/>
  </sheetPr>
  <dimension ref="A1:H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3" min="2" style="0" width="14"/>
    <col collapsed="false" customWidth="true" hidden="false" outlineLevel="0" max="4" min="4" style="0" width="10"/>
    <col collapsed="false" customWidth="true" hidden="false" outlineLevel="0" max="7" min="5" style="0" width="12"/>
  </cols>
  <sheetData>
    <row r="1" customFormat="false" ht="21.6" hidden="false" customHeight="false" outlineLevel="0" collapsed="false">
      <c r="A1" s="8" t="s">
        <v>191</v>
      </c>
    </row>
    <row r="2" customFormat="false" ht="15" hidden="false" customHeight="false" outlineLevel="0" collapsed="false">
      <c r="A2" s="2" t="s">
        <v>192</v>
      </c>
    </row>
    <row r="5" customFormat="false" ht="15" hidden="false" customHeight="false" outlineLevel="0" collapsed="false">
      <c r="A5" s="38" t="s">
        <v>193</v>
      </c>
      <c r="E5" s="38" t="s">
        <v>194</v>
      </c>
    </row>
    <row r="6" customFormat="false" ht="15" hidden="false" customHeight="false" outlineLevel="0" collapsed="false">
      <c r="A6" s="23" t="s">
        <v>64</v>
      </c>
      <c r="B6" s="30" t="n">
        <f aca="false">04_回帰ANOVA!C10</f>
        <v>-2.74310344827588</v>
      </c>
      <c r="C6" s="30" t="n">
        <f aca="false">04_回帰ANOVA!C9/2</f>
        <v>0.262499999999999</v>
      </c>
      <c r="E6" s="30" t="n">
        <f aca="false">04_回帰ANOVA!C7</f>
        <v>2.11666666666667</v>
      </c>
    </row>
    <row r="7" customFormat="false" ht="15" hidden="false" customHeight="false" outlineLevel="0" collapsed="false">
      <c r="A7" s="23" t="s">
        <v>69</v>
      </c>
      <c r="B7" s="30" t="n">
        <f aca="false">04_回帰ANOVA!C9/2</f>
        <v>0.262499999999999</v>
      </c>
      <c r="C7" s="30" t="n">
        <f aca="false">04_回帰ANOVA!C11</f>
        <v>-1.54310344827586</v>
      </c>
      <c r="E7" s="30" t="n">
        <f aca="false">04_回帰ANOVA!C8</f>
        <v>2.25</v>
      </c>
    </row>
    <row r="12" customFormat="false" ht="15" hidden="false" customHeight="false" outlineLevel="0" collapsed="false">
      <c r="A12" s="10" t="s">
        <v>97</v>
      </c>
      <c r="B12" s="10" t="s">
        <v>195</v>
      </c>
      <c r="C12" s="10" t="s">
        <v>196</v>
      </c>
      <c r="D12" s="10" t="s">
        <v>52</v>
      </c>
    </row>
    <row r="13" customFormat="false" ht="15" hidden="false" customHeight="false" outlineLevel="0" collapsed="false">
      <c r="A13" s="26" t="str">
        <f aca="false">01_因子設定!B5</f>
        <v>炉温</v>
      </c>
      <c r="B13" s="16" t="n">
        <f aca="false">IFERROR(-0.5*INDEX(MMULT(MINVERSE($B$6:$C$7),$E$6:$E$7),1,1),"算出不可")</f>
        <v>0.463121213964087</v>
      </c>
      <c r="C13" s="15" t="n">
        <f aca="false">IF(ISNUMBER(B13),01_因子設定!G5+B13*01_因子設定!H5,"")</f>
        <v>69.6312121396409</v>
      </c>
      <c r="D13" s="24" t="str">
        <f aca="false">01_因子設定!D5</f>
        <v>℃</v>
      </c>
    </row>
    <row r="14" customFormat="false" ht="15" hidden="false" customHeight="false" outlineLevel="0" collapsed="false">
      <c r="A14" s="26" t="str">
        <f aca="false">01_因子設定!B6</f>
        <v>乾燥時間</v>
      </c>
      <c r="B14" s="16" t="n">
        <f aca="false">IFERROR(-0.5*INDEX(MMULT(MINVERSE($B$6:$C$7),$E$6:$E$7),2,1),"算出不可")</f>
        <v>0.807832631090541</v>
      </c>
      <c r="C14" s="15" t="n">
        <f aca="false">IF(ISNUMBER(B14),01_因子設定!G6+B14*01_因子設定!H6,"")</f>
        <v>38.0783263109054</v>
      </c>
      <c r="D14" s="24" t="str">
        <f aca="false">01_因子設定!D6</f>
        <v>min</v>
      </c>
    </row>
    <row r="18" customFormat="false" ht="15" hidden="false" customHeight="false" outlineLevel="0" collapsed="false">
      <c r="A18" s="18" t="s">
        <v>197</v>
      </c>
      <c r="B18" s="15" t="n">
        <f aca="false">IF(ISNUMBER(B13),04_回帰ANOVA!C6+0.5*SUMPRODUCT(E6:E7,B13:B14),"")</f>
        <v>49.454120741882</v>
      </c>
    </row>
    <row r="19" customFormat="false" ht="15" hidden="false" customHeight="false" outlineLevel="0" collapsed="false">
      <c r="A19" s="18" t="s">
        <v>198</v>
      </c>
      <c r="B19" s="16" t="n">
        <f aca="false">IF(ISNUMBER(B13),SQRT(SUMSQ(B13:B14)),"")</f>
        <v>0.931168523242831</v>
      </c>
    </row>
    <row r="20" customFormat="false" ht="15" hidden="false" customHeight="false" outlineLevel="0" collapsed="false">
      <c r="A20" s="18" t="s">
        <v>199</v>
      </c>
      <c r="B20" s="26" t="str">
        <f aca="false">IF(NOT(ISNUMBER(B13)),"－",IF(01_因子設定!$B$20="Box-Behnken",IF(B19&lt;=SQRT(2),"領域内","領域外（外挿）"),IF(01_因子設定!$B$20="回転可能CCD(α=1.414)",IF(B19&lt;=1.4142135623731,"領域内","領域外（外挿）"),IF(MAX(ABS(B13),ABS(B14))&lt;=1,"領域内","領域外（外挿）"))))</f>
        <v>領域内</v>
      </c>
    </row>
    <row r="22" customFormat="false" ht="15" hidden="false" customHeight="false" outlineLevel="0" collapsed="false">
      <c r="A22" s="10" t="s">
        <v>39</v>
      </c>
      <c r="B22" s="10" t="s">
        <v>135</v>
      </c>
    </row>
    <row r="23" customFormat="false" ht="15" hidden="false" customHeight="false" outlineLevel="0" collapsed="false">
      <c r="A23" s="23" t="s">
        <v>200</v>
      </c>
      <c r="B23" s="30" t="n">
        <f aca="false">SMALL((_eig!B37~_eig!C38),1)</f>
        <v>-2.79801279314737</v>
      </c>
    </row>
    <row r="24" customFormat="false" ht="15" hidden="false" customHeight="false" outlineLevel="0" collapsed="false">
      <c r="A24" s="23" t="s">
        <v>201</v>
      </c>
      <c r="B24" s="30" t="n">
        <f aca="false">SMALL((_eig!B37~_eig!C38),2)</f>
        <v>-1.48819410340437</v>
      </c>
    </row>
    <row r="28" customFormat="false" ht="15" hidden="false" customHeight="false" outlineLevel="0" collapsed="false">
      <c r="A28" s="18" t="s">
        <v>202</v>
      </c>
      <c r="B28" s="26" t="str">
        <f aca="false">IF(MAX(B23:B24)&lt;0,"最大点",IF(MIN(B23:B24)&gt;0,"最小点","鞍点"))</f>
        <v>最大点</v>
      </c>
      <c r="C28" s="26"/>
      <c r="D28" s="26"/>
      <c r="E28" s="26"/>
      <c r="F28" s="26"/>
      <c r="G28" s="26"/>
      <c r="H28" s="26"/>
    </row>
    <row r="29" customFormat="false" ht="15" hidden="false" customHeight="false" outlineLevel="0" collapsed="false">
      <c r="A29" s="18" t="s">
        <v>203</v>
      </c>
      <c r="B29" s="39" t="str">
        <f aca="false">IF(MIN(ABS(B23),ABS(B24))&lt;0.1*MAX(ABS(B23),ABS(B24)),"あり：ほぼ平らな方向がある → その方向には工程窓を広く取れる可能性","なし：全方向に明確な曲率")</f>
        <v>なし：全方向に明確な曲率</v>
      </c>
      <c r="C29" s="39"/>
      <c r="D29" s="39"/>
      <c r="E29" s="39"/>
      <c r="F29" s="39"/>
      <c r="G29" s="39"/>
      <c r="H29" s="39"/>
    </row>
    <row r="30" customFormat="false" ht="15" hidden="false" customHeight="false" outlineLevel="0" collapsed="false">
      <c r="A30" s="18" t="s">
        <v>204</v>
      </c>
      <c r="B30" s="26" t="str">
        <f aca="false">IF(NOT(ISNUMBER(B13)),"停留点を算出できない（2次項を除外している等）→ 07の探索結果を使う",IF(B20&lt;&gt;"領域内","停留点は実験領域外。外挿値は信用しない → 07の領域内探索結果を採用し、必要なら領域を移して追加実験",IF(OR(AND(01_因子設定!$B$13="最大化",B28="最大点"),AND(01_因子設定!$B$13="最小化",B28="最小点")),"停留点が領域内の最適点候補。07の結果と一致するか確認",IF(B28="鞍点","鞍点のため停留点は最適点ではない → 07の探索結果（領域境界上になりやすい）を採用","停留点は目的と逆向きの極値 → 07の探索結果を採用"))))</f>
        <v>停留点が領域内の最適点候補。07の結果と一致するか確認</v>
      </c>
      <c r="C30" s="26"/>
      <c r="D30" s="26"/>
      <c r="E30" s="26"/>
      <c r="F30" s="26"/>
      <c r="G30" s="26"/>
      <c r="H30" s="26"/>
    </row>
    <row r="32" customFormat="false" ht="15" hidden="false" customHeight="false" outlineLevel="0" collapsed="false">
      <c r="A32" s="19" t="s">
        <v>205</v>
      </c>
    </row>
  </sheetData>
  <mergeCells count="3">
    <mergeCell ref="B28:H28"/>
    <mergeCell ref="B29:H29"/>
    <mergeCell ref="B30:H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8"/>
    <pageSetUpPr fitToPage="false"/>
  </sheetPr>
  <dimension ref="A1:R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8"/>
    <col collapsed="false" customWidth="true" hidden="false" outlineLevel="0" max="3" min="3" style="0" width="16"/>
    <col collapsed="false" customWidth="true" hidden="false" outlineLevel="0" max="6" min="4" style="0" width="12"/>
    <col collapsed="false" customWidth="true" hidden="false" outlineLevel="0" max="10" min="7" style="0" width="10"/>
  </cols>
  <sheetData>
    <row r="1" customFormat="false" ht="21.6" hidden="false" customHeight="false" outlineLevel="0" collapsed="false">
      <c r="A1" s="8" t="s">
        <v>206</v>
      </c>
    </row>
    <row r="2" customFormat="false" ht="15" hidden="false" customHeight="false" outlineLevel="0" collapsed="false">
      <c r="A2" s="2" t="s">
        <v>207</v>
      </c>
    </row>
    <row r="4" customFormat="false" ht="29.85" hidden="false" customHeight="false" outlineLevel="0" collapsed="false">
      <c r="A4" s="10" t="s">
        <v>208</v>
      </c>
      <c r="B4" s="10" t="s">
        <v>209</v>
      </c>
      <c r="C4" s="10" t="s">
        <v>210</v>
      </c>
      <c r="D4" s="10"/>
      <c r="E4" s="10" t="s">
        <v>211</v>
      </c>
    </row>
    <row r="5" customFormat="false" ht="15" hidden="false" customHeight="true" outlineLevel="0" collapsed="false">
      <c r="A5" s="18" t="s">
        <v>212</v>
      </c>
      <c r="B5" s="24" t="n">
        <f aca="false">MATCH(MAX(_grid!$S$5:$S$1685),_grid!$S$5:$S$1685,0)</f>
        <v>1224</v>
      </c>
      <c r="C5" s="24" t="n">
        <f aca="false">MATCH(MAX(_grid!$T$5:$T$1685),_grid!$T$5:$T$1685,0)</f>
        <v>1226</v>
      </c>
      <c r="E5" s="40" t="s">
        <v>213</v>
      </c>
      <c r="F5" s="40"/>
      <c r="G5" s="40"/>
      <c r="H5" s="40"/>
      <c r="I5" s="40"/>
      <c r="J5" s="40"/>
      <c r="K5" s="40"/>
    </row>
    <row r="6" customFormat="false" ht="15" hidden="false" customHeight="false" outlineLevel="0" collapsed="false">
      <c r="A6" s="23" t="str">
        <f aca="false">01_因子設定!B5&amp;"（コード）"</f>
        <v>炉温（コード）</v>
      </c>
      <c r="B6" s="16" t="n">
        <f aca="false">INDEX(_grid!$C$5:$C$1685,B$5)</f>
        <v>0.45</v>
      </c>
      <c r="C6" s="16" t="n">
        <f aca="false">INDEX(_grid!$C$5:$C$1685,C$5)</f>
        <v>0.45</v>
      </c>
      <c r="E6" s="40"/>
      <c r="F6" s="40"/>
      <c r="G6" s="40"/>
      <c r="H6" s="40"/>
      <c r="I6" s="40"/>
      <c r="J6" s="40"/>
      <c r="K6" s="40"/>
    </row>
    <row r="7" customFormat="false" ht="15" hidden="false" customHeight="false" outlineLevel="0" collapsed="false">
      <c r="A7" s="23" t="str">
        <f aca="false">01_因子設定!B6&amp;"（コード）"</f>
        <v>乾燥時間（コード）</v>
      </c>
      <c r="B7" s="16" t="n">
        <f aca="false">INDEX(_grid!$D$5:$D$1685,B$5)</f>
        <v>0.7</v>
      </c>
      <c r="C7" s="16" t="n">
        <f aca="false">INDEX(_grid!$D$5:$D$1685,C$5)</f>
        <v>0.8</v>
      </c>
      <c r="E7" s="40"/>
      <c r="F7" s="40"/>
      <c r="G7" s="40"/>
      <c r="H7" s="40"/>
      <c r="I7" s="40"/>
      <c r="J7" s="40"/>
      <c r="K7" s="40"/>
    </row>
    <row r="8" customFormat="false" ht="15" hidden="false" customHeight="false" outlineLevel="0" collapsed="false">
      <c r="A8" s="23" t="str">
        <f aca="false">01_因子設定!B5&amp;"["&amp;01_因子設定!D5&amp;"]"</f>
        <v>炉温[℃]</v>
      </c>
      <c r="B8" s="41" t="n">
        <f aca="false">01_因子設定!$G$5+B6*01_因子設定!$H$5</f>
        <v>69.5</v>
      </c>
      <c r="C8" s="41" t="n">
        <f aca="false">01_因子設定!$G$5+C6*01_因子設定!$H$5</f>
        <v>69.5</v>
      </c>
      <c r="E8" s="40"/>
      <c r="F8" s="40"/>
      <c r="G8" s="40"/>
      <c r="H8" s="40"/>
      <c r="I8" s="40"/>
      <c r="J8" s="40"/>
      <c r="K8" s="40"/>
    </row>
    <row r="9" customFormat="false" ht="15" hidden="false" customHeight="false" outlineLevel="0" collapsed="false">
      <c r="A9" s="23" t="str">
        <f aca="false">01_因子設定!B6&amp;"["&amp;01_因子設定!D6&amp;"]"</f>
        <v>乾燥時間[min]</v>
      </c>
      <c r="B9" s="41" t="n">
        <f aca="false">01_因子設定!$G$6+B7*01_因子設定!$H$6</f>
        <v>37</v>
      </c>
      <c r="C9" s="41" t="n">
        <f aca="false">01_因子設定!$G$6+C7*01_因子設定!$H$6</f>
        <v>38</v>
      </c>
      <c r="E9" s="40"/>
      <c r="F9" s="40"/>
      <c r="G9" s="40"/>
      <c r="H9" s="40"/>
      <c r="I9" s="40"/>
      <c r="J9" s="40"/>
      <c r="K9" s="40"/>
    </row>
    <row r="10" customFormat="false" ht="15" hidden="false" customHeight="false" outlineLevel="0" collapsed="false">
      <c r="A10" s="18" t="s">
        <v>214</v>
      </c>
      <c r="B10" s="15" t="n">
        <f aca="false">INDEX(_grid!$K$5:$K$1685,B$5)</f>
        <v>49.4364482758621</v>
      </c>
      <c r="C10" s="15" t="n">
        <f aca="false">INDEX(_grid!$K$5:$K$1685,C$5)</f>
        <v>49.4536077586207</v>
      </c>
      <c r="E10" s="40"/>
      <c r="F10" s="40"/>
      <c r="G10" s="40"/>
      <c r="H10" s="40"/>
      <c r="I10" s="40"/>
      <c r="J10" s="40"/>
      <c r="K10" s="40"/>
    </row>
    <row r="11" customFormat="false" ht="15" hidden="false" customHeight="false" outlineLevel="0" collapsed="false">
      <c r="A11" s="18" t="s">
        <v>215</v>
      </c>
      <c r="B11" s="15" t="n">
        <f aca="false">INDEX(_grid!$N$5:$N$1685,B$5)</f>
        <v>47.9251634868528</v>
      </c>
      <c r="C11" s="15" t="n">
        <f aca="false">INDEX(_grid!$N$5:$N$1685,C$5)</f>
        <v>47.9095367565664</v>
      </c>
      <c r="E11" s="40"/>
      <c r="F11" s="40"/>
      <c r="G11" s="40"/>
      <c r="H11" s="40"/>
      <c r="I11" s="40"/>
      <c r="J11" s="40"/>
      <c r="K11" s="40"/>
    </row>
    <row r="12" customFormat="false" ht="15" hidden="false" customHeight="false" outlineLevel="0" collapsed="false">
      <c r="A12" s="18" t="s">
        <v>216</v>
      </c>
      <c r="B12" s="15" t="n">
        <f aca="false">INDEX(_grid!$O$5:$O$1685,B$5)</f>
        <v>50.9477330648713</v>
      </c>
      <c r="C12" s="15" t="n">
        <f aca="false">INDEX(_grid!$O$5:$O$1685,C$5)</f>
        <v>50.9976787606749</v>
      </c>
      <c r="E12" s="40"/>
      <c r="F12" s="40"/>
      <c r="G12" s="40"/>
      <c r="H12" s="40"/>
      <c r="I12" s="40"/>
      <c r="J12" s="40"/>
      <c r="K12" s="40"/>
    </row>
    <row r="13" customFormat="false" ht="15" hidden="false" customHeight="false" outlineLevel="0" collapsed="false">
      <c r="A13" s="18" t="s">
        <v>217</v>
      </c>
      <c r="B13" s="15" t="n">
        <f aca="false">INDEX(_grid!$Q$5:$Q$1685,B$5)</f>
        <v>1.4251634868528</v>
      </c>
      <c r="C13" s="15" t="n">
        <f aca="false">INDEX(_grid!$Q$5:$Q$1685,C$5)</f>
        <v>1.40953675656644</v>
      </c>
      <c r="E13" s="40"/>
      <c r="F13" s="40"/>
      <c r="G13" s="40"/>
      <c r="H13" s="40"/>
      <c r="I13" s="40"/>
      <c r="J13" s="40"/>
      <c r="K13" s="40"/>
    </row>
    <row r="14" customFormat="false" ht="15" hidden="false" customHeight="false" outlineLevel="0" collapsed="false">
      <c r="A14" s="18" t="s">
        <v>100</v>
      </c>
      <c r="B14" s="26" t="str">
        <f aca="false">IF(B13&lt;-1E+029,"有効な点なし（安全限界・領域を確認）",IF(B13&gt;=0,"○ 予測限界でも規格を満たす","× 予測限界では規格を満たせない"))</f>
        <v>○ 予測限界でも規格を満たす</v>
      </c>
      <c r="C14" s="26" t="str">
        <f aca="false">IF(C13&lt;-1E+029,"有効な点なし（安全限界・領域を確認）",IF(C13&gt;=0,"○ 予測限界でも規格を満たす","× 予測限界では規格を満たせない"))</f>
        <v>○ 予測限界でも規格を満たす</v>
      </c>
      <c r="E14" s="40"/>
      <c r="F14" s="40"/>
      <c r="G14" s="40"/>
      <c r="H14" s="40"/>
      <c r="I14" s="40"/>
      <c r="J14" s="40"/>
      <c r="K14" s="40"/>
    </row>
    <row r="17" customFormat="false" ht="15" hidden="false" customHeight="false" outlineLevel="0" collapsed="false">
      <c r="A17" s="17" t="s">
        <v>218</v>
      </c>
    </row>
    <row r="18" customFormat="false" ht="15" hidden="false" customHeight="false" outlineLevel="0" collapsed="false">
      <c r="A18" s="10" t="s">
        <v>219</v>
      </c>
      <c r="B18" s="10" t="s">
        <v>212</v>
      </c>
      <c r="C18" s="10" t="str">
        <f aca="false">01_因子設定!B5</f>
        <v>炉温</v>
      </c>
      <c r="D18" s="10" t="str">
        <f aca="false">01_因子設定!B6</f>
        <v>乾燥時間</v>
      </c>
      <c r="E18" s="10" t="s">
        <v>220</v>
      </c>
      <c r="F18" s="10" t="s">
        <v>215</v>
      </c>
      <c r="G18" s="10" t="s">
        <v>216</v>
      </c>
      <c r="H18" s="10" t="s">
        <v>221</v>
      </c>
    </row>
    <row r="19" customFormat="false" ht="15" hidden="false" customHeight="false" outlineLevel="0" collapsed="false">
      <c r="A19" s="11" t="n">
        <v>1</v>
      </c>
      <c r="B19" s="24" t="n">
        <f aca="false">MATCH(LARGE(_grid!$S$5:$S$1685,1),_grid!$S$5:$S$1685,0)</f>
        <v>1224</v>
      </c>
      <c r="C19" s="15" t="n">
        <f aca="false">01_因子設定!$G$5+INDEX(_grid!$C$5:$C$1685,$B19)*01_因子設定!$H$5</f>
        <v>69.5</v>
      </c>
      <c r="D19" s="15" t="n">
        <f aca="false">01_因子設定!$G$6+INDEX(_grid!$D$5:$D$1685,$B19)*01_因子設定!$H$6</f>
        <v>37</v>
      </c>
      <c r="E19" s="15" t="n">
        <f aca="false">INDEX(_grid!$K$5:$K$1685,$B19)</f>
        <v>49.4364482758621</v>
      </c>
      <c r="F19" s="15" t="n">
        <f aca="false">INDEX(_grid!$N$5:$N$1685,$B19)</f>
        <v>47.9251634868528</v>
      </c>
      <c r="G19" s="15" t="n">
        <f aca="false">INDEX(_grid!$O$5:$O$1685,$B19)</f>
        <v>50.9477330648713</v>
      </c>
      <c r="H19" s="15" t="n">
        <f aca="false">INDEX(_grid!$Q$5:$Q$1685,$B19)</f>
        <v>1.4251634868528</v>
      </c>
    </row>
    <row r="20" customFormat="false" ht="15" hidden="false" customHeight="false" outlineLevel="0" collapsed="false">
      <c r="A20" s="11" t="n">
        <v>2</v>
      </c>
      <c r="B20" s="24" t="n">
        <f aca="false">MATCH(LARGE(_grid!$S$5:$S$1685,2),_grid!$S$5:$S$1685,0)</f>
        <v>1225</v>
      </c>
      <c r="C20" s="15" t="n">
        <f aca="false">01_因子設定!$G$5+INDEX(_grid!$C$5:$C$1685,$B20)*01_因子設定!$H$5</f>
        <v>69.5</v>
      </c>
      <c r="D20" s="15" t="n">
        <f aca="false">01_因子設定!$G$6+INDEX(_grid!$D$5:$D$1685,$B20)*01_因子設定!$H$6</f>
        <v>37.5</v>
      </c>
      <c r="E20" s="15" t="n">
        <f aca="false">INDEX(_grid!$K$5:$K$1685,$B20)</f>
        <v>49.4488857758621</v>
      </c>
      <c r="F20" s="15" t="n">
        <f aca="false">INDEX(_grid!$N$5:$N$1685,$B20)</f>
        <v>47.9228899951604</v>
      </c>
      <c r="G20" s="15" t="n">
        <f aca="false">INDEX(_grid!$O$5:$O$1685,$B20)</f>
        <v>50.9748815565637</v>
      </c>
      <c r="H20" s="15" t="n">
        <f aca="false">INDEX(_grid!$Q$5:$Q$1685,$B20)</f>
        <v>1.42288999516041</v>
      </c>
    </row>
    <row r="21" customFormat="false" ht="15" hidden="false" customHeight="false" outlineLevel="0" collapsed="false">
      <c r="A21" s="11" t="n">
        <v>3</v>
      </c>
      <c r="B21" s="24" t="n">
        <f aca="false">MATCH(LARGE(_grid!$S$5:$S$1685,3),_grid!$S$5:$S$1685,0)</f>
        <v>1183</v>
      </c>
      <c r="C21" s="15" t="n">
        <f aca="false">01_因子設定!$G$5+INDEX(_grid!$C$5:$C$1685,$B21)*01_因子設定!$H$5</f>
        <v>69</v>
      </c>
      <c r="D21" s="15" t="n">
        <f aca="false">01_因子設定!$G$6+INDEX(_grid!$D$5:$D$1685,$B21)*01_因子設定!$H$6</f>
        <v>37</v>
      </c>
      <c r="E21" s="15" t="n">
        <f aca="false">INDEX(_grid!$K$5:$K$1685,$B21)</f>
        <v>49.4288218390805</v>
      </c>
      <c r="F21" s="15" t="n">
        <f aca="false">INDEX(_grid!$N$5:$N$1685,$B21)</f>
        <v>47.9195613878868</v>
      </c>
      <c r="G21" s="15" t="n">
        <f aca="false">INDEX(_grid!$O$5:$O$1685,$B21)</f>
        <v>50.9380822902742</v>
      </c>
      <c r="H21" s="15" t="n">
        <f aca="false">INDEX(_grid!$Q$5:$Q$1685,$B21)</f>
        <v>1.41956138788675</v>
      </c>
    </row>
    <row r="22" customFormat="false" ht="15" hidden="false" customHeight="false" outlineLevel="0" collapsed="false">
      <c r="A22" s="11" t="n">
        <v>4</v>
      </c>
      <c r="B22" s="24" t="n">
        <f aca="false">MATCH(LARGE(_grid!$S$5:$S$1685,4),_grid!$S$5:$S$1685,0)</f>
        <v>1223</v>
      </c>
      <c r="C22" s="15" t="n">
        <f aca="false">01_因子設定!$G$5+INDEX(_grid!$C$5:$C$1685,$B22)*01_因子設定!$H$5</f>
        <v>69.5</v>
      </c>
      <c r="D22" s="15" t="n">
        <f aca="false">01_因子設定!$G$6+INDEX(_grid!$D$5:$D$1685,$B22)*01_因子設定!$H$6</f>
        <v>36.5</v>
      </c>
      <c r="E22" s="15" t="n">
        <f aca="false">INDEX(_grid!$K$5:$K$1685,$B22)</f>
        <v>49.4162952586207</v>
      </c>
      <c r="F22" s="15" t="n">
        <f aca="false">INDEX(_grid!$N$5:$N$1685,$B22)</f>
        <v>47.9167403533965</v>
      </c>
      <c r="G22" s="15" t="n">
        <f aca="false">INDEX(_grid!$O$5:$O$1685,$B22)</f>
        <v>50.9158501638448</v>
      </c>
      <c r="H22" s="15" t="n">
        <f aca="false">INDEX(_grid!$Q$5:$Q$1685,$B22)</f>
        <v>1.41674035339653</v>
      </c>
    </row>
    <row r="23" customFormat="false" ht="15" hidden="false" customHeight="false" outlineLevel="0" collapsed="false">
      <c r="A23" s="11" t="n">
        <v>5</v>
      </c>
      <c r="B23" s="24" t="n">
        <f aca="false">MATCH(LARGE(_grid!$S$5:$S$1685,5),_grid!$S$5:$S$1685,0)</f>
        <v>1184</v>
      </c>
      <c r="C23" s="15" t="n">
        <f aca="false">01_因子設定!$G$5+INDEX(_grid!$C$5:$C$1685,$B23)*01_因子設定!$H$5</f>
        <v>69</v>
      </c>
      <c r="D23" s="15" t="n">
        <f aca="false">01_因子設定!$G$6+INDEX(_grid!$D$5:$D$1685,$B23)*01_因子設定!$H$6</f>
        <v>37.5</v>
      </c>
      <c r="E23" s="15" t="n">
        <f aca="false">INDEX(_grid!$K$5:$K$1685,$B23)</f>
        <v>49.4399468390805</v>
      </c>
      <c r="F23" s="15" t="n">
        <f aca="false">INDEX(_grid!$N$5:$N$1685,$B23)</f>
        <v>47.9159078460994</v>
      </c>
      <c r="G23" s="15" t="n">
        <f aca="false">INDEX(_grid!$O$5:$O$1685,$B23)</f>
        <v>50.9639858320615</v>
      </c>
      <c r="H23" s="15" t="n">
        <f aca="false">INDEX(_grid!$Q$5:$Q$1685,$B23)</f>
        <v>1.41590784609944</v>
      </c>
    </row>
    <row r="24" customFormat="false" ht="15" hidden="false" customHeight="false" outlineLevel="0" collapsed="false">
      <c r="A24" s="19" t="s">
        <v>222</v>
      </c>
    </row>
    <row r="26" customFormat="false" ht="15" hidden="false" customHeight="false" outlineLevel="0" collapsed="false">
      <c r="A26" s="17" t="s">
        <v>223</v>
      </c>
    </row>
    <row r="27" customFormat="false" ht="42" hidden="false" customHeight="true" outlineLevel="0" collapsed="false">
      <c r="A27" s="40" t="s">
        <v>224</v>
      </c>
      <c r="B27" s="40"/>
      <c r="C27" s="40"/>
      <c r="D27" s="40"/>
      <c r="E27" s="40"/>
      <c r="F27" s="40"/>
      <c r="G27" s="40"/>
      <c r="H27" s="40"/>
      <c r="I27" s="40"/>
      <c r="J27" s="40"/>
      <c r="K27" s="40"/>
    </row>
    <row r="28" customFormat="false" ht="15" hidden="false" customHeight="false" outlineLevel="0" collapsed="false">
      <c r="A28" s="23" t="str">
        <f aca="false">01_因子設定!B5&amp;"（コード）"</f>
        <v>炉温（コード）</v>
      </c>
      <c r="B28" s="42" t="n">
        <v>0</v>
      </c>
      <c r="C28" s="24" t="str">
        <f aca="false">"制約："&amp;TEXT(MAX(-1,01_因子設定!L5),"0.00")&amp;" ≦ B28 ≦ "&amp;TEXT(MIN(1,01_因子設定!M5),"0.00")</f>
        <v>制約：-1.00 ≦ B28 ≦ 1.00</v>
      </c>
      <c r="D28" s="15" t="n">
        <f aca="false">01_因子設定!$G$5+B28*01_因子設定!$H$5</f>
        <v>65</v>
      </c>
      <c r="M28" s="10" t="s">
        <v>136</v>
      </c>
      <c r="N28" s="9" t="s">
        <v>64</v>
      </c>
      <c r="O28" s="9" t="s">
        <v>69</v>
      </c>
      <c r="P28" s="9" t="s">
        <v>140</v>
      </c>
      <c r="Q28" s="9" t="s">
        <v>142</v>
      </c>
      <c r="R28" s="9" t="s">
        <v>144</v>
      </c>
    </row>
    <row r="29" customFormat="false" ht="15" hidden="false" customHeight="false" outlineLevel="0" collapsed="false">
      <c r="A29" s="23" t="str">
        <f aca="false">01_因子設定!B6&amp;"（コード）"</f>
        <v>乾燥時間（コード）</v>
      </c>
      <c r="B29" s="42" t="n">
        <v>0</v>
      </c>
      <c r="C29" s="24" t="str">
        <f aca="false">"制約："&amp;TEXT(MAX(-1,01_因子設定!L6),"0.00")&amp;" ≦ B29 ≦ "&amp;TEXT(MIN(1,01_因子設定!M6),"0.00")</f>
        <v>制約：-1.00 ≦ B29 ≦ 1.00</v>
      </c>
      <c r="D29" s="15" t="n">
        <f aca="false">01_因子設定!$G$6+B29*01_因子設定!$H$6</f>
        <v>30</v>
      </c>
      <c r="M29" s="16" t="n">
        <f aca="false">1</f>
        <v>1</v>
      </c>
      <c r="N29" s="16" t="n">
        <f aca="false">$B$28</f>
        <v>0</v>
      </c>
      <c r="O29" s="16" t="n">
        <f aca="false">$B$29</f>
        <v>0</v>
      </c>
      <c r="P29" s="16" t="n">
        <f aca="false">$B$28*$B$29</f>
        <v>0</v>
      </c>
      <c r="Q29" s="16" t="n">
        <f aca="false">$B$28*$B$28</f>
        <v>0</v>
      </c>
      <c r="R29" s="16" t="n">
        <f aca="false">$B$29*$B$29</f>
        <v>0</v>
      </c>
    </row>
    <row r="31" customFormat="false" ht="15" hidden="false" customHeight="false" outlineLevel="0" collapsed="false">
      <c r="A31" s="18" t="s">
        <v>214</v>
      </c>
      <c r="B31" s="15" t="n">
        <f aca="false">SUMPRODUCT(M29:R29,_XtX!$B$53:$G$53)</f>
        <v>48.0551724137931</v>
      </c>
    </row>
    <row r="32" customFormat="false" ht="15" hidden="false" customHeight="false" outlineLevel="0" collapsed="false">
      <c r="A32" s="23" t="s">
        <v>225</v>
      </c>
      <c r="B32" s="30" t="n">
        <f aca="false">SUMPRODUCT(MMULT(M29:R29,_XtX!$B$44:$G$49),M29:R29)</f>
        <v>0.172413793103448</v>
      </c>
    </row>
    <row r="33" customFormat="false" ht="15" hidden="false" customHeight="false" outlineLevel="0" collapsed="false">
      <c r="A33" s="18" t="s">
        <v>226</v>
      </c>
      <c r="B33" s="15" t="n">
        <f aca="false">B31-04_回帰ANOVA!$K$19*04_回帰ANOVA!$K$14*SQRT(1+B32)</f>
        <v>46.5878787846072</v>
      </c>
      <c r="C33" s="15" t="n">
        <f aca="false">B31+04_回帰ANOVA!$K$19*04_回帰ANOVA!$K$14*SQRT(1+B32)</f>
        <v>49.522466042979</v>
      </c>
    </row>
    <row r="34" customFormat="false" ht="15" hidden="false" customHeight="false" outlineLevel="0" collapsed="false">
      <c r="A34" s="18" t="s">
        <v>227</v>
      </c>
      <c r="B34" s="43" t="n">
        <f aca="false">IF(01_因子設定!$B$13="最大化",B33-01_因子設定!$B$14,IF(01_因子設定!$B$13="最小化",01_因子設定!$B$15-C33,MIN(B33-01_因子設定!$B$14,01_因子設定!$B$15-C33)))</f>
        <v>0.0878787846071774</v>
      </c>
    </row>
  </sheetData>
  <mergeCells count="2">
    <mergeCell ref="E5:K14"/>
    <mergeCell ref="A27:K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8"/>
    <pageSetUpPr fitToPage="false"/>
  </sheetPr>
  <dimension ref="A1:W8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6"/>
    <col collapsed="false" customWidth="true" hidden="false" outlineLevel="0" max="23" min="3" style="0" width="5.2"/>
  </cols>
  <sheetData>
    <row r="1" customFormat="false" ht="21.6" hidden="false" customHeight="false" outlineLevel="0" collapsed="false">
      <c r="A1" s="8" t="s">
        <v>228</v>
      </c>
    </row>
    <row r="2" customFormat="false" ht="15" hidden="false" customHeight="false" outlineLevel="0" collapsed="false">
      <c r="A2" s="35" t="s">
        <v>229</v>
      </c>
    </row>
    <row r="4" customFormat="false" ht="15" hidden="false" customHeight="false" outlineLevel="0" collapsed="false">
      <c r="A4" s="18" t="s">
        <v>230</v>
      </c>
      <c r="B4" s="14" t="s">
        <v>64</v>
      </c>
      <c r="C4" s="24" t="n">
        <f aca="false">VALUE(RIGHT(B4,1))</f>
        <v>1</v>
      </c>
      <c r="D4" s="26" t="str">
        <f aca="false">INDEX(01_因子設定!$B$5:$B$6,C4)&amp;"["&amp;INDEX(01_因子設定!$D$5:$D$6,C4)&amp;"]"</f>
        <v>炉温[℃]</v>
      </c>
      <c r="E4" s="44" t="str">
        <f aca="false">IF(C4=C5,"× 横軸と縦軸に同じ因子は指定できません","")</f>
        <v/>
      </c>
    </row>
    <row r="5" customFormat="false" ht="15" hidden="false" customHeight="false" outlineLevel="0" collapsed="false">
      <c r="A5" s="18" t="s">
        <v>231</v>
      </c>
      <c r="B5" s="14" t="s">
        <v>69</v>
      </c>
      <c r="C5" s="24" t="n">
        <f aca="false">VALUE(RIGHT(B5,1))</f>
        <v>2</v>
      </c>
      <c r="D5" s="26" t="str">
        <f aca="false">INDEX(01_因子設定!$B$5:$B$6,C5)&amp;"["&amp;INDEX(01_因子設定!$D$5:$D$6,C5)&amp;"]"</f>
        <v>乾燥時間[min]</v>
      </c>
    </row>
    <row r="6" customFormat="false" ht="15" hidden="false" customHeight="false" outlineLevel="0" collapsed="false">
      <c r="A6" s="18" t="s">
        <v>232</v>
      </c>
      <c r="B6" s="12" t="s">
        <v>233</v>
      </c>
    </row>
    <row r="8" customFormat="false" ht="72.35" hidden="false" customHeight="false" outlineLevel="0" collapsed="false">
      <c r="A8" s="10" t="s">
        <v>97</v>
      </c>
      <c r="B8" s="10" t="s">
        <v>234</v>
      </c>
      <c r="C8" s="10" t="s">
        <v>235</v>
      </c>
      <c r="D8" s="10" t="s">
        <v>236</v>
      </c>
      <c r="E8" s="10" t="s">
        <v>237</v>
      </c>
    </row>
    <row r="9" customFormat="false" ht="15" hidden="false" customHeight="false" outlineLevel="0" collapsed="false">
      <c r="A9" s="26" t="str">
        <f aca="false">01_因子設定!B5</f>
        <v>炉温</v>
      </c>
      <c r="B9" s="45" t="n">
        <v>0</v>
      </c>
      <c r="C9" s="15" t="n">
        <f aca="false">IF($B$6="手入力",B9,IF($B$6="点予測最適点",07_最適化!$C$6,07_最適化!$B$6))</f>
        <v>0.45</v>
      </c>
      <c r="D9" s="15" t="n">
        <f aca="false">01_因子設定!G5+C9*01_因子設定!H5</f>
        <v>69.5</v>
      </c>
      <c r="E9" s="11" t="str">
        <f aca="false">IF($C$4=1,"横軸",IF($C$5=1,"縦軸","固定"))</f>
        <v>横軸</v>
      </c>
    </row>
    <row r="10" customFormat="false" ht="15" hidden="false" customHeight="false" outlineLevel="0" collapsed="false">
      <c r="A10" s="26" t="str">
        <f aca="false">01_因子設定!B6</f>
        <v>乾燥時間</v>
      </c>
      <c r="B10" s="45" t="n">
        <v>0</v>
      </c>
      <c r="C10" s="15" t="n">
        <f aca="false">IF($B$6="手入力",B10,IF($B$6="点予測最適点",07_最適化!$C$7,07_最適化!$B$7))</f>
        <v>0.7</v>
      </c>
      <c r="D10" s="15" t="n">
        <f aca="false">01_因子設定!G6+C10*01_因子設定!H6</f>
        <v>37</v>
      </c>
      <c r="E10" s="11" t="str">
        <f aca="false">IF($C$4=2,"横軸",IF($C$5=2,"縦軸","固定"))</f>
        <v>縦軸</v>
      </c>
    </row>
    <row r="12" customFormat="false" ht="15" hidden="false" customHeight="false" outlineLevel="0" collapsed="false">
      <c r="A12" s="17" t="s">
        <v>238</v>
      </c>
    </row>
    <row r="13" customFormat="false" ht="15" hidden="false" customHeight="false" outlineLevel="0" collapsed="false">
      <c r="A13" s="10" t="s">
        <v>239</v>
      </c>
      <c r="B13" s="10" t="s">
        <v>240</v>
      </c>
      <c r="C13" s="46" t="n">
        <v>-1</v>
      </c>
      <c r="D13" s="46" t="n">
        <v>-0.9</v>
      </c>
      <c r="E13" s="46" t="n">
        <v>-0.8</v>
      </c>
      <c r="F13" s="46" t="n">
        <v>-0.7</v>
      </c>
      <c r="G13" s="46" t="n">
        <v>-0.6</v>
      </c>
      <c r="H13" s="46" t="n">
        <v>-0.5</v>
      </c>
      <c r="I13" s="46" t="n">
        <v>-0.4</v>
      </c>
      <c r="J13" s="46" t="n">
        <v>-0.3</v>
      </c>
      <c r="K13" s="46" t="n">
        <v>-0.2</v>
      </c>
      <c r="L13" s="46" t="n">
        <v>-0.1</v>
      </c>
      <c r="M13" s="46" t="n">
        <v>0</v>
      </c>
      <c r="N13" s="46" t="n">
        <v>0.1</v>
      </c>
      <c r="O13" s="46" t="n">
        <v>0.2</v>
      </c>
      <c r="P13" s="46" t="n">
        <v>0.3</v>
      </c>
      <c r="Q13" s="46" t="n">
        <v>0.4</v>
      </c>
      <c r="R13" s="46" t="n">
        <v>0.5</v>
      </c>
      <c r="S13" s="46" t="n">
        <v>0.6</v>
      </c>
      <c r="T13" s="46" t="n">
        <v>0.7</v>
      </c>
      <c r="U13" s="46" t="n">
        <v>0.8</v>
      </c>
      <c r="V13" s="46" t="n">
        <v>0.9</v>
      </c>
      <c r="W13" s="46" t="n">
        <v>1</v>
      </c>
    </row>
    <row r="14" customFormat="false" ht="23.1" hidden="false" customHeight="false" outlineLevel="0" collapsed="false">
      <c r="A14" s="47" t="str">
        <f aca="false">"縦↓ "&amp;$D$5</f>
        <v>縦↓ 乾燥時間[min]</v>
      </c>
      <c r="B14" s="10" t="str">
        <f aca="false">"横→ "&amp;$D$4</f>
        <v>横→ 炉温[℃]</v>
      </c>
      <c r="C14" s="48" t="n">
        <f aca="false">INDEX(01_因子設定!$G$5:$G$6,$C$4)+C13*INDEX(01_因子設定!$H$5:$H$6,$C$4)</f>
        <v>55</v>
      </c>
      <c r="D14" s="48" t="n">
        <f aca="false">INDEX(01_因子設定!$G$5:$G$6,$C$4)+D13*INDEX(01_因子設定!$H$5:$H$6,$C$4)</f>
        <v>56</v>
      </c>
      <c r="E14" s="48" t="n">
        <f aca="false">INDEX(01_因子設定!$G$5:$G$6,$C$4)+E13*INDEX(01_因子設定!$H$5:$H$6,$C$4)</f>
        <v>57</v>
      </c>
      <c r="F14" s="48" t="n">
        <f aca="false">INDEX(01_因子設定!$G$5:$G$6,$C$4)+F13*INDEX(01_因子設定!$H$5:$H$6,$C$4)</f>
        <v>58</v>
      </c>
      <c r="G14" s="48" t="n">
        <f aca="false">INDEX(01_因子設定!$G$5:$G$6,$C$4)+G13*INDEX(01_因子設定!$H$5:$H$6,$C$4)</f>
        <v>59</v>
      </c>
      <c r="H14" s="48" t="n">
        <f aca="false">INDEX(01_因子設定!$G$5:$G$6,$C$4)+H13*INDEX(01_因子設定!$H$5:$H$6,$C$4)</f>
        <v>60</v>
      </c>
      <c r="I14" s="48" t="n">
        <f aca="false">INDEX(01_因子設定!$G$5:$G$6,$C$4)+I13*INDEX(01_因子設定!$H$5:$H$6,$C$4)</f>
        <v>61</v>
      </c>
      <c r="J14" s="48" t="n">
        <f aca="false">INDEX(01_因子設定!$G$5:$G$6,$C$4)+J13*INDEX(01_因子設定!$H$5:$H$6,$C$4)</f>
        <v>62</v>
      </c>
      <c r="K14" s="48" t="n">
        <f aca="false">INDEX(01_因子設定!$G$5:$G$6,$C$4)+K13*INDEX(01_因子設定!$H$5:$H$6,$C$4)</f>
        <v>63</v>
      </c>
      <c r="L14" s="48" t="n">
        <f aca="false">INDEX(01_因子設定!$G$5:$G$6,$C$4)+L13*INDEX(01_因子設定!$H$5:$H$6,$C$4)</f>
        <v>64</v>
      </c>
      <c r="M14" s="48" t="n">
        <f aca="false">INDEX(01_因子設定!$G$5:$G$6,$C$4)+M13*INDEX(01_因子設定!$H$5:$H$6,$C$4)</f>
        <v>65</v>
      </c>
      <c r="N14" s="48" t="n">
        <f aca="false">INDEX(01_因子設定!$G$5:$G$6,$C$4)+N13*INDEX(01_因子設定!$H$5:$H$6,$C$4)</f>
        <v>66</v>
      </c>
      <c r="O14" s="48" t="n">
        <f aca="false">INDEX(01_因子設定!$G$5:$G$6,$C$4)+O13*INDEX(01_因子設定!$H$5:$H$6,$C$4)</f>
        <v>67</v>
      </c>
      <c r="P14" s="48" t="n">
        <f aca="false">INDEX(01_因子設定!$G$5:$G$6,$C$4)+P13*INDEX(01_因子設定!$H$5:$H$6,$C$4)</f>
        <v>68</v>
      </c>
      <c r="Q14" s="48" t="n">
        <f aca="false">INDEX(01_因子設定!$G$5:$G$6,$C$4)+Q13*INDEX(01_因子設定!$H$5:$H$6,$C$4)</f>
        <v>69</v>
      </c>
      <c r="R14" s="48" t="n">
        <f aca="false">INDEX(01_因子設定!$G$5:$G$6,$C$4)+R13*INDEX(01_因子設定!$H$5:$H$6,$C$4)</f>
        <v>70</v>
      </c>
      <c r="S14" s="48" t="n">
        <f aca="false">INDEX(01_因子設定!$G$5:$G$6,$C$4)+S13*INDEX(01_因子設定!$H$5:$H$6,$C$4)</f>
        <v>71</v>
      </c>
      <c r="T14" s="48" t="n">
        <f aca="false">INDEX(01_因子設定!$G$5:$G$6,$C$4)+T13*INDEX(01_因子設定!$H$5:$H$6,$C$4)</f>
        <v>72</v>
      </c>
      <c r="U14" s="48" t="n">
        <f aca="false">INDEX(01_因子設定!$G$5:$G$6,$C$4)+U13*INDEX(01_因子設定!$H$5:$H$6,$C$4)</f>
        <v>73</v>
      </c>
      <c r="V14" s="48" t="n">
        <f aca="false">INDEX(01_因子設定!$G$5:$G$6,$C$4)+V13*INDEX(01_因子設定!$H$5:$H$6,$C$4)</f>
        <v>74</v>
      </c>
      <c r="W14" s="48" t="n">
        <f aca="false">INDEX(01_因子設定!$G$5:$G$6,$C$4)+W13*INDEX(01_因子設定!$H$5:$H$6,$C$4)</f>
        <v>75</v>
      </c>
    </row>
    <row r="15" customFormat="false" ht="15" hidden="false" customHeight="false" outlineLevel="0" collapsed="false">
      <c r="A15" s="49" t="n">
        <f aca="false">INDEX(01_因子設定!$G$5:$G$6,$C$5)+B15*INDEX(01_因子設定!$H$5:$H$6,$C$5)</f>
        <v>40</v>
      </c>
      <c r="B15" s="49" t="n">
        <v>1</v>
      </c>
      <c r="C15" s="50" t="n">
        <f aca="false">IF(AND(_slice!$H$5=1,C$13&gt;=_slice!$H$6-0.000000001,C$13&lt;=_slice!$I$6+0.000000001,$B15&gt;=_slice!$H$7-0.000000001,$B15&lt;=_slice!$I$7+0.000000001,IF(01_因子設定!$B$20="Box-Behnken",C$13^2+$B15^2+_slice!$H$8&lt;=2+0.000000001,TRUE())),_slice!C66,"外")</f>
        <v>43.3772988505747</v>
      </c>
      <c r="D15" s="50" t="n">
        <f aca="false">IF(AND(_slice!$H$5=1,D$13&gt;=_slice!$H$6-0.000000001,D$13&lt;=_slice!$I$6+0.000000001,$B15&gt;=_slice!$H$7-0.000000001,$B15&lt;=_slice!$I$7+0.000000001,IF(01_因子設定!$B$20="Box-Behnken",D$13^2+$B15^2+_slice!$H$8&lt;=2+0.000000001,TRUE())),_slice!D66,"外")</f>
        <v>44.1626551724138</v>
      </c>
      <c r="E15" s="50" t="n">
        <f aca="false">IF(AND(_slice!$H$5=1,E$13&gt;=_slice!$H$6-0.000000001,E$13&lt;=_slice!$I$6+0.000000001,$B15&gt;=_slice!$H$7-0.000000001,$B15&lt;=_slice!$I$7+0.000000001,IF(01_因子設定!$B$20="Box-Behnken",E$13^2+$B15^2+_slice!$H$8&lt;=2+0.000000001,TRUE())),_slice!E66,"外")</f>
        <v>44.8931494252873</v>
      </c>
      <c r="F15" s="50" t="n">
        <f aca="false">IF(AND(_slice!$H$5=1,F$13&gt;=_slice!$H$6-0.000000001,F$13&lt;=_slice!$I$6+0.000000001,$B15&gt;=_slice!$H$7-0.000000001,$B15&lt;=_slice!$I$7+0.000000001,IF(01_因子設定!$B$20="Box-Behnken",F$13^2+$B15^2+_slice!$H$8&lt;=2+0.000000001,TRUE())),_slice!F66,"外")</f>
        <v>45.5687816091954</v>
      </c>
      <c r="G15" s="50" t="n">
        <f aca="false">IF(AND(_slice!$H$5=1,G$13&gt;=_slice!$H$6-0.000000001,G$13&lt;=_slice!$I$6+0.000000001,$B15&gt;=_slice!$H$7-0.000000001,$B15&lt;=_slice!$I$7+0.000000001,IF(01_因子設定!$B$20="Box-Behnken",G$13^2+$B15^2+_slice!$H$8&lt;=2+0.000000001,TRUE())),_slice!G66,"外")</f>
        <v>46.1895517241379</v>
      </c>
      <c r="H15" s="50" t="n">
        <f aca="false">IF(AND(_slice!$H$5=1,H$13&gt;=_slice!$H$6-0.000000001,H$13&lt;=_slice!$I$6+0.000000001,$B15&gt;=_slice!$H$7-0.000000001,$B15&lt;=_slice!$I$7+0.000000001,IF(01_因子設定!$B$20="Box-Behnken",H$13^2+$B15^2+_slice!$H$8&lt;=2+0.000000001,TRUE())),_slice!H66,"外")</f>
        <v>46.7554597701149</v>
      </c>
      <c r="I15" s="50" t="n">
        <f aca="false">IF(AND(_slice!$H$5=1,I$13&gt;=_slice!$H$6-0.000000001,I$13&lt;=_slice!$I$6+0.000000001,$B15&gt;=_slice!$H$7-0.000000001,$B15&lt;=_slice!$I$7+0.000000001,IF(01_因子設定!$B$20="Box-Behnken",I$13^2+$B15^2+_slice!$H$8&lt;=2+0.000000001,TRUE())),_slice!I66,"外")</f>
        <v>47.2665057471264</v>
      </c>
      <c r="J15" s="50" t="n">
        <f aca="false">IF(AND(_slice!$H$5=1,J$13&gt;=_slice!$H$6-0.000000001,J$13&lt;=_slice!$I$6+0.000000001,$B15&gt;=_slice!$H$7-0.000000001,$B15&lt;=_slice!$I$7+0.000000001,IF(01_因子設定!$B$20="Box-Behnken",J$13^2+$B15^2+_slice!$H$8&lt;=2+0.000000001,TRUE())),_slice!J66,"外")</f>
        <v>47.7226896551724</v>
      </c>
      <c r="K15" s="50" t="n">
        <f aca="false">IF(AND(_slice!$H$5=1,K$13&gt;=_slice!$H$6-0.000000001,K$13&lt;=_slice!$I$6+0.000000001,$B15&gt;=_slice!$H$7-0.000000001,$B15&lt;=_slice!$I$7+0.000000001,IF(01_因子設定!$B$20="Box-Behnken",K$13^2+$B15^2+_slice!$H$8&lt;=2+0.000000001,TRUE())),_slice!K66,"外")</f>
        <v>48.1240114942529</v>
      </c>
      <c r="L15" s="50" t="n">
        <f aca="false">IF(AND(_slice!$H$5=1,L$13&gt;=_slice!$H$6-0.000000001,L$13&lt;=_slice!$I$6+0.000000001,$B15&gt;=_slice!$H$7-0.000000001,$B15&lt;=_slice!$I$7+0.000000001,IF(01_因子設定!$B$20="Box-Behnken",L$13^2+$B15^2+_slice!$H$8&lt;=2+0.000000001,TRUE())),_slice!L66,"外")</f>
        <v>48.4704712643678</v>
      </c>
      <c r="M15" s="50" t="n">
        <f aca="false">IF(AND(_slice!$H$5=1,M$13&gt;=_slice!$H$6-0.000000001,M$13&lt;=_slice!$I$6+0.000000001,$B15&gt;=_slice!$H$7-0.000000001,$B15&lt;=_slice!$I$7+0.000000001,IF(01_因子設定!$B$20="Box-Behnken",M$13^2+$B15^2+_slice!$H$8&lt;=2+0.000000001,TRUE())),_slice!M66,"外")</f>
        <v>48.7620689655172</v>
      </c>
      <c r="N15" s="50" t="n">
        <f aca="false">IF(AND(_slice!$H$5=1,N$13&gt;=_slice!$H$6-0.000000001,N$13&lt;=_slice!$I$6+0.000000001,$B15&gt;=_slice!$H$7-0.000000001,$B15&lt;=_slice!$I$7+0.000000001,IF(01_因子設定!$B$20="Box-Behnken",N$13^2+$B15^2+_slice!$H$8&lt;=2+0.000000001,TRUE())),_slice!N66,"外")</f>
        <v>48.9988045977012</v>
      </c>
      <c r="O15" s="50" t="n">
        <f aca="false">IF(AND(_slice!$H$5=1,O$13&gt;=_slice!$H$6-0.000000001,O$13&lt;=_slice!$I$6+0.000000001,$B15&gt;=_slice!$H$7-0.000000001,$B15&lt;=_slice!$I$7+0.000000001,IF(01_因子設定!$B$20="Box-Behnken",O$13^2+$B15^2+_slice!$H$8&lt;=2+0.000000001,TRUE())),_slice!O66,"外")</f>
        <v>49.1806781609195</v>
      </c>
      <c r="P15" s="50" t="n">
        <f aca="false">IF(AND(_slice!$H$5=1,P$13&gt;=_slice!$H$6-0.000000001,P$13&lt;=_slice!$I$6+0.000000001,$B15&gt;=_slice!$H$7-0.000000001,$B15&lt;=_slice!$I$7+0.000000001,IF(01_因子設定!$B$20="Box-Behnken",P$13^2+$B15^2+_slice!$H$8&lt;=2+0.000000001,TRUE())),_slice!P66,"外")</f>
        <v>49.3076896551724</v>
      </c>
      <c r="Q15" s="50" t="n">
        <f aca="false">IF(AND(_slice!$H$5=1,Q$13&gt;=_slice!$H$6-0.000000001,Q$13&lt;=_slice!$I$6+0.000000001,$B15&gt;=_slice!$H$7-0.000000001,$B15&lt;=_slice!$I$7+0.000000001,IF(01_因子設定!$B$20="Box-Behnken",Q$13^2+$B15^2+_slice!$H$8&lt;=2+0.000000001,TRUE())),_slice!Q66,"外")</f>
        <v>49.3798390804598</v>
      </c>
      <c r="R15" s="50" t="n">
        <f aca="false">IF(AND(_slice!$H$5=1,R$13&gt;=_slice!$H$6-0.000000001,R$13&lt;=_slice!$I$6+0.000000001,$B15&gt;=_slice!$H$7-0.000000001,$B15&lt;=_slice!$I$7+0.000000001,IF(01_因子設定!$B$20="Box-Behnken",R$13^2+$B15^2+_slice!$H$8&lt;=2+0.000000001,TRUE())),_slice!R66,"外")</f>
        <v>49.3971264367816</v>
      </c>
      <c r="S15" s="50" t="n">
        <f aca="false">IF(AND(_slice!$H$5=1,S$13&gt;=_slice!$H$6-0.000000001,S$13&lt;=_slice!$I$6+0.000000001,$B15&gt;=_slice!$H$7-0.000000001,$B15&lt;=_slice!$I$7+0.000000001,IF(01_因子設定!$B$20="Box-Behnken",S$13^2+$B15^2+_slice!$H$8&lt;=2+0.000000001,TRUE())),_slice!S66,"外")</f>
        <v>49.3595517241379</v>
      </c>
      <c r="T15" s="50" t="n">
        <f aca="false">IF(AND(_slice!$H$5=1,T$13&gt;=_slice!$H$6-0.000000001,T$13&lt;=_slice!$I$6+0.000000001,$B15&gt;=_slice!$H$7-0.000000001,$B15&lt;=_slice!$I$7+0.000000001,IF(01_因子設定!$B$20="Box-Behnken",T$13^2+$B15^2+_slice!$H$8&lt;=2+0.000000001,TRUE())),_slice!T66,"外")</f>
        <v>49.2671149425287</v>
      </c>
      <c r="U15" s="50" t="n">
        <f aca="false">IF(AND(_slice!$H$5=1,U$13&gt;=_slice!$H$6-0.000000001,U$13&lt;=_slice!$I$6+0.000000001,$B15&gt;=_slice!$H$7-0.000000001,$B15&lt;=_slice!$I$7+0.000000001,IF(01_因子設定!$B$20="Box-Behnken",U$13^2+$B15^2+_slice!$H$8&lt;=2+0.000000001,TRUE())),_slice!U66,"外")</f>
        <v>49.119816091954</v>
      </c>
      <c r="V15" s="50" t="n">
        <f aca="false">IF(AND(_slice!$H$5=1,V$13&gt;=_slice!$H$6-0.000000001,V$13&lt;=_slice!$I$6+0.000000001,$B15&gt;=_slice!$H$7-0.000000001,$B15&lt;=_slice!$I$7+0.000000001,IF(01_因子設定!$B$20="Box-Behnken",V$13^2+$B15^2+_slice!$H$8&lt;=2+0.000000001,TRUE())),_slice!V66,"外")</f>
        <v>48.9176551724138</v>
      </c>
      <c r="W15" s="50" t="n">
        <f aca="false">IF(AND(_slice!$H$5=1,W$13&gt;=_slice!$H$6-0.000000001,W$13&lt;=_slice!$I$6+0.000000001,$B15&gt;=_slice!$H$7-0.000000001,$B15&lt;=_slice!$I$7+0.000000001,IF(01_因子設定!$B$20="Box-Behnken",W$13^2+$B15^2+_slice!$H$8&lt;=2+0.000000001,TRUE())),_slice!W66,"外")</f>
        <v>48.660632183908</v>
      </c>
    </row>
    <row r="16" customFormat="false" ht="15" hidden="false" customHeight="false" outlineLevel="0" collapsed="false">
      <c r="A16" s="49" t="n">
        <f aca="false">INDEX(01_因子設定!$G$5:$G$6,$C$5)+B16*INDEX(01_因子設定!$H$5:$H$6,$C$5)</f>
        <v>39</v>
      </c>
      <c r="B16" s="49" t="n">
        <v>0.9</v>
      </c>
      <c r="C16" s="50" t="n">
        <f aca="false">IF(AND(_slice!$H$5=1,C$13&gt;=_slice!$H$6-0.000000001,C$13&lt;=_slice!$I$6+0.000000001,$B16&gt;=_slice!$H$7-0.000000001,$B16&lt;=_slice!$I$7+0.000000001,IF(01_因子設定!$B$20="Box-Behnken",C$13^2+$B16^2+_slice!$H$8&lt;=2+0.000000001,TRUE())),_slice!C67,"外")</f>
        <v>43.4979885057471</v>
      </c>
      <c r="D16" s="50" t="n">
        <f aca="false">IF(AND(_slice!$H$5=1,D$13&gt;=_slice!$H$6-0.000000001,D$13&lt;=_slice!$I$6+0.000000001,$B16&gt;=_slice!$H$7-0.000000001,$B16&lt;=_slice!$I$7+0.000000001,IF(01_因子設定!$B$20="Box-Behnken",D$13^2+$B16^2+_slice!$H$8&lt;=2+0.000000001,TRUE())),_slice!D67,"外")</f>
        <v>44.2780948275862</v>
      </c>
      <c r="E16" s="50" t="n">
        <f aca="false">IF(AND(_slice!$H$5=1,E$13&gt;=_slice!$H$6-0.000000001,E$13&lt;=_slice!$I$6+0.000000001,$B16&gt;=_slice!$H$7-0.000000001,$B16&lt;=_slice!$I$7+0.000000001,IF(01_因子設定!$B$20="Box-Behnken",E$13^2+$B16^2+_slice!$H$8&lt;=2+0.000000001,TRUE())),_slice!E67,"外")</f>
        <v>45.0033390804598</v>
      </c>
      <c r="F16" s="50" t="n">
        <f aca="false">IF(AND(_slice!$H$5=1,F$13&gt;=_slice!$H$6-0.000000001,F$13&lt;=_slice!$I$6+0.000000001,$B16&gt;=_slice!$H$7-0.000000001,$B16&lt;=_slice!$I$7+0.000000001,IF(01_因子設定!$B$20="Box-Behnken",F$13^2+$B16^2+_slice!$H$8&lt;=2+0.000000001,TRUE())),_slice!F67,"外")</f>
        <v>45.6737212643678</v>
      </c>
      <c r="G16" s="50" t="n">
        <f aca="false">IF(AND(_slice!$H$5=1,G$13&gt;=_slice!$H$6-0.000000001,G$13&lt;=_slice!$I$6+0.000000001,$B16&gt;=_slice!$H$7-0.000000001,$B16&lt;=_slice!$I$7+0.000000001,IF(01_因子設定!$B$20="Box-Behnken",G$13^2+$B16^2+_slice!$H$8&lt;=2+0.000000001,TRUE())),_slice!G67,"外")</f>
        <v>46.2892413793103</v>
      </c>
      <c r="H16" s="50" t="n">
        <f aca="false">IF(AND(_slice!$H$5=1,H$13&gt;=_slice!$H$6-0.000000001,H$13&lt;=_slice!$I$6+0.000000001,$B16&gt;=_slice!$H$7-0.000000001,$B16&lt;=_slice!$I$7+0.000000001,IF(01_因子設定!$B$20="Box-Behnken",H$13^2+$B16^2+_slice!$H$8&lt;=2+0.000000001,TRUE())),_slice!H67,"外")</f>
        <v>46.8498994252874</v>
      </c>
      <c r="I16" s="50" t="n">
        <f aca="false">IF(AND(_slice!$H$5=1,I$13&gt;=_slice!$H$6-0.000000001,I$13&lt;=_slice!$I$6+0.000000001,$B16&gt;=_slice!$H$7-0.000000001,$B16&lt;=_slice!$I$7+0.000000001,IF(01_因子設定!$B$20="Box-Behnken",I$13^2+$B16^2+_slice!$H$8&lt;=2+0.000000001,TRUE())),_slice!I67,"外")</f>
        <v>47.3556954022989</v>
      </c>
      <c r="J16" s="50" t="n">
        <f aca="false">IF(AND(_slice!$H$5=1,J$13&gt;=_slice!$H$6-0.000000001,J$13&lt;=_slice!$I$6+0.000000001,$B16&gt;=_slice!$H$7-0.000000001,$B16&lt;=_slice!$I$7+0.000000001,IF(01_因子設定!$B$20="Box-Behnken",J$13^2+$B16^2+_slice!$H$8&lt;=2+0.000000001,TRUE())),_slice!J67,"外")</f>
        <v>47.8066293103448</v>
      </c>
      <c r="K16" s="50" t="n">
        <f aca="false">IF(AND(_slice!$H$5=1,K$13&gt;=_slice!$H$6-0.000000001,K$13&lt;=_slice!$I$6+0.000000001,$B16&gt;=_slice!$H$7-0.000000001,$B16&lt;=_slice!$I$7+0.000000001,IF(01_因子設定!$B$20="Box-Behnken",K$13^2+$B16^2+_slice!$H$8&lt;=2+0.000000001,TRUE())),_slice!K67,"外")</f>
        <v>48.2027011494253</v>
      </c>
      <c r="L16" s="50" t="n">
        <f aca="false">IF(AND(_slice!$H$5=1,L$13&gt;=_slice!$H$6-0.000000001,L$13&lt;=_slice!$I$6+0.000000001,$B16&gt;=_slice!$H$7-0.000000001,$B16&lt;=_slice!$I$7+0.000000001,IF(01_因子設定!$B$20="Box-Behnken",L$13^2+$B16^2+_slice!$H$8&lt;=2+0.000000001,TRUE())),_slice!L67,"外")</f>
        <v>48.5439109195402</v>
      </c>
      <c r="M16" s="50" t="n">
        <f aca="false">IF(AND(_slice!$H$5=1,M$13&gt;=_slice!$H$6-0.000000001,M$13&lt;=_slice!$I$6+0.000000001,$B16&gt;=_slice!$H$7-0.000000001,$B16&lt;=_slice!$I$7+0.000000001,IF(01_因子設定!$B$20="Box-Behnken",M$13^2+$B16^2+_slice!$H$8&lt;=2+0.000000001,TRUE())),_slice!M67,"外")</f>
        <v>48.8302586206897</v>
      </c>
      <c r="N16" s="50" t="n">
        <f aca="false">IF(AND(_slice!$H$5=1,N$13&gt;=_slice!$H$6-0.000000001,N$13&lt;=_slice!$I$6+0.000000001,$B16&gt;=_slice!$H$7-0.000000001,$B16&lt;=_slice!$I$7+0.000000001,IF(01_因子設定!$B$20="Box-Behnken",N$13^2+$B16^2+_slice!$H$8&lt;=2+0.000000001,TRUE())),_slice!N67,"外")</f>
        <v>49.0617442528736</v>
      </c>
      <c r="O16" s="50" t="n">
        <f aca="false">IF(AND(_slice!$H$5=1,O$13&gt;=_slice!$H$6-0.000000001,O$13&lt;=_slice!$I$6+0.000000001,$B16&gt;=_slice!$H$7-0.000000001,$B16&lt;=_slice!$I$7+0.000000001,IF(01_因子設定!$B$20="Box-Behnken",O$13^2+$B16^2+_slice!$H$8&lt;=2+0.000000001,TRUE())),_slice!O67,"外")</f>
        <v>49.238367816092</v>
      </c>
      <c r="P16" s="50" t="n">
        <f aca="false">IF(AND(_slice!$H$5=1,P$13&gt;=_slice!$H$6-0.000000001,P$13&lt;=_slice!$I$6+0.000000001,$B16&gt;=_slice!$H$7-0.000000001,$B16&lt;=_slice!$I$7+0.000000001,IF(01_因子設定!$B$20="Box-Behnken",P$13^2+$B16^2+_slice!$H$8&lt;=2+0.000000001,TRUE())),_slice!P67,"外")</f>
        <v>49.3601293103448</v>
      </c>
      <c r="Q16" s="50" t="n">
        <f aca="false">IF(AND(_slice!$H$5=1,Q$13&gt;=_slice!$H$6-0.000000001,Q$13&lt;=_slice!$I$6+0.000000001,$B16&gt;=_slice!$H$7-0.000000001,$B16&lt;=_slice!$I$7+0.000000001,IF(01_因子設定!$B$20="Box-Behnken",Q$13^2+$B16^2+_slice!$H$8&lt;=2+0.000000001,TRUE())),_slice!Q67,"外")</f>
        <v>49.4270287356322</v>
      </c>
      <c r="R16" s="50" t="n">
        <f aca="false">IF(AND(_slice!$H$5=1,R$13&gt;=_slice!$H$6-0.000000001,R$13&lt;=_slice!$I$6+0.000000001,$B16&gt;=_slice!$H$7-0.000000001,$B16&lt;=_slice!$I$7+0.000000001,IF(01_因子設定!$B$20="Box-Behnken",R$13^2+$B16^2+_slice!$H$8&lt;=2+0.000000001,TRUE())),_slice!R67,"外")</f>
        <v>49.439066091954</v>
      </c>
      <c r="S16" s="50" t="n">
        <f aca="false">IF(AND(_slice!$H$5=1,S$13&gt;=_slice!$H$6-0.000000001,S$13&lt;=_slice!$I$6+0.000000001,$B16&gt;=_slice!$H$7-0.000000001,$B16&lt;=_slice!$I$7+0.000000001,IF(01_因子設定!$B$20="Box-Behnken",S$13^2+$B16^2+_slice!$H$8&lt;=2+0.000000001,TRUE())),_slice!S67,"外")</f>
        <v>49.3962413793103</v>
      </c>
      <c r="T16" s="50" t="n">
        <f aca="false">IF(AND(_slice!$H$5=1,T$13&gt;=_slice!$H$6-0.000000001,T$13&lt;=_slice!$I$6+0.000000001,$B16&gt;=_slice!$H$7-0.000000001,$B16&lt;=_slice!$I$7+0.000000001,IF(01_因子設定!$B$20="Box-Behnken",T$13^2+$B16^2+_slice!$H$8&lt;=2+0.000000001,TRUE())),_slice!T67,"外")</f>
        <v>49.2985545977011</v>
      </c>
      <c r="U16" s="50" t="n">
        <f aca="false">IF(AND(_slice!$H$5=1,U$13&gt;=_slice!$H$6-0.000000001,U$13&lt;=_slice!$I$6+0.000000001,$B16&gt;=_slice!$H$7-0.000000001,$B16&lt;=_slice!$I$7+0.000000001,IF(01_因子設定!$B$20="Box-Behnken",U$13^2+$B16^2+_slice!$H$8&lt;=2+0.000000001,TRUE())),_slice!U67,"外")</f>
        <v>49.1460057471264</v>
      </c>
      <c r="V16" s="50" t="n">
        <f aca="false">IF(AND(_slice!$H$5=1,V$13&gt;=_slice!$H$6-0.000000001,V$13&lt;=_slice!$I$6+0.000000001,$B16&gt;=_slice!$H$7-0.000000001,$B16&lt;=_slice!$I$7+0.000000001,IF(01_因子設定!$B$20="Box-Behnken",V$13^2+$B16^2+_slice!$H$8&lt;=2+0.000000001,TRUE())),_slice!V67,"外")</f>
        <v>48.9385948275862</v>
      </c>
      <c r="W16" s="50" t="n">
        <f aca="false">IF(AND(_slice!$H$5=1,W$13&gt;=_slice!$H$6-0.000000001,W$13&lt;=_slice!$I$6+0.000000001,$B16&gt;=_slice!$H$7-0.000000001,$B16&lt;=_slice!$I$7+0.000000001,IF(01_因子設定!$B$20="Box-Behnken",W$13^2+$B16^2+_slice!$H$8&lt;=2+0.000000001,TRUE())),_slice!W67,"外")</f>
        <v>48.6763218390804</v>
      </c>
    </row>
    <row r="17" customFormat="false" ht="15" hidden="false" customHeight="false" outlineLevel="0" collapsed="false">
      <c r="A17" s="49" t="n">
        <f aca="false">INDEX(01_因子設定!$G$5:$G$6,$C$5)+B17*INDEX(01_因子設定!$H$5:$H$6,$C$5)</f>
        <v>38</v>
      </c>
      <c r="B17" s="49" t="n">
        <v>0.8</v>
      </c>
      <c r="C17" s="50" t="n">
        <f aca="false">IF(AND(_slice!$H$5=1,C$13&gt;=_slice!$H$6-0.000000001,C$13&lt;=_slice!$I$6+0.000000001,$B17&gt;=_slice!$H$7-0.000000001,$B17&lt;=_slice!$I$7+0.000000001,IF(01_因子設定!$B$20="Box-Behnken",C$13^2+$B17^2+_slice!$H$8&lt;=2+0.000000001,TRUE())),_slice!C68,"外")</f>
        <v>43.587816091954</v>
      </c>
      <c r="D17" s="50" t="n">
        <f aca="false">IF(AND(_slice!$H$5=1,D$13&gt;=_slice!$H$6-0.000000001,D$13&lt;=_slice!$I$6+0.000000001,$B17&gt;=_slice!$H$7-0.000000001,$B17&lt;=_slice!$I$7+0.000000001,IF(01_因子設定!$B$20="Box-Behnken",D$13^2+$B17^2+_slice!$H$8&lt;=2+0.000000001,TRUE())),_slice!D68,"外")</f>
        <v>44.3626724137931</v>
      </c>
      <c r="E17" s="50" t="n">
        <f aca="false">IF(AND(_slice!$H$5=1,E$13&gt;=_slice!$H$6-0.000000001,E$13&lt;=_slice!$I$6+0.000000001,$B17&gt;=_slice!$H$7-0.000000001,$B17&lt;=_slice!$I$7+0.000000001,IF(01_因子設定!$B$20="Box-Behnken",E$13^2+$B17^2+_slice!$H$8&lt;=2+0.000000001,TRUE())),_slice!E68,"外")</f>
        <v>45.0826666666667</v>
      </c>
      <c r="F17" s="50" t="n">
        <f aca="false">IF(AND(_slice!$H$5=1,F$13&gt;=_slice!$H$6-0.000000001,F$13&lt;=_slice!$I$6+0.000000001,$B17&gt;=_slice!$H$7-0.000000001,$B17&lt;=_slice!$I$7+0.000000001,IF(01_因子設定!$B$20="Box-Behnken",F$13^2+$B17^2+_slice!$H$8&lt;=2+0.000000001,TRUE())),_slice!F68,"外")</f>
        <v>45.7477988505747</v>
      </c>
      <c r="G17" s="50" t="n">
        <f aca="false">IF(AND(_slice!$H$5=1,G$13&gt;=_slice!$H$6-0.000000001,G$13&lt;=_slice!$I$6+0.000000001,$B17&gt;=_slice!$H$7-0.000000001,$B17&lt;=_slice!$I$7+0.000000001,IF(01_因子設定!$B$20="Box-Behnken",G$13^2+$B17^2+_slice!$H$8&lt;=2+0.000000001,TRUE())),_slice!G68,"外")</f>
        <v>46.3580689655172</v>
      </c>
      <c r="H17" s="50" t="n">
        <f aca="false">IF(AND(_slice!$H$5=1,H$13&gt;=_slice!$H$6-0.000000001,H$13&lt;=_slice!$I$6+0.000000001,$B17&gt;=_slice!$H$7-0.000000001,$B17&lt;=_slice!$I$7+0.000000001,IF(01_因子設定!$B$20="Box-Behnken",H$13^2+$B17^2+_slice!$H$8&lt;=2+0.000000001,TRUE())),_slice!H68,"外")</f>
        <v>46.9134770114942</v>
      </c>
      <c r="I17" s="50" t="n">
        <f aca="false">IF(AND(_slice!$H$5=1,I$13&gt;=_slice!$H$6-0.000000001,I$13&lt;=_slice!$I$6+0.000000001,$B17&gt;=_slice!$H$7-0.000000001,$B17&lt;=_slice!$I$7+0.000000001,IF(01_因子設定!$B$20="Box-Behnken",I$13^2+$B17^2+_slice!$H$8&lt;=2+0.000000001,TRUE())),_slice!I68,"外")</f>
        <v>47.4140229885057</v>
      </c>
      <c r="J17" s="50" t="n">
        <f aca="false">IF(AND(_slice!$H$5=1,J$13&gt;=_slice!$H$6-0.000000001,J$13&lt;=_slice!$I$6+0.000000001,$B17&gt;=_slice!$H$7-0.000000001,$B17&lt;=_slice!$I$7+0.000000001,IF(01_因子設定!$B$20="Box-Behnken",J$13^2+$B17^2+_slice!$H$8&lt;=2+0.000000001,TRUE())),_slice!J68,"外")</f>
        <v>47.8597068965517</v>
      </c>
      <c r="K17" s="50" t="n">
        <f aca="false">IF(AND(_slice!$H$5=1,K$13&gt;=_slice!$H$6-0.000000001,K$13&lt;=_slice!$I$6+0.000000001,$B17&gt;=_slice!$H$7-0.000000001,$B17&lt;=_slice!$I$7+0.000000001,IF(01_因子設定!$B$20="Box-Behnken",K$13^2+$B17^2+_slice!$H$8&lt;=2+0.000000001,TRUE())),_slice!K68,"外")</f>
        <v>48.2505287356322</v>
      </c>
      <c r="L17" s="50" t="n">
        <f aca="false">IF(AND(_slice!$H$5=1,L$13&gt;=_slice!$H$6-0.000000001,L$13&lt;=_slice!$I$6+0.000000001,$B17&gt;=_slice!$H$7-0.000000001,$B17&lt;=_slice!$I$7+0.000000001,IF(01_因子設定!$B$20="Box-Behnken",L$13^2+$B17^2+_slice!$H$8&lt;=2+0.000000001,TRUE())),_slice!L68,"外")</f>
        <v>48.5864885057471</v>
      </c>
      <c r="M17" s="50" t="n">
        <f aca="false">IF(AND(_slice!$H$5=1,M$13&gt;=_slice!$H$6-0.000000001,M$13&lt;=_slice!$I$6+0.000000001,$B17&gt;=_slice!$H$7-0.000000001,$B17&lt;=_slice!$I$7+0.000000001,IF(01_因子設定!$B$20="Box-Behnken",M$13^2+$B17^2+_slice!$H$8&lt;=2+0.000000001,TRUE())),_slice!M68,"外")</f>
        <v>48.8675862068966</v>
      </c>
      <c r="N17" s="50" t="n">
        <f aca="false">IF(AND(_slice!$H$5=1,N$13&gt;=_slice!$H$6-0.000000001,N$13&lt;=_slice!$I$6+0.000000001,$B17&gt;=_slice!$H$7-0.000000001,$B17&lt;=_slice!$I$7+0.000000001,IF(01_因子設定!$B$20="Box-Behnken",N$13^2+$B17^2+_slice!$H$8&lt;=2+0.000000001,TRUE())),_slice!N68,"外")</f>
        <v>49.0938218390805</v>
      </c>
      <c r="O17" s="50" t="n">
        <f aca="false">IF(AND(_slice!$H$5=1,O$13&gt;=_slice!$H$6-0.000000001,O$13&lt;=_slice!$I$6+0.000000001,$B17&gt;=_slice!$H$7-0.000000001,$B17&lt;=_slice!$I$7+0.000000001,IF(01_因子設定!$B$20="Box-Behnken",O$13^2+$B17^2+_slice!$H$8&lt;=2+0.000000001,TRUE())),_slice!O68,"外")</f>
        <v>49.2651954022989</v>
      </c>
      <c r="P17" s="50" t="n">
        <f aca="false">IF(AND(_slice!$H$5=1,P$13&gt;=_slice!$H$6-0.000000001,P$13&lt;=_slice!$I$6+0.000000001,$B17&gt;=_slice!$H$7-0.000000001,$B17&lt;=_slice!$I$7+0.000000001,IF(01_因子設定!$B$20="Box-Behnken",P$13^2+$B17^2+_slice!$H$8&lt;=2+0.000000001,TRUE())),_slice!P68,"外")</f>
        <v>49.3817068965517</v>
      </c>
      <c r="Q17" s="50" t="n">
        <f aca="false">IF(AND(_slice!$H$5=1,Q$13&gt;=_slice!$H$6-0.000000001,Q$13&lt;=_slice!$I$6+0.000000001,$B17&gt;=_slice!$H$7-0.000000001,$B17&lt;=_slice!$I$7+0.000000001,IF(01_因子設定!$B$20="Box-Behnken",Q$13^2+$B17^2+_slice!$H$8&lt;=2+0.000000001,TRUE())),_slice!Q68,"外")</f>
        <v>49.4433563218391</v>
      </c>
      <c r="R17" s="50" t="n">
        <f aca="false">IF(AND(_slice!$H$5=1,R$13&gt;=_slice!$H$6-0.000000001,R$13&lt;=_slice!$I$6+0.000000001,$B17&gt;=_slice!$H$7-0.000000001,$B17&lt;=_slice!$I$7+0.000000001,IF(01_因子設定!$B$20="Box-Behnken",R$13^2+$B17^2+_slice!$H$8&lt;=2+0.000000001,TRUE())),_slice!R68,"外")</f>
        <v>49.4501436781609</v>
      </c>
      <c r="S17" s="50" t="n">
        <f aca="false">IF(AND(_slice!$H$5=1,S$13&gt;=_slice!$H$6-0.000000001,S$13&lt;=_slice!$I$6+0.000000001,$B17&gt;=_slice!$H$7-0.000000001,$B17&lt;=_slice!$I$7+0.000000001,IF(01_因子設定!$B$20="Box-Behnken",S$13^2+$B17^2+_slice!$H$8&lt;=2+0.000000001,TRUE())),_slice!S68,"外")</f>
        <v>49.4020689655172</v>
      </c>
      <c r="T17" s="50" t="n">
        <f aca="false">IF(AND(_slice!$H$5=1,T$13&gt;=_slice!$H$6-0.000000001,T$13&lt;=_slice!$I$6+0.000000001,$B17&gt;=_slice!$H$7-0.000000001,$B17&lt;=_slice!$I$7+0.000000001,IF(01_因子設定!$B$20="Box-Behnken",T$13^2+$B17^2+_slice!$H$8&lt;=2+0.000000001,TRUE())),_slice!T68,"外")</f>
        <v>49.299132183908</v>
      </c>
      <c r="U17" s="50" t="n">
        <f aca="false">IF(AND(_slice!$H$5=1,U$13&gt;=_slice!$H$6-0.000000001,U$13&lt;=_slice!$I$6+0.000000001,$B17&gt;=_slice!$H$7-0.000000001,$B17&lt;=_slice!$I$7+0.000000001,IF(01_因子設定!$B$20="Box-Behnken",U$13^2+$B17^2+_slice!$H$8&lt;=2+0.000000001,TRUE())),_slice!U68,"外")</f>
        <v>49.1413333333333</v>
      </c>
      <c r="V17" s="50" t="n">
        <f aca="false">IF(AND(_slice!$H$5=1,V$13&gt;=_slice!$H$6-0.000000001,V$13&lt;=_slice!$I$6+0.000000001,$B17&gt;=_slice!$H$7-0.000000001,$B17&lt;=_slice!$I$7+0.000000001,IF(01_因子設定!$B$20="Box-Behnken",V$13^2+$B17^2+_slice!$H$8&lt;=2+0.000000001,TRUE())),_slice!V68,"外")</f>
        <v>48.9286724137931</v>
      </c>
      <c r="W17" s="50" t="n">
        <f aca="false">IF(AND(_slice!$H$5=1,W$13&gt;=_slice!$H$6-0.000000001,W$13&lt;=_slice!$I$6+0.000000001,$B17&gt;=_slice!$H$7-0.000000001,$B17&lt;=_slice!$I$7+0.000000001,IF(01_因子設定!$B$20="Box-Behnken",W$13^2+$B17^2+_slice!$H$8&lt;=2+0.000000001,TRUE())),_slice!W68,"外")</f>
        <v>48.6611494252873</v>
      </c>
    </row>
    <row r="18" customFormat="false" ht="15" hidden="false" customHeight="false" outlineLevel="0" collapsed="false">
      <c r="A18" s="49" t="n">
        <f aca="false">INDEX(01_因子設定!$G$5:$G$6,$C$5)+B18*INDEX(01_因子設定!$H$5:$H$6,$C$5)</f>
        <v>37</v>
      </c>
      <c r="B18" s="49" t="n">
        <v>0.7</v>
      </c>
      <c r="C18" s="50" t="n">
        <f aca="false">IF(AND(_slice!$H$5=1,C$13&gt;=_slice!$H$6-0.000000001,C$13&lt;=_slice!$I$6+0.000000001,$B18&gt;=_slice!$H$7-0.000000001,$B18&lt;=_slice!$I$7+0.000000001,IF(01_因子設定!$B$20="Box-Behnken",C$13^2+$B18^2+_slice!$H$8&lt;=2+0.000000001,TRUE())),_slice!C69,"外")</f>
        <v>43.6467816091954</v>
      </c>
      <c r="D18" s="50" t="n">
        <f aca="false">IF(AND(_slice!$H$5=1,D$13&gt;=_slice!$H$6-0.000000001,D$13&lt;=_slice!$I$6+0.000000001,$B18&gt;=_slice!$H$7-0.000000001,$B18&lt;=_slice!$I$7+0.000000001,IF(01_因子設定!$B$20="Box-Behnken",D$13^2+$B18^2+_slice!$H$8&lt;=2+0.000000001,TRUE())),_slice!D69,"外")</f>
        <v>44.4163879310345</v>
      </c>
      <c r="E18" s="50" t="n">
        <f aca="false">IF(AND(_slice!$H$5=1,E$13&gt;=_slice!$H$6-0.000000001,E$13&lt;=_slice!$I$6+0.000000001,$B18&gt;=_slice!$H$7-0.000000001,$B18&lt;=_slice!$I$7+0.000000001,IF(01_因子設定!$B$20="Box-Behnken",E$13^2+$B18^2+_slice!$H$8&lt;=2+0.000000001,TRUE())),_slice!E69,"外")</f>
        <v>45.131132183908</v>
      </c>
      <c r="F18" s="50" t="n">
        <f aca="false">IF(AND(_slice!$H$5=1,F$13&gt;=_slice!$H$6-0.000000001,F$13&lt;=_slice!$I$6+0.000000001,$B18&gt;=_slice!$H$7-0.000000001,$B18&lt;=_slice!$I$7+0.000000001,IF(01_因子設定!$B$20="Box-Behnken",F$13^2+$B18^2+_slice!$H$8&lt;=2+0.000000001,TRUE())),_slice!F69,"外")</f>
        <v>45.7910143678161</v>
      </c>
      <c r="G18" s="50" t="n">
        <f aca="false">IF(AND(_slice!$H$5=1,G$13&gt;=_slice!$H$6-0.000000001,G$13&lt;=_slice!$I$6+0.000000001,$B18&gt;=_slice!$H$7-0.000000001,$B18&lt;=_slice!$I$7+0.000000001,IF(01_因子設定!$B$20="Box-Behnken",G$13^2+$B18^2+_slice!$H$8&lt;=2+0.000000001,TRUE())),_slice!G69,"外")</f>
        <v>46.3960344827586</v>
      </c>
      <c r="H18" s="50" t="n">
        <f aca="false">IF(AND(_slice!$H$5=1,H$13&gt;=_slice!$H$6-0.000000001,H$13&lt;=_slice!$I$6+0.000000001,$B18&gt;=_slice!$H$7-0.000000001,$B18&lt;=_slice!$I$7+0.000000001,IF(01_因子設定!$B$20="Box-Behnken",H$13^2+$B18^2+_slice!$H$8&lt;=2+0.000000001,TRUE())),_slice!H69,"外")</f>
        <v>46.9461925287356</v>
      </c>
      <c r="I18" s="50" t="n">
        <f aca="false">IF(AND(_slice!$H$5=1,I$13&gt;=_slice!$H$6-0.000000001,I$13&lt;=_slice!$I$6+0.000000001,$B18&gt;=_slice!$H$7-0.000000001,$B18&lt;=_slice!$I$7+0.000000001,IF(01_因子設定!$B$20="Box-Behnken",I$13^2+$B18^2+_slice!$H$8&lt;=2+0.000000001,TRUE())),_slice!I69,"外")</f>
        <v>47.4414885057471</v>
      </c>
      <c r="J18" s="50" t="n">
        <f aca="false">IF(AND(_slice!$H$5=1,J$13&gt;=_slice!$H$6-0.000000001,J$13&lt;=_slice!$I$6+0.000000001,$B18&gt;=_slice!$H$7-0.000000001,$B18&lt;=_slice!$I$7+0.000000001,IF(01_因子設定!$B$20="Box-Behnken",J$13^2+$B18^2+_slice!$H$8&lt;=2+0.000000001,TRUE())),_slice!J69,"外")</f>
        <v>47.8819224137931</v>
      </c>
      <c r="K18" s="50" t="n">
        <f aca="false">IF(AND(_slice!$H$5=1,K$13&gt;=_slice!$H$6-0.000000001,K$13&lt;=_slice!$I$6+0.000000001,$B18&gt;=_slice!$H$7-0.000000001,$B18&lt;=_slice!$I$7+0.000000001,IF(01_因子設定!$B$20="Box-Behnken",K$13^2+$B18^2+_slice!$H$8&lt;=2+0.000000001,TRUE())),_slice!K69,"外")</f>
        <v>48.2674942528736</v>
      </c>
      <c r="L18" s="50" t="n">
        <f aca="false">IF(AND(_slice!$H$5=1,L$13&gt;=_slice!$H$6-0.000000001,L$13&lt;=_slice!$I$6+0.000000001,$B18&gt;=_slice!$H$7-0.000000001,$B18&lt;=_slice!$I$7+0.000000001,IF(01_因子設定!$B$20="Box-Behnken",L$13^2+$B18^2+_slice!$H$8&lt;=2+0.000000001,TRUE())),_slice!L69,"外")</f>
        <v>48.5982040229885</v>
      </c>
      <c r="M18" s="50" t="n">
        <f aca="false">IF(AND(_slice!$H$5=1,M$13&gt;=_slice!$H$6-0.000000001,M$13&lt;=_slice!$I$6+0.000000001,$B18&gt;=_slice!$H$7-0.000000001,$B18&lt;=_slice!$I$7+0.000000001,IF(01_因子設定!$B$20="Box-Behnken",M$13^2+$B18^2+_slice!$H$8&lt;=2+0.000000001,TRUE())),_slice!M69,"外")</f>
        <v>48.8740517241379</v>
      </c>
      <c r="N18" s="50" t="n">
        <f aca="false">IF(AND(_slice!$H$5=1,N$13&gt;=_slice!$H$6-0.000000001,N$13&lt;=_slice!$I$6+0.000000001,$B18&gt;=_slice!$H$7-0.000000001,$B18&lt;=_slice!$I$7+0.000000001,IF(01_因子設定!$B$20="Box-Behnken",N$13^2+$B18^2+_slice!$H$8&lt;=2+0.000000001,TRUE())),_slice!N69,"外")</f>
        <v>49.0950373563218</v>
      </c>
      <c r="O18" s="50" t="n">
        <f aca="false">IF(AND(_slice!$H$5=1,O$13&gt;=_slice!$H$6-0.000000001,O$13&lt;=_slice!$I$6+0.000000001,$B18&gt;=_slice!$H$7-0.000000001,$B18&lt;=_slice!$I$7+0.000000001,IF(01_因子設定!$B$20="Box-Behnken",O$13^2+$B18^2+_slice!$H$8&lt;=2+0.000000001,TRUE())),_slice!O69,"外")</f>
        <v>49.2611609195402</v>
      </c>
      <c r="P18" s="50" t="n">
        <f aca="false">IF(AND(_slice!$H$5=1,P$13&gt;=_slice!$H$6-0.000000001,P$13&lt;=_slice!$I$6+0.000000001,$B18&gt;=_slice!$H$7-0.000000001,$B18&lt;=_slice!$I$7+0.000000001,IF(01_因子設定!$B$20="Box-Behnken",P$13^2+$B18^2+_slice!$H$8&lt;=2+0.000000001,TRUE())),_slice!P69,"外")</f>
        <v>49.3724224137931</v>
      </c>
      <c r="Q18" s="50" t="n">
        <f aca="false">IF(AND(_slice!$H$5=1,Q$13&gt;=_slice!$H$6-0.000000001,Q$13&lt;=_slice!$I$6+0.000000001,$B18&gt;=_slice!$H$7-0.000000001,$B18&lt;=_slice!$I$7+0.000000001,IF(01_因子設定!$B$20="Box-Behnken",Q$13^2+$B18^2+_slice!$H$8&lt;=2+0.000000001,TRUE())),_slice!Q69,"外")</f>
        <v>49.4288218390805</v>
      </c>
      <c r="R18" s="50" t="n">
        <f aca="false">IF(AND(_slice!$H$5=1,R$13&gt;=_slice!$H$6-0.000000001,R$13&lt;=_slice!$I$6+0.000000001,$B18&gt;=_slice!$H$7-0.000000001,$B18&lt;=_slice!$I$7+0.000000001,IF(01_因子設定!$B$20="Box-Behnken",R$13^2+$B18^2+_slice!$H$8&lt;=2+0.000000001,TRUE())),_slice!R69,"外")</f>
        <v>49.4303591954023</v>
      </c>
      <c r="S18" s="50" t="n">
        <f aca="false">IF(AND(_slice!$H$5=1,S$13&gt;=_slice!$H$6-0.000000001,S$13&lt;=_slice!$I$6+0.000000001,$B18&gt;=_slice!$H$7-0.000000001,$B18&lt;=_slice!$I$7+0.000000001,IF(01_因子設定!$B$20="Box-Behnken",S$13^2+$B18^2+_slice!$H$8&lt;=2+0.000000001,TRUE())),_slice!S69,"外")</f>
        <v>49.3770344827586</v>
      </c>
      <c r="T18" s="50" t="n">
        <f aca="false">IF(AND(_slice!$H$5=1,T$13&gt;=_slice!$H$6-0.000000001,T$13&lt;=_slice!$I$6+0.000000001,$B18&gt;=_slice!$H$7-0.000000001,$B18&lt;=_slice!$I$7+0.000000001,IF(01_因子設定!$B$20="Box-Behnken",T$13^2+$B18^2+_slice!$H$8&lt;=2+0.000000001,TRUE())),_slice!T69,"外")</f>
        <v>49.2688477011494</v>
      </c>
      <c r="U18" s="50" t="n">
        <f aca="false">IF(AND(_slice!$H$5=1,U$13&gt;=_slice!$H$6-0.000000001,U$13&lt;=_slice!$I$6+0.000000001,$B18&gt;=_slice!$H$7-0.000000001,$B18&lt;=_slice!$I$7+0.000000001,IF(01_因子設定!$B$20="Box-Behnken",U$13^2+$B18^2+_slice!$H$8&lt;=2+0.000000001,TRUE())),_slice!U69,"外")</f>
        <v>49.1057988505747</v>
      </c>
      <c r="V18" s="50" t="n">
        <f aca="false">IF(AND(_slice!$H$5=1,V$13&gt;=_slice!$H$6-0.000000001,V$13&lt;=_slice!$I$6+0.000000001,$B18&gt;=_slice!$H$7-0.000000001,$B18&lt;=_slice!$I$7+0.000000001,IF(01_因子設定!$B$20="Box-Behnken",V$13^2+$B18^2+_slice!$H$8&lt;=2+0.000000001,TRUE())),_slice!V69,"外")</f>
        <v>48.8878879310345</v>
      </c>
      <c r="W18" s="50" t="n">
        <f aca="false">IF(AND(_slice!$H$5=1,W$13&gt;=_slice!$H$6-0.000000001,W$13&lt;=_slice!$I$6+0.000000001,$B18&gt;=_slice!$H$7-0.000000001,$B18&lt;=_slice!$I$7+0.000000001,IF(01_因子設定!$B$20="Box-Behnken",W$13^2+$B18^2+_slice!$H$8&lt;=2+0.000000001,TRUE())),_slice!W69,"外")</f>
        <v>48.6151149425287</v>
      </c>
    </row>
    <row r="19" customFormat="false" ht="15" hidden="false" customHeight="false" outlineLevel="0" collapsed="false">
      <c r="A19" s="49" t="n">
        <f aca="false">INDEX(01_因子設定!$G$5:$G$6,$C$5)+B19*INDEX(01_因子設定!$H$5:$H$6,$C$5)</f>
        <v>36</v>
      </c>
      <c r="B19" s="49" t="n">
        <v>0.6</v>
      </c>
      <c r="C19" s="50" t="n">
        <f aca="false">IF(AND(_slice!$H$5=1,C$13&gt;=_slice!$H$6-0.000000001,C$13&lt;=_slice!$I$6+0.000000001,$B19&gt;=_slice!$H$7-0.000000001,$B19&lt;=_slice!$I$7+0.000000001,IF(01_因子設定!$B$20="Box-Behnken",C$13^2+$B19^2+_slice!$H$8&lt;=2+0.000000001,TRUE())),_slice!C70,"外")</f>
        <v>43.6748850574713</v>
      </c>
      <c r="D19" s="50" t="n">
        <f aca="false">IF(AND(_slice!$H$5=1,D$13&gt;=_slice!$H$6-0.000000001,D$13&lt;=_slice!$I$6+0.000000001,$B19&gt;=_slice!$H$7-0.000000001,$B19&lt;=_slice!$I$7+0.000000001,IF(01_因子設定!$B$20="Box-Behnken",D$13^2+$B19^2+_slice!$H$8&lt;=2+0.000000001,TRUE())),_slice!D70,"外")</f>
        <v>44.4392413793103</v>
      </c>
      <c r="E19" s="50" t="n">
        <f aca="false">IF(AND(_slice!$H$5=1,E$13&gt;=_slice!$H$6-0.000000001,E$13&lt;=_slice!$I$6+0.000000001,$B19&gt;=_slice!$H$7-0.000000001,$B19&lt;=_slice!$I$7+0.000000001,IF(01_因子設定!$B$20="Box-Behnken",E$13^2+$B19^2+_slice!$H$8&lt;=2+0.000000001,TRUE())),_slice!E70,"外")</f>
        <v>45.1487356321839</v>
      </c>
      <c r="F19" s="50" t="n">
        <f aca="false">IF(AND(_slice!$H$5=1,F$13&gt;=_slice!$H$6-0.000000001,F$13&lt;=_slice!$I$6+0.000000001,$B19&gt;=_slice!$H$7-0.000000001,$B19&lt;=_slice!$I$7+0.000000001,IF(01_因子設定!$B$20="Box-Behnken",F$13^2+$B19^2+_slice!$H$8&lt;=2+0.000000001,TRUE())),_slice!F70,"外")</f>
        <v>45.8033678160919</v>
      </c>
      <c r="G19" s="50" t="n">
        <f aca="false">IF(AND(_slice!$H$5=1,G$13&gt;=_slice!$H$6-0.000000001,G$13&lt;=_slice!$I$6+0.000000001,$B19&gt;=_slice!$H$7-0.000000001,$B19&lt;=_slice!$I$7+0.000000001,IF(01_因子設定!$B$20="Box-Behnken",G$13^2+$B19^2+_slice!$H$8&lt;=2+0.000000001,TRUE())),_slice!G70,"外")</f>
        <v>46.4031379310345</v>
      </c>
      <c r="H19" s="50" t="n">
        <f aca="false">IF(AND(_slice!$H$5=1,H$13&gt;=_slice!$H$6-0.000000001,H$13&lt;=_slice!$I$6+0.000000001,$B19&gt;=_slice!$H$7-0.000000001,$B19&lt;=_slice!$I$7+0.000000001,IF(01_因子設定!$B$20="Box-Behnken",H$13^2+$B19^2+_slice!$H$8&lt;=2+0.000000001,TRUE())),_slice!H70,"外")</f>
        <v>46.9480459770115</v>
      </c>
      <c r="I19" s="50" t="n">
        <f aca="false">IF(AND(_slice!$H$5=1,I$13&gt;=_slice!$H$6-0.000000001,I$13&lt;=_slice!$I$6+0.000000001,$B19&gt;=_slice!$H$7-0.000000001,$B19&lt;=_slice!$I$7+0.000000001,IF(01_因子設定!$B$20="Box-Behnken",I$13^2+$B19^2+_slice!$H$8&lt;=2+0.000000001,TRUE())),_slice!I70,"外")</f>
        <v>47.438091954023</v>
      </c>
      <c r="J19" s="50" t="n">
        <f aca="false">IF(AND(_slice!$H$5=1,J$13&gt;=_slice!$H$6-0.000000001,J$13&lt;=_slice!$I$6+0.000000001,$B19&gt;=_slice!$H$7-0.000000001,$B19&lt;=_slice!$I$7+0.000000001,IF(01_因子設定!$B$20="Box-Behnken",J$13^2+$B19^2+_slice!$H$8&lt;=2+0.000000001,TRUE())),_slice!J70,"外")</f>
        <v>47.873275862069</v>
      </c>
      <c r="K19" s="50" t="n">
        <f aca="false">IF(AND(_slice!$H$5=1,K$13&gt;=_slice!$H$6-0.000000001,K$13&lt;=_slice!$I$6+0.000000001,$B19&gt;=_slice!$H$7-0.000000001,$B19&lt;=_slice!$I$7+0.000000001,IF(01_因子設定!$B$20="Box-Behnken",K$13^2+$B19^2+_slice!$H$8&lt;=2+0.000000001,TRUE())),_slice!K70,"外")</f>
        <v>48.2535977011494</v>
      </c>
      <c r="L19" s="50" t="n">
        <f aca="false">IF(AND(_slice!$H$5=1,L$13&gt;=_slice!$H$6-0.000000001,L$13&lt;=_slice!$I$6+0.000000001,$B19&gt;=_slice!$H$7-0.000000001,$B19&lt;=_slice!$I$7+0.000000001,IF(01_因子設定!$B$20="Box-Behnken",L$13^2+$B19^2+_slice!$H$8&lt;=2+0.000000001,TRUE())),_slice!L70,"外")</f>
        <v>48.5790574712644</v>
      </c>
      <c r="M19" s="50" t="n">
        <f aca="false">IF(AND(_slice!$H$5=1,M$13&gt;=_slice!$H$6-0.000000001,M$13&lt;=_slice!$I$6+0.000000001,$B19&gt;=_slice!$H$7-0.000000001,$B19&lt;=_slice!$I$7+0.000000001,IF(01_因子設定!$B$20="Box-Behnken",M$13^2+$B19^2+_slice!$H$8&lt;=2+0.000000001,TRUE())),_slice!M70,"外")</f>
        <v>48.8496551724138</v>
      </c>
      <c r="N19" s="50" t="n">
        <f aca="false">IF(AND(_slice!$H$5=1,N$13&gt;=_slice!$H$6-0.000000001,N$13&lt;=_slice!$I$6+0.000000001,$B19&gt;=_slice!$H$7-0.000000001,$B19&lt;=_slice!$I$7+0.000000001,IF(01_因子設定!$B$20="Box-Behnken",N$13^2+$B19^2+_slice!$H$8&lt;=2+0.000000001,TRUE())),_slice!N70,"外")</f>
        <v>49.0653908045977</v>
      </c>
      <c r="O19" s="50" t="n">
        <f aca="false">IF(AND(_slice!$H$5=1,O$13&gt;=_slice!$H$6-0.000000001,O$13&lt;=_slice!$I$6+0.000000001,$B19&gt;=_slice!$H$7-0.000000001,$B19&lt;=_slice!$I$7+0.000000001,IF(01_因子設定!$B$20="Box-Behnken",O$13^2+$B19^2+_slice!$H$8&lt;=2+0.000000001,TRUE())),_slice!O70,"外")</f>
        <v>49.2262643678161</v>
      </c>
      <c r="P19" s="50" t="n">
        <f aca="false">IF(AND(_slice!$H$5=1,P$13&gt;=_slice!$H$6-0.000000001,P$13&lt;=_slice!$I$6+0.000000001,$B19&gt;=_slice!$H$7-0.000000001,$B19&lt;=_slice!$I$7+0.000000001,IF(01_因子設定!$B$20="Box-Behnken",P$13^2+$B19^2+_slice!$H$8&lt;=2+0.000000001,TRUE())),_slice!P70,"外")</f>
        <v>49.332275862069</v>
      </c>
      <c r="Q19" s="50" t="n">
        <f aca="false">IF(AND(_slice!$H$5=1,Q$13&gt;=_slice!$H$6-0.000000001,Q$13&lt;=_slice!$I$6+0.000000001,$B19&gt;=_slice!$H$7-0.000000001,$B19&lt;=_slice!$I$7+0.000000001,IF(01_因子設定!$B$20="Box-Behnken",Q$13^2+$B19^2+_slice!$H$8&lt;=2+0.000000001,TRUE())),_slice!Q70,"外")</f>
        <v>49.3834252873563</v>
      </c>
      <c r="R19" s="50" t="n">
        <f aca="false">IF(AND(_slice!$H$5=1,R$13&gt;=_slice!$H$6-0.000000001,R$13&lt;=_slice!$I$6+0.000000001,$B19&gt;=_slice!$H$7-0.000000001,$B19&lt;=_slice!$I$7+0.000000001,IF(01_因子設定!$B$20="Box-Behnken",R$13^2+$B19^2+_slice!$H$8&lt;=2+0.000000001,TRUE())),_slice!R70,"外")</f>
        <v>49.3797126436782</v>
      </c>
      <c r="S19" s="50" t="n">
        <f aca="false">IF(AND(_slice!$H$5=1,S$13&gt;=_slice!$H$6-0.000000001,S$13&lt;=_slice!$I$6+0.000000001,$B19&gt;=_slice!$H$7-0.000000001,$B19&lt;=_slice!$I$7+0.000000001,IF(01_因子設定!$B$20="Box-Behnken",S$13^2+$B19^2+_slice!$H$8&lt;=2+0.000000001,TRUE())),_slice!S70,"外")</f>
        <v>49.3211379310345</v>
      </c>
      <c r="T19" s="50" t="n">
        <f aca="false">IF(AND(_slice!$H$5=1,T$13&gt;=_slice!$H$6-0.000000001,T$13&lt;=_slice!$I$6+0.000000001,$B19&gt;=_slice!$H$7-0.000000001,$B19&lt;=_slice!$I$7+0.000000001,IF(01_因子設定!$B$20="Box-Behnken",T$13^2+$B19^2+_slice!$H$8&lt;=2+0.000000001,TRUE())),_slice!T70,"外")</f>
        <v>49.2077011494253</v>
      </c>
      <c r="U19" s="50" t="n">
        <f aca="false">IF(AND(_slice!$H$5=1,U$13&gt;=_slice!$H$6-0.000000001,U$13&lt;=_slice!$I$6+0.000000001,$B19&gt;=_slice!$H$7-0.000000001,$B19&lt;=_slice!$I$7+0.000000001,IF(01_因子設定!$B$20="Box-Behnken",U$13^2+$B19^2+_slice!$H$8&lt;=2+0.000000001,TRUE())),_slice!U70,"外")</f>
        <v>49.0394022988506</v>
      </c>
      <c r="V19" s="50" t="n">
        <f aca="false">IF(AND(_slice!$H$5=1,V$13&gt;=_slice!$H$6-0.000000001,V$13&lt;=_slice!$I$6+0.000000001,$B19&gt;=_slice!$H$7-0.000000001,$B19&lt;=_slice!$I$7+0.000000001,IF(01_因子設定!$B$20="Box-Behnken",V$13^2+$B19^2+_slice!$H$8&lt;=2+0.000000001,TRUE())),_slice!V70,"外")</f>
        <v>48.8162413793103</v>
      </c>
      <c r="W19" s="50" t="n">
        <f aca="false">IF(AND(_slice!$H$5=1,W$13&gt;=_slice!$H$6-0.000000001,W$13&lt;=_slice!$I$6+0.000000001,$B19&gt;=_slice!$H$7-0.000000001,$B19&lt;=_slice!$I$7+0.000000001,IF(01_因子設定!$B$20="Box-Behnken",W$13^2+$B19^2+_slice!$H$8&lt;=2+0.000000001,TRUE())),_slice!W70,"外")</f>
        <v>48.5382183908046</v>
      </c>
    </row>
    <row r="20" customFormat="false" ht="15" hidden="false" customHeight="false" outlineLevel="0" collapsed="false">
      <c r="A20" s="49" t="n">
        <f aca="false">INDEX(01_因子設定!$G$5:$G$6,$C$5)+B20*INDEX(01_因子設定!$H$5:$H$6,$C$5)</f>
        <v>35</v>
      </c>
      <c r="B20" s="49" t="n">
        <v>0.5</v>
      </c>
      <c r="C20" s="50" t="n">
        <f aca="false">IF(AND(_slice!$H$5=1,C$13&gt;=_slice!$H$6-0.000000001,C$13&lt;=_slice!$I$6+0.000000001,$B20&gt;=_slice!$H$7-0.000000001,$B20&lt;=_slice!$I$7+0.000000001,IF(01_因子設定!$B$20="Box-Behnken",C$13^2+$B20^2+_slice!$H$8&lt;=2+0.000000001,TRUE())),_slice!C71,"外")</f>
        <v>43.6721264367816</v>
      </c>
      <c r="D20" s="50" t="n">
        <f aca="false">IF(AND(_slice!$H$5=1,D$13&gt;=_slice!$H$6-0.000000001,D$13&lt;=_slice!$I$6+0.000000001,$B20&gt;=_slice!$H$7-0.000000001,$B20&lt;=_slice!$I$7+0.000000001,IF(01_因子設定!$B$20="Box-Behnken",D$13^2+$B20^2+_slice!$H$8&lt;=2+0.000000001,TRUE())),_slice!D71,"外")</f>
        <v>44.4312327586207</v>
      </c>
      <c r="E20" s="50" t="n">
        <f aca="false">IF(AND(_slice!$H$5=1,E$13&gt;=_slice!$H$6-0.000000001,E$13&lt;=_slice!$I$6+0.000000001,$B20&gt;=_slice!$H$7-0.000000001,$B20&lt;=_slice!$I$7+0.000000001,IF(01_因子設定!$B$20="Box-Behnken",E$13^2+$B20^2+_slice!$H$8&lt;=2+0.000000001,TRUE())),_slice!E71,"外")</f>
        <v>45.1354770114942</v>
      </c>
      <c r="F20" s="50" t="n">
        <f aca="false">IF(AND(_slice!$H$5=1,F$13&gt;=_slice!$H$6-0.000000001,F$13&lt;=_slice!$I$6+0.000000001,$B20&gt;=_slice!$H$7-0.000000001,$B20&lt;=_slice!$I$7+0.000000001,IF(01_因子設定!$B$20="Box-Behnken",F$13^2+$B20^2+_slice!$H$8&lt;=2+0.000000001,TRUE())),_slice!F71,"外")</f>
        <v>45.7848591954023</v>
      </c>
      <c r="G20" s="50" t="n">
        <f aca="false">IF(AND(_slice!$H$5=1,G$13&gt;=_slice!$H$6-0.000000001,G$13&lt;=_slice!$I$6+0.000000001,$B20&gt;=_slice!$H$7-0.000000001,$B20&lt;=_slice!$I$7+0.000000001,IF(01_因子設定!$B$20="Box-Behnken",G$13^2+$B20^2+_slice!$H$8&lt;=2+0.000000001,TRUE())),_slice!G71,"外")</f>
        <v>46.3793793103448</v>
      </c>
      <c r="H20" s="50" t="n">
        <f aca="false">IF(AND(_slice!$H$5=1,H$13&gt;=_slice!$H$6-0.000000001,H$13&lt;=_slice!$I$6+0.000000001,$B20&gt;=_slice!$H$7-0.000000001,$B20&lt;=_slice!$I$7+0.000000001,IF(01_因子設定!$B$20="Box-Behnken",H$13^2+$B20^2+_slice!$H$8&lt;=2+0.000000001,TRUE())),_slice!H71,"外")</f>
        <v>46.9190373563218</v>
      </c>
      <c r="I20" s="50" t="n">
        <f aca="false">IF(AND(_slice!$H$5=1,I$13&gt;=_slice!$H$6-0.000000001,I$13&lt;=_slice!$I$6+0.000000001,$B20&gt;=_slice!$H$7-0.000000001,$B20&lt;=_slice!$I$7+0.000000001,IF(01_因子設定!$B$20="Box-Behnken",I$13^2+$B20^2+_slice!$H$8&lt;=2+0.000000001,TRUE())),_slice!I71,"外")</f>
        <v>47.4038333333333</v>
      </c>
      <c r="J20" s="50" t="n">
        <f aca="false">IF(AND(_slice!$H$5=1,J$13&gt;=_slice!$H$6-0.000000001,J$13&lt;=_slice!$I$6+0.000000001,$B20&gt;=_slice!$H$7-0.000000001,$B20&lt;=_slice!$I$7+0.000000001,IF(01_因子設定!$B$20="Box-Behnken",J$13^2+$B20^2+_slice!$H$8&lt;=2+0.000000001,TRUE())),_slice!J71,"外")</f>
        <v>47.8337672413793</v>
      </c>
      <c r="K20" s="50" t="n">
        <f aca="false">IF(AND(_slice!$H$5=1,K$13&gt;=_slice!$H$6-0.000000001,K$13&lt;=_slice!$I$6+0.000000001,$B20&gt;=_slice!$H$7-0.000000001,$B20&lt;=_slice!$I$7+0.000000001,IF(01_因子設定!$B$20="Box-Behnken",K$13^2+$B20^2+_slice!$H$8&lt;=2+0.000000001,TRUE())),_slice!K71,"外")</f>
        <v>48.2088390804598</v>
      </c>
      <c r="L20" s="50" t="n">
        <f aca="false">IF(AND(_slice!$H$5=1,L$13&gt;=_slice!$H$6-0.000000001,L$13&lt;=_slice!$I$6+0.000000001,$B20&gt;=_slice!$H$7-0.000000001,$B20&lt;=_slice!$I$7+0.000000001,IF(01_因子設定!$B$20="Box-Behnken",L$13^2+$B20^2+_slice!$H$8&lt;=2+0.000000001,TRUE())),_slice!L71,"外")</f>
        <v>48.5290488505747</v>
      </c>
      <c r="M20" s="50" t="n">
        <f aca="false">IF(AND(_slice!$H$5=1,M$13&gt;=_slice!$H$6-0.000000001,M$13&lt;=_slice!$I$6+0.000000001,$B20&gt;=_slice!$H$7-0.000000001,$B20&lt;=_slice!$I$7+0.000000001,IF(01_因子設定!$B$20="Box-Behnken",M$13^2+$B20^2+_slice!$H$8&lt;=2+0.000000001,TRUE())),_slice!M71,"外")</f>
        <v>48.7943965517241</v>
      </c>
      <c r="N20" s="50" t="n">
        <f aca="false">IF(AND(_slice!$H$5=1,N$13&gt;=_slice!$H$6-0.000000001,N$13&lt;=_slice!$I$6+0.000000001,$B20&gt;=_slice!$H$7-0.000000001,$B20&lt;=_slice!$I$7+0.000000001,IF(01_因子設定!$B$20="Box-Behnken",N$13^2+$B20^2+_slice!$H$8&lt;=2+0.000000001,TRUE())),_slice!N71,"外")</f>
        <v>49.004882183908</v>
      </c>
      <c r="O20" s="50" t="n">
        <f aca="false">IF(AND(_slice!$H$5=1,O$13&gt;=_slice!$H$6-0.000000001,O$13&lt;=_slice!$I$6+0.000000001,$B20&gt;=_slice!$H$7-0.000000001,$B20&lt;=_slice!$I$7+0.000000001,IF(01_因子設定!$B$20="Box-Behnken",O$13^2+$B20^2+_slice!$H$8&lt;=2+0.000000001,TRUE())),_slice!O71,"外")</f>
        <v>49.1605057471264</v>
      </c>
      <c r="P20" s="50" t="n">
        <f aca="false">IF(AND(_slice!$H$5=1,P$13&gt;=_slice!$H$6-0.000000001,P$13&lt;=_slice!$I$6+0.000000001,$B20&gt;=_slice!$H$7-0.000000001,$B20&lt;=_slice!$I$7+0.000000001,IF(01_因子設定!$B$20="Box-Behnken",P$13^2+$B20^2+_slice!$H$8&lt;=2+0.000000001,TRUE())),_slice!P71,"外")</f>
        <v>49.2612672413793</v>
      </c>
      <c r="Q20" s="50" t="n">
        <f aca="false">IF(AND(_slice!$H$5=1,Q$13&gt;=_slice!$H$6-0.000000001,Q$13&lt;=_slice!$I$6+0.000000001,$B20&gt;=_slice!$H$7-0.000000001,$B20&lt;=_slice!$I$7+0.000000001,IF(01_因子設定!$B$20="Box-Behnken",Q$13^2+$B20^2+_slice!$H$8&lt;=2+0.000000001,TRUE())),_slice!Q71,"外")</f>
        <v>49.3071666666667</v>
      </c>
      <c r="R20" s="50" t="n">
        <f aca="false">IF(AND(_slice!$H$5=1,R$13&gt;=_slice!$H$6-0.000000001,R$13&lt;=_slice!$I$6+0.000000001,$B20&gt;=_slice!$H$7-0.000000001,$B20&lt;=_slice!$I$7+0.000000001,IF(01_因子設定!$B$20="Box-Behnken",R$13^2+$B20^2+_slice!$H$8&lt;=2+0.000000001,TRUE())),_slice!R71,"外")</f>
        <v>49.2982040229885</v>
      </c>
      <c r="S20" s="50" t="n">
        <f aca="false">IF(AND(_slice!$H$5=1,S$13&gt;=_slice!$H$6-0.000000001,S$13&lt;=_slice!$I$6+0.000000001,$B20&gt;=_slice!$H$7-0.000000001,$B20&lt;=_slice!$I$7+0.000000001,IF(01_因子設定!$B$20="Box-Behnken",S$13^2+$B20^2+_slice!$H$8&lt;=2+0.000000001,TRUE())),_slice!S71,"外")</f>
        <v>49.2343793103448</v>
      </c>
      <c r="T20" s="50" t="n">
        <f aca="false">IF(AND(_slice!$H$5=1,T$13&gt;=_slice!$H$6-0.000000001,T$13&lt;=_slice!$I$6+0.000000001,$B20&gt;=_slice!$H$7-0.000000001,$B20&lt;=_slice!$I$7+0.000000001,IF(01_因子設定!$B$20="Box-Behnken",T$13^2+$B20^2+_slice!$H$8&lt;=2+0.000000001,TRUE())),_slice!T71,"外")</f>
        <v>49.1156925287356</v>
      </c>
      <c r="U20" s="50" t="n">
        <f aca="false">IF(AND(_slice!$H$5=1,U$13&gt;=_slice!$H$6-0.000000001,U$13&lt;=_slice!$I$6+0.000000001,$B20&gt;=_slice!$H$7-0.000000001,$B20&lt;=_slice!$I$7+0.000000001,IF(01_因子設定!$B$20="Box-Behnken",U$13^2+$B20^2+_slice!$H$8&lt;=2+0.000000001,TRUE())),_slice!U71,"外")</f>
        <v>48.9421436781609</v>
      </c>
      <c r="V20" s="50" t="n">
        <f aca="false">IF(AND(_slice!$H$5=1,V$13&gt;=_slice!$H$6-0.000000001,V$13&lt;=_slice!$I$6+0.000000001,$B20&gt;=_slice!$H$7-0.000000001,$B20&lt;=_slice!$I$7+0.000000001,IF(01_因子設定!$B$20="Box-Behnken",V$13^2+$B20^2+_slice!$H$8&lt;=2+0.000000001,TRUE())),_slice!V71,"外")</f>
        <v>48.7137327586207</v>
      </c>
      <c r="W20" s="50" t="n">
        <f aca="false">IF(AND(_slice!$H$5=1,W$13&gt;=_slice!$H$6-0.000000001,W$13&lt;=_slice!$I$6+0.000000001,$B20&gt;=_slice!$H$7-0.000000001,$B20&lt;=_slice!$I$7+0.000000001,IF(01_因子設定!$B$20="Box-Behnken",W$13^2+$B20^2+_slice!$H$8&lt;=2+0.000000001,TRUE())),_slice!W71,"外")</f>
        <v>48.4304597701149</v>
      </c>
    </row>
    <row r="21" customFormat="false" ht="15" hidden="false" customHeight="false" outlineLevel="0" collapsed="false">
      <c r="A21" s="49" t="n">
        <f aca="false">INDEX(01_因子設定!$G$5:$G$6,$C$5)+B21*INDEX(01_因子設定!$H$5:$H$6,$C$5)</f>
        <v>34</v>
      </c>
      <c r="B21" s="49" t="n">
        <v>0.4</v>
      </c>
      <c r="C21" s="50" t="n">
        <f aca="false">IF(AND(_slice!$H$5=1,C$13&gt;=_slice!$H$6-0.000000001,C$13&lt;=_slice!$I$6+0.000000001,$B21&gt;=_slice!$H$7-0.000000001,$B21&lt;=_slice!$I$7+0.000000001,IF(01_因子設定!$B$20="Box-Behnken",C$13^2+$B21^2+_slice!$H$8&lt;=2+0.000000001,TRUE())),_slice!C72,"外")</f>
        <v>43.6385057471264</v>
      </c>
      <c r="D21" s="50" t="n">
        <f aca="false">IF(AND(_slice!$H$5=1,D$13&gt;=_slice!$H$6-0.000000001,D$13&lt;=_slice!$I$6+0.000000001,$B21&gt;=_slice!$H$7-0.000000001,$B21&lt;=_slice!$I$7+0.000000001,IF(01_因子設定!$B$20="Box-Behnken",D$13^2+$B21^2+_slice!$H$8&lt;=2+0.000000001,TRUE())),_slice!D72,"外")</f>
        <v>44.3923620689655</v>
      </c>
      <c r="E21" s="50" t="n">
        <f aca="false">IF(AND(_slice!$H$5=1,E$13&gt;=_slice!$H$6-0.000000001,E$13&lt;=_slice!$I$6+0.000000001,$B21&gt;=_slice!$H$7-0.000000001,$B21&lt;=_slice!$I$7+0.000000001,IF(01_因子設定!$B$20="Box-Behnken",E$13^2+$B21^2+_slice!$H$8&lt;=2+0.000000001,TRUE())),_slice!E72,"外")</f>
        <v>45.0913563218391</v>
      </c>
      <c r="F21" s="50" t="n">
        <f aca="false">IF(AND(_slice!$H$5=1,F$13&gt;=_slice!$H$6-0.000000001,F$13&lt;=_slice!$I$6+0.000000001,$B21&gt;=_slice!$H$7-0.000000001,$B21&lt;=_slice!$I$7+0.000000001,IF(01_因子設定!$B$20="Box-Behnken",F$13^2+$B21^2+_slice!$H$8&lt;=2+0.000000001,TRUE())),_slice!F72,"外")</f>
        <v>45.7354885057471</v>
      </c>
      <c r="G21" s="50" t="n">
        <f aca="false">IF(AND(_slice!$H$5=1,G$13&gt;=_slice!$H$6-0.000000001,G$13&lt;=_slice!$I$6+0.000000001,$B21&gt;=_slice!$H$7-0.000000001,$B21&lt;=_slice!$I$7+0.000000001,IF(01_因子設定!$B$20="Box-Behnken",G$13^2+$B21^2+_slice!$H$8&lt;=2+0.000000001,TRUE())),_slice!G72,"外")</f>
        <v>46.3247586206897</v>
      </c>
      <c r="H21" s="50" t="n">
        <f aca="false">IF(AND(_slice!$H$5=1,H$13&gt;=_slice!$H$6-0.000000001,H$13&lt;=_slice!$I$6+0.000000001,$B21&gt;=_slice!$H$7-0.000000001,$B21&lt;=_slice!$I$7+0.000000001,IF(01_因子設定!$B$20="Box-Behnken",H$13^2+$B21^2+_slice!$H$8&lt;=2+0.000000001,TRUE())),_slice!H72,"外")</f>
        <v>46.8591666666667</v>
      </c>
      <c r="I21" s="50" t="n">
        <f aca="false">IF(AND(_slice!$H$5=1,I$13&gt;=_slice!$H$6-0.000000001,I$13&lt;=_slice!$I$6+0.000000001,$B21&gt;=_slice!$H$7-0.000000001,$B21&lt;=_slice!$I$7+0.000000001,IF(01_因子設定!$B$20="Box-Behnken",I$13^2+$B21^2+_slice!$H$8&lt;=2+0.000000001,TRUE())),_slice!I72,"外")</f>
        <v>47.3387126436782</v>
      </c>
      <c r="J21" s="50" t="n">
        <f aca="false">IF(AND(_slice!$H$5=1,J$13&gt;=_slice!$H$6-0.000000001,J$13&lt;=_slice!$I$6+0.000000001,$B21&gt;=_slice!$H$7-0.000000001,$B21&lt;=_slice!$I$7+0.000000001,IF(01_因子設定!$B$20="Box-Behnken",J$13^2+$B21^2+_slice!$H$8&lt;=2+0.000000001,TRUE())),_slice!J72,"外")</f>
        <v>47.7633965517241</v>
      </c>
      <c r="K21" s="50" t="n">
        <f aca="false">IF(AND(_slice!$H$5=1,K$13&gt;=_slice!$H$6-0.000000001,K$13&lt;=_slice!$I$6+0.000000001,$B21&gt;=_slice!$H$7-0.000000001,$B21&lt;=_slice!$I$7+0.000000001,IF(01_因子設定!$B$20="Box-Behnken",K$13^2+$B21^2+_slice!$H$8&lt;=2+0.000000001,TRUE())),_slice!K72,"外")</f>
        <v>48.1332183908046</v>
      </c>
      <c r="L21" s="50" t="n">
        <f aca="false">IF(AND(_slice!$H$5=1,L$13&gt;=_slice!$H$6-0.000000001,L$13&lt;=_slice!$I$6+0.000000001,$B21&gt;=_slice!$H$7-0.000000001,$B21&lt;=_slice!$I$7+0.000000001,IF(01_因子設定!$B$20="Box-Behnken",L$13^2+$B21^2+_slice!$H$8&lt;=2+0.000000001,TRUE())),_slice!L72,"外")</f>
        <v>48.4481781609195</v>
      </c>
      <c r="M21" s="50" t="n">
        <f aca="false">IF(AND(_slice!$H$5=1,M$13&gt;=_slice!$H$6-0.000000001,M$13&lt;=_slice!$I$6+0.000000001,$B21&gt;=_slice!$H$7-0.000000001,$B21&lt;=_slice!$I$7+0.000000001,IF(01_因子設定!$B$20="Box-Behnken",M$13^2+$B21^2+_slice!$H$8&lt;=2+0.000000001,TRUE())),_slice!M72,"外")</f>
        <v>48.708275862069</v>
      </c>
      <c r="N21" s="50" t="n">
        <f aca="false">IF(AND(_slice!$H$5=1,N$13&gt;=_slice!$H$6-0.000000001,N$13&lt;=_slice!$I$6+0.000000001,$B21&gt;=_slice!$H$7-0.000000001,$B21&lt;=_slice!$I$7+0.000000001,IF(01_因子設定!$B$20="Box-Behnken",N$13^2+$B21^2+_slice!$H$8&lt;=2+0.000000001,TRUE())),_slice!N72,"外")</f>
        <v>48.9135114942529</v>
      </c>
      <c r="O21" s="50" t="n">
        <f aca="false">IF(AND(_slice!$H$5=1,O$13&gt;=_slice!$H$6-0.000000001,O$13&lt;=_slice!$I$6+0.000000001,$B21&gt;=_slice!$H$7-0.000000001,$B21&lt;=_slice!$I$7+0.000000001,IF(01_因子設定!$B$20="Box-Behnken",O$13^2+$B21^2+_slice!$H$8&lt;=2+0.000000001,TRUE())),_slice!O72,"外")</f>
        <v>49.0638850574713</v>
      </c>
      <c r="P21" s="50" t="n">
        <f aca="false">IF(AND(_slice!$H$5=1,P$13&gt;=_slice!$H$6-0.000000001,P$13&lt;=_slice!$I$6+0.000000001,$B21&gt;=_slice!$H$7-0.000000001,$B21&lt;=_slice!$I$7+0.000000001,IF(01_因子設定!$B$20="Box-Behnken",P$13^2+$B21^2+_slice!$H$8&lt;=2+0.000000001,TRUE())),_slice!P72,"外")</f>
        <v>49.1593965517241</v>
      </c>
      <c r="Q21" s="50" t="n">
        <f aca="false">IF(AND(_slice!$H$5=1,Q$13&gt;=_slice!$H$6-0.000000001,Q$13&lt;=_slice!$I$6+0.000000001,$B21&gt;=_slice!$H$7-0.000000001,$B21&lt;=_slice!$I$7+0.000000001,IF(01_因子設定!$B$20="Box-Behnken",Q$13^2+$B21^2+_slice!$H$8&lt;=2+0.000000001,TRUE())),_slice!Q72,"外")</f>
        <v>49.2000459770115</v>
      </c>
      <c r="R21" s="50" t="n">
        <f aca="false">IF(AND(_slice!$H$5=1,R$13&gt;=_slice!$H$6-0.000000001,R$13&lt;=_slice!$I$6+0.000000001,$B21&gt;=_slice!$H$7-0.000000001,$B21&lt;=_slice!$I$7+0.000000001,IF(01_因子設定!$B$20="Box-Behnken",R$13^2+$B21^2+_slice!$H$8&lt;=2+0.000000001,TRUE())),_slice!R72,"外")</f>
        <v>49.1858333333333</v>
      </c>
      <c r="S21" s="50" t="n">
        <f aca="false">IF(AND(_slice!$H$5=1,S$13&gt;=_slice!$H$6-0.000000001,S$13&lt;=_slice!$I$6+0.000000001,$B21&gt;=_slice!$H$7-0.000000001,$B21&lt;=_slice!$I$7+0.000000001,IF(01_因子設定!$B$20="Box-Behnken",S$13^2+$B21^2+_slice!$H$8&lt;=2+0.000000001,TRUE())),_slice!S72,"外")</f>
        <v>49.1167586206897</v>
      </c>
      <c r="T21" s="50" t="n">
        <f aca="false">IF(AND(_slice!$H$5=1,T$13&gt;=_slice!$H$6-0.000000001,T$13&lt;=_slice!$I$6+0.000000001,$B21&gt;=_slice!$H$7-0.000000001,$B21&lt;=_slice!$I$7+0.000000001,IF(01_因子設定!$B$20="Box-Behnken",T$13^2+$B21^2+_slice!$H$8&lt;=2+0.000000001,TRUE())),_slice!T72,"外")</f>
        <v>48.9928218390805</v>
      </c>
      <c r="U21" s="50" t="n">
        <f aca="false">IF(AND(_slice!$H$5=1,U$13&gt;=_slice!$H$6-0.000000001,U$13&lt;=_slice!$I$6+0.000000001,$B21&gt;=_slice!$H$7-0.000000001,$B21&lt;=_slice!$I$7+0.000000001,IF(01_因子設定!$B$20="Box-Behnken",U$13^2+$B21^2+_slice!$H$8&lt;=2+0.000000001,TRUE())),_slice!U72,"外")</f>
        <v>48.8140229885057</v>
      </c>
      <c r="V21" s="50" t="n">
        <f aca="false">IF(AND(_slice!$H$5=1,V$13&gt;=_slice!$H$6-0.000000001,V$13&lt;=_slice!$I$6+0.000000001,$B21&gt;=_slice!$H$7-0.000000001,$B21&lt;=_slice!$I$7+0.000000001,IF(01_因子設定!$B$20="Box-Behnken",V$13^2+$B21^2+_slice!$H$8&lt;=2+0.000000001,TRUE())),_slice!V72,"外")</f>
        <v>48.5803620689655</v>
      </c>
      <c r="W21" s="50" t="n">
        <f aca="false">IF(AND(_slice!$H$5=1,W$13&gt;=_slice!$H$6-0.000000001,W$13&lt;=_slice!$I$6+0.000000001,$B21&gt;=_slice!$H$7-0.000000001,$B21&lt;=_slice!$I$7+0.000000001,IF(01_因子設定!$B$20="Box-Behnken",W$13^2+$B21^2+_slice!$H$8&lt;=2+0.000000001,TRUE())),_slice!W72,"外")</f>
        <v>48.2918390804598</v>
      </c>
    </row>
    <row r="22" customFormat="false" ht="15" hidden="false" customHeight="false" outlineLevel="0" collapsed="false">
      <c r="A22" s="49" t="n">
        <f aca="false">INDEX(01_因子設定!$G$5:$G$6,$C$5)+B22*INDEX(01_因子設定!$H$5:$H$6,$C$5)</f>
        <v>33</v>
      </c>
      <c r="B22" s="49" t="n">
        <v>0.3</v>
      </c>
      <c r="C22" s="50" t="n">
        <f aca="false">IF(AND(_slice!$H$5=1,C$13&gt;=_slice!$H$6-0.000000001,C$13&lt;=_slice!$I$6+0.000000001,$B22&gt;=_slice!$H$7-0.000000001,$B22&lt;=_slice!$I$7+0.000000001,IF(01_因子設定!$B$20="Box-Behnken",C$13^2+$B22^2+_slice!$H$8&lt;=2+0.000000001,TRUE())),_slice!C73,"外")</f>
        <v>43.5740229885057</v>
      </c>
      <c r="D22" s="50" t="n">
        <f aca="false">IF(AND(_slice!$H$5=1,D$13&gt;=_slice!$H$6-0.000000001,D$13&lt;=_slice!$I$6+0.000000001,$B22&gt;=_slice!$H$7-0.000000001,$B22&lt;=_slice!$I$7+0.000000001,IF(01_因子設定!$B$20="Box-Behnken",D$13^2+$B22^2+_slice!$H$8&lt;=2+0.000000001,TRUE())),_slice!D73,"外")</f>
        <v>44.3226293103448</v>
      </c>
      <c r="E22" s="50" t="n">
        <f aca="false">IF(AND(_slice!$H$5=1,E$13&gt;=_slice!$H$6-0.000000001,E$13&lt;=_slice!$I$6+0.000000001,$B22&gt;=_slice!$H$7-0.000000001,$B22&lt;=_slice!$I$7+0.000000001,IF(01_因子設定!$B$20="Box-Behnken",E$13^2+$B22^2+_slice!$H$8&lt;=2+0.000000001,TRUE())),_slice!E73,"外")</f>
        <v>45.0163735632184</v>
      </c>
      <c r="F22" s="50" t="n">
        <f aca="false">IF(AND(_slice!$H$5=1,F$13&gt;=_slice!$H$6-0.000000001,F$13&lt;=_slice!$I$6+0.000000001,$B22&gt;=_slice!$H$7-0.000000001,$B22&lt;=_slice!$I$7+0.000000001,IF(01_因子設定!$B$20="Box-Behnken",F$13^2+$B22^2+_slice!$H$8&lt;=2+0.000000001,TRUE())),_slice!F73,"外")</f>
        <v>45.6552557471264</v>
      </c>
      <c r="G22" s="50" t="n">
        <f aca="false">IF(AND(_slice!$H$5=1,G$13&gt;=_slice!$H$6-0.000000001,G$13&lt;=_slice!$I$6+0.000000001,$B22&gt;=_slice!$H$7-0.000000001,$B22&lt;=_slice!$I$7+0.000000001,IF(01_因子設定!$B$20="Box-Behnken",G$13^2+$B22^2+_slice!$H$8&lt;=2+0.000000001,TRUE())),_slice!G73,"外")</f>
        <v>46.239275862069</v>
      </c>
      <c r="H22" s="50" t="n">
        <f aca="false">IF(AND(_slice!$H$5=1,H$13&gt;=_slice!$H$6-0.000000001,H$13&lt;=_slice!$I$6+0.000000001,$B22&gt;=_slice!$H$7-0.000000001,$B22&lt;=_slice!$I$7+0.000000001,IF(01_因子設定!$B$20="Box-Behnken",H$13^2+$B22^2+_slice!$H$8&lt;=2+0.000000001,TRUE())),_slice!H73,"外")</f>
        <v>46.768433908046</v>
      </c>
      <c r="I22" s="50" t="n">
        <f aca="false">IF(AND(_slice!$H$5=1,I$13&gt;=_slice!$H$6-0.000000001,I$13&lt;=_slice!$I$6+0.000000001,$B22&gt;=_slice!$H$7-0.000000001,$B22&lt;=_slice!$I$7+0.000000001,IF(01_因子設定!$B$20="Box-Behnken",I$13^2+$B22^2+_slice!$H$8&lt;=2+0.000000001,TRUE())),_slice!I73,"外")</f>
        <v>47.2427298850575</v>
      </c>
      <c r="J22" s="50" t="n">
        <f aca="false">IF(AND(_slice!$H$5=1,J$13&gt;=_slice!$H$6-0.000000001,J$13&lt;=_slice!$I$6+0.000000001,$B22&gt;=_slice!$H$7-0.000000001,$B22&lt;=_slice!$I$7+0.000000001,IF(01_因子設定!$B$20="Box-Behnken",J$13^2+$B22^2+_slice!$H$8&lt;=2+0.000000001,TRUE())),_slice!J73,"外")</f>
        <v>47.6621637931034</v>
      </c>
      <c r="K22" s="50" t="n">
        <f aca="false">IF(AND(_slice!$H$5=1,K$13&gt;=_slice!$H$6-0.000000001,K$13&lt;=_slice!$I$6+0.000000001,$B22&gt;=_slice!$H$7-0.000000001,$B22&lt;=_slice!$I$7+0.000000001,IF(01_因子設定!$B$20="Box-Behnken",K$13^2+$B22^2+_slice!$H$8&lt;=2+0.000000001,TRUE())),_slice!K73,"外")</f>
        <v>48.0267356321839</v>
      </c>
      <c r="L22" s="50" t="n">
        <f aca="false">IF(AND(_slice!$H$5=1,L$13&gt;=_slice!$H$6-0.000000001,L$13&lt;=_slice!$I$6+0.000000001,$B22&gt;=_slice!$H$7-0.000000001,$B22&lt;=_slice!$I$7+0.000000001,IF(01_因子設定!$B$20="Box-Behnken",L$13^2+$B22^2+_slice!$H$8&lt;=2+0.000000001,TRUE())),_slice!L73,"外")</f>
        <v>48.3364454022989</v>
      </c>
      <c r="M22" s="50" t="n">
        <f aca="false">IF(AND(_slice!$H$5=1,M$13&gt;=_slice!$H$6-0.000000001,M$13&lt;=_slice!$I$6+0.000000001,$B22&gt;=_slice!$H$7-0.000000001,$B22&lt;=_slice!$I$7+0.000000001,IF(01_因子設定!$B$20="Box-Behnken",M$13^2+$B22^2+_slice!$H$8&lt;=2+0.000000001,TRUE())),_slice!M73,"外")</f>
        <v>48.5912931034483</v>
      </c>
      <c r="N22" s="50" t="n">
        <f aca="false">IF(AND(_slice!$H$5=1,N$13&gt;=_slice!$H$6-0.000000001,N$13&lt;=_slice!$I$6+0.000000001,$B22&gt;=_slice!$H$7-0.000000001,$B22&lt;=_slice!$I$7+0.000000001,IF(01_因子設定!$B$20="Box-Behnken",N$13^2+$B22^2+_slice!$H$8&lt;=2+0.000000001,TRUE())),_slice!N73,"外")</f>
        <v>48.7912787356322</v>
      </c>
      <c r="O22" s="50" t="n">
        <f aca="false">IF(AND(_slice!$H$5=1,O$13&gt;=_slice!$H$6-0.000000001,O$13&lt;=_slice!$I$6+0.000000001,$B22&gt;=_slice!$H$7-0.000000001,$B22&lt;=_slice!$I$7+0.000000001,IF(01_因子設定!$B$20="Box-Behnken",O$13^2+$B22^2+_slice!$H$8&lt;=2+0.000000001,TRUE())),_slice!O73,"外")</f>
        <v>48.9364022988506</v>
      </c>
      <c r="P22" s="50" t="n">
        <f aca="false">IF(AND(_slice!$H$5=1,P$13&gt;=_slice!$H$6-0.000000001,P$13&lt;=_slice!$I$6+0.000000001,$B22&gt;=_slice!$H$7-0.000000001,$B22&lt;=_slice!$I$7+0.000000001,IF(01_因子設定!$B$20="Box-Behnken",P$13^2+$B22^2+_slice!$H$8&lt;=2+0.000000001,TRUE())),_slice!P73,"外")</f>
        <v>49.0266637931034</v>
      </c>
      <c r="Q22" s="50" t="n">
        <f aca="false">IF(AND(_slice!$H$5=1,Q$13&gt;=_slice!$H$6-0.000000001,Q$13&lt;=_slice!$I$6+0.000000001,$B22&gt;=_slice!$H$7-0.000000001,$B22&lt;=_slice!$I$7+0.000000001,IF(01_因子設定!$B$20="Box-Behnken",Q$13^2+$B22^2+_slice!$H$8&lt;=2+0.000000001,TRUE())),_slice!Q73,"外")</f>
        <v>49.0620632183908</v>
      </c>
      <c r="R22" s="50" t="n">
        <f aca="false">IF(AND(_slice!$H$5=1,R$13&gt;=_slice!$H$6-0.000000001,R$13&lt;=_slice!$I$6+0.000000001,$B22&gt;=_slice!$H$7-0.000000001,$B22&lt;=_slice!$I$7+0.000000001,IF(01_因子設定!$B$20="Box-Behnken",R$13^2+$B22^2+_slice!$H$8&lt;=2+0.000000001,TRUE())),_slice!R73,"外")</f>
        <v>49.0426005747126</v>
      </c>
      <c r="S22" s="50" t="n">
        <f aca="false">IF(AND(_slice!$H$5=1,S$13&gt;=_slice!$H$6-0.000000001,S$13&lt;=_slice!$I$6+0.000000001,$B22&gt;=_slice!$H$7-0.000000001,$B22&lt;=_slice!$I$7+0.000000001,IF(01_因子設定!$B$20="Box-Behnken",S$13^2+$B22^2+_slice!$H$8&lt;=2+0.000000001,TRUE())),_slice!S73,"外")</f>
        <v>48.968275862069</v>
      </c>
      <c r="T22" s="50" t="n">
        <f aca="false">IF(AND(_slice!$H$5=1,T$13&gt;=_slice!$H$6-0.000000001,T$13&lt;=_slice!$I$6+0.000000001,$B22&gt;=_slice!$H$7-0.000000001,$B22&lt;=_slice!$I$7+0.000000001,IF(01_因子設定!$B$20="Box-Behnken",T$13^2+$B22^2+_slice!$H$8&lt;=2+0.000000001,TRUE())),_slice!T73,"外")</f>
        <v>48.8390890804598</v>
      </c>
      <c r="U22" s="50" t="n">
        <f aca="false">IF(AND(_slice!$H$5=1,U$13&gt;=_slice!$H$6-0.000000001,U$13&lt;=_slice!$I$6+0.000000001,$B22&gt;=_slice!$H$7-0.000000001,$B22&lt;=_slice!$I$7+0.000000001,IF(01_因子設定!$B$20="Box-Behnken",U$13^2+$B22^2+_slice!$H$8&lt;=2+0.000000001,TRUE())),_slice!U73,"外")</f>
        <v>48.655040229885</v>
      </c>
      <c r="V22" s="50" t="n">
        <f aca="false">IF(AND(_slice!$H$5=1,V$13&gt;=_slice!$H$6-0.000000001,V$13&lt;=_slice!$I$6+0.000000001,$B22&gt;=_slice!$H$7-0.000000001,$B22&lt;=_slice!$I$7+0.000000001,IF(01_因子設定!$B$20="Box-Behnken",V$13^2+$B22^2+_slice!$H$8&lt;=2+0.000000001,TRUE())),_slice!V73,"外")</f>
        <v>48.4161293103448</v>
      </c>
      <c r="W22" s="50" t="n">
        <f aca="false">IF(AND(_slice!$H$5=1,W$13&gt;=_slice!$H$6-0.000000001,W$13&lt;=_slice!$I$6+0.000000001,$B22&gt;=_slice!$H$7-0.000000001,$B22&lt;=_slice!$I$7+0.000000001,IF(01_因子設定!$B$20="Box-Behnken",W$13^2+$B22^2+_slice!$H$8&lt;=2+0.000000001,TRUE())),_slice!W73,"外")</f>
        <v>48.1223563218391</v>
      </c>
    </row>
    <row r="23" customFormat="false" ht="15" hidden="false" customHeight="false" outlineLevel="0" collapsed="false">
      <c r="A23" s="49" t="n">
        <f aca="false">INDEX(01_因子設定!$G$5:$G$6,$C$5)+B23*INDEX(01_因子設定!$H$5:$H$6,$C$5)</f>
        <v>32</v>
      </c>
      <c r="B23" s="49" t="n">
        <v>0.2</v>
      </c>
      <c r="C23" s="50" t="n">
        <f aca="false">IF(AND(_slice!$H$5=1,C$13&gt;=_slice!$H$6-0.000000001,C$13&lt;=_slice!$I$6+0.000000001,$B23&gt;=_slice!$H$7-0.000000001,$B23&lt;=_slice!$I$7+0.000000001,IF(01_因子設定!$B$20="Box-Behnken",C$13^2+$B23^2+_slice!$H$8&lt;=2+0.000000001,TRUE())),_slice!C74,"外")</f>
        <v>43.4786781609195</v>
      </c>
      <c r="D23" s="50" t="n">
        <f aca="false">IF(AND(_slice!$H$5=1,D$13&gt;=_slice!$H$6-0.000000001,D$13&lt;=_slice!$I$6+0.000000001,$B23&gt;=_slice!$H$7-0.000000001,$B23&lt;=_slice!$I$7+0.000000001,IF(01_因子設定!$B$20="Box-Behnken",D$13^2+$B23^2+_slice!$H$8&lt;=2+0.000000001,TRUE())),_slice!D74,"外")</f>
        <v>44.2220344827586</v>
      </c>
      <c r="E23" s="50" t="n">
        <f aca="false">IF(AND(_slice!$H$5=1,E$13&gt;=_slice!$H$6-0.000000001,E$13&lt;=_slice!$I$6+0.000000001,$B23&gt;=_slice!$H$7-0.000000001,$B23&lt;=_slice!$I$7+0.000000001,IF(01_因子設定!$B$20="Box-Behnken",E$13^2+$B23^2+_slice!$H$8&lt;=2+0.000000001,TRUE())),_slice!E74,"外")</f>
        <v>44.9105287356322</v>
      </c>
      <c r="F23" s="50" t="n">
        <f aca="false">IF(AND(_slice!$H$5=1,F$13&gt;=_slice!$H$6-0.000000001,F$13&lt;=_slice!$I$6+0.000000001,$B23&gt;=_slice!$H$7-0.000000001,$B23&lt;=_slice!$I$7+0.000000001,IF(01_因子設定!$B$20="Box-Behnken",F$13^2+$B23^2+_slice!$H$8&lt;=2+0.000000001,TRUE())),_slice!F74,"外")</f>
        <v>45.5441609195402</v>
      </c>
      <c r="G23" s="50" t="n">
        <f aca="false">IF(AND(_slice!$H$5=1,G$13&gt;=_slice!$H$6-0.000000001,G$13&lt;=_slice!$I$6+0.000000001,$B23&gt;=_slice!$H$7-0.000000001,$B23&lt;=_slice!$I$7+0.000000001,IF(01_因子設定!$B$20="Box-Behnken",G$13^2+$B23^2+_slice!$H$8&lt;=2+0.000000001,TRUE())),_slice!G74,"外")</f>
        <v>46.1229310344828</v>
      </c>
      <c r="H23" s="50" t="n">
        <f aca="false">IF(AND(_slice!$H$5=1,H$13&gt;=_slice!$H$6-0.000000001,H$13&lt;=_slice!$I$6+0.000000001,$B23&gt;=_slice!$H$7-0.000000001,$B23&lt;=_slice!$I$7+0.000000001,IF(01_因子設定!$B$20="Box-Behnken",H$13^2+$B23^2+_slice!$H$8&lt;=2+0.000000001,TRUE())),_slice!H74,"外")</f>
        <v>46.6468390804598</v>
      </c>
      <c r="I23" s="50" t="n">
        <f aca="false">IF(AND(_slice!$H$5=1,I$13&gt;=_slice!$H$6-0.000000001,I$13&lt;=_slice!$I$6+0.000000001,$B23&gt;=_slice!$H$7-0.000000001,$B23&lt;=_slice!$I$7+0.000000001,IF(01_因子設定!$B$20="Box-Behnken",I$13^2+$B23^2+_slice!$H$8&lt;=2+0.000000001,TRUE())),_slice!I74,"外")</f>
        <v>47.1158850574713</v>
      </c>
      <c r="J23" s="50" t="n">
        <f aca="false">IF(AND(_slice!$H$5=1,J$13&gt;=_slice!$H$6-0.000000001,J$13&lt;=_slice!$I$6+0.000000001,$B23&gt;=_slice!$H$7-0.000000001,$B23&lt;=_slice!$I$7+0.000000001,IF(01_因子設定!$B$20="Box-Behnken",J$13^2+$B23^2+_slice!$H$8&lt;=2+0.000000001,TRUE())),_slice!J74,"外")</f>
        <v>47.5300689655172</v>
      </c>
      <c r="K23" s="50" t="n">
        <f aca="false">IF(AND(_slice!$H$5=1,K$13&gt;=_slice!$H$6-0.000000001,K$13&lt;=_slice!$I$6+0.000000001,$B23&gt;=_slice!$H$7-0.000000001,$B23&lt;=_slice!$I$7+0.000000001,IF(01_因子設定!$B$20="Box-Behnken",K$13^2+$B23^2+_slice!$H$8&lt;=2+0.000000001,TRUE())),_slice!K74,"外")</f>
        <v>47.8893908045977</v>
      </c>
      <c r="L23" s="50" t="n">
        <f aca="false">IF(AND(_slice!$H$5=1,L$13&gt;=_slice!$H$6-0.000000001,L$13&lt;=_slice!$I$6+0.000000001,$B23&gt;=_slice!$H$7-0.000000001,$B23&lt;=_slice!$I$7+0.000000001,IF(01_因子設定!$B$20="Box-Behnken",L$13^2+$B23^2+_slice!$H$8&lt;=2+0.000000001,TRUE())),_slice!L74,"外")</f>
        <v>48.1938505747126</v>
      </c>
      <c r="M23" s="50" t="n">
        <f aca="false">IF(AND(_slice!$H$5=1,M$13&gt;=_slice!$H$6-0.000000001,M$13&lt;=_slice!$I$6+0.000000001,$B23&gt;=_slice!$H$7-0.000000001,$B23&lt;=_slice!$I$7+0.000000001,IF(01_因子設定!$B$20="Box-Behnken",M$13^2+$B23^2+_slice!$H$8&lt;=2+0.000000001,TRUE())),_slice!M74,"外")</f>
        <v>48.4434482758621</v>
      </c>
      <c r="N23" s="50" t="n">
        <f aca="false">IF(AND(_slice!$H$5=1,N$13&gt;=_slice!$H$6-0.000000001,N$13&lt;=_slice!$I$6+0.000000001,$B23&gt;=_slice!$H$7-0.000000001,$B23&lt;=_slice!$I$7+0.000000001,IF(01_因子設定!$B$20="Box-Behnken",N$13^2+$B23^2+_slice!$H$8&lt;=2+0.000000001,TRUE())),_slice!N74,"外")</f>
        <v>48.638183908046</v>
      </c>
      <c r="O23" s="50" t="n">
        <f aca="false">IF(AND(_slice!$H$5=1,O$13&gt;=_slice!$H$6-0.000000001,O$13&lt;=_slice!$I$6+0.000000001,$B23&gt;=_slice!$H$7-0.000000001,$B23&lt;=_slice!$I$7+0.000000001,IF(01_因子設定!$B$20="Box-Behnken",O$13^2+$B23^2+_slice!$H$8&lt;=2+0.000000001,TRUE())),_slice!O74,"外")</f>
        <v>48.7780574712644</v>
      </c>
      <c r="P23" s="50" t="n">
        <f aca="false">IF(AND(_slice!$H$5=1,P$13&gt;=_slice!$H$6-0.000000001,P$13&lt;=_slice!$I$6+0.000000001,$B23&gt;=_slice!$H$7-0.000000001,$B23&lt;=_slice!$I$7+0.000000001,IF(01_因子設定!$B$20="Box-Behnken",P$13^2+$B23^2+_slice!$H$8&lt;=2+0.000000001,TRUE())),_slice!P74,"外")</f>
        <v>48.8630689655172</v>
      </c>
      <c r="Q23" s="50" t="n">
        <f aca="false">IF(AND(_slice!$H$5=1,Q$13&gt;=_slice!$H$6-0.000000001,Q$13&lt;=_slice!$I$6+0.000000001,$B23&gt;=_slice!$H$7-0.000000001,$B23&lt;=_slice!$I$7+0.000000001,IF(01_因子設定!$B$20="Box-Behnken",Q$13^2+$B23^2+_slice!$H$8&lt;=2+0.000000001,TRUE())),_slice!Q74,"外")</f>
        <v>48.8932183908046</v>
      </c>
      <c r="R23" s="50" t="n">
        <f aca="false">IF(AND(_slice!$H$5=1,R$13&gt;=_slice!$H$6-0.000000001,R$13&lt;=_slice!$I$6+0.000000001,$B23&gt;=_slice!$H$7-0.000000001,$B23&lt;=_slice!$I$7+0.000000001,IF(01_因子設定!$B$20="Box-Behnken",R$13^2+$B23^2+_slice!$H$8&lt;=2+0.000000001,TRUE())),_slice!R74,"外")</f>
        <v>48.8685057471264</v>
      </c>
      <c r="S23" s="50" t="n">
        <f aca="false">IF(AND(_slice!$H$5=1,S$13&gt;=_slice!$H$6-0.000000001,S$13&lt;=_slice!$I$6+0.000000001,$B23&gt;=_slice!$H$7-0.000000001,$B23&lt;=_slice!$I$7+0.000000001,IF(01_因子設定!$B$20="Box-Behnken",S$13^2+$B23^2+_slice!$H$8&lt;=2+0.000000001,TRUE())),_slice!S74,"外")</f>
        <v>48.7889310344828</v>
      </c>
      <c r="T23" s="50" t="n">
        <f aca="false">IF(AND(_slice!$H$5=1,T$13&gt;=_slice!$H$6-0.000000001,T$13&lt;=_slice!$I$6+0.000000001,$B23&gt;=_slice!$H$7-0.000000001,$B23&lt;=_slice!$I$7+0.000000001,IF(01_因子設定!$B$20="Box-Behnken",T$13^2+$B23^2+_slice!$H$8&lt;=2+0.000000001,TRUE())),_slice!T74,"外")</f>
        <v>48.6544942528736</v>
      </c>
      <c r="U23" s="50" t="n">
        <f aca="false">IF(AND(_slice!$H$5=1,U$13&gt;=_slice!$H$6-0.000000001,U$13&lt;=_slice!$I$6+0.000000001,$B23&gt;=_slice!$H$7-0.000000001,$B23&lt;=_slice!$I$7+0.000000001,IF(01_因子設定!$B$20="Box-Behnken",U$13^2+$B23^2+_slice!$H$8&lt;=2+0.000000001,TRUE())),_slice!U74,"外")</f>
        <v>48.4651954022988</v>
      </c>
      <c r="V23" s="50" t="n">
        <f aca="false">IF(AND(_slice!$H$5=1,V$13&gt;=_slice!$H$6-0.000000001,V$13&lt;=_slice!$I$6+0.000000001,$B23&gt;=_slice!$H$7-0.000000001,$B23&lt;=_slice!$I$7+0.000000001,IF(01_因子設定!$B$20="Box-Behnken",V$13^2+$B23^2+_slice!$H$8&lt;=2+0.000000001,TRUE())),_slice!V74,"外")</f>
        <v>48.2210344827586</v>
      </c>
      <c r="W23" s="50" t="n">
        <f aca="false">IF(AND(_slice!$H$5=1,W$13&gt;=_slice!$H$6-0.000000001,W$13&lt;=_slice!$I$6+0.000000001,$B23&gt;=_slice!$H$7-0.000000001,$B23&lt;=_slice!$I$7+0.000000001,IF(01_因子設定!$B$20="Box-Behnken",W$13^2+$B23^2+_slice!$H$8&lt;=2+0.000000001,TRUE())),_slice!W74,"外")</f>
        <v>47.9220114942529</v>
      </c>
    </row>
    <row r="24" customFormat="false" ht="15" hidden="false" customHeight="false" outlineLevel="0" collapsed="false">
      <c r="A24" s="49" t="n">
        <f aca="false">INDEX(01_因子設定!$G$5:$G$6,$C$5)+B24*INDEX(01_因子設定!$H$5:$H$6,$C$5)</f>
        <v>31</v>
      </c>
      <c r="B24" s="49" t="n">
        <v>0.1</v>
      </c>
      <c r="C24" s="50" t="n">
        <f aca="false">IF(AND(_slice!$H$5=1,C$13&gt;=_slice!$H$6-0.000000001,C$13&lt;=_slice!$I$6+0.000000001,$B24&gt;=_slice!$H$7-0.000000001,$B24&lt;=_slice!$I$7+0.000000001,IF(01_因子設定!$B$20="Box-Behnken",C$13^2+$B24^2+_slice!$H$8&lt;=2+0.000000001,TRUE())),_slice!C75,"外")</f>
        <v>43.3524712643678</v>
      </c>
      <c r="D24" s="50" t="n">
        <f aca="false">IF(AND(_slice!$H$5=1,D$13&gt;=_slice!$H$6-0.000000001,D$13&lt;=_slice!$I$6+0.000000001,$B24&gt;=_slice!$H$7-0.000000001,$B24&lt;=_slice!$I$7+0.000000001,IF(01_因子設定!$B$20="Box-Behnken",D$13^2+$B24^2+_slice!$H$8&lt;=2+0.000000001,TRUE())),_slice!D75,"外")</f>
        <v>44.0905775862069</v>
      </c>
      <c r="E24" s="50" t="n">
        <f aca="false">IF(AND(_slice!$H$5=1,E$13&gt;=_slice!$H$6-0.000000001,E$13&lt;=_slice!$I$6+0.000000001,$B24&gt;=_slice!$H$7-0.000000001,$B24&lt;=_slice!$I$7+0.000000001,IF(01_因子設定!$B$20="Box-Behnken",E$13^2+$B24^2+_slice!$H$8&lt;=2+0.000000001,TRUE())),_slice!E75,"外")</f>
        <v>44.7738218390804</v>
      </c>
      <c r="F24" s="50" t="n">
        <f aca="false">IF(AND(_slice!$H$5=1,F$13&gt;=_slice!$H$6-0.000000001,F$13&lt;=_slice!$I$6+0.000000001,$B24&gt;=_slice!$H$7-0.000000001,$B24&lt;=_slice!$I$7+0.000000001,IF(01_因子設定!$B$20="Box-Behnken",F$13^2+$B24^2+_slice!$H$8&lt;=2+0.000000001,TRUE())),_slice!F75,"外")</f>
        <v>45.4022040229885</v>
      </c>
      <c r="G24" s="50" t="n">
        <f aca="false">IF(AND(_slice!$H$5=1,G$13&gt;=_slice!$H$6-0.000000001,G$13&lt;=_slice!$I$6+0.000000001,$B24&gt;=_slice!$H$7-0.000000001,$B24&lt;=_slice!$I$7+0.000000001,IF(01_因子設定!$B$20="Box-Behnken",G$13^2+$B24^2+_slice!$H$8&lt;=2+0.000000001,TRUE())),_slice!G75,"外")</f>
        <v>45.975724137931</v>
      </c>
      <c r="H24" s="50" t="n">
        <f aca="false">IF(AND(_slice!$H$5=1,H$13&gt;=_slice!$H$6-0.000000001,H$13&lt;=_slice!$I$6+0.000000001,$B24&gt;=_slice!$H$7-0.000000001,$B24&lt;=_slice!$I$7+0.000000001,IF(01_因子設定!$B$20="Box-Behnken",H$13^2+$B24^2+_slice!$H$8&lt;=2+0.000000001,TRUE())),_slice!H75,"外")</f>
        <v>46.494382183908</v>
      </c>
      <c r="I24" s="50" t="n">
        <f aca="false">IF(AND(_slice!$H$5=1,I$13&gt;=_slice!$H$6-0.000000001,I$13&lt;=_slice!$I$6+0.000000001,$B24&gt;=_slice!$H$7-0.000000001,$B24&lt;=_slice!$I$7+0.000000001,IF(01_因子設定!$B$20="Box-Behnken",I$13^2+$B24^2+_slice!$H$8&lt;=2+0.000000001,TRUE())),_slice!I75,"外")</f>
        <v>46.9581781609195</v>
      </c>
      <c r="J24" s="50" t="n">
        <f aca="false">IF(AND(_slice!$H$5=1,J$13&gt;=_slice!$H$6-0.000000001,J$13&lt;=_slice!$I$6+0.000000001,$B24&gt;=_slice!$H$7-0.000000001,$B24&lt;=_slice!$I$7+0.000000001,IF(01_因子設定!$B$20="Box-Behnken",J$13^2+$B24^2+_slice!$H$8&lt;=2+0.000000001,TRUE())),_slice!J75,"外")</f>
        <v>47.3671120689655</v>
      </c>
      <c r="K24" s="50" t="n">
        <f aca="false">IF(AND(_slice!$H$5=1,K$13&gt;=_slice!$H$6-0.000000001,K$13&lt;=_slice!$I$6+0.000000001,$B24&gt;=_slice!$H$7-0.000000001,$B24&lt;=_slice!$I$7+0.000000001,IF(01_因子設定!$B$20="Box-Behnken",K$13^2+$B24^2+_slice!$H$8&lt;=2+0.000000001,TRUE())),_slice!K75,"外")</f>
        <v>47.721183908046</v>
      </c>
      <c r="L24" s="50" t="n">
        <f aca="false">IF(AND(_slice!$H$5=1,L$13&gt;=_slice!$H$6-0.000000001,L$13&lt;=_slice!$I$6+0.000000001,$B24&gt;=_slice!$H$7-0.000000001,$B24&lt;=_slice!$I$7+0.000000001,IF(01_因子設定!$B$20="Box-Behnken",L$13^2+$B24^2+_slice!$H$8&lt;=2+0.000000001,TRUE())),_slice!L75,"外")</f>
        <v>48.0203936781609</v>
      </c>
      <c r="M24" s="50" t="n">
        <f aca="false">IF(AND(_slice!$H$5=1,M$13&gt;=_slice!$H$6-0.000000001,M$13&lt;=_slice!$I$6+0.000000001,$B24&gt;=_slice!$H$7-0.000000001,$B24&lt;=_slice!$I$7+0.000000001,IF(01_因子設定!$B$20="Box-Behnken",M$13^2+$B24^2+_slice!$H$8&lt;=2+0.000000001,TRUE())),_slice!M75,"外")</f>
        <v>48.2647413793103</v>
      </c>
      <c r="N24" s="50" t="n">
        <f aca="false">IF(AND(_slice!$H$5=1,N$13&gt;=_slice!$H$6-0.000000001,N$13&lt;=_slice!$I$6+0.000000001,$B24&gt;=_slice!$H$7-0.000000001,$B24&lt;=_slice!$I$7+0.000000001,IF(01_因子設定!$B$20="Box-Behnken",N$13^2+$B24^2+_slice!$H$8&lt;=2+0.000000001,TRUE())),_slice!N75,"外")</f>
        <v>48.4542270114943</v>
      </c>
      <c r="O24" s="50" t="n">
        <f aca="false">IF(AND(_slice!$H$5=1,O$13&gt;=_slice!$H$6-0.000000001,O$13&lt;=_slice!$I$6+0.000000001,$B24&gt;=_slice!$H$7-0.000000001,$B24&lt;=_slice!$I$7+0.000000001,IF(01_因子設定!$B$20="Box-Behnken",O$13^2+$B24^2+_slice!$H$8&lt;=2+0.000000001,TRUE())),_slice!O75,"外")</f>
        <v>48.5888505747126</v>
      </c>
      <c r="P24" s="50" t="n">
        <f aca="false">IF(AND(_slice!$H$5=1,P$13&gt;=_slice!$H$6-0.000000001,P$13&lt;=_slice!$I$6+0.000000001,$B24&gt;=_slice!$H$7-0.000000001,$B24&lt;=_slice!$I$7+0.000000001,IF(01_因子設定!$B$20="Box-Behnken",P$13^2+$B24^2+_slice!$H$8&lt;=2+0.000000001,TRUE())),_slice!P75,"外")</f>
        <v>48.6686120689655</v>
      </c>
      <c r="Q24" s="50" t="n">
        <f aca="false">IF(AND(_slice!$H$5=1,Q$13&gt;=_slice!$H$6-0.000000001,Q$13&lt;=_slice!$I$6+0.000000001,$B24&gt;=_slice!$H$7-0.000000001,$B24&lt;=_slice!$I$7+0.000000001,IF(01_因子設定!$B$20="Box-Behnken",Q$13^2+$B24^2+_slice!$H$8&lt;=2+0.000000001,TRUE())),_slice!Q75,"外")</f>
        <v>48.6935114942529</v>
      </c>
      <c r="R24" s="50" t="n">
        <f aca="false">IF(AND(_slice!$H$5=1,R$13&gt;=_slice!$H$6-0.000000001,R$13&lt;=_slice!$I$6+0.000000001,$B24&gt;=_slice!$H$7-0.000000001,$B24&lt;=_slice!$I$7+0.000000001,IF(01_因子設定!$B$20="Box-Behnken",R$13^2+$B24^2+_slice!$H$8&lt;=2+0.000000001,TRUE())),_slice!R75,"外")</f>
        <v>48.6635488505747</v>
      </c>
      <c r="S24" s="50" t="n">
        <f aca="false">IF(AND(_slice!$H$5=1,S$13&gt;=_slice!$H$6-0.000000001,S$13&lt;=_slice!$I$6+0.000000001,$B24&gt;=_slice!$H$7-0.000000001,$B24&lt;=_slice!$I$7+0.000000001,IF(01_因子設定!$B$20="Box-Behnken",S$13^2+$B24^2+_slice!$H$8&lt;=2+0.000000001,TRUE())),_slice!S75,"外")</f>
        <v>48.578724137931</v>
      </c>
      <c r="T24" s="50" t="n">
        <f aca="false">IF(AND(_slice!$H$5=1,T$13&gt;=_slice!$H$6-0.000000001,T$13&lt;=_slice!$I$6+0.000000001,$B24&gt;=_slice!$H$7-0.000000001,$B24&lt;=_slice!$I$7+0.000000001,IF(01_因子設定!$B$20="Box-Behnken",T$13^2+$B24^2+_slice!$H$8&lt;=2+0.000000001,TRUE())),_slice!T75,"外")</f>
        <v>48.4390373563218</v>
      </c>
      <c r="U24" s="50" t="n">
        <f aca="false">IF(AND(_slice!$H$5=1,U$13&gt;=_slice!$H$6-0.000000001,U$13&lt;=_slice!$I$6+0.000000001,$B24&gt;=_slice!$H$7-0.000000001,$B24&lt;=_slice!$I$7+0.000000001,IF(01_因子設定!$B$20="Box-Behnken",U$13^2+$B24^2+_slice!$H$8&lt;=2+0.000000001,TRUE())),_slice!U75,"外")</f>
        <v>48.2444885057471</v>
      </c>
      <c r="V24" s="50" t="n">
        <f aca="false">IF(AND(_slice!$H$5=1,V$13&gt;=_slice!$H$6-0.000000001,V$13&lt;=_slice!$I$6+0.000000001,$B24&gt;=_slice!$H$7-0.000000001,$B24&lt;=_slice!$I$7+0.000000001,IF(01_因子設定!$B$20="Box-Behnken",V$13^2+$B24^2+_slice!$H$8&lt;=2+0.000000001,TRUE())),_slice!V75,"外")</f>
        <v>47.9950775862069</v>
      </c>
      <c r="W24" s="50" t="n">
        <f aca="false">IF(AND(_slice!$H$5=1,W$13&gt;=_slice!$H$6-0.000000001,W$13&lt;=_slice!$I$6+0.000000001,$B24&gt;=_slice!$H$7-0.000000001,$B24&lt;=_slice!$I$7+0.000000001,IF(01_因子設定!$B$20="Box-Behnken",W$13^2+$B24^2+_slice!$H$8&lt;=2+0.000000001,TRUE())),_slice!W75,"外")</f>
        <v>47.6908045977011</v>
      </c>
    </row>
    <row r="25" customFormat="false" ht="15" hidden="false" customHeight="false" outlineLevel="0" collapsed="false">
      <c r="A25" s="49" t="n">
        <f aca="false">INDEX(01_因子設定!$G$5:$G$6,$C$5)+B25*INDEX(01_因子設定!$H$5:$H$6,$C$5)</f>
        <v>30</v>
      </c>
      <c r="B25" s="49" t="n">
        <v>0</v>
      </c>
      <c r="C25" s="50" t="n">
        <f aca="false">IF(AND(_slice!$H$5=1,C$13&gt;=_slice!$H$6-0.000000001,C$13&lt;=_slice!$I$6+0.000000001,$B25&gt;=_slice!$H$7-0.000000001,$B25&lt;=_slice!$I$7+0.000000001,IF(01_因子設定!$B$20="Box-Behnken",C$13^2+$B25^2+_slice!$H$8&lt;=2+0.000000001,TRUE())),_slice!C76,"外")</f>
        <v>43.1954022988506</v>
      </c>
      <c r="D25" s="50" t="n">
        <f aca="false">IF(AND(_slice!$H$5=1,D$13&gt;=_slice!$H$6-0.000000001,D$13&lt;=_slice!$I$6+0.000000001,$B25&gt;=_slice!$H$7-0.000000001,$B25&lt;=_slice!$I$7+0.000000001,IF(01_因子設定!$B$20="Box-Behnken",D$13^2+$B25^2+_slice!$H$8&lt;=2+0.000000001,TRUE())),_slice!D76,"外")</f>
        <v>43.9282586206896</v>
      </c>
      <c r="E25" s="50" t="n">
        <f aca="false">IF(AND(_slice!$H$5=1,E$13&gt;=_slice!$H$6-0.000000001,E$13&lt;=_slice!$I$6+0.000000001,$B25&gt;=_slice!$H$7-0.000000001,$B25&lt;=_slice!$I$7+0.000000001,IF(01_因子設定!$B$20="Box-Behnken",E$13^2+$B25^2+_slice!$H$8&lt;=2+0.000000001,TRUE())),_slice!E76,"外")</f>
        <v>44.6062528735632</v>
      </c>
      <c r="F25" s="50" t="n">
        <f aca="false">IF(AND(_slice!$H$5=1,F$13&gt;=_slice!$H$6-0.000000001,F$13&lt;=_slice!$I$6+0.000000001,$B25&gt;=_slice!$H$7-0.000000001,$B25&lt;=_slice!$I$7+0.000000001,IF(01_因子設定!$B$20="Box-Behnken",F$13^2+$B25^2+_slice!$H$8&lt;=2+0.000000001,TRUE())),_slice!F76,"外")</f>
        <v>45.2293850574713</v>
      </c>
      <c r="G25" s="50" t="n">
        <f aca="false">IF(AND(_slice!$H$5=1,G$13&gt;=_slice!$H$6-0.000000001,G$13&lt;=_slice!$I$6+0.000000001,$B25&gt;=_slice!$H$7-0.000000001,$B25&lt;=_slice!$I$7+0.000000001,IF(01_因子設定!$B$20="Box-Behnken",G$13^2+$B25^2+_slice!$H$8&lt;=2+0.000000001,TRUE())),_slice!G76,"外")</f>
        <v>45.7976551724138</v>
      </c>
      <c r="H25" s="50" t="n">
        <f aca="false">IF(AND(_slice!$H$5=1,H$13&gt;=_slice!$H$6-0.000000001,H$13&lt;=_slice!$I$6+0.000000001,$B25&gt;=_slice!$H$7-0.000000001,$B25&lt;=_slice!$I$7+0.000000001,IF(01_因子設定!$B$20="Box-Behnken",H$13^2+$B25^2+_slice!$H$8&lt;=2+0.000000001,TRUE())),_slice!H76,"外")</f>
        <v>46.3110632183908</v>
      </c>
      <c r="I25" s="50" t="n">
        <f aca="false">IF(AND(_slice!$H$5=1,I$13&gt;=_slice!$H$6-0.000000001,I$13&lt;=_slice!$I$6+0.000000001,$B25&gt;=_slice!$H$7-0.000000001,$B25&lt;=_slice!$I$7+0.000000001,IF(01_因子設定!$B$20="Box-Behnken",I$13^2+$B25^2+_slice!$H$8&lt;=2+0.000000001,TRUE())),_slice!I76,"外")</f>
        <v>46.7696091954023</v>
      </c>
      <c r="J25" s="50" t="n">
        <f aca="false">IF(AND(_slice!$H$5=1,J$13&gt;=_slice!$H$6-0.000000001,J$13&lt;=_slice!$I$6+0.000000001,$B25&gt;=_slice!$H$7-0.000000001,$B25&lt;=_slice!$I$7+0.000000001,IF(01_因子設定!$B$20="Box-Behnken",J$13^2+$B25^2+_slice!$H$8&lt;=2+0.000000001,TRUE())),_slice!J76,"外")</f>
        <v>47.1732931034483</v>
      </c>
      <c r="K25" s="50" t="n">
        <f aca="false">IF(AND(_slice!$H$5=1,K$13&gt;=_slice!$H$6-0.000000001,K$13&lt;=_slice!$I$6+0.000000001,$B25&gt;=_slice!$H$7-0.000000001,$B25&lt;=_slice!$I$7+0.000000001,IF(01_因子設定!$B$20="Box-Behnken",K$13^2+$B25^2+_slice!$H$8&lt;=2+0.000000001,TRUE())),_slice!K76,"外")</f>
        <v>47.5221149425287</v>
      </c>
      <c r="L25" s="50" t="n">
        <f aca="false">IF(AND(_slice!$H$5=1,L$13&gt;=_slice!$H$6-0.000000001,L$13&lt;=_slice!$I$6+0.000000001,$B25&gt;=_slice!$H$7-0.000000001,$B25&lt;=_slice!$I$7+0.000000001,IF(01_因子設定!$B$20="Box-Behnken",L$13^2+$B25^2+_slice!$H$8&lt;=2+0.000000001,TRUE())),_slice!L76,"外")</f>
        <v>47.8160747126437</v>
      </c>
      <c r="M25" s="50" t="n">
        <f aca="false">IF(AND(_slice!$H$5=1,M$13&gt;=_slice!$H$6-0.000000001,M$13&lt;=_slice!$I$6+0.000000001,$B25&gt;=_slice!$H$7-0.000000001,$B25&lt;=_slice!$I$7+0.000000001,IF(01_因子設定!$B$20="Box-Behnken",M$13^2+$B25^2+_slice!$H$8&lt;=2+0.000000001,TRUE())),_slice!M76,"外")</f>
        <v>48.0551724137931</v>
      </c>
      <c r="N25" s="50" t="n">
        <f aca="false">IF(AND(_slice!$H$5=1,N$13&gt;=_slice!$H$6-0.000000001,N$13&lt;=_slice!$I$6+0.000000001,$B25&gt;=_slice!$H$7-0.000000001,$B25&lt;=_slice!$I$7+0.000000001,IF(01_因子設定!$B$20="Box-Behnken",N$13^2+$B25^2+_slice!$H$8&lt;=2+0.000000001,TRUE())),_slice!N76,"外")</f>
        <v>48.239408045977</v>
      </c>
      <c r="O25" s="50" t="n">
        <f aca="false">IF(AND(_slice!$H$5=1,O$13&gt;=_slice!$H$6-0.000000001,O$13&lt;=_slice!$I$6+0.000000001,$B25&gt;=_slice!$H$7-0.000000001,$B25&lt;=_slice!$I$7+0.000000001,IF(01_因子設定!$B$20="Box-Behnken",O$13^2+$B25^2+_slice!$H$8&lt;=2+0.000000001,TRUE())),_slice!O76,"外")</f>
        <v>48.3687816091954</v>
      </c>
      <c r="P25" s="50" t="n">
        <f aca="false">IF(AND(_slice!$H$5=1,P$13&gt;=_slice!$H$6-0.000000001,P$13&lt;=_slice!$I$6+0.000000001,$B25&gt;=_slice!$H$7-0.000000001,$B25&lt;=_slice!$I$7+0.000000001,IF(01_因子設定!$B$20="Box-Behnken",P$13^2+$B25^2+_slice!$H$8&lt;=2+0.000000001,TRUE())),_slice!P76,"外")</f>
        <v>48.4432931034483</v>
      </c>
      <c r="Q25" s="50" t="n">
        <f aca="false">IF(AND(_slice!$H$5=1,Q$13&gt;=_slice!$H$6-0.000000001,Q$13&lt;=_slice!$I$6+0.000000001,$B25&gt;=_slice!$H$7-0.000000001,$B25&lt;=_slice!$I$7+0.000000001,IF(01_因子設定!$B$20="Box-Behnken",Q$13^2+$B25^2+_slice!$H$8&lt;=2+0.000000001,TRUE())),_slice!Q76,"外")</f>
        <v>48.4629425287356</v>
      </c>
      <c r="R25" s="50" t="n">
        <f aca="false">IF(AND(_slice!$H$5=1,R$13&gt;=_slice!$H$6-0.000000001,R$13&lt;=_slice!$I$6+0.000000001,$B25&gt;=_slice!$H$7-0.000000001,$B25&lt;=_slice!$I$7+0.000000001,IF(01_因子設定!$B$20="Box-Behnken",R$13^2+$B25^2+_slice!$H$8&lt;=2+0.000000001,TRUE())),_slice!R76,"外")</f>
        <v>48.4277298850575</v>
      </c>
      <c r="S25" s="50" t="n">
        <f aca="false">IF(AND(_slice!$H$5=1,S$13&gt;=_slice!$H$6-0.000000001,S$13&lt;=_slice!$I$6+0.000000001,$B25&gt;=_slice!$H$7-0.000000001,$B25&lt;=_slice!$I$7+0.000000001,IF(01_因子設定!$B$20="Box-Behnken",S$13^2+$B25^2+_slice!$H$8&lt;=2+0.000000001,TRUE())),_slice!S76,"外")</f>
        <v>48.3376551724138</v>
      </c>
      <c r="T25" s="50" t="n">
        <f aca="false">IF(AND(_slice!$H$5=1,T$13&gt;=_slice!$H$6-0.000000001,T$13&lt;=_slice!$I$6+0.000000001,$B25&gt;=_slice!$H$7-0.000000001,$B25&lt;=_slice!$I$7+0.000000001,IF(01_因子設定!$B$20="Box-Behnken",T$13^2+$B25^2+_slice!$H$8&lt;=2+0.000000001,TRUE())),_slice!T76,"外")</f>
        <v>48.1927183908046</v>
      </c>
      <c r="U25" s="50" t="n">
        <f aca="false">IF(AND(_slice!$H$5=1,U$13&gt;=_slice!$H$6-0.000000001,U$13&lt;=_slice!$I$6+0.000000001,$B25&gt;=_slice!$H$7-0.000000001,$B25&lt;=_slice!$I$7+0.000000001,IF(01_因子設定!$B$20="Box-Behnken",U$13^2+$B25^2+_slice!$H$8&lt;=2+0.000000001,TRUE())),_slice!U76,"外")</f>
        <v>47.9929195402299</v>
      </c>
      <c r="V25" s="50" t="n">
        <f aca="false">IF(AND(_slice!$H$5=1,V$13&gt;=_slice!$H$6-0.000000001,V$13&lt;=_slice!$I$6+0.000000001,$B25&gt;=_slice!$H$7-0.000000001,$B25&lt;=_slice!$I$7+0.000000001,IF(01_因子設定!$B$20="Box-Behnken",V$13^2+$B25^2+_slice!$H$8&lt;=2+0.000000001,TRUE())),_slice!V76,"外")</f>
        <v>47.7382586206896</v>
      </c>
      <c r="W25" s="50" t="n">
        <f aca="false">IF(AND(_slice!$H$5=1,W$13&gt;=_slice!$H$6-0.000000001,W$13&lt;=_slice!$I$6+0.000000001,$B25&gt;=_slice!$H$7-0.000000001,$B25&lt;=_slice!$I$7+0.000000001,IF(01_因子設定!$B$20="Box-Behnken",W$13^2+$B25^2+_slice!$H$8&lt;=2+0.000000001,TRUE())),_slice!W76,"外")</f>
        <v>47.4287356321839</v>
      </c>
    </row>
    <row r="26" customFormat="false" ht="15" hidden="false" customHeight="false" outlineLevel="0" collapsed="false">
      <c r="A26" s="49" t="n">
        <f aca="false">INDEX(01_因子設定!$G$5:$G$6,$C$5)+B26*INDEX(01_因子設定!$H$5:$H$6,$C$5)</f>
        <v>29</v>
      </c>
      <c r="B26" s="49" t="n">
        <v>-0.1</v>
      </c>
      <c r="C26" s="50" t="n">
        <f aca="false">IF(AND(_slice!$H$5=1,C$13&gt;=_slice!$H$6-0.000000001,C$13&lt;=_slice!$I$6+0.000000001,$B26&gt;=_slice!$H$7-0.000000001,$B26&lt;=_slice!$I$7+0.000000001,IF(01_因子設定!$B$20="Box-Behnken",C$13^2+$B26^2+_slice!$H$8&lt;=2+0.000000001,TRUE())),_slice!C77,"外")</f>
        <v>43.0074712643678</v>
      </c>
      <c r="D26" s="50" t="n">
        <f aca="false">IF(AND(_slice!$H$5=1,D$13&gt;=_slice!$H$6-0.000000001,D$13&lt;=_slice!$I$6+0.000000001,$B26&gt;=_slice!$H$7-0.000000001,$B26&lt;=_slice!$I$7+0.000000001,IF(01_因子設定!$B$20="Box-Behnken",D$13^2+$B26^2+_slice!$H$8&lt;=2+0.000000001,TRUE())),_slice!D77,"外")</f>
        <v>43.7350775862069</v>
      </c>
      <c r="E26" s="50" t="n">
        <f aca="false">IF(AND(_slice!$H$5=1,E$13&gt;=_slice!$H$6-0.000000001,E$13&lt;=_slice!$I$6+0.000000001,$B26&gt;=_slice!$H$7-0.000000001,$B26&lt;=_slice!$I$7+0.000000001,IF(01_因子設定!$B$20="Box-Behnken",E$13^2+$B26^2+_slice!$H$8&lt;=2+0.000000001,TRUE())),_slice!E77,"外")</f>
        <v>44.4078218390804</v>
      </c>
      <c r="F26" s="50" t="n">
        <f aca="false">IF(AND(_slice!$H$5=1,F$13&gt;=_slice!$H$6-0.000000001,F$13&lt;=_slice!$I$6+0.000000001,$B26&gt;=_slice!$H$7-0.000000001,$B26&lt;=_slice!$I$7+0.000000001,IF(01_因子設定!$B$20="Box-Behnken",F$13^2+$B26^2+_slice!$H$8&lt;=2+0.000000001,TRUE())),_slice!F77,"外")</f>
        <v>45.0257040229885</v>
      </c>
      <c r="G26" s="50" t="n">
        <f aca="false">IF(AND(_slice!$H$5=1,G$13&gt;=_slice!$H$6-0.000000001,G$13&lt;=_slice!$I$6+0.000000001,$B26&gt;=_slice!$H$7-0.000000001,$B26&lt;=_slice!$I$7+0.000000001,IF(01_因子設定!$B$20="Box-Behnken",G$13^2+$B26^2+_slice!$H$8&lt;=2+0.000000001,TRUE())),_slice!G77,"外")</f>
        <v>45.588724137931</v>
      </c>
      <c r="H26" s="50" t="n">
        <f aca="false">IF(AND(_slice!$H$5=1,H$13&gt;=_slice!$H$6-0.000000001,H$13&lt;=_slice!$I$6+0.000000001,$B26&gt;=_slice!$H$7-0.000000001,$B26&lt;=_slice!$I$7+0.000000001,IF(01_因子設定!$B$20="Box-Behnken",H$13^2+$B26^2+_slice!$H$8&lt;=2+0.000000001,TRUE())),_slice!H77,"外")</f>
        <v>46.096882183908</v>
      </c>
      <c r="I26" s="50" t="n">
        <f aca="false">IF(AND(_slice!$H$5=1,I$13&gt;=_slice!$H$6-0.000000001,I$13&lt;=_slice!$I$6+0.000000001,$B26&gt;=_slice!$H$7-0.000000001,$B26&lt;=_slice!$I$7+0.000000001,IF(01_因子設定!$B$20="Box-Behnken",I$13^2+$B26^2+_slice!$H$8&lt;=2+0.000000001,TRUE())),_slice!I77,"外")</f>
        <v>46.5501781609195</v>
      </c>
      <c r="J26" s="50" t="n">
        <f aca="false">IF(AND(_slice!$H$5=1,J$13&gt;=_slice!$H$6-0.000000001,J$13&lt;=_slice!$I$6+0.000000001,$B26&gt;=_slice!$H$7-0.000000001,$B26&lt;=_slice!$I$7+0.000000001,IF(01_因子設定!$B$20="Box-Behnken",J$13^2+$B26^2+_slice!$H$8&lt;=2+0.000000001,TRUE())),_slice!J77,"外")</f>
        <v>46.9486120689655</v>
      </c>
      <c r="K26" s="50" t="n">
        <f aca="false">IF(AND(_slice!$H$5=1,K$13&gt;=_slice!$H$6-0.000000001,K$13&lt;=_slice!$I$6+0.000000001,$B26&gt;=_slice!$H$7-0.000000001,$B26&lt;=_slice!$I$7+0.000000001,IF(01_因子設定!$B$20="Box-Behnken",K$13^2+$B26^2+_slice!$H$8&lt;=2+0.000000001,TRUE())),_slice!K77,"外")</f>
        <v>47.292183908046</v>
      </c>
      <c r="L26" s="50" t="n">
        <f aca="false">IF(AND(_slice!$H$5=1,L$13&gt;=_slice!$H$6-0.000000001,L$13&lt;=_slice!$I$6+0.000000001,$B26&gt;=_slice!$H$7-0.000000001,$B26&lt;=_slice!$I$7+0.000000001,IF(01_因子設定!$B$20="Box-Behnken",L$13^2+$B26^2+_slice!$H$8&lt;=2+0.000000001,TRUE())),_slice!L77,"外")</f>
        <v>47.5808936781609</v>
      </c>
      <c r="M26" s="50" t="n">
        <f aca="false">IF(AND(_slice!$H$5=1,M$13&gt;=_slice!$H$6-0.000000001,M$13&lt;=_slice!$I$6+0.000000001,$B26&gt;=_slice!$H$7-0.000000001,$B26&lt;=_slice!$I$7+0.000000001,IF(01_因子設定!$B$20="Box-Behnken",M$13^2+$B26^2+_slice!$H$8&lt;=2+0.000000001,TRUE())),_slice!M77,"外")</f>
        <v>47.8147413793103</v>
      </c>
      <c r="N26" s="50" t="n">
        <f aca="false">IF(AND(_slice!$H$5=1,N$13&gt;=_slice!$H$6-0.000000001,N$13&lt;=_slice!$I$6+0.000000001,$B26&gt;=_slice!$H$7-0.000000001,$B26&lt;=_slice!$I$7+0.000000001,IF(01_因子設定!$B$20="Box-Behnken",N$13^2+$B26^2+_slice!$H$8&lt;=2+0.000000001,TRUE())),_slice!N77,"外")</f>
        <v>47.9937270114943</v>
      </c>
      <c r="O26" s="50" t="n">
        <f aca="false">IF(AND(_slice!$H$5=1,O$13&gt;=_slice!$H$6-0.000000001,O$13&lt;=_slice!$I$6+0.000000001,$B26&gt;=_slice!$H$7-0.000000001,$B26&lt;=_slice!$I$7+0.000000001,IF(01_因子設定!$B$20="Box-Behnken",O$13^2+$B26^2+_slice!$H$8&lt;=2+0.000000001,TRUE())),_slice!O77,"外")</f>
        <v>48.1178505747126</v>
      </c>
      <c r="P26" s="50" t="n">
        <f aca="false">IF(AND(_slice!$H$5=1,P$13&gt;=_slice!$H$6-0.000000001,P$13&lt;=_slice!$I$6+0.000000001,$B26&gt;=_slice!$H$7-0.000000001,$B26&lt;=_slice!$I$7+0.000000001,IF(01_因子設定!$B$20="Box-Behnken",P$13^2+$B26^2+_slice!$H$8&lt;=2+0.000000001,TRUE())),_slice!P77,"外")</f>
        <v>48.1871120689655</v>
      </c>
      <c r="Q26" s="50" t="n">
        <f aca="false">IF(AND(_slice!$H$5=1,Q$13&gt;=_slice!$H$6-0.000000001,Q$13&lt;=_slice!$I$6+0.000000001,$B26&gt;=_slice!$H$7-0.000000001,$B26&lt;=_slice!$I$7+0.000000001,IF(01_因子設定!$B$20="Box-Behnken",Q$13^2+$B26^2+_slice!$H$8&lt;=2+0.000000001,TRUE())),_slice!Q77,"外")</f>
        <v>48.2015114942529</v>
      </c>
      <c r="R26" s="50" t="n">
        <f aca="false">IF(AND(_slice!$H$5=1,R$13&gt;=_slice!$H$6-0.000000001,R$13&lt;=_slice!$I$6+0.000000001,$B26&gt;=_slice!$H$7-0.000000001,$B26&lt;=_slice!$I$7+0.000000001,IF(01_因子設定!$B$20="Box-Behnken",R$13^2+$B26^2+_slice!$H$8&lt;=2+0.000000001,TRUE())),_slice!R77,"外")</f>
        <v>48.1610488505747</v>
      </c>
      <c r="S26" s="50" t="n">
        <f aca="false">IF(AND(_slice!$H$5=1,S$13&gt;=_slice!$H$6-0.000000001,S$13&lt;=_slice!$I$6+0.000000001,$B26&gt;=_slice!$H$7-0.000000001,$B26&lt;=_slice!$I$7+0.000000001,IF(01_因子設定!$B$20="Box-Behnken",S$13^2+$B26^2+_slice!$H$8&lt;=2+0.000000001,TRUE())),_slice!S77,"外")</f>
        <v>48.065724137931</v>
      </c>
      <c r="T26" s="50" t="n">
        <f aca="false">IF(AND(_slice!$H$5=1,T$13&gt;=_slice!$H$6-0.000000001,T$13&lt;=_slice!$I$6+0.000000001,$B26&gt;=_slice!$H$7-0.000000001,$B26&lt;=_slice!$I$7+0.000000001,IF(01_因子設定!$B$20="Box-Behnken",T$13^2+$B26^2+_slice!$H$8&lt;=2+0.000000001,TRUE())),_slice!T77,"外")</f>
        <v>47.9155373563218</v>
      </c>
      <c r="U26" s="50" t="n">
        <f aca="false">IF(AND(_slice!$H$5=1,U$13&gt;=_slice!$H$6-0.000000001,U$13&lt;=_slice!$I$6+0.000000001,$B26&gt;=_slice!$H$7-0.000000001,$B26&lt;=_slice!$I$7+0.000000001,IF(01_因子設定!$B$20="Box-Behnken",U$13^2+$B26^2+_slice!$H$8&lt;=2+0.000000001,TRUE())),_slice!U77,"外")</f>
        <v>47.7104885057471</v>
      </c>
      <c r="V26" s="50" t="n">
        <f aca="false">IF(AND(_slice!$H$5=1,V$13&gt;=_slice!$H$6-0.000000001,V$13&lt;=_slice!$I$6+0.000000001,$B26&gt;=_slice!$H$7-0.000000001,$B26&lt;=_slice!$I$7+0.000000001,IF(01_因子設定!$B$20="Box-Behnken",V$13^2+$B26^2+_slice!$H$8&lt;=2+0.000000001,TRUE())),_slice!V77,"外")</f>
        <v>47.4505775862069</v>
      </c>
      <c r="W26" s="50" t="n">
        <f aca="false">IF(AND(_slice!$H$5=1,W$13&gt;=_slice!$H$6-0.000000001,W$13&lt;=_slice!$I$6+0.000000001,$B26&gt;=_slice!$H$7-0.000000001,$B26&lt;=_slice!$I$7+0.000000001,IF(01_因子設定!$B$20="Box-Behnken",W$13^2+$B26^2+_slice!$H$8&lt;=2+0.000000001,TRUE())),_slice!W77,"外")</f>
        <v>47.1358045977011</v>
      </c>
    </row>
    <row r="27" customFormat="false" ht="15" hidden="false" customHeight="false" outlineLevel="0" collapsed="false">
      <c r="A27" s="49" t="n">
        <f aca="false">INDEX(01_因子設定!$G$5:$G$6,$C$5)+B27*INDEX(01_因子設定!$H$5:$H$6,$C$5)</f>
        <v>28</v>
      </c>
      <c r="B27" s="49" t="n">
        <v>-0.2</v>
      </c>
      <c r="C27" s="50" t="n">
        <f aca="false">IF(AND(_slice!$H$5=1,C$13&gt;=_slice!$H$6-0.000000001,C$13&lt;=_slice!$I$6+0.000000001,$B27&gt;=_slice!$H$7-0.000000001,$B27&lt;=_slice!$I$7+0.000000001,IF(01_因子設定!$B$20="Box-Behnken",C$13^2+$B27^2+_slice!$H$8&lt;=2+0.000000001,TRUE())),_slice!C78,"外")</f>
        <v>42.7886781609195</v>
      </c>
      <c r="D27" s="50" t="n">
        <f aca="false">IF(AND(_slice!$H$5=1,D$13&gt;=_slice!$H$6-0.000000001,D$13&lt;=_slice!$I$6+0.000000001,$B27&gt;=_slice!$H$7-0.000000001,$B27&lt;=_slice!$I$7+0.000000001,IF(01_因子設定!$B$20="Box-Behnken",D$13^2+$B27^2+_slice!$H$8&lt;=2+0.000000001,TRUE())),_slice!D78,"外")</f>
        <v>43.5110344827586</v>
      </c>
      <c r="E27" s="50" t="n">
        <f aca="false">IF(AND(_slice!$H$5=1,E$13&gt;=_slice!$H$6-0.000000001,E$13&lt;=_slice!$I$6+0.000000001,$B27&gt;=_slice!$H$7-0.000000001,$B27&lt;=_slice!$I$7+0.000000001,IF(01_因子設定!$B$20="Box-Behnken",E$13^2+$B27^2+_slice!$H$8&lt;=2+0.000000001,TRUE())),_slice!E78,"外")</f>
        <v>44.1785287356322</v>
      </c>
      <c r="F27" s="50" t="n">
        <f aca="false">IF(AND(_slice!$H$5=1,F$13&gt;=_slice!$H$6-0.000000001,F$13&lt;=_slice!$I$6+0.000000001,$B27&gt;=_slice!$H$7-0.000000001,$B27&lt;=_slice!$I$7+0.000000001,IF(01_因子設定!$B$20="Box-Behnken",F$13^2+$B27^2+_slice!$H$8&lt;=2+0.000000001,TRUE())),_slice!F78,"外")</f>
        <v>44.7911609195402</v>
      </c>
      <c r="G27" s="50" t="n">
        <f aca="false">IF(AND(_slice!$H$5=1,G$13&gt;=_slice!$H$6-0.000000001,G$13&lt;=_slice!$I$6+0.000000001,$B27&gt;=_slice!$H$7-0.000000001,$B27&lt;=_slice!$I$7+0.000000001,IF(01_因子設定!$B$20="Box-Behnken",G$13^2+$B27^2+_slice!$H$8&lt;=2+0.000000001,TRUE())),_slice!G78,"外")</f>
        <v>45.3489310344827</v>
      </c>
      <c r="H27" s="50" t="n">
        <f aca="false">IF(AND(_slice!$H$5=1,H$13&gt;=_slice!$H$6-0.000000001,H$13&lt;=_slice!$I$6+0.000000001,$B27&gt;=_slice!$H$7-0.000000001,$B27&lt;=_slice!$I$7+0.000000001,IF(01_因子設定!$B$20="Box-Behnken",H$13^2+$B27^2+_slice!$H$8&lt;=2+0.000000001,TRUE())),_slice!H78,"外")</f>
        <v>45.8518390804598</v>
      </c>
      <c r="I27" s="50" t="n">
        <f aca="false">IF(AND(_slice!$H$5=1,I$13&gt;=_slice!$H$6-0.000000001,I$13&lt;=_slice!$I$6+0.000000001,$B27&gt;=_slice!$H$7-0.000000001,$B27&lt;=_slice!$I$7+0.000000001,IF(01_因子設定!$B$20="Box-Behnken",I$13^2+$B27^2+_slice!$H$8&lt;=2+0.000000001,TRUE())),_slice!I78,"外")</f>
        <v>46.2998850574713</v>
      </c>
      <c r="J27" s="50" t="n">
        <f aca="false">IF(AND(_slice!$H$5=1,J$13&gt;=_slice!$H$6-0.000000001,J$13&lt;=_slice!$I$6+0.000000001,$B27&gt;=_slice!$H$7-0.000000001,$B27&lt;=_slice!$I$7+0.000000001,IF(01_因子設定!$B$20="Box-Behnken",J$13^2+$B27^2+_slice!$H$8&lt;=2+0.000000001,TRUE())),_slice!J78,"外")</f>
        <v>46.6930689655172</v>
      </c>
      <c r="K27" s="50" t="n">
        <f aca="false">IF(AND(_slice!$H$5=1,K$13&gt;=_slice!$H$6-0.000000001,K$13&lt;=_slice!$I$6+0.000000001,$B27&gt;=_slice!$H$7-0.000000001,$B27&lt;=_slice!$I$7+0.000000001,IF(01_因子設定!$B$20="Box-Behnken",K$13^2+$B27^2+_slice!$H$8&lt;=2+0.000000001,TRUE())),_slice!K78,"外")</f>
        <v>47.0313908045977</v>
      </c>
      <c r="L27" s="50" t="n">
        <f aca="false">IF(AND(_slice!$H$5=1,L$13&gt;=_slice!$H$6-0.000000001,L$13&lt;=_slice!$I$6+0.000000001,$B27&gt;=_slice!$H$7-0.000000001,$B27&lt;=_slice!$I$7+0.000000001,IF(01_因子設定!$B$20="Box-Behnken",L$13^2+$B27^2+_slice!$H$8&lt;=2+0.000000001,TRUE())),_slice!L78,"外")</f>
        <v>47.3148505747126</v>
      </c>
      <c r="M27" s="50" t="n">
        <f aca="false">IF(AND(_slice!$H$5=1,M$13&gt;=_slice!$H$6-0.000000001,M$13&lt;=_slice!$I$6+0.000000001,$B27&gt;=_slice!$H$7-0.000000001,$B27&lt;=_slice!$I$7+0.000000001,IF(01_因子設定!$B$20="Box-Behnken",M$13^2+$B27^2+_slice!$H$8&lt;=2+0.000000001,TRUE())),_slice!M78,"外")</f>
        <v>47.5434482758621</v>
      </c>
      <c r="N27" s="50" t="n">
        <f aca="false">IF(AND(_slice!$H$5=1,N$13&gt;=_slice!$H$6-0.000000001,N$13&lt;=_slice!$I$6+0.000000001,$B27&gt;=_slice!$H$7-0.000000001,$B27&lt;=_slice!$I$7+0.000000001,IF(01_因子設定!$B$20="Box-Behnken",N$13^2+$B27^2+_slice!$H$8&lt;=2+0.000000001,TRUE())),_slice!N78,"外")</f>
        <v>47.717183908046</v>
      </c>
      <c r="O27" s="50" t="n">
        <f aca="false">IF(AND(_slice!$H$5=1,O$13&gt;=_slice!$H$6-0.000000001,O$13&lt;=_slice!$I$6+0.000000001,$B27&gt;=_slice!$H$7-0.000000001,$B27&lt;=_slice!$I$7+0.000000001,IF(01_因子設定!$B$20="Box-Behnken",O$13^2+$B27^2+_slice!$H$8&lt;=2+0.000000001,TRUE())),_slice!O78,"外")</f>
        <v>47.8360574712644</v>
      </c>
      <c r="P27" s="50" t="n">
        <f aca="false">IF(AND(_slice!$H$5=1,P$13&gt;=_slice!$H$6-0.000000001,P$13&lt;=_slice!$I$6+0.000000001,$B27&gt;=_slice!$H$7-0.000000001,$B27&lt;=_slice!$I$7+0.000000001,IF(01_因子設定!$B$20="Box-Behnken",P$13^2+$B27^2+_slice!$H$8&lt;=2+0.000000001,TRUE())),_slice!P78,"外")</f>
        <v>47.9000689655172</v>
      </c>
      <c r="Q27" s="50" t="n">
        <f aca="false">IF(AND(_slice!$H$5=1,Q$13&gt;=_slice!$H$6-0.000000001,Q$13&lt;=_slice!$I$6+0.000000001,$B27&gt;=_slice!$H$7-0.000000001,$B27&lt;=_slice!$I$7+0.000000001,IF(01_因子設定!$B$20="Box-Behnken",Q$13^2+$B27^2+_slice!$H$8&lt;=2+0.000000001,TRUE())),_slice!Q78,"外")</f>
        <v>47.9092183908046</v>
      </c>
      <c r="R27" s="50" t="n">
        <f aca="false">IF(AND(_slice!$H$5=1,R$13&gt;=_slice!$H$6-0.000000001,R$13&lt;=_slice!$I$6+0.000000001,$B27&gt;=_slice!$H$7-0.000000001,$B27&lt;=_slice!$I$7+0.000000001,IF(01_因子設定!$B$20="Box-Behnken",R$13^2+$B27^2+_slice!$H$8&lt;=2+0.000000001,TRUE())),_slice!R78,"外")</f>
        <v>47.8635057471264</v>
      </c>
      <c r="S27" s="50" t="n">
        <f aca="false">IF(AND(_slice!$H$5=1,S$13&gt;=_slice!$H$6-0.000000001,S$13&lt;=_slice!$I$6+0.000000001,$B27&gt;=_slice!$H$7-0.000000001,$B27&lt;=_slice!$I$7+0.000000001,IF(01_因子設定!$B$20="Box-Behnken",S$13^2+$B27^2+_slice!$H$8&lt;=2+0.000000001,TRUE())),_slice!S78,"外")</f>
        <v>47.7629310344828</v>
      </c>
      <c r="T27" s="50" t="n">
        <f aca="false">IF(AND(_slice!$H$5=1,T$13&gt;=_slice!$H$6-0.000000001,T$13&lt;=_slice!$I$6+0.000000001,$B27&gt;=_slice!$H$7-0.000000001,$B27&lt;=_slice!$I$7+0.000000001,IF(01_因子設定!$B$20="Box-Behnken",T$13^2+$B27^2+_slice!$H$8&lt;=2+0.000000001,TRUE())),_slice!T78,"外")</f>
        <v>47.6074942528735</v>
      </c>
      <c r="U27" s="50" t="n">
        <f aca="false">IF(AND(_slice!$H$5=1,U$13&gt;=_slice!$H$6-0.000000001,U$13&lt;=_slice!$I$6+0.000000001,$B27&gt;=_slice!$H$7-0.000000001,$B27&lt;=_slice!$I$7+0.000000001,IF(01_因子設定!$B$20="Box-Behnken",U$13^2+$B27^2+_slice!$H$8&lt;=2+0.000000001,TRUE())),_slice!U78,"外")</f>
        <v>47.3971954022988</v>
      </c>
      <c r="V27" s="50" t="n">
        <f aca="false">IF(AND(_slice!$H$5=1,V$13&gt;=_slice!$H$6-0.000000001,V$13&lt;=_slice!$I$6+0.000000001,$B27&gt;=_slice!$H$7-0.000000001,$B27&lt;=_slice!$I$7+0.000000001,IF(01_因子設定!$B$20="Box-Behnken",V$13^2+$B27^2+_slice!$H$8&lt;=2+0.000000001,TRUE())),_slice!V78,"外")</f>
        <v>47.1320344827586</v>
      </c>
      <c r="W27" s="50" t="n">
        <f aca="false">IF(AND(_slice!$H$5=1,W$13&gt;=_slice!$H$6-0.000000001,W$13&lt;=_slice!$I$6+0.000000001,$B27&gt;=_slice!$H$7-0.000000001,$B27&lt;=_slice!$I$7+0.000000001,IF(01_因子設定!$B$20="Box-Behnken",W$13^2+$B27^2+_slice!$H$8&lt;=2+0.000000001,TRUE())),_slice!W78,"外")</f>
        <v>46.8120114942529</v>
      </c>
    </row>
    <row r="28" customFormat="false" ht="15" hidden="false" customHeight="false" outlineLevel="0" collapsed="false">
      <c r="A28" s="49" t="n">
        <f aca="false">INDEX(01_因子設定!$G$5:$G$6,$C$5)+B28*INDEX(01_因子設定!$H$5:$H$6,$C$5)</f>
        <v>27</v>
      </c>
      <c r="B28" s="49" t="n">
        <v>-0.3</v>
      </c>
      <c r="C28" s="50" t="n">
        <f aca="false">IF(AND(_slice!$H$5=1,C$13&gt;=_slice!$H$6-0.000000001,C$13&lt;=_slice!$I$6+0.000000001,$B28&gt;=_slice!$H$7-0.000000001,$B28&lt;=_slice!$I$7+0.000000001,IF(01_因子設定!$B$20="Box-Behnken",C$13^2+$B28^2+_slice!$H$8&lt;=2+0.000000001,TRUE())),_slice!C79,"外")</f>
        <v>42.5390229885057</v>
      </c>
      <c r="D28" s="50" t="n">
        <f aca="false">IF(AND(_slice!$H$5=1,D$13&gt;=_slice!$H$6-0.000000001,D$13&lt;=_slice!$I$6+0.000000001,$B28&gt;=_slice!$H$7-0.000000001,$B28&lt;=_slice!$I$7+0.000000001,IF(01_因子設定!$B$20="Box-Behnken",D$13^2+$B28^2+_slice!$H$8&lt;=2+0.000000001,TRUE())),_slice!D79,"外")</f>
        <v>43.2561293103448</v>
      </c>
      <c r="E28" s="50" t="n">
        <f aca="false">IF(AND(_slice!$H$5=1,E$13&gt;=_slice!$H$6-0.000000001,E$13&lt;=_slice!$I$6+0.000000001,$B28&gt;=_slice!$H$7-0.000000001,$B28&lt;=_slice!$I$7+0.000000001,IF(01_因子設定!$B$20="Box-Behnken",E$13^2+$B28^2+_slice!$H$8&lt;=2+0.000000001,TRUE())),_slice!E79,"外")</f>
        <v>43.9183735632184</v>
      </c>
      <c r="F28" s="50" t="n">
        <f aca="false">IF(AND(_slice!$H$5=1,F$13&gt;=_slice!$H$6-0.000000001,F$13&lt;=_slice!$I$6+0.000000001,$B28&gt;=_slice!$H$7-0.000000001,$B28&lt;=_slice!$I$7+0.000000001,IF(01_因子設定!$B$20="Box-Behnken",F$13^2+$B28^2+_slice!$H$8&lt;=2+0.000000001,TRUE())),_slice!F79,"外")</f>
        <v>44.5257557471264</v>
      </c>
      <c r="G28" s="50" t="n">
        <f aca="false">IF(AND(_slice!$H$5=1,G$13&gt;=_slice!$H$6-0.000000001,G$13&lt;=_slice!$I$6+0.000000001,$B28&gt;=_slice!$H$7-0.000000001,$B28&lt;=_slice!$I$7+0.000000001,IF(01_因子設定!$B$20="Box-Behnken",G$13^2+$B28^2+_slice!$H$8&lt;=2+0.000000001,TRUE())),_slice!G79,"外")</f>
        <v>45.078275862069</v>
      </c>
      <c r="H28" s="50" t="n">
        <f aca="false">IF(AND(_slice!$H$5=1,H$13&gt;=_slice!$H$6-0.000000001,H$13&lt;=_slice!$I$6+0.000000001,$B28&gt;=_slice!$H$7-0.000000001,$B28&lt;=_slice!$I$7+0.000000001,IF(01_因子設定!$B$20="Box-Behnken",H$13^2+$B28^2+_slice!$H$8&lt;=2+0.000000001,TRUE())),_slice!H79,"外")</f>
        <v>45.575933908046</v>
      </c>
      <c r="I28" s="50" t="n">
        <f aca="false">IF(AND(_slice!$H$5=1,I$13&gt;=_slice!$H$6-0.000000001,I$13&lt;=_slice!$I$6+0.000000001,$B28&gt;=_slice!$H$7-0.000000001,$B28&lt;=_slice!$I$7+0.000000001,IF(01_因子設定!$B$20="Box-Behnken",I$13^2+$B28^2+_slice!$H$8&lt;=2+0.000000001,TRUE())),_slice!I79,"外")</f>
        <v>46.0187298850575</v>
      </c>
      <c r="J28" s="50" t="n">
        <f aca="false">IF(AND(_slice!$H$5=1,J$13&gt;=_slice!$H$6-0.000000001,J$13&lt;=_slice!$I$6+0.000000001,$B28&gt;=_slice!$H$7-0.000000001,$B28&lt;=_slice!$I$7+0.000000001,IF(01_因子設定!$B$20="Box-Behnken",J$13^2+$B28^2+_slice!$H$8&lt;=2+0.000000001,TRUE())),_slice!J79,"外")</f>
        <v>46.4066637931035</v>
      </c>
      <c r="K28" s="50" t="n">
        <f aca="false">IF(AND(_slice!$H$5=1,K$13&gt;=_slice!$H$6-0.000000001,K$13&lt;=_slice!$I$6+0.000000001,$B28&gt;=_slice!$H$7-0.000000001,$B28&lt;=_slice!$I$7+0.000000001,IF(01_因子設定!$B$20="Box-Behnken",K$13^2+$B28^2+_slice!$H$8&lt;=2+0.000000001,TRUE())),_slice!K79,"外")</f>
        <v>46.7397356321839</v>
      </c>
      <c r="L28" s="50" t="n">
        <f aca="false">IF(AND(_slice!$H$5=1,L$13&gt;=_slice!$H$6-0.000000001,L$13&lt;=_slice!$I$6+0.000000001,$B28&gt;=_slice!$H$7-0.000000001,$B28&lt;=_slice!$I$7+0.000000001,IF(01_因子設定!$B$20="Box-Behnken",L$13^2+$B28^2+_slice!$H$8&lt;=2+0.000000001,TRUE())),_slice!L79,"外")</f>
        <v>47.0179454022989</v>
      </c>
      <c r="M28" s="50" t="n">
        <f aca="false">IF(AND(_slice!$H$5=1,M$13&gt;=_slice!$H$6-0.000000001,M$13&lt;=_slice!$I$6+0.000000001,$B28&gt;=_slice!$H$7-0.000000001,$B28&lt;=_slice!$I$7+0.000000001,IF(01_因子設定!$B$20="Box-Behnken",M$13^2+$B28^2+_slice!$H$8&lt;=2+0.000000001,TRUE())),_slice!M79,"外")</f>
        <v>47.2412931034483</v>
      </c>
      <c r="N28" s="50" t="n">
        <f aca="false">IF(AND(_slice!$H$5=1,N$13&gt;=_slice!$H$6-0.000000001,N$13&lt;=_slice!$I$6+0.000000001,$B28&gt;=_slice!$H$7-0.000000001,$B28&lt;=_slice!$I$7+0.000000001,IF(01_因子設定!$B$20="Box-Behnken",N$13^2+$B28^2+_slice!$H$8&lt;=2+0.000000001,TRUE())),_slice!N79,"外")</f>
        <v>47.4097787356322</v>
      </c>
      <c r="O28" s="50" t="n">
        <f aca="false">IF(AND(_slice!$H$5=1,O$13&gt;=_slice!$H$6-0.000000001,O$13&lt;=_slice!$I$6+0.000000001,$B28&gt;=_slice!$H$7-0.000000001,$B28&lt;=_slice!$I$7+0.000000001,IF(01_因子設定!$B$20="Box-Behnken",O$13^2+$B28^2+_slice!$H$8&lt;=2+0.000000001,TRUE())),_slice!O79,"外")</f>
        <v>47.5234022988506</v>
      </c>
      <c r="P28" s="50" t="n">
        <f aca="false">IF(AND(_slice!$H$5=1,P$13&gt;=_slice!$H$6-0.000000001,P$13&lt;=_slice!$I$6+0.000000001,$B28&gt;=_slice!$H$7-0.000000001,$B28&lt;=_slice!$I$7+0.000000001,IF(01_因子設定!$B$20="Box-Behnken",P$13^2+$B28^2+_slice!$H$8&lt;=2+0.000000001,TRUE())),_slice!P79,"外")</f>
        <v>47.5821637931035</v>
      </c>
      <c r="Q28" s="50" t="n">
        <f aca="false">IF(AND(_slice!$H$5=1,Q$13&gt;=_slice!$H$6-0.000000001,Q$13&lt;=_slice!$I$6+0.000000001,$B28&gt;=_slice!$H$7-0.000000001,$B28&lt;=_slice!$I$7+0.000000001,IF(01_因子設定!$B$20="Box-Behnken",Q$13^2+$B28^2+_slice!$H$8&lt;=2+0.000000001,TRUE())),_slice!Q79,"外")</f>
        <v>47.5860632183908</v>
      </c>
      <c r="R28" s="50" t="n">
        <f aca="false">IF(AND(_slice!$H$5=1,R$13&gt;=_slice!$H$6-0.000000001,R$13&lt;=_slice!$I$6+0.000000001,$B28&gt;=_slice!$H$7-0.000000001,$B28&lt;=_slice!$I$7+0.000000001,IF(01_因子設定!$B$20="Box-Behnken",R$13^2+$B28^2+_slice!$H$8&lt;=2+0.000000001,TRUE())),_slice!R79,"外")</f>
        <v>47.5351005747126</v>
      </c>
      <c r="S28" s="50" t="n">
        <f aca="false">IF(AND(_slice!$H$5=1,S$13&gt;=_slice!$H$6-0.000000001,S$13&lt;=_slice!$I$6+0.000000001,$B28&gt;=_slice!$H$7-0.000000001,$B28&lt;=_slice!$I$7+0.000000001,IF(01_因子設定!$B$20="Box-Behnken",S$13^2+$B28^2+_slice!$H$8&lt;=2+0.000000001,TRUE())),_slice!S79,"外")</f>
        <v>47.429275862069</v>
      </c>
      <c r="T28" s="50" t="n">
        <f aca="false">IF(AND(_slice!$H$5=1,T$13&gt;=_slice!$H$6-0.000000001,T$13&lt;=_slice!$I$6+0.000000001,$B28&gt;=_slice!$H$7-0.000000001,$B28&lt;=_slice!$I$7+0.000000001,IF(01_因子設定!$B$20="Box-Behnken",T$13^2+$B28^2+_slice!$H$8&lt;=2+0.000000001,TRUE())),_slice!T79,"外")</f>
        <v>47.2685890804598</v>
      </c>
      <c r="U28" s="50" t="n">
        <f aca="false">IF(AND(_slice!$H$5=1,U$13&gt;=_slice!$H$6-0.000000001,U$13&lt;=_slice!$I$6+0.000000001,$B28&gt;=_slice!$H$7-0.000000001,$B28&lt;=_slice!$I$7+0.000000001,IF(01_因子設定!$B$20="Box-Behnken",U$13^2+$B28^2+_slice!$H$8&lt;=2+0.000000001,TRUE())),_slice!U79,"外")</f>
        <v>47.0530402298851</v>
      </c>
      <c r="V28" s="50" t="n">
        <f aca="false">IF(AND(_slice!$H$5=1,V$13&gt;=_slice!$H$6-0.000000001,V$13&lt;=_slice!$I$6+0.000000001,$B28&gt;=_slice!$H$7-0.000000001,$B28&lt;=_slice!$I$7+0.000000001,IF(01_因子設定!$B$20="Box-Behnken",V$13^2+$B28^2+_slice!$H$8&lt;=2+0.000000001,TRUE())),_slice!V79,"外")</f>
        <v>46.7826293103448</v>
      </c>
      <c r="W28" s="50" t="n">
        <f aca="false">IF(AND(_slice!$H$5=1,W$13&gt;=_slice!$H$6-0.000000001,W$13&lt;=_slice!$I$6+0.000000001,$B28&gt;=_slice!$H$7-0.000000001,$B28&lt;=_slice!$I$7+0.000000001,IF(01_因子設定!$B$20="Box-Behnken",W$13^2+$B28^2+_slice!$H$8&lt;=2+0.000000001,TRUE())),_slice!W79,"外")</f>
        <v>46.4573563218391</v>
      </c>
    </row>
    <row r="29" customFormat="false" ht="15" hidden="false" customHeight="false" outlineLevel="0" collapsed="false">
      <c r="A29" s="49" t="n">
        <f aca="false">INDEX(01_因子設定!$G$5:$G$6,$C$5)+B29*INDEX(01_因子設定!$H$5:$H$6,$C$5)</f>
        <v>26</v>
      </c>
      <c r="B29" s="49" t="n">
        <v>-0.4</v>
      </c>
      <c r="C29" s="50" t="n">
        <f aca="false">IF(AND(_slice!$H$5=1,C$13&gt;=_slice!$H$6-0.000000001,C$13&lt;=_slice!$I$6+0.000000001,$B29&gt;=_slice!$H$7-0.000000001,$B29&lt;=_slice!$I$7+0.000000001,IF(01_因子設定!$B$20="Box-Behnken",C$13^2+$B29^2+_slice!$H$8&lt;=2+0.000000001,TRUE())),_slice!C80,"外")</f>
        <v>42.2585057471264</v>
      </c>
      <c r="D29" s="50" t="n">
        <f aca="false">IF(AND(_slice!$H$5=1,D$13&gt;=_slice!$H$6-0.000000001,D$13&lt;=_slice!$I$6+0.000000001,$B29&gt;=_slice!$H$7-0.000000001,$B29&lt;=_slice!$I$7+0.000000001,IF(01_因子設定!$B$20="Box-Behnken",D$13^2+$B29^2+_slice!$H$8&lt;=2+0.000000001,TRUE())),_slice!D80,"外")</f>
        <v>42.9703620689655</v>
      </c>
      <c r="E29" s="50" t="n">
        <f aca="false">IF(AND(_slice!$H$5=1,E$13&gt;=_slice!$H$6-0.000000001,E$13&lt;=_slice!$I$6+0.000000001,$B29&gt;=_slice!$H$7-0.000000001,$B29&lt;=_slice!$I$7+0.000000001,IF(01_因子設定!$B$20="Box-Behnken",E$13^2+$B29^2+_slice!$H$8&lt;=2+0.000000001,TRUE())),_slice!E80,"外")</f>
        <v>43.6273563218391</v>
      </c>
      <c r="F29" s="50" t="n">
        <f aca="false">IF(AND(_slice!$H$5=1,F$13&gt;=_slice!$H$6-0.000000001,F$13&lt;=_slice!$I$6+0.000000001,$B29&gt;=_slice!$H$7-0.000000001,$B29&lt;=_slice!$I$7+0.000000001,IF(01_因子設定!$B$20="Box-Behnken",F$13^2+$B29^2+_slice!$H$8&lt;=2+0.000000001,TRUE())),_slice!F80,"外")</f>
        <v>44.2294885057471</v>
      </c>
      <c r="G29" s="50" t="n">
        <f aca="false">IF(AND(_slice!$H$5=1,G$13&gt;=_slice!$H$6-0.000000001,G$13&lt;=_slice!$I$6+0.000000001,$B29&gt;=_slice!$H$7-0.000000001,$B29&lt;=_slice!$I$7+0.000000001,IF(01_因子設定!$B$20="Box-Behnken",G$13^2+$B29^2+_slice!$H$8&lt;=2+0.000000001,TRUE())),_slice!G80,"外")</f>
        <v>44.7767586206897</v>
      </c>
      <c r="H29" s="50" t="n">
        <f aca="false">IF(AND(_slice!$H$5=1,H$13&gt;=_slice!$H$6-0.000000001,H$13&lt;=_slice!$I$6+0.000000001,$B29&gt;=_slice!$H$7-0.000000001,$B29&lt;=_slice!$I$7+0.000000001,IF(01_因子設定!$B$20="Box-Behnken",H$13^2+$B29^2+_slice!$H$8&lt;=2+0.000000001,TRUE())),_slice!H80,"外")</f>
        <v>45.2691666666667</v>
      </c>
      <c r="I29" s="50" t="n">
        <f aca="false">IF(AND(_slice!$H$5=1,I$13&gt;=_slice!$H$6-0.000000001,I$13&lt;=_slice!$I$6+0.000000001,$B29&gt;=_slice!$H$7-0.000000001,$B29&lt;=_slice!$I$7+0.000000001,IF(01_因子設定!$B$20="Box-Behnken",I$13^2+$B29^2+_slice!$H$8&lt;=2+0.000000001,TRUE())),_slice!I80,"外")</f>
        <v>45.7067126436782</v>
      </c>
      <c r="J29" s="50" t="n">
        <f aca="false">IF(AND(_slice!$H$5=1,J$13&gt;=_slice!$H$6-0.000000001,J$13&lt;=_slice!$I$6+0.000000001,$B29&gt;=_slice!$H$7-0.000000001,$B29&lt;=_slice!$I$7+0.000000001,IF(01_因子設定!$B$20="Box-Behnken",J$13^2+$B29^2+_slice!$H$8&lt;=2+0.000000001,TRUE())),_slice!J80,"外")</f>
        <v>46.0893965517241</v>
      </c>
      <c r="K29" s="50" t="n">
        <f aca="false">IF(AND(_slice!$H$5=1,K$13&gt;=_slice!$H$6-0.000000001,K$13&lt;=_slice!$I$6+0.000000001,$B29&gt;=_slice!$H$7-0.000000001,$B29&lt;=_slice!$I$7+0.000000001,IF(01_因子設定!$B$20="Box-Behnken",K$13^2+$B29^2+_slice!$H$8&lt;=2+0.000000001,TRUE())),_slice!K80,"外")</f>
        <v>46.4172183908046</v>
      </c>
      <c r="L29" s="50" t="n">
        <f aca="false">IF(AND(_slice!$H$5=1,L$13&gt;=_slice!$H$6-0.000000001,L$13&lt;=_slice!$I$6+0.000000001,$B29&gt;=_slice!$H$7-0.000000001,$B29&lt;=_slice!$I$7+0.000000001,IF(01_因子設定!$B$20="Box-Behnken",L$13^2+$B29^2+_slice!$H$8&lt;=2+0.000000001,TRUE())),_slice!L80,"外")</f>
        <v>46.6901781609195</v>
      </c>
      <c r="M29" s="50" t="n">
        <f aca="false">IF(AND(_slice!$H$5=1,M$13&gt;=_slice!$H$6-0.000000001,M$13&lt;=_slice!$I$6+0.000000001,$B29&gt;=_slice!$H$7-0.000000001,$B29&lt;=_slice!$I$7+0.000000001,IF(01_因子設定!$B$20="Box-Behnken",M$13^2+$B29^2+_slice!$H$8&lt;=2+0.000000001,TRUE())),_slice!M80,"外")</f>
        <v>46.908275862069</v>
      </c>
      <c r="N29" s="50" t="n">
        <f aca="false">IF(AND(_slice!$H$5=1,N$13&gt;=_slice!$H$6-0.000000001,N$13&lt;=_slice!$I$6+0.000000001,$B29&gt;=_slice!$H$7-0.000000001,$B29&lt;=_slice!$I$7+0.000000001,IF(01_因子設定!$B$20="Box-Behnken",N$13^2+$B29^2+_slice!$H$8&lt;=2+0.000000001,TRUE())),_slice!N80,"外")</f>
        <v>47.0715114942529</v>
      </c>
      <c r="O29" s="50" t="n">
        <f aca="false">IF(AND(_slice!$H$5=1,O$13&gt;=_slice!$H$6-0.000000001,O$13&lt;=_slice!$I$6+0.000000001,$B29&gt;=_slice!$H$7-0.000000001,$B29&lt;=_slice!$I$7+0.000000001,IF(01_因子設定!$B$20="Box-Behnken",O$13^2+$B29^2+_slice!$H$8&lt;=2+0.000000001,TRUE())),_slice!O80,"外")</f>
        <v>47.1798850574713</v>
      </c>
      <c r="P29" s="50" t="n">
        <f aca="false">IF(AND(_slice!$H$5=1,P$13&gt;=_slice!$H$6-0.000000001,P$13&lt;=_slice!$I$6+0.000000001,$B29&gt;=_slice!$H$7-0.000000001,$B29&lt;=_slice!$I$7+0.000000001,IF(01_因子設定!$B$20="Box-Behnken",P$13^2+$B29^2+_slice!$H$8&lt;=2+0.000000001,TRUE())),_slice!P80,"外")</f>
        <v>47.2333965517241</v>
      </c>
      <c r="Q29" s="50" t="n">
        <f aca="false">IF(AND(_slice!$H$5=1,Q$13&gt;=_slice!$H$6-0.000000001,Q$13&lt;=_slice!$I$6+0.000000001,$B29&gt;=_slice!$H$7-0.000000001,$B29&lt;=_slice!$I$7+0.000000001,IF(01_因子設定!$B$20="Box-Behnken",Q$13^2+$B29^2+_slice!$H$8&lt;=2+0.000000001,TRUE())),_slice!Q80,"外")</f>
        <v>47.2320459770115</v>
      </c>
      <c r="R29" s="50" t="n">
        <f aca="false">IF(AND(_slice!$H$5=1,R$13&gt;=_slice!$H$6-0.000000001,R$13&lt;=_slice!$I$6+0.000000001,$B29&gt;=_slice!$H$7-0.000000001,$B29&lt;=_slice!$I$7+0.000000001,IF(01_因子設定!$B$20="Box-Behnken",R$13^2+$B29^2+_slice!$H$8&lt;=2+0.000000001,TRUE())),_slice!R80,"外")</f>
        <v>47.1758333333333</v>
      </c>
      <c r="S29" s="50" t="n">
        <f aca="false">IF(AND(_slice!$H$5=1,S$13&gt;=_slice!$H$6-0.000000001,S$13&lt;=_slice!$I$6+0.000000001,$B29&gt;=_slice!$H$7-0.000000001,$B29&lt;=_slice!$I$7+0.000000001,IF(01_因子設定!$B$20="Box-Behnken",S$13^2+$B29^2+_slice!$H$8&lt;=2+0.000000001,TRUE())),_slice!S80,"外")</f>
        <v>47.0647586206897</v>
      </c>
      <c r="T29" s="50" t="n">
        <f aca="false">IF(AND(_slice!$H$5=1,T$13&gt;=_slice!$H$6-0.000000001,T$13&lt;=_slice!$I$6+0.000000001,$B29&gt;=_slice!$H$7-0.000000001,$B29&lt;=_slice!$I$7+0.000000001,IF(01_因子設定!$B$20="Box-Behnken",T$13^2+$B29^2+_slice!$H$8&lt;=2+0.000000001,TRUE())),_slice!T80,"外")</f>
        <v>46.8988218390805</v>
      </c>
      <c r="U29" s="50" t="n">
        <f aca="false">IF(AND(_slice!$H$5=1,U$13&gt;=_slice!$H$6-0.000000001,U$13&lt;=_slice!$I$6+0.000000001,$B29&gt;=_slice!$H$7-0.000000001,$B29&lt;=_slice!$I$7+0.000000001,IF(01_因子設定!$B$20="Box-Behnken",U$13^2+$B29^2+_slice!$H$8&lt;=2+0.000000001,TRUE())),_slice!U80,"外")</f>
        <v>46.6780229885057</v>
      </c>
      <c r="V29" s="50" t="n">
        <f aca="false">IF(AND(_slice!$H$5=1,V$13&gt;=_slice!$H$6-0.000000001,V$13&lt;=_slice!$I$6+0.000000001,$B29&gt;=_slice!$H$7-0.000000001,$B29&lt;=_slice!$I$7+0.000000001,IF(01_因子設定!$B$20="Box-Behnken",V$13^2+$B29^2+_slice!$H$8&lt;=2+0.000000001,TRUE())),_slice!V80,"外")</f>
        <v>46.4023620689655</v>
      </c>
      <c r="W29" s="50" t="n">
        <f aca="false">IF(AND(_slice!$H$5=1,W$13&gt;=_slice!$H$6-0.000000001,W$13&lt;=_slice!$I$6+0.000000001,$B29&gt;=_slice!$H$7-0.000000001,$B29&lt;=_slice!$I$7+0.000000001,IF(01_因子設定!$B$20="Box-Behnken",W$13^2+$B29^2+_slice!$H$8&lt;=2+0.000000001,TRUE())),_slice!W80,"外")</f>
        <v>46.0718390804598</v>
      </c>
    </row>
    <row r="30" customFormat="false" ht="15" hidden="false" customHeight="false" outlineLevel="0" collapsed="false">
      <c r="A30" s="49" t="n">
        <f aca="false">INDEX(01_因子設定!$G$5:$G$6,$C$5)+B30*INDEX(01_因子設定!$H$5:$H$6,$C$5)</f>
        <v>25</v>
      </c>
      <c r="B30" s="49" t="n">
        <v>-0.5</v>
      </c>
      <c r="C30" s="50" t="n">
        <f aca="false">IF(AND(_slice!$H$5=1,C$13&gt;=_slice!$H$6-0.000000001,C$13&lt;=_slice!$I$6+0.000000001,$B30&gt;=_slice!$H$7-0.000000001,$B30&lt;=_slice!$I$7+0.000000001,IF(01_因子設定!$B$20="Box-Behnken",C$13^2+$B30^2+_slice!$H$8&lt;=2+0.000000001,TRUE())),_slice!C81,"外")</f>
        <v>41.9471264367816</v>
      </c>
      <c r="D30" s="50" t="n">
        <f aca="false">IF(AND(_slice!$H$5=1,D$13&gt;=_slice!$H$6-0.000000001,D$13&lt;=_slice!$I$6+0.000000001,$B30&gt;=_slice!$H$7-0.000000001,$B30&lt;=_slice!$I$7+0.000000001,IF(01_因子設定!$B$20="Box-Behnken",D$13^2+$B30^2+_slice!$H$8&lt;=2+0.000000001,TRUE())),_slice!D81,"外")</f>
        <v>42.6537327586207</v>
      </c>
      <c r="E30" s="50" t="n">
        <f aca="false">IF(AND(_slice!$H$5=1,E$13&gt;=_slice!$H$6-0.000000001,E$13&lt;=_slice!$I$6+0.000000001,$B30&gt;=_slice!$H$7-0.000000001,$B30&lt;=_slice!$I$7+0.000000001,IF(01_因子設定!$B$20="Box-Behnken",E$13^2+$B30^2+_slice!$H$8&lt;=2+0.000000001,TRUE())),_slice!E81,"外")</f>
        <v>43.3054770114942</v>
      </c>
      <c r="F30" s="50" t="n">
        <f aca="false">IF(AND(_slice!$H$5=1,F$13&gt;=_slice!$H$6-0.000000001,F$13&lt;=_slice!$I$6+0.000000001,$B30&gt;=_slice!$H$7-0.000000001,$B30&lt;=_slice!$I$7+0.000000001,IF(01_因子設定!$B$20="Box-Behnken",F$13^2+$B30^2+_slice!$H$8&lt;=2+0.000000001,TRUE())),_slice!F81,"外")</f>
        <v>43.9023591954023</v>
      </c>
      <c r="G30" s="50" t="n">
        <f aca="false">IF(AND(_slice!$H$5=1,G$13&gt;=_slice!$H$6-0.000000001,G$13&lt;=_slice!$I$6+0.000000001,$B30&gt;=_slice!$H$7-0.000000001,$B30&lt;=_slice!$I$7+0.000000001,IF(01_因子設定!$B$20="Box-Behnken",G$13^2+$B30^2+_slice!$H$8&lt;=2+0.000000001,TRUE())),_slice!G81,"外")</f>
        <v>44.4443793103448</v>
      </c>
      <c r="H30" s="50" t="n">
        <f aca="false">IF(AND(_slice!$H$5=1,H$13&gt;=_slice!$H$6-0.000000001,H$13&lt;=_slice!$I$6+0.000000001,$B30&gt;=_slice!$H$7-0.000000001,$B30&lt;=_slice!$I$7+0.000000001,IF(01_因子設定!$B$20="Box-Behnken",H$13^2+$B30^2+_slice!$H$8&lt;=2+0.000000001,TRUE())),_slice!H81,"外")</f>
        <v>44.9315373563218</v>
      </c>
      <c r="I30" s="50" t="n">
        <f aca="false">IF(AND(_slice!$H$5=1,I$13&gt;=_slice!$H$6-0.000000001,I$13&lt;=_slice!$I$6+0.000000001,$B30&gt;=_slice!$H$7-0.000000001,$B30&lt;=_slice!$I$7+0.000000001,IF(01_因子設定!$B$20="Box-Behnken",I$13^2+$B30^2+_slice!$H$8&lt;=2+0.000000001,TRUE())),_slice!I81,"外")</f>
        <v>45.3638333333333</v>
      </c>
      <c r="J30" s="50" t="n">
        <f aca="false">IF(AND(_slice!$H$5=1,J$13&gt;=_slice!$H$6-0.000000001,J$13&lt;=_slice!$I$6+0.000000001,$B30&gt;=_slice!$H$7-0.000000001,$B30&lt;=_slice!$I$7+0.000000001,IF(01_因子設定!$B$20="Box-Behnken",J$13^2+$B30^2+_slice!$H$8&lt;=2+0.000000001,TRUE())),_slice!J81,"外")</f>
        <v>45.7412672413793</v>
      </c>
      <c r="K30" s="50" t="n">
        <f aca="false">IF(AND(_slice!$H$5=1,K$13&gt;=_slice!$H$6-0.000000001,K$13&lt;=_slice!$I$6+0.000000001,$B30&gt;=_slice!$H$7-0.000000001,$B30&lt;=_slice!$I$7+0.000000001,IF(01_因子設定!$B$20="Box-Behnken",K$13^2+$B30^2+_slice!$H$8&lt;=2+0.000000001,TRUE())),_slice!K81,"外")</f>
        <v>46.0638390804598</v>
      </c>
      <c r="L30" s="50" t="n">
        <f aca="false">IF(AND(_slice!$H$5=1,L$13&gt;=_slice!$H$6-0.000000001,L$13&lt;=_slice!$I$6+0.000000001,$B30&gt;=_slice!$H$7-0.000000001,$B30&lt;=_slice!$I$7+0.000000001,IF(01_因子設定!$B$20="Box-Behnken",L$13^2+$B30^2+_slice!$H$8&lt;=2+0.000000001,TRUE())),_slice!L81,"外")</f>
        <v>46.3315488505747</v>
      </c>
      <c r="M30" s="50" t="n">
        <f aca="false">IF(AND(_slice!$H$5=1,M$13&gt;=_slice!$H$6-0.000000001,M$13&lt;=_slice!$I$6+0.000000001,$B30&gt;=_slice!$H$7-0.000000001,$B30&lt;=_slice!$I$7+0.000000001,IF(01_因子設定!$B$20="Box-Behnken",M$13^2+$B30^2+_slice!$H$8&lt;=2+0.000000001,TRUE())),_slice!M81,"外")</f>
        <v>46.5443965517241</v>
      </c>
      <c r="N30" s="50" t="n">
        <f aca="false">IF(AND(_slice!$H$5=1,N$13&gt;=_slice!$H$6-0.000000001,N$13&lt;=_slice!$I$6+0.000000001,$B30&gt;=_slice!$H$7-0.000000001,$B30&lt;=_slice!$I$7+0.000000001,IF(01_因子設定!$B$20="Box-Behnken",N$13^2+$B30^2+_slice!$H$8&lt;=2+0.000000001,TRUE())),_slice!N81,"外")</f>
        <v>46.702382183908</v>
      </c>
      <c r="O30" s="50" t="n">
        <f aca="false">IF(AND(_slice!$H$5=1,O$13&gt;=_slice!$H$6-0.000000001,O$13&lt;=_slice!$I$6+0.000000001,$B30&gt;=_slice!$H$7-0.000000001,$B30&lt;=_slice!$I$7+0.000000001,IF(01_因子設定!$B$20="Box-Behnken",O$13^2+$B30^2+_slice!$H$8&lt;=2+0.000000001,TRUE())),_slice!O81,"外")</f>
        <v>46.8055057471264</v>
      </c>
      <c r="P30" s="50" t="n">
        <f aca="false">IF(AND(_slice!$H$5=1,P$13&gt;=_slice!$H$6-0.000000001,P$13&lt;=_slice!$I$6+0.000000001,$B30&gt;=_slice!$H$7-0.000000001,$B30&lt;=_slice!$I$7+0.000000001,IF(01_因子設定!$B$20="Box-Behnken",P$13^2+$B30^2+_slice!$H$8&lt;=2+0.000000001,TRUE())),_slice!P81,"外")</f>
        <v>46.8537672413793</v>
      </c>
      <c r="Q30" s="50" t="n">
        <f aca="false">IF(AND(_slice!$H$5=1,Q$13&gt;=_slice!$H$6-0.000000001,Q$13&lt;=_slice!$I$6+0.000000001,$B30&gt;=_slice!$H$7-0.000000001,$B30&lt;=_slice!$I$7+0.000000001,IF(01_因子設定!$B$20="Box-Behnken",Q$13^2+$B30^2+_slice!$H$8&lt;=2+0.000000001,TRUE())),_slice!Q81,"外")</f>
        <v>46.8471666666667</v>
      </c>
      <c r="R30" s="50" t="n">
        <f aca="false">IF(AND(_slice!$H$5=1,R$13&gt;=_slice!$H$6-0.000000001,R$13&lt;=_slice!$I$6+0.000000001,$B30&gt;=_slice!$H$7-0.000000001,$B30&lt;=_slice!$I$7+0.000000001,IF(01_因子設定!$B$20="Box-Behnken",R$13^2+$B30^2+_slice!$H$8&lt;=2+0.000000001,TRUE())),_slice!R81,"外")</f>
        <v>46.7857040229885</v>
      </c>
      <c r="S30" s="50" t="n">
        <f aca="false">IF(AND(_slice!$H$5=1,S$13&gt;=_slice!$H$6-0.000000001,S$13&lt;=_slice!$I$6+0.000000001,$B30&gt;=_slice!$H$7-0.000000001,$B30&lt;=_slice!$I$7+0.000000001,IF(01_因子設定!$B$20="Box-Behnken",S$13^2+$B30^2+_slice!$H$8&lt;=2+0.000000001,TRUE())),_slice!S81,"外")</f>
        <v>46.6693793103448</v>
      </c>
      <c r="T30" s="50" t="n">
        <f aca="false">IF(AND(_slice!$H$5=1,T$13&gt;=_slice!$H$6-0.000000001,T$13&lt;=_slice!$I$6+0.000000001,$B30&gt;=_slice!$H$7-0.000000001,$B30&lt;=_slice!$I$7+0.000000001,IF(01_因子設定!$B$20="Box-Behnken",T$13^2+$B30^2+_slice!$H$8&lt;=2+0.000000001,TRUE())),_slice!T81,"外")</f>
        <v>46.4981925287356</v>
      </c>
      <c r="U30" s="50" t="n">
        <f aca="false">IF(AND(_slice!$H$5=1,U$13&gt;=_slice!$H$6-0.000000001,U$13&lt;=_slice!$I$6+0.000000001,$B30&gt;=_slice!$H$7-0.000000001,$B30&lt;=_slice!$I$7+0.000000001,IF(01_因子設定!$B$20="Box-Behnken",U$13^2+$B30^2+_slice!$H$8&lt;=2+0.000000001,TRUE())),_slice!U81,"外")</f>
        <v>46.2721436781609</v>
      </c>
      <c r="V30" s="50" t="n">
        <f aca="false">IF(AND(_slice!$H$5=1,V$13&gt;=_slice!$H$6-0.000000001,V$13&lt;=_slice!$I$6+0.000000001,$B30&gt;=_slice!$H$7-0.000000001,$B30&lt;=_slice!$I$7+0.000000001,IF(01_因子設定!$B$20="Box-Behnken",V$13^2+$B30^2+_slice!$H$8&lt;=2+0.000000001,TRUE())),_slice!V81,"外")</f>
        <v>45.9912327586207</v>
      </c>
      <c r="W30" s="50" t="n">
        <f aca="false">IF(AND(_slice!$H$5=1,W$13&gt;=_slice!$H$6-0.000000001,W$13&lt;=_slice!$I$6+0.000000001,$B30&gt;=_slice!$H$7-0.000000001,$B30&lt;=_slice!$I$7+0.000000001,IF(01_因子設定!$B$20="Box-Behnken",W$13^2+$B30^2+_slice!$H$8&lt;=2+0.000000001,TRUE())),_slice!W81,"外")</f>
        <v>45.6554597701149</v>
      </c>
    </row>
    <row r="31" customFormat="false" ht="15" hidden="false" customHeight="false" outlineLevel="0" collapsed="false">
      <c r="A31" s="49" t="n">
        <f aca="false">INDEX(01_因子設定!$G$5:$G$6,$C$5)+B31*INDEX(01_因子設定!$H$5:$H$6,$C$5)</f>
        <v>24</v>
      </c>
      <c r="B31" s="49" t="n">
        <v>-0.6</v>
      </c>
      <c r="C31" s="50" t="n">
        <f aca="false">IF(AND(_slice!$H$5=1,C$13&gt;=_slice!$H$6-0.000000001,C$13&lt;=_slice!$I$6+0.000000001,$B31&gt;=_slice!$H$7-0.000000001,$B31&lt;=_slice!$I$7+0.000000001,IF(01_因子設定!$B$20="Box-Behnken",C$13^2+$B31^2+_slice!$H$8&lt;=2+0.000000001,TRUE())),_slice!C82,"外")</f>
        <v>41.6048850574712</v>
      </c>
      <c r="D31" s="50" t="n">
        <f aca="false">IF(AND(_slice!$H$5=1,D$13&gt;=_slice!$H$6-0.000000001,D$13&lt;=_slice!$I$6+0.000000001,$B31&gt;=_slice!$H$7-0.000000001,$B31&lt;=_slice!$I$7+0.000000001,IF(01_因子設定!$B$20="Box-Behnken",D$13^2+$B31^2+_slice!$H$8&lt;=2+0.000000001,TRUE())),_slice!D82,"外")</f>
        <v>42.3062413793103</v>
      </c>
      <c r="E31" s="50" t="n">
        <f aca="false">IF(AND(_slice!$H$5=1,E$13&gt;=_slice!$H$6-0.000000001,E$13&lt;=_slice!$I$6+0.000000001,$B31&gt;=_slice!$H$7-0.000000001,$B31&lt;=_slice!$I$7+0.000000001,IF(01_因子設定!$B$20="Box-Behnken",E$13^2+$B31^2+_slice!$H$8&lt;=2+0.000000001,TRUE())),_slice!E82,"外")</f>
        <v>42.9527356321839</v>
      </c>
      <c r="F31" s="50" t="n">
        <f aca="false">IF(AND(_slice!$H$5=1,F$13&gt;=_slice!$H$6-0.000000001,F$13&lt;=_slice!$I$6+0.000000001,$B31&gt;=_slice!$H$7-0.000000001,$B31&lt;=_slice!$I$7+0.000000001,IF(01_因子設定!$B$20="Box-Behnken",F$13^2+$B31^2+_slice!$H$8&lt;=2+0.000000001,TRUE())),_slice!F82,"外")</f>
        <v>43.5443678160919</v>
      </c>
      <c r="G31" s="50" t="n">
        <f aca="false">IF(AND(_slice!$H$5=1,G$13&gt;=_slice!$H$6-0.000000001,G$13&lt;=_slice!$I$6+0.000000001,$B31&gt;=_slice!$H$7-0.000000001,$B31&lt;=_slice!$I$7+0.000000001,IF(01_因子設定!$B$20="Box-Behnken",G$13^2+$B31^2+_slice!$H$8&lt;=2+0.000000001,TRUE())),_slice!G82,"外")</f>
        <v>44.0811379310345</v>
      </c>
      <c r="H31" s="50" t="n">
        <f aca="false">IF(AND(_slice!$H$5=1,H$13&gt;=_slice!$H$6-0.000000001,H$13&lt;=_slice!$I$6+0.000000001,$B31&gt;=_slice!$H$7-0.000000001,$B31&lt;=_slice!$I$7+0.000000001,IF(01_因子設定!$B$20="Box-Behnken",H$13^2+$B31^2+_slice!$H$8&lt;=2+0.000000001,TRUE())),_slice!H82,"外")</f>
        <v>44.5630459770115</v>
      </c>
      <c r="I31" s="50" t="n">
        <f aca="false">IF(AND(_slice!$H$5=1,I$13&gt;=_slice!$H$6-0.000000001,I$13&lt;=_slice!$I$6+0.000000001,$B31&gt;=_slice!$H$7-0.000000001,$B31&lt;=_slice!$I$7+0.000000001,IF(01_因子設定!$B$20="Box-Behnken",I$13^2+$B31^2+_slice!$H$8&lt;=2+0.000000001,TRUE())),_slice!I82,"外")</f>
        <v>44.990091954023</v>
      </c>
      <c r="J31" s="50" t="n">
        <f aca="false">IF(AND(_slice!$H$5=1,J$13&gt;=_slice!$H$6-0.000000001,J$13&lt;=_slice!$I$6+0.000000001,$B31&gt;=_slice!$H$7-0.000000001,$B31&lt;=_slice!$I$7+0.000000001,IF(01_因子設定!$B$20="Box-Behnken",J$13^2+$B31^2+_slice!$H$8&lt;=2+0.000000001,TRUE())),_slice!J82,"外")</f>
        <v>45.362275862069</v>
      </c>
      <c r="K31" s="50" t="n">
        <f aca="false">IF(AND(_slice!$H$5=1,K$13&gt;=_slice!$H$6-0.000000001,K$13&lt;=_slice!$I$6+0.000000001,$B31&gt;=_slice!$H$7-0.000000001,$B31&lt;=_slice!$I$7+0.000000001,IF(01_因子設定!$B$20="Box-Behnken",K$13^2+$B31^2+_slice!$H$8&lt;=2+0.000000001,TRUE())),_slice!K82,"外")</f>
        <v>45.6795977011494</v>
      </c>
      <c r="L31" s="50" t="n">
        <f aca="false">IF(AND(_slice!$H$5=1,L$13&gt;=_slice!$H$6-0.000000001,L$13&lt;=_slice!$I$6+0.000000001,$B31&gt;=_slice!$H$7-0.000000001,$B31&lt;=_slice!$I$7+0.000000001,IF(01_因子設定!$B$20="Box-Behnken",L$13^2+$B31^2+_slice!$H$8&lt;=2+0.000000001,TRUE())),_slice!L82,"外")</f>
        <v>45.9420574712644</v>
      </c>
      <c r="M31" s="50" t="n">
        <f aca="false">IF(AND(_slice!$H$5=1,M$13&gt;=_slice!$H$6-0.000000001,M$13&lt;=_slice!$I$6+0.000000001,$B31&gt;=_slice!$H$7-0.000000001,$B31&lt;=_slice!$I$7+0.000000001,IF(01_因子設定!$B$20="Box-Behnken",M$13^2+$B31^2+_slice!$H$8&lt;=2+0.000000001,TRUE())),_slice!M82,"外")</f>
        <v>46.1496551724138</v>
      </c>
      <c r="N31" s="50" t="n">
        <f aca="false">IF(AND(_slice!$H$5=1,N$13&gt;=_slice!$H$6-0.000000001,N$13&lt;=_slice!$I$6+0.000000001,$B31&gt;=_slice!$H$7-0.000000001,$B31&lt;=_slice!$I$7+0.000000001,IF(01_因子設定!$B$20="Box-Behnken",N$13^2+$B31^2+_slice!$H$8&lt;=2+0.000000001,TRUE())),_slice!N82,"外")</f>
        <v>46.3023908045977</v>
      </c>
      <c r="O31" s="50" t="n">
        <f aca="false">IF(AND(_slice!$H$5=1,O$13&gt;=_slice!$H$6-0.000000001,O$13&lt;=_slice!$I$6+0.000000001,$B31&gt;=_slice!$H$7-0.000000001,$B31&lt;=_slice!$I$7+0.000000001,IF(01_因子設定!$B$20="Box-Behnken",O$13^2+$B31^2+_slice!$H$8&lt;=2+0.000000001,TRUE())),_slice!O82,"外")</f>
        <v>46.4002643678161</v>
      </c>
      <c r="P31" s="50" t="n">
        <f aca="false">IF(AND(_slice!$H$5=1,P$13&gt;=_slice!$H$6-0.000000001,P$13&lt;=_slice!$I$6+0.000000001,$B31&gt;=_slice!$H$7-0.000000001,$B31&lt;=_slice!$I$7+0.000000001,IF(01_因子設定!$B$20="Box-Behnken",P$13^2+$B31^2+_slice!$H$8&lt;=2+0.000000001,TRUE())),_slice!P82,"外")</f>
        <v>46.443275862069</v>
      </c>
      <c r="Q31" s="50" t="n">
        <f aca="false">IF(AND(_slice!$H$5=1,Q$13&gt;=_slice!$H$6-0.000000001,Q$13&lt;=_slice!$I$6+0.000000001,$B31&gt;=_slice!$H$7-0.000000001,$B31&lt;=_slice!$I$7+0.000000001,IF(01_因子設定!$B$20="Box-Behnken",Q$13^2+$B31^2+_slice!$H$8&lt;=2+0.000000001,TRUE())),_slice!Q82,"外")</f>
        <v>46.4314252873563</v>
      </c>
      <c r="R31" s="50" t="n">
        <f aca="false">IF(AND(_slice!$H$5=1,R$13&gt;=_slice!$H$6-0.000000001,R$13&lt;=_slice!$I$6+0.000000001,$B31&gt;=_slice!$H$7-0.000000001,$B31&lt;=_slice!$I$7+0.000000001,IF(01_因子設定!$B$20="Box-Behnken",R$13^2+$B31^2+_slice!$H$8&lt;=2+0.000000001,TRUE())),_slice!R82,"外")</f>
        <v>46.3647126436782</v>
      </c>
      <c r="S31" s="50" t="n">
        <f aca="false">IF(AND(_slice!$H$5=1,S$13&gt;=_slice!$H$6-0.000000001,S$13&lt;=_slice!$I$6+0.000000001,$B31&gt;=_slice!$H$7-0.000000001,$B31&lt;=_slice!$I$7+0.000000001,IF(01_因子設定!$B$20="Box-Behnken",S$13^2+$B31^2+_slice!$H$8&lt;=2+0.000000001,TRUE())),_slice!S82,"外")</f>
        <v>46.2431379310345</v>
      </c>
      <c r="T31" s="50" t="n">
        <f aca="false">IF(AND(_slice!$H$5=1,T$13&gt;=_slice!$H$6-0.000000001,T$13&lt;=_slice!$I$6+0.000000001,$B31&gt;=_slice!$H$7-0.000000001,$B31&lt;=_slice!$I$7+0.000000001,IF(01_因子設定!$B$20="Box-Behnken",T$13^2+$B31^2+_slice!$H$8&lt;=2+0.000000001,TRUE())),_slice!T82,"外")</f>
        <v>46.0667011494253</v>
      </c>
      <c r="U31" s="50" t="n">
        <f aca="false">IF(AND(_slice!$H$5=1,U$13&gt;=_slice!$H$6-0.000000001,U$13&lt;=_slice!$I$6+0.000000001,$B31&gt;=_slice!$H$7-0.000000001,$B31&lt;=_slice!$I$7+0.000000001,IF(01_因子設定!$B$20="Box-Behnken",U$13^2+$B31^2+_slice!$H$8&lt;=2+0.000000001,TRUE())),_slice!U82,"外")</f>
        <v>45.8354022988506</v>
      </c>
      <c r="V31" s="50" t="n">
        <f aca="false">IF(AND(_slice!$H$5=1,V$13&gt;=_slice!$H$6-0.000000001,V$13&lt;=_slice!$I$6+0.000000001,$B31&gt;=_slice!$H$7-0.000000001,$B31&lt;=_slice!$I$7+0.000000001,IF(01_因子設定!$B$20="Box-Behnken",V$13^2+$B31^2+_slice!$H$8&lt;=2+0.000000001,TRUE())),_slice!V82,"外")</f>
        <v>45.5492413793103</v>
      </c>
      <c r="W31" s="50" t="n">
        <f aca="false">IF(AND(_slice!$H$5=1,W$13&gt;=_slice!$H$6-0.000000001,W$13&lt;=_slice!$I$6+0.000000001,$B31&gt;=_slice!$H$7-0.000000001,$B31&lt;=_slice!$I$7+0.000000001,IF(01_因子設定!$B$20="Box-Behnken",W$13^2+$B31^2+_slice!$H$8&lt;=2+0.000000001,TRUE())),_slice!W82,"外")</f>
        <v>45.2082183908046</v>
      </c>
    </row>
    <row r="32" customFormat="false" ht="15" hidden="false" customHeight="false" outlineLevel="0" collapsed="false">
      <c r="A32" s="49" t="n">
        <f aca="false">INDEX(01_因子設定!$G$5:$G$6,$C$5)+B32*INDEX(01_因子設定!$H$5:$H$6,$C$5)</f>
        <v>23</v>
      </c>
      <c r="B32" s="49" t="n">
        <v>-0.7</v>
      </c>
      <c r="C32" s="50" t="n">
        <f aca="false">IF(AND(_slice!$H$5=1,C$13&gt;=_slice!$H$6-0.000000001,C$13&lt;=_slice!$I$6+0.000000001,$B32&gt;=_slice!$H$7-0.000000001,$B32&lt;=_slice!$I$7+0.000000001,IF(01_因子設定!$B$20="Box-Behnken",C$13^2+$B32^2+_slice!$H$8&lt;=2+0.000000001,TRUE())),_slice!C83,"外")</f>
        <v>41.2317816091954</v>
      </c>
      <c r="D32" s="50" t="n">
        <f aca="false">IF(AND(_slice!$H$5=1,D$13&gt;=_slice!$H$6-0.000000001,D$13&lt;=_slice!$I$6+0.000000001,$B32&gt;=_slice!$H$7-0.000000001,$B32&lt;=_slice!$I$7+0.000000001,IF(01_因子設定!$B$20="Box-Behnken",D$13^2+$B32^2+_slice!$H$8&lt;=2+0.000000001,TRUE())),_slice!D83,"外")</f>
        <v>41.9278879310345</v>
      </c>
      <c r="E32" s="50" t="n">
        <f aca="false">IF(AND(_slice!$H$5=1,E$13&gt;=_slice!$H$6-0.000000001,E$13&lt;=_slice!$I$6+0.000000001,$B32&gt;=_slice!$H$7-0.000000001,$B32&lt;=_slice!$I$7+0.000000001,IF(01_因子設定!$B$20="Box-Behnken",E$13^2+$B32^2+_slice!$H$8&lt;=2+0.000000001,TRUE())),_slice!E83,"外")</f>
        <v>42.569132183908</v>
      </c>
      <c r="F32" s="50" t="n">
        <f aca="false">IF(AND(_slice!$H$5=1,F$13&gt;=_slice!$H$6-0.000000001,F$13&lt;=_slice!$I$6+0.000000001,$B32&gt;=_slice!$H$7-0.000000001,$B32&lt;=_slice!$I$7+0.000000001,IF(01_因子設定!$B$20="Box-Behnken",F$13^2+$B32^2+_slice!$H$8&lt;=2+0.000000001,TRUE())),_slice!F83,"外")</f>
        <v>43.1555143678161</v>
      </c>
      <c r="G32" s="50" t="n">
        <f aca="false">IF(AND(_slice!$H$5=1,G$13&gt;=_slice!$H$6-0.000000001,G$13&lt;=_slice!$I$6+0.000000001,$B32&gt;=_slice!$H$7-0.000000001,$B32&lt;=_slice!$I$7+0.000000001,IF(01_因子設定!$B$20="Box-Behnken",G$13^2+$B32^2+_slice!$H$8&lt;=2+0.000000001,TRUE())),_slice!G83,"外")</f>
        <v>43.6870344827586</v>
      </c>
      <c r="H32" s="50" t="n">
        <f aca="false">IF(AND(_slice!$H$5=1,H$13&gt;=_slice!$H$6-0.000000001,H$13&lt;=_slice!$I$6+0.000000001,$B32&gt;=_slice!$H$7-0.000000001,$B32&lt;=_slice!$I$7+0.000000001,IF(01_因子設定!$B$20="Box-Behnken",H$13^2+$B32^2+_slice!$H$8&lt;=2+0.000000001,TRUE())),_slice!H83,"外")</f>
        <v>44.1636925287356</v>
      </c>
      <c r="I32" s="50" t="n">
        <f aca="false">IF(AND(_slice!$H$5=1,I$13&gt;=_slice!$H$6-0.000000001,I$13&lt;=_slice!$I$6+0.000000001,$B32&gt;=_slice!$H$7-0.000000001,$B32&lt;=_slice!$I$7+0.000000001,IF(01_因子設定!$B$20="Box-Behnken",I$13^2+$B32^2+_slice!$H$8&lt;=2+0.000000001,TRUE())),_slice!I83,"外")</f>
        <v>44.5854885057471</v>
      </c>
      <c r="J32" s="50" t="n">
        <f aca="false">IF(AND(_slice!$H$5=1,J$13&gt;=_slice!$H$6-0.000000001,J$13&lt;=_slice!$I$6+0.000000001,$B32&gt;=_slice!$H$7-0.000000001,$B32&lt;=_slice!$I$7+0.000000001,IF(01_因子設定!$B$20="Box-Behnken",J$13^2+$B32^2+_slice!$H$8&lt;=2+0.000000001,TRUE())),_slice!J83,"外")</f>
        <v>44.9524224137931</v>
      </c>
      <c r="K32" s="50" t="n">
        <f aca="false">IF(AND(_slice!$H$5=1,K$13&gt;=_slice!$H$6-0.000000001,K$13&lt;=_slice!$I$6+0.000000001,$B32&gt;=_slice!$H$7-0.000000001,$B32&lt;=_slice!$I$7+0.000000001,IF(01_因子設定!$B$20="Box-Behnken",K$13^2+$B32^2+_slice!$H$8&lt;=2+0.000000001,TRUE())),_slice!K83,"外")</f>
        <v>45.2644942528736</v>
      </c>
      <c r="L32" s="50" t="n">
        <f aca="false">IF(AND(_slice!$H$5=1,L$13&gt;=_slice!$H$6-0.000000001,L$13&lt;=_slice!$I$6+0.000000001,$B32&gt;=_slice!$H$7-0.000000001,$B32&lt;=_slice!$I$7+0.000000001,IF(01_因子設定!$B$20="Box-Behnken",L$13^2+$B32^2+_slice!$H$8&lt;=2+0.000000001,TRUE())),_slice!L83,"外")</f>
        <v>45.5217040229885</v>
      </c>
      <c r="M32" s="50" t="n">
        <f aca="false">IF(AND(_slice!$H$5=1,M$13&gt;=_slice!$H$6-0.000000001,M$13&lt;=_slice!$I$6+0.000000001,$B32&gt;=_slice!$H$7-0.000000001,$B32&lt;=_slice!$I$7+0.000000001,IF(01_因子設定!$B$20="Box-Behnken",M$13^2+$B32^2+_slice!$H$8&lt;=2+0.000000001,TRUE())),_slice!M83,"外")</f>
        <v>45.7240517241379</v>
      </c>
      <c r="N32" s="50" t="n">
        <f aca="false">IF(AND(_slice!$H$5=1,N$13&gt;=_slice!$H$6-0.000000001,N$13&lt;=_slice!$I$6+0.000000001,$B32&gt;=_slice!$H$7-0.000000001,$B32&lt;=_slice!$I$7+0.000000001,IF(01_因子設定!$B$20="Box-Behnken",N$13^2+$B32^2+_slice!$H$8&lt;=2+0.000000001,TRUE())),_slice!N83,"外")</f>
        <v>45.8715373563218</v>
      </c>
      <c r="O32" s="50" t="n">
        <f aca="false">IF(AND(_slice!$H$5=1,O$13&gt;=_slice!$H$6-0.000000001,O$13&lt;=_slice!$I$6+0.000000001,$B32&gt;=_slice!$H$7-0.000000001,$B32&lt;=_slice!$I$7+0.000000001,IF(01_因子設定!$B$20="Box-Behnken",O$13^2+$B32^2+_slice!$H$8&lt;=2+0.000000001,TRUE())),_slice!O83,"外")</f>
        <v>45.9641609195402</v>
      </c>
      <c r="P32" s="50" t="n">
        <f aca="false">IF(AND(_slice!$H$5=1,P$13&gt;=_slice!$H$6-0.000000001,P$13&lt;=_slice!$I$6+0.000000001,$B32&gt;=_slice!$H$7-0.000000001,$B32&lt;=_slice!$I$7+0.000000001,IF(01_因子設定!$B$20="Box-Behnken",P$13^2+$B32^2+_slice!$H$8&lt;=2+0.000000001,TRUE())),_slice!P83,"外")</f>
        <v>46.0019224137931</v>
      </c>
      <c r="Q32" s="50" t="n">
        <f aca="false">IF(AND(_slice!$H$5=1,Q$13&gt;=_slice!$H$6-0.000000001,Q$13&lt;=_slice!$I$6+0.000000001,$B32&gt;=_slice!$H$7-0.000000001,$B32&lt;=_slice!$I$7+0.000000001,IF(01_因子設定!$B$20="Box-Behnken",Q$13^2+$B32^2+_slice!$H$8&lt;=2+0.000000001,TRUE())),_slice!Q83,"外")</f>
        <v>45.9848218390805</v>
      </c>
      <c r="R32" s="50" t="n">
        <f aca="false">IF(AND(_slice!$H$5=1,R$13&gt;=_slice!$H$6-0.000000001,R$13&lt;=_slice!$I$6+0.000000001,$B32&gt;=_slice!$H$7-0.000000001,$B32&lt;=_slice!$I$7+0.000000001,IF(01_因子設定!$B$20="Box-Behnken",R$13^2+$B32^2+_slice!$H$8&lt;=2+0.000000001,TRUE())),_slice!R83,"外")</f>
        <v>45.9128591954023</v>
      </c>
      <c r="S32" s="50" t="n">
        <f aca="false">IF(AND(_slice!$H$5=1,S$13&gt;=_slice!$H$6-0.000000001,S$13&lt;=_slice!$I$6+0.000000001,$B32&gt;=_slice!$H$7-0.000000001,$B32&lt;=_slice!$I$7+0.000000001,IF(01_因子設定!$B$20="Box-Behnken",S$13^2+$B32^2+_slice!$H$8&lt;=2+0.000000001,TRUE())),_slice!S83,"外")</f>
        <v>45.7860344827586</v>
      </c>
      <c r="T32" s="50" t="n">
        <f aca="false">IF(AND(_slice!$H$5=1,T$13&gt;=_slice!$H$6-0.000000001,T$13&lt;=_slice!$I$6+0.000000001,$B32&gt;=_slice!$H$7-0.000000001,$B32&lt;=_slice!$I$7+0.000000001,IF(01_因子設定!$B$20="Box-Behnken",T$13^2+$B32^2+_slice!$H$8&lt;=2+0.000000001,TRUE())),_slice!T83,"外")</f>
        <v>45.6043477011494</v>
      </c>
      <c r="U32" s="50" t="n">
        <f aca="false">IF(AND(_slice!$H$5=1,U$13&gt;=_slice!$H$6-0.000000001,U$13&lt;=_slice!$I$6+0.000000001,$B32&gt;=_slice!$H$7-0.000000001,$B32&lt;=_slice!$I$7+0.000000001,IF(01_因子設定!$B$20="Box-Behnken",U$13^2+$B32^2+_slice!$H$8&lt;=2+0.000000001,TRUE())),_slice!U83,"外")</f>
        <v>45.3677988505747</v>
      </c>
      <c r="V32" s="50" t="n">
        <f aca="false">IF(AND(_slice!$H$5=1,V$13&gt;=_slice!$H$6-0.000000001,V$13&lt;=_slice!$I$6+0.000000001,$B32&gt;=_slice!$H$7-0.000000001,$B32&lt;=_slice!$I$7+0.000000001,IF(01_因子設定!$B$20="Box-Behnken",V$13^2+$B32^2+_slice!$H$8&lt;=2+0.000000001,TRUE())),_slice!V83,"外")</f>
        <v>45.0763879310345</v>
      </c>
      <c r="W32" s="50" t="n">
        <f aca="false">IF(AND(_slice!$H$5=1,W$13&gt;=_slice!$H$6-0.000000001,W$13&lt;=_slice!$I$6+0.000000001,$B32&gt;=_slice!$H$7-0.000000001,$B32&lt;=_slice!$I$7+0.000000001,IF(01_因子設定!$B$20="Box-Behnken",W$13^2+$B32^2+_slice!$H$8&lt;=2+0.000000001,TRUE())),_slice!W83,"外")</f>
        <v>44.7301149425287</v>
      </c>
    </row>
    <row r="33" customFormat="false" ht="15" hidden="false" customHeight="false" outlineLevel="0" collapsed="false">
      <c r="A33" s="49" t="n">
        <f aca="false">INDEX(01_因子設定!$G$5:$G$6,$C$5)+B33*INDEX(01_因子設定!$H$5:$H$6,$C$5)</f>
        <v>22</v>
      </c>
      <c r="B33" s="49" t="n">
        <v>-0.8</v>
      </c>
      <c r="C33" s="50" t="n">
        <f aca="false">IF(AND(_slice!$H$5=1,C$13&gt;=_slice!$H$6-0.000000001,C$13&lt;=_slice!$I$6+0.000000001,$B33&gt;=_slice!$H$7-0.000000001,$B33&lt;=_slice!$I$7+0.000000001,IF(01_因子設定!$B$20="Box-Behnken",C$13^2+$B33^2+_slice!$H$8&lt;=2+0.000000001,TRUE())),_slice!C84,"外")</f>
        <v>40.827816091954</v>
      </c>
      <c r="D33" s="50" t="n">
        <f aca="false">IF(AND(_slice!$H$5=1,D$13&gt;=_slice!$H$6-0.000000001,D$13&lt;=_slice!$I$6+0.000000001,$B33&gt;=_slice!$H$7-0.000000001,$B33&lt;=_slice!$I$7+0.000000001,IF(01_因子設定!$B$20="Box-Behnken",D$13^2+$B33^2+_slice!$H$8&lt;=2+0.000000001,TRUE())),_slice!D84,"外")</f>
        <v>41.5186724137931</v>
      </c>
      <c r="E33" s="50" t="n">
        <f aca="false">IF(AND(_slice!$H$5=1,E$13&gt;=_slice!$H$6-0.000000001,E$13&lt;=_slice!$I$6+0.000000001,$B33&gt;=_slice!$H$7-0.000000001,$B33&lt;=_slice!$I$7+0.000000001,IF(01_因子設定!$B$20="Box-Behnken",E$13^2+$B33^2+_slice!$H$8&lt;=2+0.000000001,TRUE())),_slice!E84,"外")</f>
        <v>42.1546666666667</v>
      </c>
      <c r="F33" s="50" t="n">
        <f aca="false">IF(AND(_slice!$H$5=1,F$13&gt;=_slice!$H$6-0.000000001,F$13&lt;=_slice!$I$6+0.000000001,$B33&gt;=_slice!$H$7-0.000000001,$B33&lt;=_slice!$I$7+0.000000001,IF(01_因子設定!$B$20="Box-Behnken",F$13^2+$B33^2+_slice!$H$8&lt;=2+0.000000001,TRUE())),_slice!F84,"外")</f>
        <v>42.7357988505747</v>
      </c>
      <c r="G33" s="50" t="n">
        <f aca="false">IF(AND(_slice!$H$5=1,G$13&gt;=_slice!$H$6-0.000000001,G$13&lt;=_slice!$I$6+0.000000001,$B33&gt;=_slice!$H$7-0.000000001,$B33&lt;=_slice!$I$7+0.000000001,IF(01_因子設定!$B$20="Box-Behnken",G$13^2+$B33^2+_slice!$H$8&lt;=2+0.000000001,TRUE())),_slice!G84,"外")</f>
        <v>43.2620689655172</v>
      </c>
      <c r="H33" s="50" t="n">
        <f aca="false">IF(AND(_slice!$H$5=1,H$13&gt;=_slice!$H$6-0.000000001,H$13&lt;=_slice!$I$6+0.000000001,$B33&gt;=_slice!$H$7-0.000000001,$B33&lt;=_slice!$I$7+0.000000001,IF(01_因子設定!$B$20="Box-Behnken",H$13^2+$B33^2+_slice!$H$8&lt;=2+0.000000001,TRUE())),_slice!H84,"外")</f>
        <v>43.7334770114942</v>
      </c>
      <c r="I33" s="50" t="n">
        <f aca="false">IF(AND(_slice!$H$5=1,I$13&gt;=_slice!$H$6-0.000000001,I$13&lt;=_slice!$I$6+0.000000001,$B33&gt;=_slice!$H$7-0.000000001,$B33&lt;=_slice!$I$7+0.000000001,IF(01_因子設定!$B$20="Box-Behnken",I$13^2+$B33^2+_slice!$H$8&lt;=2+0.000000001,TRUE())),_slice!I84,"外")</f>
        <v>44.1500229885058</v>
      </c>
      <c r="J33" s="50" t="n">
        <f aca="false">IF(AND(_slice!$H$5=1,J$13&gt;=_slice!$H$6-0.000000001,J$13&lt;=_slice!$I$6+0.000000001,$B33&gt;=_slice!$H$7-0.000000001,$B33&lt;=_slice!$I$7+0.000000001,IF(01_因子設定!$B$20="Box-Behnken",J$13^2+$B33^2+_slice!$H$8&lt;=2+0.000000001,TRUE())),_slice!J84,"外")</f>
        <v>44.5117068965517</v>
      </c>
      <c r="K33" s="50" t="n">
        <f aca="false">IF(AND(_slice!$H$5=1,K$13&gt;=_slice!$H$6-0.000000001,K$13&lt;=_slice!$I$6+0.000000001,$B33&gt;=_slice!$H$7-0.000000001,$B33&lt;=_slice!$I$7+0.000000001,IF(01_因子設定!$B$20="Box-Behnken",K$13^2+$B33^2+_slice!$H$8&lt;=2+0.000000001,TRUE())),_slice!K84,"外")</f>
        <v>44.8185287356322</v>
      </c>
      <c r="L33" s="50" t="n">
        <f aca="false">IF(AND(_slice!$H$5=1,L$13&gt;=_slice!$H$6-0.000000001,L$13&lt;=_slice!$I$6+0.000000001,$B33&gt;=_slice!$H$7-0.000000001,$B33&lt;=_slice!$I$7+0.000000001,IF(01_因子設定!$B$20="Box-Behnken",L$13^2+$B33^2+_slice!$H$8&lt;=2+0.000000001,TRUE())),_slice!L84,"外")</f>
        <v>45.0704885057471</v>
      </c>
      <c r="M33" s="50" t="n">
        <f aca="false">IF(AND(_slice!$H$5=1,M$13&gt;=_slice!$H$6-0.000000001,M$13&lt;=_slice!$I$6+0.000000001,$B33&gt;=_slice!$H$7-0.000000001,$B33&lt;=_slice!$I$7+0.000000001,IF(01_因子設定!$B$20="Box-Behnken",M$13^2+$B33^2+_slice!$H$8&lt;=2+0.000000001,TRUE())),_slice!M84,"外")</f>
        <v>45.2675862068966</v>
      </c>
      <c r="N33" s="50" t="n">
        <f aca="false">IF(AND(_slice!$H$5=1,N$13&gt;=_slice!$H$6-0.000000001,N$13&lt;=_slice!$I$6+0.000000001,$B33&gt;=_slice!$H$7-0.000000001,$B33&lt;=_slice!$I$7+0.000000001,IF(01_因子設定!$B$20="Box-Behnken",N$13^2+$B33^2+_slice!$H$8&lt;=2+0.000000001,TRUE())),_slice!N84,"外")</f>
        <v>45.4098218390805</v>
      </c>
      <c r="O33" s="50" t="n">
        <f aca="false">IF(AND(_slice!$H$5=1,O$13&gt;=_slice!$H$6-0.000000001,O$13&lt;=_slice!$I$6+0.000000001,$B33&gt;=_slice!$H$7-0.000000001,$B33&lt;=_slice!$I$7+0.000000001,IF(01_因子設定!$B$20="Box-Behnken",O$13^2+$B33^2+_slice!$H$8&lt;=2+0.000000001,TRUE())),_slice!O84,"外")</f>
        <v>45.4971954022989</v>
      </c>
      <c r="P33" s="50" t="n">
        <f aca="false">IF(AND(_slice!$H$5=1,P$13&gt;=_slice!$H$6-0.000000001,P$13&lt;=_slice!$I$6+0.000000001,$B33&gt;=_slice!$H$7-0.000000001,$B33&lt;=_slice!$I$7+0.000000001,IF(01_因子設定!$B$20="Box-Behnken",P$13^2+$B33^2+_slice!$H$8&lt;=2+0.000000001,TRUE())),_slice!P84,"外")</f>
        <v>45.5297068965517</v>
      </c>
      <c r="Q33" s="50" t="n">
        <f aca="false">IF(AND(_slice!$H$5=1,Q$13&gt;=_slice!$H$6-0.000000001,Q$13&lt;=_slice!$I$6+0.000000001,$B33&gt;=_slice!$H$7-0.000000001,$B33&lt;=_slice!$I$7+0.000000001,IF(01_因子設定!$B$20="Box-Behnken",Q$13^2+$B33^2+_slice!$H$8&lt;=2+0.000000001,TRUE())),_slice!Q84,"外")</f>
        <v>45.5073563218391</v>
      </c>
      <c r="R33" s="50" t="n">
        <f aca="false">IF(AND(_slice!$H$5=1,R$13&gt;=_slice!$H$6-0.000000001,R$13&lt;=_slice!$I$6+0.000000001,$B33&gt;=_slice!$H$7-0.000000001,$B33&lt;=_slice!$I$7+0.000000001,IF(01_因子設定!$B$20="Box-Behnken",R$13^2+$B33^2+_slice!$H$8&lt;=2+0.000000001,TRUE())),_slice!R84,"外")</f>
        <v>45.4301436781609</v>
      </c>
      <c r="S33" s="50" t="n">
        <f aca="false">IF(AND(_slice!$H$5=1,S$13&gt;=_slice!$H$6-0.000000001,S$13&lt;=_slice!$I$6+0.000000001,$B33&gt;=_slice!$H$7-0.000000001,$B33&lt;=_slice!$I$7+0.000000001,IF(01_因子設定!$B$20="Box-Behnken",S$13^2+$B33^2+_slice!$H$8&lt;=2+0.000000001,TRUE())),_slice!S84,"外")</f>
        <v>45.2980689655172</v>
      </c>
      <c r="T33" s="50" t="n">
        <f aca="false">IF(AND(_slice!$H$5=1,T$13&gt;=_slice!$H$6-0.000000001,T$13&lt;=_slice!$I$6+0.000000001,$B33&gt;=_slice!$H$7-0.000000001,$B33&lt;=_slice!$I$7+0.000000001,IF(01_因子設定!$B$20="Box-Behnken",T$13^2+$B33^2+_slice!$H$8&lt;=2+0.000000001,TRUE())),_slice!T84,"外")</f>
        <v>45.111132183908</v>
      </c>
      <c r="U33" s="50" t="n">
        <f aca="false">IF(AND(_slice!$H$5=1,U$13&gt;=_slice!$H$6-0.000000001,U$13&lt;=_slice!$I$6+0.000000001,$B33&gt;=_slice!$H$7-0.000000001,$B33&lt;=_slice!$I$7+0.000000001,IF(01_因子設定!$B$20="Box-Behnken",U$13^2+$B33^2+_slice!$H$8&lt;=2+0.000000001,TRUE())),_slice!U84,"外")</f>
        <v>44.8693333333333</v>
      </c>
      <c r="V33" s="50" t="n">
        <f aca="false">IF(AND(_slice!$H$5=1,V$13&gt;=_slice!$H$6-0.000000001,V$13&lt;=_slice!$I$6+0.000000001,$B33&gt;=_slice!$H$7-0.000000001,$B33&lt;=_slice!$I$7+0.000000001,IF(01_因子設定!$B$20="Box-Behnken",V$13^2+$B33^2+_slice!$H$8&lt;=2+0.000000001,TRUE())),_slice!V84,"外")</f>
        <v>44.5726724137931</v>
      </c>
      <c r="W33" s="50" t="n">
        <f aca="false">IF(AND(_slice!$H$5=1,W$13&gt;=_slice!$H$6-0.000000001,W$13&lt;=_slice!$I$6+0.000000001,$B33&gt;=_slice!$H$7-0.000000001,$B33&lt;=_slice!$I$7+0.000000001,IF(01_因子設定!$B$20="Box-Behnken",W$13^2+$B33^2+_slice!$H$8&lt;=2+0.000000001,TRUE())),_slice!W84,"外")</f>
        <v>44.2211494252873</v>
      </c>
    </row>
    <row r="34" customFormat="false" ht="15" hidden="false" customHeight="false" outlineLevel="0" collapsed="false">
      <c r="A34" s="49" t="n">
        <f aca="false">INDEX(01_因子設定!$G$5:$G$6,$C$5)+B34*INDEX(01_因子設定!$H$5:$H$6,$C$5)</f>
        <v>21</v>
      </c>
      <c r="B34" s="49" t="n">
        <v>-0.9</v>
      </c>
      <c r="C34" s="50" t="n">
        <f aca="false">IF(AND(_slice!$H$5=1,C$13&gt;=_slice!$H$6-0.000000001,C$13&lt;=_slice!$I$6+0.000000001,$B34&gt;=_slice!$H$7-0.000000001,$B34&lt;=_slice!$I$7+0.000000001,IF(01_因子設定!$B$20="Box-Behnken",C$13^2+$B34^2+_slice!$H$8&lt;=2+0.000000001,TRUE())),_slice!C85,"外")</f>
        <v>40.3929885057471</v>
      </c>
      <c r="D34" s="50" t="n">
        <f aca="false">IF(AND(_slice!$H$5=1,D$13&gt;=_slice!$H$6-0.000000001,D$13&lt;=_slice!$I$6+0.000000001,$B34&gt;=_slice!$H$7-0.000000001,$B34&lt;=_slice!$I$7+0.000000001,IF(01_因子設定!$B$20="Box-Behnken",D$13^2+$B34^2+_slice!$H$8&lt;=2+0.000000001,TRUE())),_slice!D85,"外")</f>
        <v>41.0785948275862</v>
      </c>
      <c r="E34" s="50" t="n">
        <f aca="false">IF(AND(_slice!$H$5=1,E$13&gt;=_slice!$H$6-0.000000001,E$13&lt;=_slice!$I$6+0.000000001,$B34&gt;=_slice!$H$7-0.000000001,$B34&lt;=_slice!$I$7+0.000000001,IF(01_因子設定!$B$20="Box-Behnken",E$13^2+$B34^2+_slice!$H$8&lt;=2+0.000000001,TRUE())),_slice!E85,"外")</f>
        <v>41.7093390804598</v>
      </c>
      <c r="F34" s="50" t="n">
        <f aca="false">IF(AND(_slice!$H$5=1,F$13&gt;=_slice!$H$6-0.000000001,F$13&lt;=_slice!$I$6+0.000000001,$B34&gt;=_slice!$H$7-0.000000001,$B34&lt;=_slice!$I$7+0.000000001,IF(01_因子設定!$B$20="Box-Behnken",F$13^2+$B34^2+_slice!$H$8&lt;=2+0.000000001,TRUE())),_slice!F85,"外")</f>
        <v>42.2852212643678</v>
      </c>
      <c r="G34" s="50" t="n">
        <f aca="false">IF(AND(_slice!$H$5=1,G$13&gt;=_slice!$H$6-0.000000001,G$13&lt;=_slice!$I$6+0.000000001,$B34&gt;=_slice!$H$7-0.000000001,$B34&lt;=_slice!$I$7+0.000000001,IF(01_因子設定!$B$20="Box-Behnken",G$13^2+$B34^2+_slice!$H$8&lt;=2+0.000000001,TRUE())),_slice!G85,"外")</f>
        <v>42.8062413793103</v>
      </c>
      <c r="H34" s="50" t="n">
        <f aca="false">IF(AND(_slice!$H$5=1,H$13&gt;=_slice!$H$6-0.000000001,H$13&lt;=_slice!$I$6+0.000000001,$B34&gt;=_slice!$H$7-0.000000001,$B34&lt;=_slice!$I$7+0.000000001,IF(01_因子設定!$B$20="Box-Behnken",H$13^2+$B34^2+_slice!$H$8&lt;=2+0.000000001,TRUE())),_slice!H85,"外")</f>
        <v>43.2723994252874</v>
      </c>
      <c r="I34" s="50" t="n">
        <f aca="false">IF(AND(_slice!$H$5=1,I$13&gt;=_slice!$H$6-0.000000001,I$13&lt;=_slice!$I$6+0.000000001,$B34&gt;=_slice!$H$7-0.000000001,$B34&lt;=_slice!$I$7+0.000000001,IF(01_因子設定!$B$20="Box-Behnken",I$13^2+$B34^2+_slice!$H$8&lt;=2+0.000000001,TRUE())),_slice!I85,"外")</f>
        <v>43.6836954022989</v>
      </c>
      <c r="J34" s="50" t="n">
        <f aca="false">IF(AND(_slice!$H$5=1,J$13&gt;=_slice!$H$6-0.000000001,J$13&lt;=_slice!$I$6+0.000000001,$B34&gt;=_slice!$H$7-0.000000001,$B34&lt;=_slice!$I$7+0.000000001,IF(01_因子設定!$B$20="Box-Behnken",J$13^2+$B34^2+_slice!$H$8&lt;=2+0.000000001,TRUE())),_slice!J85,"外")</f>
        <v>44.0401293103448</v>
      </c>
      <c r="K34" s="50" t="n">
        <f aca="false">IF(AND(_slice!$H$5=1,K$13&gt;=_slice!$H$6-0.000000001,K$13&lt;=_slice!$I$6+0.000000001,$B34&gt;=_slice!$H$7-0.000000001,$B34&lt;=_slice!$I$7+0.000000001,IF(01_因子設定!$B$20="Box-Behnken",K$13^2+$B34^2+_slice!$H$8&lt;=2+0.000000001,TRUE())),_slice!K85,"外")</f>
        <v>44.3417011494253</v>
      </c>
      <c r="L34" s="50" t="n">
        <f aca="false">IF(AND(_slice!$H$5=1,L$13&gt;=_slice!$H$6-0.000000001,L$13&lt;=_slice!$I$6+0.000000001,$B34&gt;=_slice!$H$7-0.000000001,$B34&lt;=_slice!$I$7+0.000000001,IF(01_因子設定!$B$20="Box-Behnken",L$13^2+$B34^2+_slice!$H$8&lt;=2+0.000000001,TRUE())),_slice!L85,"外")</f>
        <v>44.5884109195402</v>
      </c>
      <c r="M34" s="50" t="n">
        <f aca="false">IF(AND(_slice!$H$5=1,M$13&gt;=_slice!$H$6-0.000000001,M$13&lt;=_slice!$I$6+0.000000001,$B34&gt;=_slice!$H$7-0.000000001,$B34&lt;=_slice!$I$7+0.000000001,IF(01_因子設定!$B$20="Box-Behnken",M$13^2+$B34^2+_slice!$H$8&lt;=2+0.000000001,TRUE())),_slice!M85,"外")</f>
        <v>44.7802586206897</v>
      </c>
      <c r="N34" s="50" t="n">
        <f aca="false">IF(AND(_slice!$H$5=1,N$13&gt;=_slice!$H$6-0.000000001,N$13&lt;=_slice!$I$6+0.000000001,$B34&gt;=_slice!$H$7-0.000000001,$B34&lt;=_slice!$I$7+0.000000001,IF(01_因子設定!$B$20="Box-Behnken",N$13^2+$B34^2+_slice!$H$8&lt;=2+0.000000001,TRUE())),_slice!N85,"外")</f>
        <v>44.9172442528736</v>
      </c>
      <c r="O34" s="50" t="n">
        <f aca="false">IF(AND(_slice!$H$5=1,O$13&gt;=_slice!$H$6-0.000000001,O$13&lt;=_slice!$I$6+0.000000001,$B34&gt;=_slice!$H$7-0.000000001,$B34&lt;=_slice!$I$7+0.000000001,IF(01_因子設定!$B$20="Box-Behnken",O$13^2+$B34^2+_slice!$H$8&lt;=2+0.000000001,TRUE())),_slice!O85,"外")</f>
        <v>44.999367816092</v>
      </c>
      <c r="P34" s="50" t="n">
        <f aca="false">IF(AND(_slice!$H$5=1,P$13&gt;=_slice!$H$6-0.000000001,P$13&lt;=_slice!$I$6+0.000000001,$B34&gt;=_slice!$H$7-0.000000001,$B34&lt;=_slice!$I$7+0.000000001,IF(01_因子設定!$B$20="Box-Behnken",P$13^2+$B34^2+_slice!$H$8&lt;=2+0.000000001,TRUE())),_slice!P85,"外")</f>
        <v>45.0266293103448</v>
      </c>
      <c r="Q34" s="50" t="n">
        <f aca="false">IF(AND(_slice!$H$5=1,Q$13&gt;=_slice!$H$6-0.000000001,Q$13&lt;=_slice!$I$6+0.000000001,$B34&gt;=_slice!$H$7-0.000000001,$B34&lt;=_slice!$I$7+0.000000001,IF(01_因子設定!$B$20="Box-Behnken",Q$13^2+$B34^2+_slice!$H$8&lt;=2+0.000000001,TRUE())),_slice!Q85,"外")</f>
        <v>44.9990287356322</v>
      </c>
      <c r="R34" s="50" t="n">
        <f aca="false">IF(AND(_slice!$H$5=1,R$13&gt;=_slice!$H$6-0.000000001,R$13&lt;=_slice!$I$6+0.000000001,$B34&gt;=_slice!$H$7-0.000000001,$B34&lt;=_slice!$I$7+0.000000001,IF(01_因子設定!$B$20="Box-Behnken",R$13^2+$B34^2+_slice!$H$8&lt;=2+0.000000001,TRUE())),_slice!R85,"外")</f>
        <v>44.916566091954</v>
      </c>
      <c r="S34" s="50" t="n">
        <f aca="false">IF(AND(_slice!$H$5=1,S$13&gt;=_slice!$H$6-0.000000001,S$13&lt;=_slice!$I$6+0.000000001,$B34&gt;=_slice!$H$7-0.000000001,$B34&lt;=_slice!$I$7+0.000000001,IF(01_因子設定!$B$20="Box-Behnken",S$13^2+$B34^2+_slice!$H$8&lt;=2+0.000000001,TRUE())),_slice!S85,"外")</f>
        <v>44.7792413793104</v>
      </c>
      <c r="T34" s="50" t="n">
        <f aca="false">IF(AND(_slice!$H$5=1,T$13&gt;=_slice!$H$6-0.000000001,T$13&lt;=_slice!$I$6+0.000000001,$B34&gt;=_slice!$H$7-0.000000001,$B34&lt;=_slice!$I$7+0.000000001,IF(01_因子設定!$B$20="Box-Behnken",T$13^2+$B34^2+_slice!$H$8&lt;=2+0.000000001,TRUE())),_slice!T85,"外")</f>
        <v>44.5870545977011</v>
      </c>
      <c r="U34" s="50" t="n">
        <f aca="false">IF(AND(_slice!$H$5=1,U$13&gt;=_slice!$H$6-0.000000001,U$13&lt;=_slice!$I$6+0.000000001,$B34&gt;=_slice!$H$7-0.000000001,$B34&lt;=_slice!$I$7+0.000000001,IF(01_因子設定!$B$20="Box-Behnken",U$13^2+$B34^2+_slice!$H$8&lt;=2+0.000000001,TRUE())),_slice!U85,"外")</f>
        <v>44.3400057471264</v>
      </c>
      <c r="V34" s="50" t="n">
        <f aca="false">IF(AND(_slice!$H$5=1,V$13&gt;=_slice!$H$6-0.000000001,V$13&lt;=_slice!$I$6+0.000000001,$B34&gt;=_slice!$H$7-0.000000001,$B34&lt;=_slice!$I$7+0.000000001,IF(01_因子設定!$B$20="Box-Behnken",V$13^2+$B34^2+_slice!$H$8&lt;=2+0.000000001,TRUE())),_slice!V85,"外")</f>
        <v>44.0380948275862</v>
      </c>
      <c r="W34" s="50" t="n">
        <f aca="false">IF(AND(_slice!$H$5=1,W$13&gt;=_slice!$H$6-0.000000001,W$13&lt;=_slice!$I$6+0.000000001,$B34&gt;=_slice!$H$7-0.000000001,$B34&lt;=_slice!$I$7+0.000000001,IF(01_因子設定!$B$20="Box-Behnken",W$13^2+$B34^2+_slice!$H$8&lt;=2+0.000000001,TRUE())),_slice!W85,"外")</f>
        <v>43.6813218390805</v>
      </c>
    </row>
    <row r="35" customFormat="false" ht="15" hidden="false" customHeight="false" outlineLevel="0" collapsed="false">
      <c r="A35" s="49" t="n">
        <f aca="false">INDEX(01_因子設定!$G$5:$G$6,$C$5)+B35*INDEX(01_因子設定!$H$5:$H$6,$C$5)</f>
        <v>20</v>
      </c>
      <c r="B35" s="49" t="n">
        <v>-1</v>
      </c>
      <c r="C35" s="50" t="n">
        <f aca="false">IF(AND(_slice!$H$5=1,C$13&gt;=_slice!$H$6-0.000000001,C$13&lt;=_slice!$I$6+0.000000001,$B35&gt;=_slice!$H$7-0.000000001,$B35&lt;=_slice!$I$7+0.000000001,IF(01_因子設定!$B$20="Box-Behnken",C$13^2+$B35^2+_slice!$H$8&lt;=2+0.000000001,TRUE())),_slice!C86,"外")</f>
        <v>39.9272988505747</v>
      </c>
      <c r="D35" s="50" t="n">
        <f aca="false">IF(AND(_slice!$H$5=1,D$13&gt;=_slice!$H$6-0.000000001,D$13&lt;=_slice!$I$6+0.000000001,$B35&gt;=_slice!$H$7-0.000000001,$B35&lt;=_slice!$I$7+0.000000001,IF(01_因子設定!$B$20="Box-Behnken",D$13^2+$B35^2+_slice!$H$8&lt;=2+0.000000001,TRUE())),_slice!D86,"外")</f>
        <v>40.6076551724138</v>
      </c>
      <c r="E35" s="50" t="n">
        <f aca="false">IF(AND(_slice!$H$5=1,E$13&gt;=_slice!$H$6-0.000000001,E$13&lt;=_slice!$I$6+0.000000001,$B35&gt;=_slice!$H$7-0.000000001,$B35&lt;=_slice!$I$7+0.000000001,IF(01_因子設定!$B$20="Box-Behnken",E$13^2+$B35^2+_slice!$H$8&lt;=2+0.000000001,TRUE())),_slice!E86,"外")</f>
        <v>41.2331494252873</v>
      </c>
      <c r="F35" s="50" t="n">
        <f aca="false">IF(AND(_slice!$H$5=1,F$13&gt;=_slice!$H$6-0.000000001,F$13&lt;=_slice!$I$6+0.000000001,$B35&gt;=_slice!$H$7-0.000000001,$B35&lt;=_slice!$I$7+0.000000001,IF(01_因子設定!$B$20="Box-Behnken",F$13^2+$B35^2+_slice!$H$8&lt;=2+0.000000001,TRUE())),_slice!F86,"外")</f>
        <v>41.8037816091954</v>
      </c>
      <c r="G35" s="50" t="n">
        <f aca="false">IF(AND(_slice!$H$5=1,G$13&gt;=_slice!$H$6-0.000000001,G$13&lt;=_slice!$I$6+0.000000001,$B35&gt;=_slice!$H$7-0.000000001,$B35&lt;=_slice!$I$7+0.000000001,IF(01_因子設定!$B$20="Box-Behnken",G$13^2+$B35^2+_slice!$H$8&lt;=2+0.000000001,TRUE())),_slice!G86,"外")</f>
        <v>42.3195517241379</v>
      </c>
      <c r="H35" s="50" t="n">
        <f aca="false">IF(AND(_slice!$H$5=1,H$13&gt;=_slice!$H$6-0.000000001,H$13&lt;=_slice!$I$6+0.000000001,$B35&gt;=_slice!$H$7-0.000000001,$B35&lt;=_slice!$I$7+0.000000001,IF(01_因子設定!$B$20="Box-Behnken",H$13^2+$B35^2+_slice!$H$8&lt;=2+0.000000001,TRUE())),_slice!H86,"外")</f>
        <v>42.7804597701149</v>
      </c>
      <c r="I35" s="50" t="n">
        <f aca="false">IF(AND(_slice!$H$5=1,I$13&gt;=_slice!$H$6-0.000000001,I$13&lt;=_slice!$I$6+0.000000001,$B35&gt;=_slice!$H$7-0.000000001,$B35&lt;=_slice!$I$7+0.000000001,IF(01_因子設定!$B$20="Box-Behnken",I$13^2+$B35^2+_slice!$H$8&lt;=2+0.000000001,TRUE())),_slice!I86,"外")</f>
        <v>43.1865057471264</v>
      </c>
      <c r="J35" s="50" t="n">
        <f aca="false">IF(AND(_slice!$H$5=1,J$13&gt;=_slice!$H$6-0.000000001,J$13&lt;=_slice!$I$6+0.000000001,$B35&gt;=_slice!$H$7-0.000000001,$B35&lt;=_slice!$I$7+0.000000001,IF(01_因子設定!$B$20="Box-Behnken",J$13^2+$B35^2+_slice!$H$8&lt;=2+0.000000001,TRUE())),_slice!J86,"外")</f>
        <v>43.5376896551724</v>
      </c>
      <c r="K35" s="50" t="n">
        <f aca="false">IF(AND(_slice!$H$5=1,K$13&gt;=_slice!$H$6-0.000000001,K$13&lt;=_slice!$I$6+0.000000001,$B35&gt;=_slice!$H$7-0.000000001,$B35&lt;=_slice!$I$7+0.000000001,IF(01_因子設定!$B$20="Box-Behnken",K$13^2+$B35^2+_slice!$H$8&lt;=2+0.000000001,TRUE())),_slice!K86,"外")</f>
        <v>43.8340114942529</v>
      </c>
      <c r="L35" s="50" t="n">
        <f aca="false">IF(AND(_slice!$H$5=1,L$13&gt;=_slice!$H$6-0.000000001,L$13&lt;=_slice!$I$6+0.000000001,$B35&gt;=_slice!$H$7-0.000000001,$B35&lt;=_slice!$I$7+0.000000001,IF(01_因子設定!$B$20="Box-Behnken",L$13^2+$B35^2+_slice!$H$8&lt;=2+0.000000001,TRUE())),_slice!L86,"外")</f>
        <v>44.0754712643678</v>
      </c>
      <c r="M35" s="50" t="n">
        <f aca="false">IF(AND(_slice!$H$5=1,M$13&gt;=_slice!$H$6-0.000000001,M$13&lt;=_slice!$I$6+0.000000001,$B35&gt;=_slice!$H$7-0.000000001,$B35&lt;=_slice!$I$7+0.000000001,IF(01_因子設定!$B$20="Box-Behnken",M$13^2+$B35^2+_slice!$H$8&lt;=2+0.000000001,TRUE())),_slice!M86,"外")</f>
        <v>44.2620689655172</v>
      </c>
      <c r="N35" s="50" t="n">
        <f aca="false">IF(AND(_slice!$H$5=1,N$13&gt;=_slice!$H$6-0.000000001,N$13&lt;=_slice!$I$6+0.000000001,$B35&gt;=_slice!$H$7-0.000000001,$B35&lt;=_slice!$I$7+0.000000001,IF(01_因子設定!$B$20="Box-Behnken",N$13^2+$B35^2+_slice!$H$8&lt;=2+0.000000001,TRUE())),_slice!N86,"外")</f>
        <v>44.3938045977012</v>
      </c>
      <c r="O35" s="50" t="n">
        <f aca="false">IF(AND(_slice!$H$5=1,O$13&gt;=_slice!$H$6-0.000000001,O$13&lt;=_slice!$I$6+0.000000001,$B35&gt;=_slice!$H$7-0.000000001,$B35&lt;=_slice!$I$7+0.000000001,IF(01_因子設定!$B$20="Box-Behnken",O$13^2+$B35^2+_slice!$H$8&lt;=2+0.000000001,TRUE())),_slice!O86,"外")</f>
        <v>44.4706781609196</v>
      </c>
      <c r="P35" s="50" t="n">
        <f aca="false">IF(AND(_slice!$H$5=1,P$13&gt;=_slice!$H$6-0.000000001,P$13&lt;=_slice!$I$6+0.000000001,$B35&gt;=_slice!$H$7-0.000000001,$B35&lt;=_slice!$I$7+0.000000001,IF(01_因子設定!$B$20="Box-Behnken",P$13^2+$B35^2+_slice!$H$8&lt;=2+0.000000001,TRUE())),_slice!P86,"外")</f>
        <v>44.4926896551724</v>
      </c>
      <c r="Q35" s="50" t="n">
        <f aca="false">IF(AND(_slice!$H$5=1,Q$13&gt;=_slice!$H$6-0.000000001,Q$13&lt;=_slice!$I$6+0.000000001,$B35&gt;=_slice!$H$7-0.000000001,$B35&lt;=_slice!$I$7+0.000000001,IF(01_因子設定!$B$20="Box-Behnken",Q$13^2+$B35^2+_slice!$H$8&lt;=2+0.000000001,TRUE())),_slice!Q86,"外")</f>
        <v>44.4598390804598</v>
      </c>
      <c r="R35" s="50" t="n">
        <f aca="false">IF(AND(_slice!$H$5=1,R$13&gt;=_slice!$H$6-0.000000001,R$13&lt;=_slice!$I$6+0.000000001,$B35&gt;=_slice!$H$7-0.000000001,$B35&lt;=_slice!$I$7+0.000000001,IF(01_因子設定!$B$20="Box-Behnken",R$13^2+$B35^2+_slice!$H$8&lt;=2+0.000000001,TRUE())),_slice!R86,"外")</f>
        <v>44.3721264367816</v>
      </c>
      <c r="S35" s="50" t="n">
        <f aca="false">IF(AND(_slice!$H$5=1,S$13&gt;=_slice!$H$6-0.000000001,S$13&lt;=_slice!$I$6+0.000000001,$B35&gt;=_slice!$H$7-0.000000001,$B35&lt;=_slice!$I$7+0.000000001,IF(01_因子設定!$B$20="Box-Behnken",S$13^2+$B35^2+_slice!$H$8&lt;=2+0.000000001,TRUE())),_slice!S86,"外")</f>
        <v>44.2295517241379</v>
      </c>
      <c r="T35" s="50" t="n">
        <f aca="false">IF(AND(_slice!$H$5=1,T$13&gt;=_slice!$H$6-0.000000001,T$13&lt;=_slice!$I$6+0.000000001,$B35&gt;=_slice!$H$7-0.000000001,$B35&lt;=_slice!$I$7+0.000000001,IF(01_因子設定!$B$20="Box-Behnken",T$13^2+$B35^2+_slice!$H$8&lt;=2+0.000000001,TRUE())),_slice!T86,"外")</f>
        <v>44.0321149425287</v>
      </c>
      <c r="U35" s="50" t="n">
        <f aca="false">IF(AND(_slice!$H$5=1,U$13&gt;=_slice!$H$6-0.000000001,U$13&lt;=_slice!$I$6+0.000000001,$B35&gt;=_slice!$H$7-0.000000001,$B35&lt;=_slice!$I$7+0.000000001,IF(01_因子設定!$B$20="Box-Behnken",U$13^2+$B35^2+_slice!$H$8&lt;=2+0.000000001,TRUE())),_slice!U86,"外")</f>
        <v>43.779816091954</v>
      </c>
      <c r="V35" s="50" t="n">
        <f aca="false">IF(AND(_slice!$H$5=1,V$13&gt;=_slice!$H$6-0.000000001,V$13&lt;=_slice!$I$6+0.000000001,$B35&gt;=_slice!$H$7-0.000000001,$B35&lt;=_slice!$I$7+0.000000001,IF(01_因子設定!$B$20="Box-Behnken",V$13^2+$B35^2+_slice!$H$8&lt;=2+0.000000001,TRUE())),_slice!V86,"外")</f>
        <v>43.4726551724138</v>
      </c>
      <c r="W35" s="50" t="n">
        <f aca="false">IF(AND(_slice!$H$5=1,W$13&gt;=_slice!$H$6-0.000000001,W$13&lt;=_slice!$I$6+0.000000001,$B35&gt;=_slice!$H$7-0.000000001,$B35&lt;=_slice!$I$7+0.000000001,IF(01_因子設定!$B$20="Box-Behnken",W$13^2+$B35^2+_slice!$H$8&lt;=2+0.000000001,TRUE())),_slice!W86,"外")</f>
        <v>43.110632183908</v>
      </c>
    </row>
    <row r="38" customFormat="false" ht="15" hidden="false" customHeight="false" outlineLevel="0" collapsed="false">
      <c r="A38" s="17" t="s">
        <v>241</v>
      </c>
    </row>
    <row r="39" customFormat="false" ht="15" hidden="false" customHeight="false" outlineLevel="0" collapsed="false">
      <c r="A39" s="10" t="s">
        <v>239</v>
      </c>
      <c r="B39" s="10" t="s">
        <v>240</v>
      </c>
      <c r="C39" s="46" t="n">
        <v>-1</v>
      </c>
      <c r="D39" s="46" t="n">
        <v>-0.9</v>
      </c>
      <c r="E39" s="46" t="n">
        <v>-0.8</v>
      </c>
      <c r="F39" s="46" t="n">
        <v>-0.7</v>
      </c>
      <c r="G39" s="46" t="n">
        <v>-0.6</v>
      </c>
      <c r="H39" s="46" t="n">
        <v>-0.5</v>
      </c>
      <c r="I39" s="46" t="n">
        <v>-0.4</v>
      </c>
      <c r="J39" s="46" t="n">
        <v>-0.3</v>
      </c>
      <c r="K39" s="46" t="n">
        <v>-0.2</v>
      </c>
      <c r="L39" s="46" t="n">
        <v>-0.1</v>
      </c>
      <c r="M39" s="46" t="n">
        <v>0</v>
      </c>
      <c r="N39" s="46" t="n">
        <v>0.1</v>
      </c>
      <c r="O39" s="46" t="n">
        <v>0.2</v>
      </c>
      <c r="P39" s="46" t="n">
        <v>0.3</v>
      </c>
      <c r="Q39" s="46" t="n">
        <v>0.4</v>
      </c>
      <c r="R39" s="46" t="n">
        <v>0.5</v>
      </c>
      <c r="S39" s="46" t="n">
        <v>0.6</v>
      </c>
      <c r="T39" s="46" t="n">
        <v>0.7</v>
      </c>
      <c r="U39" s="46" t="n">
        <v>0.8</v>
      </c>
      <c r="V39" s="46" t="n">
        <v>0.9</v>
      </c>
      <c r="W39" s="46" t="n">
        <v>1</v>
      </c>
    </row>
    <row r="40" customFormat="false" ht="23.1" hidden="false" customHeight="false" outlineLevel="0" collapsed="false">
      <c r="A40" s="47" t="str">
        <f aca="false">"縦↓ "&amp;$D$5</f>
        <v>縦↓ 乾燥時間[min]</v>
      </c>
      <c r="B40" s="10" t="str">
        <f aca="false">"横→ "&amp;$D$4</f>
        <v>横→ 炉温[℃]</v>
      </c>
      <c r="C40" s="48" t="n">
        <f aca="false">INDEX(01_因子設定!$G$5:$G$6,$C$4)+C39*INDEX(01_因子設定!$H$5:$H$6,$C$4)</f>
        <v>55</v>
      </c>
      <c r="D40" s="48" t="n">
        <f aca="false">INDEX(01_因子設定!$G$5:$G$6,$C$4)+D39*INDEX(01_因子設定!$H$5:$H$6,$C$4)</f>
        <v>56</v>
      </c>
      <c r="E40" s="48" t="n">
        <f aca="false">INDEX(01_因子設定!$G$5:$G$6,$C$4)+E39*INDEX(01_因子設定!$H$5:$H$6,$C$4)</f>
        <v>57</v>
      </c>
      <c r="F40" s="48" t="n">
        <f aca="false">INDEX(01_因子設定!$G$5:$G$6,$C$4)+F39*INDEX(01_因子設定!$H$5:$H$6,$C$4)</f>
        <v>58</v>
      </c>
      <c r="G40" s="48" t="n">
        <f aca="false">INDEX(01_因子設定!$G$5:$G$6,$C$4)+G39*INDEX(01_因子設定!$H$5:$H$6,$C$4)</f>
        <v>59</v>
      </c>
      <c r="H40" s="48" t="n">
        <f aca="false">INDEX(01_因子設定!$G$5:$G$6,$C$4)+H39*INDEX(01_因子設定!$H$5:$H$6,$C$4)</f>
        <v>60</v>
      </c>
      <c r="I40" s="48" t="n">
        <f aca="false">INDEX(01_因子設定!$G$5:$G$6,$C$4)+I39*INDEX(01_因子設定!$H$5:$H$6,$C$4)</f>
        <v>61</v>
      </c>
      <c r="J40" s="48" t="n">
        <f aca="false">INDEX(01_因子設定!$G$5:$G$6,$C$4)+J39*INDEX(01_因子設定!$H$5:$H$6,$C$4)</f>
        <v>62</v>
      </c>
      <c r="K40" s="48" t="n">
        <f aca="false">INDEX(01_因子設定!$G$5:$G$6,$C$4)+K39*INDEX(01_因子設定!$H$5:$H$6,$C$4)</f>
        <v>63</v>
      </c>
      <c r="L40" s="48" t="n">
        <f aca="false">INDEX(01_因子設定!$G$5:$G$6,$C$4)+L39*INDEX(01_因子設定!$H$5:$H$6,$C$4)</f>
        <v>64</v>
      </c>
      <c r="M40" s="48" t="n">
        <f aca="false">INDEX(01_因子設定!$G$5:$G$6,$C$4)+M39*INDEX(01_因子設定!$H$5:$H$6,$C$4)</f>
        <v>65</v>
      </c>
      <c r="N40" s="48" t="n">
        <f aca="false">INDEX(01_因子設定!$G$5:$G$6,$C$4)+N39*INDEX(01_因子設定!$H$5:$H$6,$C$4)</f>
        <v>66</v>
      </c>
      <c r="O40" s="48" t="n">
        <f aca="false">INDEX(01_因子設定!$G$5:$G$6,$C$4)+O39*INDEX(01_因子設定!$H$5:$H$6,$C$4)</f>
        <v>67</v>
      </c>
      <c r="P40" s="48" t="n">
        <f aca="false">INDEX(01_因子設定!$G$5:$G$6,$C$4)+P39*INDEX(01_因子設定!$H$5:$H$6,$C$4)</f>
        <v>68</v>
      </c>
      <c r="Q40" s="48" t="n">
        <f aca="false">INDEX(01_因子設定!$G$5:$G$6,$C$4)+Q39*INDEX(01_因子設定!$H$5:$H$6,$C$4)</f>
        <v>69</v>
      </c>
      <c r="R40" s="48" t="n">
        <f aca="false">INDEX(01_因子設定!$G$5:$G$6,$C$4)+R39*INDEX(01_因子設定!$H$5:$H$6,$C$4)</f>
        <v>70</v>
      </c>
      <c r="S40" s="48" t="n">
        <f aca="false">INDEX(01_因子設定!$G$5:$G$6,$C$4)+S39*INDEX(01_因子設定!$H$5:$H$6,$C$4)</f>
        <v>71</v>
      </c>
      <c r="T40" s="48" t="n">
        <f aca="false">INDEX(01_因子設定!$G$5:$G$6,$C$4)+T39*INDEX(01_因子設定!$H$5:$H$6,$C$4)</f>
        <v>72</v>
      </c>
      <c r="U40" s="48" t="n">
        <f aca="false">INDEX(01_因子設定!$G$5:$G$6,$C$4)+U39*INDEX(01_因子設定!$H$5:$H$6,$C$4)</f>
        <v>73</v>
      </c>
      <c r="V40" s="48" t="n">
        <f aca="false">INDEX(01_因子設定!$G$5:$G$6,$C$4)+V39*INDEX(01_因子設定!$H$5:$H$6,$C$4)</f>
        <v>74</v>
      </c>
      <c r="W40" s="48" t="n">
        <f aca="false">INDEX(01_因子設定!$G$5:$G$6,$C$4)+W39*INDEX(01_因子設定!$H$5:$H$6,$C$4)</f>
        <v>75</v>
      </c>
    </row>
    <row r="41" customFormat="false" ht="15" hidden="false" customHeight="false" outlineLevel="0" collapsed="false">
      <c r="A41" s="49" t="n">
        <f aca="false">INDEX(01_因子設定!$G$5:$G$6,$C$5)+B41*INDEX(01_因子設定!$H$5:$H$6,$C$5)</f>
        <v>40</v>
      </c>
      <c r="B41" s="49" t="n">
        <v>1</v>
      </c>
      <c r="C41" s="50" t="n">
        <f aca="false">IF(AND(_slice!$H$5=1,C$39&gt;=_slice!$H$6-0.000000001,C$39&lt;=_slice!$I$6+0.000000001,$B41&gt;=_slice!$H$7-0.000000001,$B41&lt;=_slice!$I$7+0.000000001,IF(01_因子設定!$B$20="Box-Behnken",C$39^2+$B41^2+_slice!$H$8&lt;=2+0.000000001,TRUE())),IF(01_因子設定!$B$13="最大化",(_slice!C66-04_回帰ANOVA!$K$19*04_回帰ANOVA!$K$14*SQRT(1+_slice!C91))-01_因子設定!$B$14,IF(01_因子設定!$B$13="最小化",01_因子設定!$B$15-(_slice!C66+04_回帰ANOVA!$K$19*04_回帰ANOVA!$K$14*SQRT(1+_slice!C91)),MIN((_slice!C66-04_回帰ANOVA!$K$19*04_回帰ANOVA!$K$14*SQRT(1+_slice!C91))-01_因子設定!$B$14,01_因子設定!$B$15-(_slice!C66+04_回帰ANOVA!$K$19*04_回帰ANOVA!$K$14*SQRT(1+_slice!C91))))),"外")</f>
        <v>-4.93583962400028</v>
      </c>
      <c r="D41" s="50" t="n">
        <f aca="false">IF(AND(_slice!$H$5=1,D$39&gt;=_slice!$H$6-0.000000001,D$39&lt;=_slice!$I$6+0.000000001,$B41&gt;=_slice!$H$7-0.000000001,$B41&lt;=_slice!$I$7+0.000000001,IF(01_因子設定!$B$20="Box-Behnken",D$39^2+$B41^2+_slice!$H$8&lt;=2+0.000000001,TRUE())),IF(01_因子設定!$B$13="最大化",(_slice!D66-04_回帰ANOVA!$K$19*04_回帰ANOVA!$K$14*SQRT(1+_slice!D91))-01_因子設定!$B$14,IF(01_因子設定!$B$13="最小化",01_因子設定!$B$15-(_slice!D66+04_回帰ANOVA!$K$19*04_回帰ANOVA!$K$14*SQRT(1+_slice!D91)),MIN((_slice!D66-04_回帰ANOVA!$K$19*04_回帰ANOVA!$K$14*SQRT(1+_slice!D91))-01_因子設定!$B$14,01_因子設定!$B$15-(_slice!D66+04_回帰ANOVA!$K$19*04_回帰ANOVA!$K$14*SQRT(1+_slice!D91))))),"外")</f>
        <v>-4.09287268723882</v>
      </c>
      <c r="E41" s="50" t="n">
        <f aca="false">IF(AND(_slice!$H$5=1,E$39&gt;=_slice!$H$6-0.000000001,E$39&lt;=_slice!$I$6+0.000000001,$B41&gt;=_slice!$H$7-0.000000001,$B41&lt;=_slice!$I$7+0.000000001,IF(01_因子設定!$B$20="Box-Behnken",E$39^2+$B41^2+_slice!$H$8&lt;=2+0.000000001,TRUE())),IF(01_因子設定!$B$13="最大化",(_slice!E66-04_回帰ANOVA!$K$19*04_回帰ANOVA!$K$14*SQRT(1+_slice!E91))-01_因子設定!$B$14,IF(01_因子設定!$B$13="最小化",01_因子設定!$B$15-(_slice!E66+04_回帰ANOVA!$K$19*04_回帰ANOVA!$K$14*SQRT(1+_slice!E91)),MIN((_slice!E66-04_回帰ANOVA!$K$19*04_回帰ANOVA!$K$14*SQRT(1+_slice!E91))-01_因子設定!$B$14,01_因子設定!$B$15-(_slice!E66+04_回帰ANOVA!$K$19*04_回帰ANOVA!$K$14*SQRT(1+_slice!E91))))),"外")</f>
        <v>-3.32109009859025</v>
      </c>
      <c r="F41" s="50" t="n">
        <f aca="false">IF(AND(_slice!$H$5=1,F$39&gt;=_slice!$H$6-0.000000001,F$39&lt;=_slice!$I$6+0.000000001,$B41&gt;=_slice!$H$7-0.000000001,$B41&lt;=_slice!$I$7+0.000000001,IF(01_因子設定!$B$20="Box-Behnken",F$39^2+$B41^2+_slice!$H$8&lt;=2+0.000000001,TRUE())),IF(01_因子設定!$B$13="最大化",(_slice!F66-04_回帰ANOVA!$K$19*04_回帰ANOVA!$K$14*SQRT(1+_slice!F91))-01_因子設定!$B$14,IF(01_因子設定!$B$13="最小化",01_因子設定!$B$15-(_slice!F66+04_回帰ANOVA!$K$19*04_回帰ANOVA!$K$14*SQRT(1+_slice!F91)),MIN((_slice!F66-04_回帰ANOVA!$K$19*04_回帰ANOVA!$K$14*SQRT(1+_slice!F91))-01_因子設定!$B$14,01_因子設定!$B$15-(_slice!F66+04_回帰ANOVA!$K$19*04_回帰ANOVA!$K$14*SQRT(1+_slice!F91))))),"外")</f>
        <v>-2.6176717037852</v>
      </c>
      <c r="G41" s="50" t="n">
        <f aca="false">IF(AND(_slice!$H$5=1,G$39&gt;=_slice!$H$6-0.000000001,G$39&lt;=_slice!$I$6+0.000000001,$B41&gt;=_slice!$H$7-0.000000001,$B41&lt;=_slice!$I$7+0.000000001,IF(01_因子設定!$B$20="Box-Behnken",G$39^2+$B41^2+_slice!$H$8&lt;=2+0.000000001,TRUE())),IF(01_因子設定!$B$13="最大化",(_slice!G66-04_回帰ANOVA!$K$19*04_回帰ANOVA!$K$14*SQRT(1+_slice!G91))-01_因子設定!$B$14,IF(01_因子設定!$B$13="最小化",01_因子設定!$B$15-(_slice!G66+04_回帰ANOVA!$K$19*04_回帰ANOVA!$K$14*SQRT(1+_slice!G91)),MIN((_slice!G66-04_回帰ANOVA!$K$19*04_回帰ANOVA!$K$14*SQRT(1+_slice!G91))-01_因子設定!$B$14,01_因子設定!$B$15-(_slice!G66+04_回帰ANOVA!$K$19*04_回帰ANOVA!$K$14*SQRT(1+_slice!G91))))),"外")</f>
        <v>-1.9797095162055</v>
      </c>
      <c r="H41" s="50" t="n">
        <f aca="false">IF(AND(_slice!$H$5=1,H$39&gt;=_slice!$H$6-0.000000001,H$39&lt;=_slice!$I$6+0.000000001,$B41&gt;=_slice!$H$7-0.000000001,$B41&lt;=_slice!$I$7+0.000000001,IF(01_因子設定!$B$20="Box-Behnken",H$39^2+$B41^2+_slice!$H$8&lt;=2+0.000000001,TRUE())),IF(01_因子設定!$B$13="最大化",(_slice!H66-04_回帰ANOVA!$K$19*04_回帰ANOVA!$K$14*SQRT(1+_slice!H91))-01_因子設定!$B$14,IF(01_因子設定!$B$13="最小化",01_因子設定!$B$15-(_slice!H66+04_回帰ANOVA!$K$19*04_回帰ANOVA!$K$14*SQRT(1+_slice!H91)),MIN((_slice!H66-04_回帰ANOVA!$K$19*04_回帰ANOVA!$K$14*SQRT(1+_slice!H91))-01_因子設定!$B$14,01_因子設定!$B$15-(_slice!H66+04_回帰ANOVA!$K$19*04_回帰ANOVA!$K$14*SQRT(1+_slice!H91))))),"外")</f>
        <v>-1.40441068388891</v>
      </c>
      <c r="I41" s="50" t="n">
        <f aca="false">IF(AND(_slice!$H$5=1,I$39&gt;=_slice!$H$6-0.000000001,I$39&lt;=_slice!$I$6+0.000000001,$B41&gt;=_slice!$H$7-0.000000001,$B41&lt;=_slice!$I$7+0.000000001,IF(01_因子設定!$B$20="Box-Behnken",I$39^2+$B41^2+_slice!$H$8&lt;=2+0.000000001,TRUE())),IF(01_因子設定!$B$13="最大化",(_slice!I66-04_回帰ANOVA!$K$19*04_回帰ANOVA!$K$14*SQRT(1+_slice!I91))-01_因子設定!$B$14,IF(01_因子設定!$B$13="最小化",01_因子設定!$B$15-(_slice!I66+04_回帰ANOVA!$K$19*04_回帰ANOVA!$K$14*SQRT(1+_slice!I91)),MIN((_slice!I66-04_回帰ANOVA!$K$19*04_回帰ANOVA!$K$14*SQRT(1+_slice!I91))-01_因子設定!$B$14,01_因子設定!$B$15-(_slice!I66+04_回帰ANOVA!$K$19*04_回帰ANOVA!$K$14*SQRT(1+_slice!I91))))),"外")</f>
        <v>-0.889259587627834</v>
      </c>
      <c r="J41" s="50" t="n">
        <f aca="false">IF(AND(_slice!$H$5=1,J$39&gt;=_slice!$H$6-0.000000001,J$39&lt;=_slice!$I$6+0.000000001,$B41&gt;=_slice!$H$7-0.000000001,$B41&lt;=_slice!$I$7+0.000000001,IF(01_因子設定!$B$20="Box-Behnken",J$39^2+$B41^2+_slice!$H$8&lt;=2+0.000000001,TRUE())),IF(01_因子設定!$B$13="最大化",(_slice!J66-04_回帰ANOVA!$K$19*04_回帰ANOVA!$K$14*SQRT(1+_slice!J91))-01_因子設定!$B$14,IF(01_因子設定!$B$13="最小化",01_因子設定!$B$15-(_slice!J66+04_回帰ANOVA!$K$19*04_回帰ANOVA!$K$14*SQRT(1+_slice!J91)),MIN((_slice!J66-04_回帰ANOVA!$K$19*04_回帰ANOVA!$K$14*SQRT(1+_slice!J91))-01_因子設定!$B$14,01_因子設定!$B$15-(_slice!J66+04_回帰ANOVA!$K$19*04_回帰ANOVA!$K$14*SQRT(1+_slice!J91))))),"外")</f>
        <v>-0.432127290642832</v>
      </c>
      <c r="K41" s="50" t="n">
        <f aca="false">IF(AND(_slice!$H$5=1,K$39&gt;=_slice!$H$6-0.000000001,K$39&lt;=_slice!$I$6+0.000000001,$B41&gt;=_slice!$H$7-0.000000001,$B41&lt;=_slice!$I$7+0.000000001,IF(01_因子設定!$B$20="Box-Behnken",K$39^2+$B41^2+_slice!$H$8&lt;=2+0.000000001,TRUE())),IF(01_因子設定!$B$13="最大化",(_slice!K66-04_回帰ANOVA!$K$19*04_回帰ANOVA!$K$14*SQRT(1+_slice!K91))-01_因子設定!$B$14,IF(01_因子設定!$B$13="最小化",01_因子設定!$B$15-(_slice!K66+04_回帰ANOVA!$K$19*04_回帰ANOVA!$K$14*SQRT(1+_slice!K91)),MIN((_slice!K66-04_回帰ANOVA!$K$19*04_回帰ANOVA!$K$14*SQRT(1+_slice!K91))-01_因子設定!$B$14,01_因子設定!$B$15-(_slice!K66+04_回帰ANOVA!$K$19*04_回帰ANOVA!$K$14*SQRT(1+_slice!K91))))),"外")</f>
        <v>-0.0313331097783447</v>
      </c>
      <c r="L41" s="50" t="n">
        <f aca="false">IF(AND(_slice!$H$5=1,L$39&gt;=_slice!$H$6-0.000000001,L$39&lt;=_slice!$I$6+0.000000001,$B41&gt;=_slice!$H$7-0.000000001,$B41&lt;=_slice!$I$7+0.000000001,IF(01_因子設定!$B$20="Box-Behnken",L$39^2+$B41^2+_slice!$H$8&lt;=2+0.000000001,TRUE())),IF(01_因子設定!$B$13="最大化",(_slice!L66-04_回帰ANOVA!$K$19*04_回帰ANOVA!$K$14*SQRT(1+_slice!L91))-01_因子設定!$B$14,IF(01_因子設定!$B$13="最小化",01_因子設定!$B$15-(_slice!L66+04_回帰ANOVA!$K$19*04_回帰ANOVA!$K$14*SQRT(1+_slice!L91)),MIN((_slice!L66-04_回帰ANOVA!$K$19*04_回帰ANOVA!$K$14*SQRT(1+_slice!L91))-01_因子設定!$B$14,01_因子設定!$B$15-(_slice!L66+04_回帰ANOVA!$K$19*04_回帰ANOVA!$K$14*SQRT(1+_slice!L91))))),"外")</f>
        <v>0.314328319214567</v>
      </c>
      <c r="M41" s="50" t="n">
        <f aca="false">IF(AND(_slice!$H$5=1,M$39&gt;=_slice!$H$6-0.000000001,M$39&lt;=_slice!$I$6+0.000000001,$B41&gt;=_slice!$H$7-0.000000001,$B41&lt;=_slice!$I$7+0.000000001,IF(01_因子設定!$B$20="Box-Behnken",M$39^2+$B41^2+_slice!$H$8&lt;=2+0.000000001,TRUE())),IF(01_因子設定!$B$13="最大化",(_slice!M66-04_回帰ANOVA!$K$19*04_回帰ANOVA!$K$14*SQRT(1+_slice!M91))-01_因子設定!$B$14,IF(01_因子設定!$B$13="最小化",01_因子設定!$B$15-(_slice!M66+04_回帰ANOVA!$K$19*04_回帰ANOVA!$K$14*SQRT(1+_slice!M91)),MIN((_slice!M66-04_回帰ANOVA!$K$19*04_回帰ANOVA!$K$14*SQRT(1+_slice!M91))-01_因子設定!$B$14,01_因子設定!$B$15-(_slice!M66+04_回帰ANOVA!$K$19*04_回帰ANOVA!$K$14*SQRT(1+_slice!M91))))),"外")</f>
        <v>0.605579714199905</v>
      </c>
      <c r="N41" s="50" t="n">
        <f aca="false">IF(AND(_slice!$H$5=1,N$39&gt;=_slice!$H$6-0.000000001,N$39&lt;=_slice!$I$6+0.000000001,$B41&gt;=_slice!$H$7-0.000000001,$B41&lt;=_slice!$I$7+0.000000001,IF(01_因子設定!$B$20="Box-Behnken",N$39^2+$B41^2+_slice!$H$8&lt;=2+0.000000001,TRUE())),IF(01_因子設定!$B$13="最大化",(_slice!N66-04_回帰ANOVA!$K$19*04_回帰ANOVA!$K$14*SQRT(1+_slice!N91))-01_因子設定!$B$14,IF(01_因子設定!$B$13="最小化",01_因子設定!$B$15-(_slice!N66+04_回帰ANOVA!$K$19*04_回帰ANOVA!$K$14*SQRT(1+_slice!N91)),MIN((_slice!N66-04_回帰ANOVA!$K$19*04_回帰ANOVA!$K$14*SQRT(1+_slice!N91))-01_因子設定!$B$14,01_因子設定!$B$15-(_slice!N66+04_回帰ANOVA!$K$19*04_回帰ANOVA!$K$14*SQRT(1+_slice!N91))))),"外")</f>
        <v>0.842661652547903</v>
      </c>
      <c r="O41" s="50" t="n">
        <f aca="false">IF(AND(_slice!$H$5=1,O$39&gt;=_slice!$H$6-0.000000001,O$39&lt;=_slice!$I$6+0.000000001,$B41&gt;=_slice!$H$7-0.000000001,$B41&lt;=_slice!$I$7+0.000000001,IF(01_因子設定!$B$20="Box-Behnken",O$39^2+$B41^2+_slice!$H$8&lt;=2+0.000000001,TRUE())),IF(01_因子設定!$B$13="最大化",(_slice!O66-04_回帰ANOVA!$K$19*04_回帰ANOVA!$K$14*SQRT(1+_slice!O91))-01_因子設定!$B$14,IF(01_因子設定!$B$13="最小化",01_因子設定!$B$15-(_slice!O66+04_回帰ANOVA!$K$19*04_回帰ANOVA!$K$14*SQRT(1+_slice!O91)),MIN((_slice!O66-04_回帰ANOVA!$K$19*04_回帰ANOVA!$K$14*SQRT(1+_slice!O91))-01_因子設定!$B$14,01_因子設定!$B$15-(_slice!O66+04_回帰ANOVA!$K$19*04_回帰ANOVA!$K$14*SQRT(1+_slice!O91))))),"外")</f>
        <v>1.02533355688831</v>
      </c>
      <c r="P41" s="50" t="n">
        <f aca="false">IF(AND(_slice!$H$5=1,P$39&gt;=_slice!$H$6-0.000000001,P$39&lt;=_slice!$I$6+0.000000001,$B41&gt;=_slice!$H$7-0.000000001,$B41&lt;=_slice!$I$7+0.000000001,IF(01_因子設定!$B$20="Box-Behnken",P$39^2+$B41^2+_slice!$H$8&lt;=2+0.000000001,TRUE())),IF(01_因子設定!$B$13="最大化",(_slice!P66-04_回帰ANOVA!$K$19*04_回帰ANOVA!$K$14*SQRT(1+_slice!P91))-01_因子設定!$B$14,IF(01_因子設定!$B$13="最小化",01_因子設定!$B$15-(_slice!P66+04_回帰ANOVA!$K$19*04_回帰ANOVA!$K$14*SQRT(1+_slice!P91)),MIN((_slice!P66-04_回帰ANOVA!$K$19*04_回帰ANOVA!$K$14*SQRT(1+_slice!P91))-01_因子設定!$B$14,01_因子設定!$B$15-(_slice!P66+04_回帰ANOVA!$K$19*04_回帰ANOVA!$K$14*SQRT(1+_slice!P91))))),"外")</f>
        <v>1.15287270935716</v>
      </c>
      <c r="Q41" s="50" t="n">
        <f aca="false">IF(AND(_slice!$H$5=1,Q$39&gt;=_slice!$H$6-0.000000001,Q$39&lt;=_slice!$I$6+0.000000001,$B41&gt;=_slice!$H$7-0.000000001,$B41&lt;=_slice!$I$7+0.000000001,IF(01_因子設定!$B$20="Box-Behnken",Q$39^2+$B41^2+_slice!$H$8&lt;=2+0.000000001,TRUE())),IF(01_因子設定!$B$13="最大化",(_slice!Q66-04_回帰ANOVA!$K$19*04_回帰ANOVA!$K$14*SQRT(1+_slice!Q91))-01_因子設定!$B$14,IF(01_因子設定!$B$13="最小化",01_因子設定!$B$15-(_slice!Q66+04_回帰ANOVA!$K$19*04_回帰ANOVA!$K$14*SQRT(1+_slice!Q91)),MIN((_slice!Q66-04_回帰ANOVA!$K$19*04_回帰ANOVA!$K$14*SQRT(1+_slice!Q91))-01_因子設定!$B$14,01_因子設定!$B$15-(_slice!Q66+04_回帰ANOVA!$K$19*04_回帰ANOVA!$K$14*SQRT(1+_slice!Q91))))),"外")</f>
        <v>1.2240737457055</v>
      </c>
      <c r="R41" s="50" t="n">
        <f aca="false">IF(AND(_slice!$H$5=1,R$39&gt;=_slice!$H$6-0.000000001,R$39&lt;=_slice!$I$6+0.000000001,$B41&gt;=_slice!$H$7-0.000000001,$B41&lt;=_slice!$I$7+0.000000001,IF(01_因子設定!$B$20="Box-Behnken",R$39^2+$B41^2+_slice!$H$8&lt;=2+0.000000001,TRUE())),IF(01_因子設定!$B$13="最大化",(_slice!R66-04_回帰ANOVA!$K$19*04_回帰ANOVA!$K$14*SQRT(1+_slice!R91))-01_因子設定!$B$14,IF(01_因子設定!$B$13="最小化",01_因子設定!$B$15-(_slice!R66+04_回帰ANOVA!$K$19*04_回帰ANOVA!$K$14*SQRT(1+_slice!R91)),MIN((_slice!R66-04_回帰ANOVA!$K$19*04_回帰ANOVA!$K$14*SQRT(1+_slice!R91))-01_因子設定!$B$14,01_因子設定!$B$15-(_slice!R66+04_回帰ANOVA!$K$19*04_回帰ANOVA!$K$14*SQRT(1+_slice!R91))))),"外")</f>
        <v>1.23725598277777</v>
      </c>
      <c r="S41" s="50" t="n">
        <f aca="false">IF(AND(_slice!$H$5=1,S$39&gt;=_slice!$H$6-0.000000001,S$39&lt;=_slice!$I$6+0.000000001,$B41&gt;=_slice!$H$7-0.000000001,$B41&lt;=_slice!$I$7+0.000000001,IF(01_因子設定!$B$20="Box-Behnken",S$39^2+$B41^2+_slice!$H$8&lt;=2+0.000000001,TRUE())),IF(01_因子設定!$B$13="最大化",(_slice!S66-04_回帰ANOVA!$K$19*04_回帰ANOVA!$K$14*SQRT(1+_slice!S91))-01_因子設定!$B$14,IF(01_因子設定!$B$13="最小化",01_因子設定!$B$15-(_slice!S66+04_回帰ANOVA!$K$19*04_回帰ANOVA!$K$14*SQRT(1+_slice!S91)),MIN((_slice!S66-04_回帰ANOVA!$K$19*04_回帰ANOVA!$K$14*SQRT(1+_slice!S91))-01_因子設定!$B$14,01_因子設定!$B$15-(_slice!S66+04_回帰ANOVA!$K$19*04_回帰ANOVA!$K$14*SQRT(1+_slice!S91))))),"外")</f>
        <v>1.1902904837945</v>
      </c>
      <c r="T41" s="50" t="n">
        <f aca="false">IF(AND(_slice!$H$5=1,T$39&gt;=_slice!$H$6-0.000000001,T$39&lt;=_slice!$I$6+0.000000001,$B41&gt;=_slice!$H$7-0.000000001,$B41&lt;=_slice!$I$7+0.000000001,IF(01_因子設定!$B$20="Box-Behnken",T$39^2+$B41^2+_slice!$H$8&lt;=2+0.000000001,TRUE())),IF(01_因子設定!$B$13="最大化",(_slice!T66-04_回帰ANOVA!$K$19*04_回帰ANOVA!$K$14*SQRT(1+_slice!T91))-01_因子設定!$B$14,IF(01_因子設定!$B$13="最小化",01_因子設定!$B$15-(_slice!T66+04_回帰ANOVA!$K$19*04_回帰ANOVA!$K$14*SQRT(1+_slice!T91)),MIN((_slice!T66-04_回帰ANOVA!$K$19*04_回帰ANOVA!$K$14*SQRT(1+_slice!T91))-01_因子設定!$B$14,01_因子設定!$B$15-(_slice!T66+04_回帰ANOVA!$K$19*04_回帰ANOVA!$K$14*SQRT(1+_slice!T91))))),"外")</f>
        <v>1.08066162954814</v>
      </c>
      <c r="U41" s="50" t="n">
        <f aca="false">IF(AND(_slice!$H$5=1,U$39&gt;=_slice!$H$6-0.000000001,U$39&lt;=_slice!$I$6+0.000000001,$B41&gt;=_slice!$H$7-0.000000001,$B41&lt;=_slice!$I$7+0.000000001,IF(01_因子設定!$B$20="Box-Behnken",U$39^2+$B41^2+_slice!$H$8&lt;=2+0.000000001,TRUE())),IF(01_因子設定!$B$13="最大化",(_slice!U66-04_回帰ANOVA!$K$19*04_回帰ANOVA!$K$14*SQRT(1+_slice!U91))-01_因子設定!$B$14,IF(01_因子設定!$B$13="最小化",01_因子設定!$B$15-(_slice!U66+04_回帰ANOVA!$K$19*04_回帰ANOVA!$K$14*SQRT(1+_slice!U91)),MIN((_slice!U66-04_回帰ANOVA!$K$19*04_回帰ANOVA!$K$14*SQRT(1+_slice!U91))-01_因子設定!$B$14,01_因子設定!$B$15-(_slice!U66+04_回帰ANOVA!$K$19*04_回帰ANOVA!$K$14*SQRT(1+_slice!U91))))),"外")</f>
        <v>0.905576568076427</v>
      </c>
      <c r="V41" s="50" t="n">
        <f aca="false">IF(AND(_slice!$H$5=1,V$39&gt;=_slice!$H$6-0.000000001,V$39&lt;=_slice!$I$6+0.000000001,$B41&gt;=_slice!$H$7-0.000000001,$B41&lt;=_slice!$I$7+0.000000001,IF(01_因子設定!$B$20="Box-Behnken",V$39^2+$B41^2+_slice!$H$8&lt;=2+0.000000001,TRUE())),IF(01_因子設定!$B$13="最大化",(_slice!V66-04_回帰ANOVA!$K$19*04_回帰ANOVA!$K$14*SQRT(1+_slice!V91))-01_因子設定!$B$14,IF(01_因子設定!$B$13="最小化",01_因子設定!$B$15-(_slice!V66+04_回帰ANOVA!$K$19*04_回帰ANOVA!$K$14*SQRT(1+_slice!V91)),MIN((_slice!V66-04_回帰ANOVA!$K$19*04_回帰ANOVA!$K$14*SQRT(1+_slice!V91))-01_因子設定!$B$14,01_因子設定!$B$15-(_slice!V66+04_回帰ANOVA!$K$19*04_回帰ANOVA!$K$14*SQRT(1+_slice!V91))))),"外")</f>
        <v>0.662127312761179</v>
      </c>
      <c r="W41" s="50" t="n">
        <f aca="false">IF(AND(_slice!$H$5=1,W$39&gt;=_slice!$H$6-0.000000001,W$39&lt;=_slice!$I$6+0.000000001,$B41&gt;=_slice!$H$7-0.000000001,$B41&lt;=_slice!$I$7+0.000000001,IF(01_因子設定!$B$20="Box-Behnken",W$39^2+$B41^2+_slice!$H$8&lt;=2+0.000000001,TRUE())),IF(01_因子設定!$B$13="最大化",(_slice!W66-04_回帰ANOVA!$K$19*04_回帰ANOVA!$K$14*SQRT(1+_slice!W91))-01_因子設定!$B$14,IF(01_因子設定!$B$13="最小化",01_因子設定!$B$15-(_slice!W66+04_回帰ANOVA!$K$19*04_回帰ANOVA!$K$14*SQRT(1+_slice!W91)),MIN((_slice!W66-04_回帰ANOVA!$K$19*04_回帰ANOVA!$K$14*SQRT(1+_slice!W91))-01_因子設定!$B$14,01_因子設定!$B$15-(_slice!W66+04_回帰ANOVA!$K$19*04_回帰ANOVA!$K$14*SQRT(1+_slice!W91))))),"外")</f>
        <v>0.347493709333051</v>
      </c>
    </row>
    <row r="42" customFormat="false" ht="15" hidden="false" customHeight="false" outlineLevel="0" collapsed="false">
      <c r="A42" s="49" t="n">
        <f aca="false">INDEX(01_因子設定!$G$5:$G$6,$C$5)+B42*INDEX(01_因子設定!$H$5:$H$6,$C$5)</f>
        <v>39</v>
      </c>
      <c r="B42" s="49" t="n">
        <v>0.9</v>
      </c>
      <c r="C42" s="50" t="n">
        <f aca="false">IF(AND(_slice!$H$5=1,C$39&gt;=_slice!$H$6-0.000000001,C$39&lt;=_slice!$I$6+0.000000001,$B42&gt;=_slice!$H$7-0.000000001,$B42&lt;=_slice!$I$7+0.000000001,IF(01_因子設定!$B$20="Box-Behnken",C$39^2+$B42^2+_slice!$H$8&lt;=2+0.000000001,TRUE())),IF(01_因子設定!$B$13="最大化",(_slice!C67-04_回帰ANOVA!$K$19*04_回帰ANOVA!$K$14*SQRT(1+_slice!C92))-01_因子設定!$B$14,IF(01_因子設定!$B$13="最小化",01_因子設定!$B$15-(_slice!C67+04_回帰ANOVA!$K$19*04_回帰ANOVA!$K$14*SQRT(1+_slice!C92)),MIN((_slice!C67-04_回帰ANOVA!$K$19*04_回帰ANOVA!$K$14*SQRT(1+_slice!C92))-01_因子設定!$B$14,01_因子設定!$B$15-(_slice!C67+04_回帰ANOVA!$K$19*04_回帰ANOVA!$K$14*SQRT(1+_slice!C92))))),"外")</f>
        <v>-4.75753935390549</v>
      </c>
      <c r="D42" s="50" t="n">
        <f aca="false">IF(AND(_slice!$H$5=1,D$39&gt;=_slice!$H$6-0.000000001,D$39&lt;=_slice!$I$6+0.000000001,$B42&gt;=_slice!$H$7-0.000000001,$B42&lt;=_slice!$I$7+0.000000001,IF(01_因子設定!$B$20="Box-Behnken",D$39^2+$B42^2+_slice!$H$8&lt;=2+0.000000001,TRUE())),IF(01_因子設定!$B$13="最大化",(_slice!D67-04_回帰ANOVA!$K$19*04_回帰ANOVA!$K$14*SQRT(1+_slice!D92))-01_因子設定!$B$14,IF(01_因子設定!$B$13="最小化",01_因子設定!$B$15-(_slice!D67+04_回帰ANOVA!$K$19*04_回帰ANOVA!$K$14*SQRT(1+_slice!D92)),MIN((_slice!D67-04_回帰ANOVA!$K$19*04_回帰ANOVA!$K$14*SQRT(1+_slice!D92))-01_因子設定!$B$14,01_因子設定!$B$15-(_slice!D67+04_回帰ANOVA!$K$19*04_回帰ANOVA!$K$14*SQRT(1+_slice!D92))))),"外")</f>
        <v>-3.91736102817442</v>
      </c>
      <c r="E42" s="50" t="n">
        <f aca="false">IF(AND(_slice!$H$5=1,E$39&gt;=_slice!$H$6-0.000000001,E$39&lt;=_slice!$I$6+0.000000001,$B42&gt;=_slice!$H$7-0.000000001,$B42&lt;=_slice!$I$7+0.000000001,IF(01_因子設定!$B$20="Box-Behnken",E$39^2+$B42^2+_slice!$H$8&lt;=2+0.000000001,TRUE())),IF(01_因子設定!$B$13="最大化",(_slice!E67-04_回帰ANOVA!$K$19*04_回帰ANOVA!$K$14*SQRT(1+_slice!E92))-01_因子設定!$B$14,IF(01_因子設定!$B$13="最小化",01_因子設定!$B$15-(_slice!E67+04_回帰ANOVA!$K$19*04_回帰ANOVA!$K$14*SQRT(1+_slice!E92)),MIN((_slice!E67-04_回帰ANOVA!$K$19*04_回帰ANOVA!$K$14*SQRT(1+_slice!E92))-01_因子設定!$B$14,01_因子設定!$B$15-(_slice!E67+04_回帰ANOVA!$K$19*04_回帰ANOVA!$K$14*SQRT(1+_slice!E92))))),"外")</f>
        <v>-3.14886419418358</v>
      </c>
      <c r="F42" s="50" t="n">
        <f aca="false">IF(AND(_slice!$H$5=1,F$39&gt;=_slice!$H$6-0.000000001,F$39&lt;=_slice!$I$6+0.000000001,$B42&gt;=_slice!$H$7-0.000000001,$B42&lt;=_slice!$I$7+0.000000001,IF(01_因子設定!$B$20="Box-Behnken",F$39^2+$B42^2+_slice!$H$8&lt;=2+0.000000001,TRUE())),IF(01_因子設定!$B$13="最大化",(_slice!F67-04_回帰ANOVA!$K$19*04_回帰ANOVA!$K$14*SQRT(1+_slice!F92))-01_因子設定!$B$14,IF(01_因子設定!$B$13="最小化",01_因子設定!$B$15-(_slice!F67+04_回帰ANOVA!$K$19*04_回帰ANOVA!$K$14*SQRT(1+_slice!F92)),MIN((_slice!F67-04_回帰ANOVA!$K$19*04_回帰ANOVA!$K$14*SQRT(1+_slice!F92))-01_因子設定!$B$14,01_因子設定!$B$15-(_slice!F67+04_回帰ANOVA!$K$19*04_回帰ANOVA!$K$14*SQRT(1+_slice!F92))))),"外")</f>
        <v>-2.44921736139732</v>
      </c>
      <c r="G42" s="50" t="n">
        <f aca="false">IF(AND(_slice!$H$5=1,G$39&gt;=_slice!$H$6-0.000000001,G$39&lt;=_slice!$I$6+0.000000001,$B42&gt;=_slice!$H$7-0.000000001,$B42&lt;=_slice!$I$7+0.000000001,IF(01_因子設定!$B$20="Box-Behnken",G$39^2+$B42^2+_slice!$H$8&lt;=2+0.000000001,TRUE())),IF(01_因子設定!$B$13="最大化",(_slice!G67-04_回帰ANOVA!$K$19*04_回帰ANOVA!$K$14*SQRT(1+_slice!G92))-01_因子設定!$B$14,IF(01_因子設定!$B$13="最小化",01_因子設定!$B$15-(_slice!G67+04_回帰ANOVA!$K$19*04_回帰ANOVA!$K$14*SQRT(1+_slice!G92)),MIN((_slice!G67-04_回帰ANOVA!$K$19*04_回帰ANOVA!$K$14*SQRT(1+_slice!G92))-01_因子設定!$B$14,01_因子設定!$B$15-(_slice!G67+04_回帰ANOVA!$K$19*04_回帰ANOVA!$K$14*SQRT(1+_slice!G92))))),"外")</f>
        <v>-1.81545954397305</v>
      </c>
      <c r="H42" s="50" t="n">
        <f aca="false">IF(AND(_slice!$H$5=1,H$39&gt;=_slice!$H$6-0.000000001,H$39&lt;=_slice!$I$6+0.000000001,$B42&gt;=_slice!$H$7-0.000000001,$B42&lt;=_slice!$I$7+0.000000001,IF(01_因子設定!$B$20="Box-Behnken",H$39^2+$B42^2+_slice!$H$8&lt;=2+0.000000001,TRUE())),IF(01_因子設定!$B$13="最大化",(_slice!H67-04_回帰ANOVA!$K$19*04_回帰ANOVA!$K$14*SQRT(1+_slice!H92))-01_因子設定!$B$14,IF(01_因子設定!$B$13="最小化",01_因子設定!$B$15-(_slice!H67+04_回帰ANOVA!$K$19*04_回帰ANOVA!$K$14*SQRT(1+_slice!H92)),MIN((_slice!H67-04_回帰ANOVA!$K$19*04_回帰ANOVA!$K$14*SQRT(1+_slice!H92))-01_因子設定!$B$14,01_因子設定!$B$15-(_slice!H67+04_回帰ANOVA!$K$19*04_回帰ANOVA!$K$14*SQRT(1+_slice!H92))))),"外")</f>
        <v>-1.24471943676169</v>
      </c>
      <c r="I42" s="50" t="n">
        <f aca="false">IF(AND(_slice!$H$5=1,I$39&gt;=_slice!$H$6-0.000000001,I$39&lt;=_slice!$I$6+0.000000001,$B42&gt;=_slice!$H$7-0.000000001,$B42&lt;=_slice!$I$7+0.000000001,IF(01_因子設定!$B$20="Box-Behnken",I$39^2+$B42^2+_slice!$H$8&lt;=2+0.000000001,TRUE())),IF(01_因子設定!$B$13="最大化",(_slice!I67-04_回帰ANOVA!$K$19*04_回帰ANOVA!$K$14*SQRT(1+_slice!I92))-01_因子設定!$B$14,IF(01_因子設定!$B$13="最小化",01_因子設定!$B$15-(_slice!I67+04_回帰ANOVA!$K$19*04_回帰ANOVA!$K$14*SQRT(1+_slice!I92)),MIN((_slice!I67-04_回帰ANOVA!$K$19*04_回帰ANOVA!$K$14*SQRT(1+_slice!I92))-01_因子設定!$B$14,01_因子設定!$B$15-(_slice!I67+04_回帰ANOVA!$K$19*04_回帰ANOVA!$K$14*SQRT(1+_slice!I92))))),"外")</f>
        <v>-0.734394572914191</v>
      </c>
      <c r="J42" s="50" t="n">
        <f aca="false">IF(AND(_slice!$H$5=1,J$39&gt;=_slice!$H$6-0.000000001,J$39&lt;=_slice!$I$6+0.000000001,$B42&gt;=_slice!$H$7-0.000000001,$B42&lt;=_slice!$I$7+0.000000001,IF(01_因子設定!$B$20="Box-Behnken",J$39^2+$B42^2+_slice!$H$8&lt;=2+0.000000001,TRUE())),IF(01_因子設定!$B$13="最大化",(_slice!J67-04_回帰ANOVA!$K$19*04_回帰ANOVA!$K$14*SQRT(1+_slice!J92))-01_因子設定!$B$14,IF(01_因子設定!$B$13="最小化",01_因子設定!$B$15-(_slice!J67+04_回帰ANOVA!$K$19*04_回帰ANOVA!$K$14*SQRT(1+_slice!J92)),MIN((_slice!J67-04_回帰ANOVA!$K$19*04_回帰ANOVA!$K$14*SQRT(1+_slice!J92))-01_因子設定!$B$14,01_因子設定!$B$15-(_slice!J67+04_回帰ANOVA!$K$19*04_回帰ANOVA!$K$14*SQRT(1+_slice!J92))))),"外")</f>
        <v>-0.282274327999957</v>
      </c>
      <c r="K42" s="50" t="n">
        <f aca="false">IF(AND(_slice!$H$5=1,K$39&gt;=_slice!$H$6-0.000000001,K$39&lt;=_slice!$I$6+0.000000001,$B42&gt;=_slice!$H$7-0.000000001,$B42&lt;=_slice!$I$7+0.000000001,IF(01_因子設定!$B$20="Box-Behnken",K$39^2+$B42^2+_slice!$H$8&lt;=2+0.000000001,TRUE())),IF(01_因子設定!$B$13="最大化",(_slice!K67-04_回帰ANOVA!$K$19*04_回帰ANOVA!$K$14*SQRT(1+_slice!K92))-01_因子設定!$B$14,IF(01_因子設定!$B$13="最小化",01_因子設定!$B$15-(_slice!K67+04_回帰ANOVA!$K$19*04_回帰ANOVA!$K$14*SQRT(1+_slice!K92)),MIN((_slice!K67-04_回帰ANOVA!$K$19*04_回帰ANOVA!$K$14*SQRT(1+_slice!K92))-01_因子設定!$B$14,01_因子設定!$B$15-(_slice!K67+04_回帰ANOVA!$K$19*04_回帰ANOVA!$K$14*SQRT(1+_slice!K92))))),"外")</f>
        <v>0.113389903605388</v>
      </c>
      <c r="L42" s="50" t="n">
        <f aca="false">IF(AND(_slice!$H$5=1,L$39&gt;=_slice!$H$6-0.000000001,L$39&lt;=_slice!$I$6+0.000000001,$B42&gt;=_slice!$H$7-0.000000001,$B42&lt;=_slice!$I$7+0.000000001,IF(01_因子設定!$B$20="Box-Behnken",L$39^2+$B42^2+_slice!$H$8&lt;=2+0.000000001,TRUE())),IF(01_因子設定!$B$13="最大化",(_slice!L67-04_回帰ANOVA!$K$19*04_回帰ANOVA!$K$14*SQRT(1+_slice!L92))-01_因子設定!$B$14,IF(01_因子設定!$B$13="最小化",01_因子設定!$B$15-(_slice!L67+04_回帰ANOVA!$K$19*04_回帰ANOVA!$K$14*SQRT(1+_slice!L92)),MIN((_slice!L67-04_回帰ANOVA!$K$19*04_回帰ANOVA!$K$14*SQRT(1+_slice!L92))-01_因子設定!$B$14,01_因子設定!$B$15-(_slice!L67+04_回帰ANOVA!$K$19*04_回帰ANOVA!$K$14*SQRT(1+_slice!L92))))),"外")</f>
        <v>0.453853300804667</v>
      </c>
      <c r="M42" s="50" t="n">
        <f aca="false">IF(AND(_slice!$H$5=1,M$39&gt;=_slice!$H$6-0.000000001,M$39&lt;=_slice!$I$6+0.000000001,$B42&gt;=_slice!$H$7-0.000000001,$B42&lt;=_slice!$I$7+0.000000001,IF(01_因子設定!$B$20="Box-Behnken",M$39^2+$B42^2+_slice!$H$8&lt;=2+0.000000001,TRUE())),IF(01_因子設定!$B$13="最大化",(_slice!M67-04_回帰ANOVA!$K$19*04_回帰ANOVA!$K$14*SQRT(1+_slice!M92))-01_因子設定!$B$14,IF(01_因子設定!$B$13="最小化",01_因子設定!$B$15-(_slice!M67+04_回帰ANOVA!$K$19*04_回帰ANOVA!$K$14*SQRT(1+_slice!M92)),MIN((_slice!M67-04_回帰ANOVA!$K$19*04_回帰ANOVA!$K$14*SQRT(1+_slice!M92))-01_因子設定!$B$14,01_因子設定!$B$15-(_slice!M67+04_回帰ANOVA!$K$19*04_回帰ANOVA!$K$14*SQRT(1+_slice!M92))))),"外")</f>
        <v>0.739868674201915</v>
      </c>
      <c r="N42" s="50" t="n">
        <f aca="false">IF(AND(_slice!$H$5=1,N$39&gt;=_slice!$H$6-0.000000001,N$39&lt;=_slice!$I$6+0.000000001,$B42&gt;=_slice!$H$7-0.000000001,$B42&lt;=_slice!$I$7+0.000000001,IF(01_因子設定!$B$20="Box-Behnken",N$39^2+$B42^2+_slice!$H$8&lt;=2+0.000000001,TRUE())),IF(01_因子設定!$B$13="最大化",(_slice!N67-04_回帰ANOVA!$K$19*04_回帰ANOVA!$K$14*SQRT(1+_slice!N92))-01_因子設定!$B$14,IF(01_因子設定!$B$13="最小化",01_因子設定!$B$15-(_slice!N67+04_回帰ANOVA!$K$19*04_回帰ANOVA!$K$14*SQRT(1+_slice!N92)),MIN((_slice!N67-04_回帰ANOVA!$K$19*04_回帰ANOVA!$K$14*SQRT(1+_slice!N92))-01_因子設定!$B$14,01_因子設定!$B$15-(_slice!N67+04_回帰ANOVA!$K$19*04_回帰ANOVA!$K$14*SQRT(1+_slice!N92))))),"外")</f>
        <v>0.971686634137996</v>
      </c>
      <c r="O42" s="50" t="n">
        <f aca="false">IF(AND(_slice!$H$5=1,O$39&gt;=_slice!$H$6-0.000000001,O$39&lt;=_slice!$I$6+0.000000001,$B42&gt;=_slice!$H$7-0.000000001,$B42&lt;=_slice!$I$7+0.000000001,IF(01_因子設定!$B$20="Box-Behnken",O$39^2+$B42^2+_slice!$H$8&lt;=2+0.000000001,TRUE())),IF(01_因子設定!$B$13="最大化",(_slice!O67-04_回帰ANOVA!$K$19*04_回帰ANOVA!$K$14*SQRT(1+_slice!O92))-01_因子設定!$B$14,IF(01_因子設定!$B$13="最小化",01_因子設定!$B$15-(_slice!O67+04_回帰ANOVA!$K$19*04_回帰ANOVA!$K$14*SQRT(1+_slice!O92)),MIN((_slice!O67-04_回帰ANOVA!$K$19*04_回帰ANOVA!$K$14*SQRT(1+_slice!O92))-01_因子設定!$B$14,01_因子設定!$B$15-(_slice!O67+04_回帰ANOVA!$K$19*04_回帰ANOVA!$K$14*SQRT(1+_slice!O92))))),"外")</f>
        <v>1.14905657027204</v>
      </c>
      <c r="P42" s="50" t="n">
        <f aca="false">IF(AND(_slice!$H$5=1,P$39&gt;=_slice!$H$6-0.000000001,P$39&lt;=_slice!$I$6+0.000000001,$B42&gt;=_slice!$H$7-0.000000001,$B42&lt;=_slice!$I$7+0.000000001,IF(01_因子設定!$B$20="Box-Behnken",P$39^2+$B42^2+_slice!$H$8&lt;=2+0.000000001,TRUE())),IF(01_因子設定!$B$13="最大化",(_slice!P67-04_回帰ANOVA!$K$19*04_回帰ANOVA!$K$14*SQRT(1+_slice!P92))-01_因子設定!$B$14,IF(01_因子設定!$B$13="最小化",01_因子設定!$B$15-(_slice!P67+04_回帰ANOVA!$K$19*04_回帰ANOVA!$K$14*SQRT(1+_slice!P92)),MIN((_slice!P67-04_回帰ANOVA!$K$19*04_回帰ANOVA!$K$14*SQRT(1+_slice!P92))-01_因子設定!$B$14,01_因子設定!$B$15-(_slice!P67+04_回帰ANOVA!$K$19*04_回帰ANOVA!$K$14*SQRT(1+_slice!P92))))),"外")</f>
        <v>1.27122567200004</v>
      </c>
      <c r="Q42" s="50" t="n">
        <f aca="false">IF(AND(_slice!$H$5=1,Q$39&gt;=_slice!$H$6-0.000000001,Q$39&lt;=_slice!$I$6+0.000000001,$B42&gt;=_slice!$H$7-0.000000001,$B42&lt;=_slice!$I$7+0.000000001,IF(01_因子設定!$B$20="Box-Behnken",Q$39^2+$B42^2+_slice!$H$8&lt;=2+0.000000001,TRUE())),IF(01_因子設定!$B$13="最大化",(_slice!Q67-04_回帰ANOVA!$K$19*04_回帰ANOVA!$K$14*SQRT(1+_slice!Q92))-01_因子設定!$B$14,IF(01_因子設定!$B$13="最小化",01_因子設定!$B$15-(_slice!Q67+04_回帰ANOVA!$K$19*04_回帰ANOVA!$K$14*SQRT(1+_slice!Q92)),MIN((_slice!Q67-04_回帰ANOVA!$K$19*04_回帰ANOVA!$K$14*SQRT(1+_slice!Q92))-01_因子設定!$B$14,01_因子設定!$B$15-(_slice!Q67+04_回帰ANOVA!$K$19*04_回帰ANOVA!$K$14*SQRT(1+_slice!Q92))))),"外")</f>
        <v>1.33693876041914</v>
      </c>
      <c r="R42" s="50" t="n">
        <f aca="false">IF(AND(_slice!$H$5=1,R$39&gt;=_slice!$H$6-0.000000001,R$39&lt;=_slice!$I$6+0.000000001,$B42&gt;=_slice!$H$7-0.000000001,$B42&lt;=_slice!$I$7+0.000000001,IF(01_因子設定!$B$20="Box-Behnken",R$39^2+$B42^2+_slice!$H$8&lt;=2+0.000000001,TRUE())),IF(01_因子設定!$B$13="最大化",(_slice!R67-04_回帰ANOVA!$K$19*04_回帰ANOVA!$K$14*SQRT(1+_slice!R92))-01_因子設定!$B$14,IF(01_因子設定!$B$13="最小化",01_因子設定!$B$15-(_slice!R67+04_回帰ANOVA!$K$19*04_回帰ANOVA!$K$14*SQRT(1+_slice!R92)),MIN((_slice!R67-04_回帰ANOVA!$K$19*04_回帰ANOVA!$K$14*SQRT(1+_slice!R92))-01_因子設定!$B$14,01_因子設定!$B$15-(_slice!R67+04_回帰ANOVA!$K$19*04_回帰ANOVA!$K$14*SQRT(1+_slice!R92))))),"外")</f>
        <v>1.34444722990498</v>
      </c>
      <c r="S42" s="50" t="n">
        <f aca="false">IF(AND(_slice!$H$5=1,S$39&gt;=_slice!$H$6-0.000000001,S$39&lt;=_slice!$I$6+0.000000001,$B42&gt;=_slice!$H$7-0.000000001,$B42&lt;=_slice!$I$7+0.000000001,IF(01_因子設定!$B$20="Box-Behnken",S$39^2+$B42^2+_slice!$H$8&lt;=2+0.000000001,TRUE())),IF(01_因子設定!$B$13="最大化",(_slice!S67-04_回帰ANOVA!$K$19*04_回帰ANOVA!$K$14*SQRT(1+_slice!S92))-01_因子設定!$B$14,IF(01_因子設定!$B$13="最小化",01_因子設定!$B$15-(_slice!S67+04_回帰ANOVA!$K$19*04_回帰ANOVA!$K$14*SQRT(1+_slice!S92)),MIN((_slice!S67-04_回帰ANOVA!$K$19*04_回帰ANOVA!$K$14*SQRT(1+_slice!S92))-01_因子設定!$B$14,01_因子設定!$B$15-(_slice!S67+04_回帰ANOVA!$K$19*04_回帰ANOVA!$K$14*SQRT(1+_slice!S92))))),"外")</f>
        <v>1.29154045602695</v>
      </c>
      <c r="T42" s="50" t="n">
        <f aca="false">IF(AND(_slice!$H$5=1,T$39&gt;=_slice!$H$6-0.000000001,T$39&lt;=_slice!$I$6+0.000000001,$B42&gt;=_slice!$H$7-0.000000001,$B42&lt;=_slice!$I$7+0.000000001,IF(01_因子設定!$B$20="Box-Behnken",T$39^2+$B42^2+_slice!$H$8&lt;=2+0.000000001,TRUE())),IF(01_因子設定!$B$13="最大化",(_slice!T67-04_回帰ANOVA!$K$19*04_回帰ANOVA!$K$14*SQRT(1+_slice!T92))-01_因子設定!$B$14,IF(01_因子設定!$B$13="最小化",01_因子設定!$B$15-(_slice!T67+04_回帰ANOVA!$K$19*04_回帰ANOVA!$K$14*SQRT(1+_slice!T92)),MIN((_slice!T67-04_回帰ANOVA!$K$19*04_回帰ANOVA!$K$14*SQRT(1+_slice!T92))-01_因子設定!$B$14,01_因子設定!$B$15-(_slice!T67+04_回帰ANOVA!$K$19*04_回帰ANOVA!$K$14*SQRT(1+_slice!T92))))),"外")</f>
        <v>1.17561597193603</v>
      </c>
      <c r="U42" s="50" t="n">
        <f aca="false">IF(AND(_slice!$H$5=1,U$39&gt;=_slice!$H$6-0.000000001,U$39&lt;=_slice!$I$6+0.000000001,$B42&gt;=_slice!$H$7-0.000000001,$B42&lt;=_slice!$I$7+0.000000001,IF(01_因子設定!$B$20="Box-Behnken",U$39^2+$B42^2+_slice!$H$8&lt;=2+0.000000001,TRUE())),IF(01_因子設定!$B$13="最大化",(_slice!U67-04_回帰ANOVA!$K$19*04_回帰ANOVA!$K$14*SQRT(1+_slice!U92))-01_因子設定!$B$14,IF(01_因子設定!$B$13="最小化",01_因子設定!$B$15-(_slice!U67+04_回帰ANOVA!$K$19*04_回帰ANOVA!$K$14*SQRT(1+_slice!U92)),MIN((_slice!U67-04_回帰ANOVA!$K$19*04_回帰ANOVA!$K$14*SQRT(1+_slice!U92))-01_因子設定!$B$14,01_因子設定!$B$15-(_slice!U67+04_回帰ANOVA!$K$19*04_回帰ANOVA!$K$14*SQRT(1+_slice!U92))))),"外")</f>
        <v>0.99380247248309</v>
      </c>
      <c r="V42" s="50" t="n">
        <f aca="false">IF(AND(_slice!$H$5=1,V$39&gt;=_slice!$H$6-0.000000001,V$39&lt;=_slice!$I$6+0.000000001,$B42&gt;=_slice!$H$7-0.000000001,$B42&lt;=_slice!$I$7+0.000000001,IF(01_因子設定!$B$20="Box-Behnken",V$39^2+$B42^2+_slice!$H$8&lt;=2+0.000000001,TRUE())),IF(01_因子設定!$B$13="最大化",(_slice!V67-04_回帰ANOVA!$K$19*04_回帰ANOVA!$K$14*SQRT(1+_slice!V92))-01_因子設定!$B$14,IF(01_因子設定!$B$13="最小化",01_因子設定!$B$15-(_slice!V67+04_回帰ANOVA!$K$19*04_回帰ANOVA!$K$14*SQRT(1+_slice!V92)),MIN((_slice!V67-04_回帰ANOVA!$K$19*04_回帰ANOVA!$K$14*SQRT(1+_slice!V92))-01_因子設定!$B$14,01_因子設定!$B$15-(_slice!V67+04_回帰ANOVA!$K$19*04_回帰ANOVA!$K$14*SQRT(1+_slice!V92))))),"外")</f>
        <v>0.74313897182558</v>
      </c>
      <c r="W42" s="50" t="n">
        <f aca="false">IF(AND(_slice!$H$5=1,W$39&gt;=_slice!$H$6-0.000000001,W$39&lt;=_slice!$I$6+0.000000001,$B42&gt;=_slice!$H$7-0.000000001,$B42&lt;=_slice!$I$7+0.000000001,IF(01_因子設定!$B$20="Box-Behnken",W$39^2+$B42^2+_slice!$H$8&lt;=2+0.000000001,TRUE())),IF(01_因子設定!$B$13="最大化",(_slice!W67-04_回帰ANOVA!$K$19*04_回帰ANOVA!$K$14*SQRT(1+_slice!W92))-01_因子設定!$B$14,IF(01_因子設定!$B$13="最小化",01_因子設定!$B$15-(_slice!W67+04_回帰ANOVA!$K$19*04_回帰ANOVA!$K$14*SQRT(1+_slice!W92)),MIN((_slice!W67-04_回帰ANOVA!$K$19*04_回帰ANOVA!$K$14*SQRT(1+_slice!W92))-01_因子設定!$B$14,01_因子設定!$B$15-(_slice!W67+04_回帰ANOVA!$K$19*04_回帰ANOVA!$K$14*SQRT(1+_slice!W92))))),"外")</f>
        <v>0.420793979427842</v>
      </c>
    </row>
    <row r="43" customFormat="false" ht="15" hidden="false" customHeight="false" outlineLevel="0" collapsed="false">
      <c r="A43" s="49" t="n">
        <f aca="false">INDEX(01_因子設定!$G$5:$G$6,$C$5)+B43*INDEX(01_因子設定!$H$5:$H$6,$C$5)</f>
        <v>38</v>
      </c>
      <c r="B43" s="49" t="n">
        <v>0.8</v>
      </c>
      <c r="C43" s="50" t="n">
        <f aca="false">IF(AND(_slice!$H$5=1,C$39&gt;=_slice!$H$6-0.000000001,C$39&lt;=_slice!$I$6+0.000000001,$B43&gt;=_slice!$H$7-0.000000001,$B43&lt;=_slice!$I$7+0.000000001,IF(01_因子設定!$B$20="Box-Behnken",C$39^2+$B43^2+_slice!$H$8&lt;=2+0.000000001,TRUE())),IF(01_因子設定!$B$13="最大化",(_slice!C68-04_回帰ANOVA!$K$19*04_回帰ANOVA!$K$14*SQRT(1+_slice!C93))-01_因子設定!$B$14,IF(01_因子設定!$B$13="最小化",01_因子設定!$B$15-(_slice!C68+04_回帰ANOVA!$K$19*04_回帰ANOVA!$K$14*SQRT(1+_slice!C93)),MIN((_slice!C68-04_回帰ANOVA!$K$19*04_回帰ANOVA!$K$14*SQRT(1+_slice!C93))-01_因子設定!$B$14,01_因子設定!$B$15-(_slice!C68+04_回帰ANOVA!$K$19*04_回帰ANOVA!$K$14*SQRT(1+_slice!C93))))),"外")</f>
        <v>-4.62642343192359</v>
      </c>
      <c r="D43" s="50" t="n">
        <f aca="false">IF(AND(_slice!$H$5=1,D$39&gt;=_slice!$H$6-0.000000001,D$39&lt;=_slice!$I$6+0.000000001,$B43&gt;=_slice!$H$7-0.000000001,$B43&lt;=_slice!$I$7+0.000000001,IF(01_因子設定!$B$20="Box-Behnken",D$39^2+$B43^2+_slice!$H$8&lt;=2+0.000000001,TRUE())),IF(01_因子設定!$B$13="最大化",(_slice!D68-04_回帰ANOVA!$K$19*04_回帰ANOVA!$K$14*SQRT(1+_slice!D93))-01_因子設定!$B$14,IF(01_因子設定!$B$13="最小化",01_因子設定!$B$15-(_slice!D68+04_回帰ANOVA!$K$19*04_回帰ANOVA!$K$14*SQRT(1+_slice!D93)),MIN((_slice!D68-04_回帰ANOVA!$K$19*04_回帰ANOVA!$K$14*SQRT(1+_slice!D93))-01_因子設定!$B$14,01_因子設定!$B$15-(_slice!D68+04_回帰ANOVA!$K$19*04_回帰ANOVA!$K$14*SQRT(1+_slice!D93))))),"外")</f>
        <v>-3.78953086085026</v>
      </c>
      <c r="E43" s="50" t="n">
        <f aca="false">IF(AND(_slice!$H$5=1,E$39&gt;=_slice!$H$6-0.000000001,E$39&lt;=_slice!$I$6+0.000000001,$B43&gt;=_slice!$H$7-0.000000001,$B43&lt;=_slice!$I$7+0.000000001,IF(01_因子設定!$B$20="Box-Behnken",E$39^2+$B43^2+_slice!$H$8&lt;=2+0.000000001,TRUE())),IF(01_因子設定!$B$13="最大化",(_slice!E68-04_回帰ANOVA!$K$19*04_回帰ANOVA!$K$14*SQRT(1+_slice!E93))-01_因子設定!$B$14,IF(01_因子設定!$B$13="最小化",01_因子設定!$B$15-(_slice!E68+04_回帰ANOVA!$K$19*04_回帰ANOVA!$K$14*SQRT(1+_slice!E93)),MIN((_slice!E68-04_回帰ANOVA!$K$19*04_回帰ANOVA!$K$14*SQRT(1+_slice!E93))-01_因子設定!$B$14,01_因子設定!$B$15-(_slice!E68+04_回帰ANOVA!$K$19*04_回帰ANOVA!$K$14*SQRT(1+_slice!E93))))),"外")</f>
        <v>-3.0246939825492</v>
      </c>
      <c r="F43" s="50" t="n">
        <f aca="false">IF(AND(_slice!$H$5=1,F$39&gt;=_slice!$H$6-0.000000001,F$39&lt;=_slice!$I$6+0.000000001,$B43&gt;=_slice!$H$7-0.000000001,$B43&lt;=_slice!$I$7+0.000000001,IF(01_因子設定!$B$20="Box-Behnken",F$39^2+$B43^2+_slice!$H$8&lt;=2+0.000000001,TRUE())),IF(01_因子設定!$B$13="最大化",(_slice!F68-04_回帰ANOVA!$K$19*04_回帰ANOVA!$K$14*SQRT(1+_slice!F93))-01_因子設定!$B$14,IF(01_因子設定!$B$13="最小化",01_因子設定!$B$15-(_slice!F68+04_回帰ANOVA!$K$19*04_回帰ANOVA!$K$14*SQRT(1+_slice!F93)),MIN((_slice!F68-04_回帰ANOVA!$K$19*04_回帰ANOVA!$K$14*SQRT(1+_slice!F93))-01_因子設定!$B$14,01_因子設定!$B$15-(_slice!F68+04_回帰ANOVA!$K$19*04_回帰ANOVA!$K$14*SQRT(1+_slice!F93))))),"外")</f>
        <v>-2.32908140619704</v>
      </c>
      <c r="G43" s="50" t="n">
        <f aca="false">IF(AND(_slice!$H$5=1,G$39&gt;=_slice!$H$6-0.000000001,G$39&lt;=_slice!$I$6+0.000000001,$B43&gt;=_slice!$H$7-0.000000001,$B43&lt;=_slice!$I$7+0.000000001,IF(01_因子設定!$B$20="Box-Behnken",G$39^2+$B43^2+_slice!$H$8&lt;=2+0.000000001,TRUE())),IF(01_因子設定!$B$13="最大化",(_slice!G68-04_回帰ANOVA!$K$19*04_回帰ANOVA!$K$14*SQRT(1+_slice!G93))-01_因子設定!$B$14,IF(01_因子設定!$B$13="最小化",01_因子設定!$B$15-(_slice!G68+04_回帰ANOVA!$K$19*04_回帰ANOVA!$K$14*SQRT(1+_slice!G93)),MIN((_slice!G68-04_回帰ANOVA!$K$19*04_回帰ANOVA!$K$14*SQRT(1+_slice!G93))-01_因子設定!$B$14,01_因子設定!$B$15-(_slice!G68+04_回帰ANOVA!$K$19*04_回帰ANOVA!$K$14*SQRT(1+_slice!G93))))),"外")</f>
        <v>-1.69969772143175</v>
      </c>
      <c r="H43" s="50" t="n">
        <f aca="false">IF(AND(_slice!$H$5=1,H$39&gt;=_slice!$H$6-0.000000001,H$39&lt;=_slice!$I$6+0.000000001,$B43&gt;=_slice!$H$7-0.000000001,$B43&lt;=_slice!$I$7+0.000000001,IF(01_因子設定!$B$20="Box-Behnken",H$39^2+$B43^2+_slice!$H$8&lt;=2+0.000000001,TRUE())),IF(01_因子設定!$B$13="最大化",(_slice!H68-04_回帰ANOVA!$K$19*04_回帰ANOVA!$K$14*SQRT(1+_slice!H93))-01_因子設定!$B$14,IF(01_因子設定!$B$13="最小化",01_因子設定!$B$15-(_slice!H68+04_回帰ANOVA!$K$19*04_回帰ANOVA!$K$14*SQRT(1+_slice!H93)),MIN((_slice!H68-04_回帰ANOVA!$K$19*04_回帰ANOVA!$K$14*SQRT(1+_slice!H93))-01_因子設定!$B$14,01_因子設定!$B$15-(_slice!H68+04_回帰ANOVA!$K$19*04_回帰ANOVA!$K$14*SQRT(1+_slice!H93))))),"外")</f>
        <v>-1.13361484772547</v>
      </c>
      <c r="I43" s="50" t="n">
        <f aca="false">IF(AND(_slice!$H$5=1,I$39&gt;=_slice!$H$6-0.000000001,I$39&lt;=_slice!$I$6+0.000000001,$B43&gt;=_slice!$H$7-0.000000001,$B43&lt;=_slice!$I$7+0.000000001,IF(01_因子設定!$B$20="Box-Behnken",I$39^2+$B43^2+_slice!$H$8&lt;=2+0.000000001,TRUE())),IF(01_因子設定!$B$13="最大化",(_slice!I68-04_回帰ANOVA!$K$19*04_回帰ANOVA!$K$14*SQRT(1+_slice!I93))-01_因子設定!$B$14,IF(01_因子設定!$B$13="最小化",01_因子設定!$B$15-(_slice!I68+04_回帰ANOVA!$K$19*04_回帰ANOVA!$K$14*SQRT(1+_slice!I93)),MIN((_slice!I68-04_回帰ANOVA!$K$19*04_回帰ANOVA!$K$14*SQRT(1+_slice!I93))-01_因子設定!$B$14,01_因子設定!$B$15-(_slice!I68+04_回帰ANOVA!$K$19*04_回帰ANOVA!$K$14*SQRT(1+_slice!I93))))),"外")</f>
        <v>-0.628164877517321</v>
      </c>
      <c r="J43" s="50" t="n">
        <f aca="false">IF(AND(_slice!$H$5=1,J$39&gt;=_slice!$H$6-0.000000001,J$39&lt;=_slice!$I$6+0.000000001,$B43&gt;=_slice!$H$7-0.000000001,$B43&lt;=_slice!$I$7+0.000000001,IF(01_因子設定!$B$20="Box-Behnken",J$39^2+$B43^2+_slice!$H$8&lt;=2+0.000000001,TRUE())),IF(01_因子設定!$B$13="最大化",(_slice!J68-04_回帰ANOVA!$K$19*04_回帰ANOVA!$K$14*SQRT(1+_slice!J93))-01_因子設定!$B$14,IF(01_因子設定!$B$13="最小化",01_因子設定!$B$15-(_slice!J68+04_回帰ANOVA!$K$19*04_回帰ANOVA!$K$14*SQRT(1+_slice!J93)),MIN((_slice!J68-04_回帰ANOVA!$K$19*04_回帰ANOVA!$K$14*SQRT(1+_slice!J93))-01_因子設定!$B$14,01_因子設定!$B$15-(_slice!J68+04_回帰ANOVA!$K$19*04_回帰ANOVA!$K$14*SQRT(1+_slice!J93))))),"外")</f>
        <v>-0.181074368667339</v>
      </c>
      <c r="K43" s="50" t="n">
        <f aca="false">IF(AND(_slice!$H$5=1,K$39&gt;=_slice!$H$6-0.000000001,K$39&lt;=_slice!$I$6+0.000000001,$B43&gt;=_slice!$H$7-0.000000001,$B43&lt;=_slice!$I$7+0.000000001,IF(01_因子設定!$B$20="Box-Behnken",K$39^2+$B43^2+_slice!$H$8&lt;=2+0.000000001,TRUE())),IF(01_因子設定!$B$13="最大化",(_slice!K68-04_回帰ANOVA!$K$19*04_回帰ANOVA!$K$14*SQRT(1+_slice!K93))-01_因子設定!$B$14,IF(01_因子設定!$B$13="最小化",01_因子設定!$B$15-(_slice!K68+04_回帰ANOVA!$K$19*04_回帰ANOVA!$K$14*SQRT(1+_slice!K93)),MIN((_slice!K68-04_回帰ANOVA!$K$19*04_回帰ANOVA!$K$14*SQRT(1+_slice!K93))-01_因子設定!$B$14,01_因子設定!$B$15-(_slice!K68+04_回帰ANOVA!$K$19*04_回帰ANOVA!$K$14*SQRT(1+_slice!K93))))),"外")</f>
        <v>0.20945810352022</v>
      </c>
      <c r="L43" s="50" t="n">
        <f aca="false">IF(AND(_slice!$H$5=1,L$39&gt;=_slice!$H$6-0.000000001,L$39&lt;=_slice!$I$6+0.000000001,$B43&gt;=_slice!$H$7-0.000000001,$B43&lt;=_slice!$I$7+0.000000001,IF(01_因子設定!$B$20="Box-Behnken",L$39^2+$B43^2+_slice!$H$8&lt;=2+0.000000001,TRUE())),IF(01_因子設定!$B$13="最大化",(_slice!L68-04_回帰ANOVA!$K$19*04_回帰ANOVA!$K$14*SQRT(1+_slice!L93))-01_因子設定!$B$14,IF(01_因子設定!$B$13="最小化",01_因子設定!$B$15-(_slice!L68+04_回帰ANOVA!$K$19*04_回帰ANOVA!$K$14*SQRT(1+_slice!L93)),MIN((_slice!L68-04_回帰ANOVA!$K$19*04_回帰ANOVA!$K$14*SQRT(1+_slice!L93))-01_因子設定!$B$14,01_因子設定!$B$15-(_slice!L68+04_回帰ANOVA!$K$19*04_回帰ANOVA!$K$14*SQRT(1+_slice!L93))))),"外")</f>
        <v>0.544726695017104</v>
      </c>
      <c r="M43" s="50" t="n">
        <f aca="false">IF(AND(_slice!$H$5=1,M$39&gt;=_slice!$H$6-0.000000001,M$39&lt;=_slice!$I$6+0.000000001,$B43&gt;=_slice!$H$7-0.000000001,$B43&lt;=_slice!$I$7+0.000000001,IF(01_因子設定!$B$20="Box-Behnken",M$39^2+$B43^2+_slice!$H$8&lt;=2+0.000000001,TRUE())),IF(01_因子設定!$B$13="最大化",(_slice!M68-04_回帰ANOVA!$K$19*04_回帰ANOVA!$K$14*SQRT(1+_slice!M93))-01_因子設定!$B$14,IF(01_因子設定!$B$13="最小化",01_因子設定!$B$15-(_slice!M68+04_回帰ANOVA!$K$19*04_回帰ANOVA!$K$14*SQRT(1+_slice!M93)),MIN((_slice!M68-04_回帰ANOVA!$K$19*04_回帰ANOVA!$K$14*SQRT(1+_slice!M93))-01_因子設定!$B$14,01_因子設定!$B$15-(_slice!M68+04_回帰ANOVA!$K$19*04_回帰ANOVA!$K$14*SQRT(1+_slice!M93))))),"外")</f>
        <v>0.825507837821718</v>
      </c>
      <c r="N43" s="50" t="n">
        <f aca="false">IF(AND(_slice!$H$5=1,N$39&gt;=_slice!$H$6-0.000000001,N$39&lt;=_slice!$I$6+0.000000001,$B43&gt;=_slice!$H$7-0.000000001,$B43&lt;=_slice!$I$7+0.000000001,IF(01_因子設定!$B$20="Box-Behnken",N$39^2+$B43^2+_slice!$H$8&lt;=2+0.000000001,TRUE())),IF(01_因子設定!$B$13="最大化",(_slice!N68-04_回帰ANOVA!$K$19*04_回帰ANOVA!$K$14*SQRT(1+_slice!N93))-01_因子設定!$B$14,IF(01_因子設定!$B$13="最小化",01_因子設定!$B$15-(_slice!N68+04_回帰ANOVA!$K$19*04_回帰ANOVA!$K$14*SQRT(1+_slice!N93)),MIN((_slice!N68-04_回帰ANOVA!$K$19*04_回帰ANOVA!$K$14*SQRT(1+_slice!N93))-01_因子設定!$B$14,01_因子設定!$B$15-(_slice!N68+04_回帰ANOVA!$K$19*04_回帰ANOVA!$K$14*SQRT(1+_slice!N93))))),"外")</f>
        <v>1.05206002835044</v>
      </c>
      <c r="O43" s="50" t="n">
        <f aca="false">IF(AND(_slice!$H$5=1,O$39&gt;=_slice!$H$6-0.000000001,O$39&lt;=_slice!$I$6+0.000000001,$B43&gt;=_slice!$H$7-0.000000001,$B43&lt;=_slice!$I$7+0.000000001,IF(01_因子設定!$B$20="Box-Behnken",O$39^2+$B43^2+_slice!$H$8&lt;=2+0.000000001,TRUE())),IF(01_因子設定!$B$13="最大化",(_slice!O68-04_回帰ANOVA!$K$19*04_回帰ANOVA!$K$14*SQRT(1+_slice!O93))-01_因子設定!$B$14,IF(01_因子設定!$B$13="最小化",01_因子設定!$B$15-(_slice!O68+04_回帰ANOVA!$K$19*04_回帰ANOVA!$K$14*SQRT(1+_slice!O93)),MIN((_slice!O68-04_回帰ANOVA!$K$19*04_回帰ANOVA!$K$14*SQRT(1+_slice!O93))-01_因子設定!$B$14,01_因子設定!$B$15-(_slice!O68+04_回帰ANOVA!$K$19*04_回帰ANOVA!$K$14*SQRT(1+_slice!O93))))),"外")</f>
        <v>1.22412477018689</v>
      </c>
      <c r="P43" s="50" t="n">
        <f aca="false">IF(AND(_slice!$H$5=1,P$39&gt;=_slice!$H$6-0.000000001,P$39&lt;=_slice!$I$6+0.000000001,$B43&gt;=_slice!$H$7-0.000000001,$B43&lt;=_slice!$I$7+0.000000001,IF(01_因子設定!$B$20="Box-Behnken",P$39^2+$B43^2+_slice!$H$8&lt;=2+0.000000001,TRUE())),IF(01_因子設定!$B$13="最大化",(_slice!P68-04_回帰ANOVA!$K$19*04_回帰ANOVA!$K$14*SQRT(1+_slice!P93))-01_因子設定!$B$14,IF(01_因子設定!$B$13="最小化",01_因子設定!$B$15-(_slice!P68+04_回帰ANOVA!$K$19*04_回帰ANOVA!$K$14*SQRT(1+_slice!P93)),MIN((_slice!P68-04_回帰ANOVA!$K$19*04_回帰ANOVA!$K$14*SQRT(1+_slice!P93))-01_因子設定!$B$14,01_因子設定!$B$15-(_slice!P68+04_回帰ANOVA!$K$19*04_回帰ANOVA!$K$14*SQRT(1+_slice!P93))))),"外")</f>
        <v>1.34092563133265</v>
      </c>
      <c r="Q43" s="50" t="n">
        <f aca="false">IF(AND(_slice!$H$5=1,Q$39&gt;=_slice!$H$6-0.000000001,Q$39&lt;=_slice!$I$6+0.000000001,$B43&gt;=_slice!$H$7-0.000000001,$B43&lt;=_slice!$I$7+0.000000001,IF(01_因子設定!$B$20="Box-Behnken",Q$39^2+$B43^2+_slice!$H$8&lt;=2+0.000000001,TRUE())),IF(01_因子設定!$B$13="最大化",(_slice!Q68-04_回帰ANOVA!$K$19*04_回帰ANOVA!$K$14*SQRT(1+_slice!Q93))-01_因子設定!$B$14,IF(01_因子設定!$B$13="最小化",01_因子設定!$B$15-(_slice!Q68+04_回帰ANOVA!$K$19*04_回帰ANOVA!$K$14*SQRT(1+_slice!Q93)),MIN((_slice!Q68-04_回帰ANOVA!$K$19*04_回帰ANOVA!$K$14*SQRT(1+_slice!Q93))-01_因子設定!$B$14,01_因子設定!$B$15-(_slice!Q68+04_回帰ANOVA!$K$19*04_回帰ANOVA!$K$14*SQRT(1+_slice!Q93))))),"外")</f>
        <v>1.40116845581601</v>
      </c>
      <c r="R43" s="50" t="n">
        <f aca="false">IF(AND(_slice!$H$5=1,R$39&gt;=_slice!$H$6-0.000000001,R$39&lt;=_slice!$I$6+0.000000001,$B43&gt;=_slice!$H$7-0.000000001,$B43&lt;=_slice!$I$7+0.000000001,IF(01_因子設定!$B$20="Box-Behnken",R$39^2+$B43^2+_slice!$H$8&lt;=2+0.000000001,TRUE())),IF(01_因子設定!$B$13="最大化",(_slice!R68-04_回帰ANOVA!$K$19*04_回帰ANOVA!$K$14*SQRT(1+_slice!R93))-01_因子設定!$B$14,IF(01_因子設定!$B$13="最小化",01_因子設定!$B$15-(_slice!R68+04_回帰ANOVA!$K$19*04_回帰ANOVA!$K$14*SQRT(1+_slice!R93)),MIN((_slice!R68-04_回帰ANOVA!$K$19*04_回帰ANOVA!$K$14*SQRT(1+_slice!R93))-01_因子設定!$B$14,01_因子設定!$B$15-(_slice!R68+04_回帰ANOVA!$K$19*04_回帰ANOVA!$K$14*SQRT(1+_slice!R93))))),"外")</f>
        <v>1.40305181894121</v>
      </c>
      <c r="S43" s="50" t="n">
        <f aca="false">IF(AND(_slice!$H$5=1,S$39&gt;=_slice!$H$6-0.000000001,S$39&lt;=_slice!$I$6+0.000000001,$B43&gt;=_slice!$H$7-0.000000001,$B43&lt;=_slice!$I$7+0.000000001,IF(01_因子設定!$B$20="Box-Behnken",S$39^2+$B43^2+_slice!$H$8&lt;=2+0.000000001,TRUE())),IF(01_因子設定!$B$13="最大化",(_slice!S68-04_回帰ANOVA!$K$19*04_回帰ANOVA!$K$14*SQRT(1+_slice!S93))-01_因子設定!$B$14,IF(01_因子設定!$B$13="最小化",01_因子設定!$B$15-(_slice!S68+04_回帰ANOVA!$K$19*04_回帰ANOVA!$K$14*SQRT(1+_slice!S93)),MIN((_slice!S68-04_回帰ANOVA!$K$19*04_回帰ANOVA!$K$14*SQRT(1+_slice!S93))-01_因子設定!$B$14,01_因子設定!$B$15-(_slice!S68+04_回帰ANOVA!$K$19*04_回帰ANOVA!$K$14*SQRT(1+_slice!S93))))),"外")</f>
        <v>1.34430227856826</v>
      </c>
      <c r="T43" s="50" t="n">
        <f aca="false">IF(AND(_slice!$H$5=1,T$39&gt;=_slice!$H$6-0.000000001,T$39&lt;=_slice!$I$6+0.000000001,$B43&gt;=_slice!$H$7-0.000000001,$B43&lt;=_slice!$I$7+0.000000001,IF(01_因子設定!$B$20="Box-Behnken",T$39^2+$B43^2+_slice!$H$8&lt;=2+0.000000001,TRUE())),IF(01_因子設定!$B$13="最大化",(_slice!T68-04_回帰ANOVA!$K$19*04_回帰ANOVA!$K$14*SQRT(1+_slice!T93))-01_因子設定!$B$14,IF(01_因子設定!$B$13="最小化",01_因子設定!$B$15-(_slice!T68+04_回帰ANOVA!$K$19*04_回帰ANOVA!$K$14*SQRT(1+_slice!T93)),MIN((_slice!T68-04_回帰ANOVA!$K$19*04_回帰ANOVA!$K$14*SQRT(1+_slice!T93))-01_因子設定!$B$14,01_因子設定!$B$15-(_slice!T68+04_回帰ANOVA!$K$19*04_回帰ANOVA!$K$14*SQRT(1+_slice!T93))))),"外")</f>
        <v>1.22225192713629</v>
      </c>
      <c r="U43" s="50" t="n">
        <f aca="false">IF(AND(_slice!$H$5=1,U$39&gt;=_slice!$H$6-0.000000001,U$39&lt;=_slice!$I$6+0.000000001,$B43&gt;=_slice!$H$7-0.000000001,$B43&lt;=_slice!$I$7+0.000000001,IF(01_因子設定!$B$20="Box-Behnken",U$39^2+$B43^2+_slice!$H$8&lt;=2+0.000000001,TRUE())),IF(01_因子設定!$B$13="最大化",(_slice!U68-04_回帰ANOVA!$K$19*04_回帰ANOVA!$K$14*SQRT(1+_slice!U93))-01_因子設定!$B$14,IF(01_因子設定!$B$13="最小化",01_因子設定!$B$15-(_slice!U68+04_回帰ANOVA!$K$19*04_回帰ANOVA!$K$14*SQRT(1+_slice!U93)),MIN((_slice!U68-04_回帰ANOVA!$K$19*04_回帰ANOVA!$K$14*SQRT(1+_slice!U93))-01_因子設定!$B$14,01_因子設定!$B$15-(_slice!U68+04_回帰ANOVA!$K$19*04_回帰ANOVA!$K$14*SQRT(1+_slice!U93))))),"外")</f>
        <v>1.03397268411747</v>
      </c>
      <c r="V43" s="50" t="n">
        <f aca="false">IF(AND(_slice!$H$5=1,V$39&gt;=_slice!$H$6-0.000000001,V$39&lt;=_slice!$I$6+0.000000001,$B43&gt;=_slice!$H$7-0.000000001,$B43&lt;=_slice!$I$7+0.000000001,IF(01_因子設定!$B$20="Box-Behnken",V$39^2+$B43^2+_slice!$H$8&lt;=2+0.000000001,TRUE())),IF(01_因子設定!$B$13="最大化",(_slice!V68-04_回帰ANOVA!$K$19*04_回帰ANOVA!$K$14*SQRT(1+_slice!V93))-01_因子設定!$B$14,IF(01_因子設定!$B$13="最小化",01_因子設定!$B$15-(_slice!V68+04_回帰ANOVA!$K$19*04_回帰ANOVA!$K$14*SQRT(1+_slice!V93)),MIN((_slice!V68-04_回帰ANOVA!$K$19*04_回帰ANOVA!$K$14*SQRT(1+_slice!V93))-01_因子設定!$B$14,01_因子設定!$B$15-(_slice!V68+04_回帰ANOVA!$K$19*04_回帰ANOVA!$K$14*SQRT(1+_slice!V93))))),"外")</f>
        <v>0.776469139149747</v>
      </c>
      <c r="W43" s="50" t="n">
        <f aca="false">IF(AND(_slice!$H$5=1,W$39&gt;=_slice!$H$6-0.000000001,W$39&lt;=_slice!$I$6+0.000000001,$B43&gt;=_slice!$H$7-0.000000001,$B43&lt;=_slice!$I$7+0.000000001,IF(01_因子設定!$B$20="Box-Behnken",W$39^2+$B43^2+_slice!$H$8&lt;=2+0.000000001,TRUE())),IF(01_因子設定!$B$13="最大化",(_slice!W68-04_回帰ANOVA!$K$19*04_回帰ANOVA!$K$14*SQRT(1+_slice!W93))-01_因子設定!$B$14,IF(01_因子設定!$B$13="最小化",01_因子設定!$B$15-(_slice!W68+04_回帰ANOVA!$K$19*04_回帰ANOVA!$K$14*SQRT(1+_slice!W93)),MIN((_slice!W68-04_回帰ANOVA!$K$19*04_回帰ANOVA!$K$14*SQRT(1+_slice!W93))-01_因子設定!$B$14,01_因子設定!$B$15-(_slice!W68+04_回帰ANOVA!$K$19*04_回帰ANOVA!$K$14*SQRT(1+_slice!W93))))),"外")</f>
        <v>0.446909901409747</v>
      </c>
    </row>
    <row r="44" customFormat="false" ht="15" hidden="false" customHeight="false" outlineLevel="0" collapsed="false">
      <c r="A44" s="49" t="n">
        <f aca="false">INDEX(01_因子設定!$G$5:$G$6,$C$5)+B44*INDEX(01_因子設定!$H$5:$H$6,$C$5)</f>
        <v>37</v>
      </c>
      <c r="B44" s="49" t="n">
        <v>0.7</v>
      </c>
      <c r="C44" s="50" t="n">
        <f aca="false">IF(AND(_slice!$H$5=1,C$39&gt;=_slice!$H$6-0.000000001,C$39&lt;=_slice!$I$6+0.000000001,$B44&gt;=_slice!$H$7-0.000000001,$B44&lt;=_slice!$I$7+0.000000001,IF(01_因子設定!$B$20="Box-Behnken",C$39^2+$B44^2+_slice!$H$8&lt;=2+0.000000001,TRUE())),IF(01_因子設定!$B$13="最大化",(_slice!C69-04_回帰ANOVA!$K$19*04_回帰ANOVA!$K$14*SQRT(1+_slice!C94))-01_因子設定!$B$14,IF(01_因子設定!$B$13="最小化",01_因子設定!$B$15-(_slice!C69+04_回帰ANOVA!$K$19*04_回帰ANOVA!$K$14*SQRT(1+_slice!C94)),MIN((_slice!C69-04_回帰ANOVA!$K$19*04_回帰ANOVA!$K$14*SQRT(1+_slice!C94))-01_因子設定!$B$14,01_因子設定!$B$15-(_slice!C69+04_回帰ANOVA!$K$19*04_回帰ANOVA!$K$14*SQRT(1+_slice!C94))))),"外")</f>
        <v>-4.53967170378521</v>
      </c>
      <c r="D44" s="50" t="n">
        <f aca="false">IF(AND(_slice!$H$5=1,D$39&gt;=_slice!$H$6-0.000000001,D$39&lt;=_slice!$I$6+0.000000001,$B44&gt;=_slice!$H$7-0.000000001,$B44&lt;=_slice!$I$7+0.000000001,IF(01_因子設定!$B$20="Box-Behnken",D$39^2+$B44^2+_slice!$H$8&lt;=2+0.000000001,TRUE())),IF(01_因子設定!$B$13="最大化",(_slice!D69-04_回帰ANOVA!$K$19*04_回帰ANOVA!$K$14*SQRT(1+_slice!D94))-01_因子設定!$B$14,IF(01_因子設定!$B$13="最小化",01_因子設定!$B$15-(_slice!D69+04_回帰ANOVA!$K$19*04_回帰ANOVA!$K$14*SQRT(1+_slice!D94)),MIN((_slice!D69-04_回帰ANOVA!$K$19*04_回帰ANOVA!$K$14*SQRT(1+_slice!D94))-01_因子設定!$B$14,01_因子設定!$B$15-(_slice!D69+04_回帰ANOVA!$K$19*04_回帰ANOVA!$K$14*SQRT(1+_slice!D94))))),"外")</f>
        <v>-3.70655069473066</v>
      </c>
      <c r="E44" s="50" t="n">
        <f aca="false">IF(AND(_slice!$H$5=1,E$39&gt;=_slice!$H$6-0.000000001,E$39&lt;=_slice!$I$6+0.000000001,$B44&gt;=_slice!$H$7-0.000000001,$B44&lt;=_slice!$I$7+0.000000001,IF(01_因子設定!$B$20="Box-Behnken",E$39^2+$B44^2+_slice!$H$8&lt;=2+0.000000001,TRUE())),IF(01_因子設定!$B$13="最大化",(_slice!E69-04_回帰ANOVA!$K$19*04_回帰ANOVA!$K$14*SQRT(1+_slice!E94))-01_因子設定!$B$14,IF(01_因子設定!$B$13="最小化",01_因子設定!$B$15-(_slice!E69+04_回帰ANOVA!$K$19*04_回帰ANOVA!$K$14*SQRT(1+_slice!E94)),MIN((_slice!E69-04_回帰ANOVA!$K$19*04_回帰ANOVA!$K$14*SQRT(1+_slice!E94))-01_因子設定!$B$14,01_因子設定!$B$15-(_slice!E69+04_回帰ANOVA!$K$19*04_回帰ANOVA!$K$14*SQRT(1+_slice!E94))))),"外")</f>
        <v>-2.94574807286371</v>
      </c>
      <c r="F44" s="50" t="n">
        <f aca="false">IF(AND(_slice!$H$5=1,F$39&gt;=_slice!$H$6-0.000000001,F$39&lt;=_slice!$I$6+0.000000001,$B44&gt;=_slice!$H$7-0.000000001,$B44&lt;=_slice!$I$7+0.000000001,IF(01_因子設定!$B$20="Box-Behnken",F$39^2+$B44^2+_slice!$H$8&lt;=2+0.000000001,TRUE())),IF(01_因子設定!$B$13="最大化",(_slice!F69-04_回帰ANOVA!$K$19*04_回帰ANOVA!$K$14*SQRT(1+_slice!F94))-01_因子設定!$B$14,IF(01_因子設定!$B$13="最小化",01_因子設定!$B$15-(_slice!F69+04_回帰ANOVA!$K$19*04_回帰ANOVA!$K$14*SQRT(1+_slice!F94)),MIN((_slice!F69-04_回帰ANOVA!$K$19*04_回帰ANOVA!$K$14*SQRT(1+_slice!F94))-01_因子設定!$B$14,01_因子設定!$B$15-(_slice!F69+04_回帰ANOVA!$K$19*04_回帰ANOVA!$K$14*SQRT(1+_slice!F94))))),"外")</f>
        <v>-2.25443892222793</v>
      </c>
      <c r="G44" s="50" t="n">
        <f aca="false">IF(AND(_slice!$H$5=1,G$39&gt;=_slice!$H$6-0.000000001,G$39&lt;=_slice!$I$6+0.000000001,$B44&gt;=_slice!$H$7-0.000000001,$B44&lt;=_slice!$I$7+0.000000001,IF(01_因子設定!$B$20="Box-Behnken",G$39^2+$B44^2+_slice!$H$8&lt;=2+0.000000001,TRUE())),IF(01_因子設定!$B$13="最大化",(_slice!G69-04_回帰ANOVA!$K$19*04_回帰ANOVA!$K$14*SQRT(1+_slice!G94))-01_因子設定!$B$14,IF(01_因子設定!$B$13="最小化",01_因子設定!$B$15-(_slice!G69+04_回帰ANOVA!$K$19*04_回帰ANOVA!$K$14*SQRT(1+_slice!G94)),MIN((_slice!G69-04_回帰ANOVA!$K$19*04_回帰ANOVA!$K$14*SQRT(1+_slice!G94))-01_因子設定!$B$14,01_因子設定!$B$15-(_slice!G69+04_回帰ANOVA!$K$19*04_回帰ANOVA!$K$14*SQRT(1+_slice!G94))))),"外")</f>
        <v>-1.62960816645957</v>
      </c>
      <c r="H44" s="50" t="n">
        <f aca="false">IF(AND(_slice!$H$5=1,H$39&gt;=_slice!$H$6-0.000000001,H$39&lt;=_slice!$I$6+0.000000001,$B44&gt;=_slice!$H$7-0.000000001,$B44&lt;=_slice!$I$7+0.000000001,IF(01_因子設定!$B$20="Box-Behnken",H$39^2+$B44^2+_slice!$H$8&lt;=2+0.000000001,TRUE())),IF(01_因子設定!$B$13="最大化",(_slice!H69-04_回帰ANOVA!$K$19*04_回帰ANOVA!$K$14*SQRT(1+_slice!H94))-01_因子設定!$B$14,IF(01_因子設定!$B$13="最小化",01_因子設定!$B$15-(_slice!H69+04_回帰ANOVA!$K$19*04_回帰ANOVA!$K$14*SQRT(1+_slice!H94)),MIN((_slice!H69-04_回帰ANOVA!$K$19*04_回帰ANOVA!$K$14*SQRT(1+_slice!H94))-01_因子設定!$B$14,01_因子設定!$B$15-(_slice!H69+04_回帰ANOVA!$K$19*04_回帰ANOVA!$K$14*SQRT(1+_slice!H94))))),"外")</f>
        <v>-1.06829023852028</v>
      </c>
      <c r="I44" s="50" t="n">
        <f aca="false">IF(AND(_slice!$H$5=1,I$39&gt;=_slice!$H$6-0.000000001,I$39&lt;=_slice!$I$6+0.000000001,$B44&gt;=_slice!$H$7-0.000000001,$B44&lt;=_slice!$I$7+0.000000001,IF(01_因子設定!$B$20="Box-Behnken",I$39^2+$B44^2+_slice!$H$8&lt;=2+0.000000001,TRUE())),IF(01_因子設定!$B$13="最大化",(_slice!I69-04_回帰ANOVA!$K$19*04_回帰ANOVA!$K$14*SQRT(1+_slice!I94))-01_因子設定!$B$14,IF(01_因子設定!$B$13="最小化",01_因子設定!$B$15-(_slice!I69+04_回帰ANOVA!$K$19*04_回帰ANOVA!$K$14*SQRT(1+_slice!I94)),MIN((_slice!I69-04_回帰ANOVA!$K$19*04_回帰ANOVA!$K$14*SQRT(1+_slice!I94))-01_因子設定!$B$14,01_因子設定!$B$15-(_slice!I69+04_回帰ANOVA!$K$19*04_回帰ANOVA!$K$14*SQRT(1+_slice!I94))))),"外")</f>
        <v>-0.56777194544658</v>
      </c>
      <c r="J44" s="50" t="n">
        <f aca="false">IF(AND(_slice!$H$5=1,J$39&gt;=_slice!$H$6-0.000000001,J$39&lt;=_slice!$I$6+0.000000001,$B44&gt;=_slice!$H$7-0.000000001,$B44&lt;=_slice!$I$7+0.000000001,IF(01_因子設定!$B$20="Box-Behnken",J$39^2+$B44^2+_slice!$H$8&lt;=2+0.000000001,TRUE())),IF(01_因子設定!$B$13="最大化",(_slice!J69-04_回帰ANOVA!$K$19*04_回帰ANOVA!$K$14*SQRT(1+_slice!J94))-01_因子設定!$B$14,IF(01_因子設定!$B$13="最小化",01_因子設定!$B$15-(_slice!J69+04_回帰ANOVA!$K$19*04_回帰ANOVA!$K$14*SQRT(1+_slice!J94)),MIN((_slice!J69-04_回帰ANOVA!$K$19*04_回帰ANOVA!$K$14*SQRT(1+_slice!J94))-01_因子設定!$B$14,01_因子設定!$B$15-(_slice!J69+04_回帰ANOVA!$K$19*04_回帰ANOVA!$K$14*SQRT(1+_slice!J94))))),"外")</f>
        <v>-0.125735352852843</v>
      </c>
      <c r="K44" s="50" t="n">
        <f aca="false">IF(AND(_slice!$H$5=1,K$39&gt;=_slice!$H$6-0.000000001,K$39&lt;=_slice!$I$6+0.000000001,$B44&gt;=_slice!$H$7-0.000000001,$B44&lt;=_slice!$I$7+0.000000001,IF(01_因子設定!$B$20="Box-Behnken",K$39^2+$B44^2+_slice!$H$8&lt;=2+0.000000001,TRUE())),IF(01_因子設定!$B$13="最大化",(_slice!K69-04_回帰ANOVA!$K$19*04_回帰ANOVA!$K$14*SQRT(1+_slice!K94))-01_因子設定!$B$14,IF(01_因子設定!$B$13="最小化",01_因子設定!$B$15-(_slice!K69+04_回帰ANOVA!$K$19*04_回帰ANOVA!$K$14*SQRT(1+_slice!K94)),MIN((_slice!K69-04_回帰ANOVA!$K$19*04_回帰ANOVA!$K$14*SQRT(1+_slice!K94))-01_因子設定!$B$14,01_因子設定!$B$15-(_slice!K69+04_回帰ANOVA!$K$19*04_回帰ANOVA!$K$14*SQRT(1+_slice!K94))))),"外")</f>
        <v>0.259658870427401</v>
      </c>
      <c r="L44" s="50" t="n">
        <f aca="false">IF(AND(_slice!$H$5=1,L$39&gt;=_slice!$H$6-0.000000001,L$39&lt;=_slice!$I$6+0.000000001,$B44&gt;=_slice!$H$7-0.000000001,$B44&lt;=_slice!$I$7+0.000000001,IF(01_因子設定!$B$20="Box-Behnken",L$39^2+$B44^2+_slice!$H$8&lt;=2+0.000000001,TRUE())),IF(01_因子設定!$B$13="最大化",(_slice!L69-04_回帰ANOVA!$K$19*04_回帰ANOVA!$K$14*SQRT(1+_slice!L94))-01_因子設定!$B$14,IF(01_因子設定!$B$13="最小化",01_因子設定!$B$15-(_slice!L69+04_回帰ANOVA!$K$19*04_回帰ANOVA!$K$14*SQRT(1+_slice!L94)),MIN((_slice!L69-04_回帰ANOVA!$K$19*04_回帰ANOVA!$K$14*SQRT(1+_slice!L94))-01_因子設定!$B$14,01_因子設定!$B$15-(_slice!L69+04_回帰ANOVA!$K$19*04_回帰ANOVA!$K$14*SQRT(1+_slice!L94))))),"外")</f>
        <v>0.589733069865247</v>
      </c>
      <c r="M44" s="50" t="n">
        <f aca="false">IF(AND(_slice!$H$5=1,M$39&gt;=_slice!$H$6-0.000000001,M$39&lt;=_slice!$I$6+0.000000001,$B44&gt;=_slice!$H$7-0.000000001,$B44&lt;=_slice!$I$7+0.000000001,IF(01_因子設定!$B$20="Box-Behnken",M$39^2+$B44^2+_slice!$H$8&lt;=2+0.000000001,TRUE())),IF(01_因子設定!$B$13="最大化",(_slice!M69-04_回帰ANOVA!$K$19*04_回帰ANOVA!$K$14*SQRT(1+_slice!M94))-01_因子設定!$B$14,IF(01_因子設定!$B$13="最小化",01_因子設定!$B$15-(_slice!M69+04_回帰ANOVA!$K$19*04_回帰ANOVA!$K$14*SQRT(1+_slice!M94)),MIN((_slice!M69-04_回帰ANOVA!$K$19*04_回帰ANOVA!$K$14*SQRT(1+_slice!M94))-01_因子設定!$B$14,01_因子設定!$B$15-(_slice!M69+04_回帰ANOVA!$K$19*04_回帰ANOVA!$K$14*SQRT(1+_slice!M94))))),"外")</f>
        <v>0.865280835492563</v>
      </c>
      <c r="N44" s="50" t="n">
        <f aca="false">IF(AND(_slice!$H$5=1,N$39&gt;=_slice!$H$6-0.000000001,N$39&lt;=_slice!$I$6+0.000000001,$B44&gt;=_slice!$H$7-0.000000001,$B44&lt;=_slice!$I$7+0.000000001,IF(01_因子設定!$B$20="Box-Behnken",N$39^2+$B44^2+_slice!$H$8&lt;=2+0.000000001,TRUE())),IF(01_因子設定!$B$13="最大化",(_slice!N69-04_回帰ANOVA!$K$19*04_回帰ANOVA!$K$14*SQRT(1+_slice!N94))-01_因子設定!$B$14,IF(01_因子設定!$B$13="最小化",01_因子設定!$B$15-(_slice!N69+04_回帰ANOVA!$K$19*04_回帰ANOVA!$K$14*SQRT(1+_slice!N94)),MIN((_slice!N69-04_回帰ANOVA!$K$19*04_回帰ANOVA!$K$14*SQRT(1+_slice!N94))-01_因子設定!$B$14,01_因子設定!$B$15-(_slice!N69+04_回帰ANOVA!$K$19*04_回帰ANOVA!$K$14*SQRT(1+_slice!N94))))),"外")</f>
        <v>1.08656640319857</v>
      </c>
      <c r="O44" s="50" t="n">
        <f aca="false">IF(AND(_slice!$H$5=1,O$39&gt;=_slice!$H$6-0.000000001,O$39&lt;=_slice!$I$6+0.000000001,$B44&gt;=_slice!$H$7-0.000000001,$B44&lt;=_slice!$I$7+0.000000001,IF(01_因子設定!$B$20="Box-Behnken",O$39^2+$B44^2+_slice!$H$8&lt;=2+0.000000001,TRUE())),IF(01_因子設定!$B$13="最大化",(_slice!O69-04_回帰ANOVA!$K$19*04_回帰ANOVA!$K$14*SQRT(1+_slice!O94))-01_因子設定!$B$14,IF(01_因子設定!$B$13="最小化",01_因子設定!$B$15-(_slice!O69+04_回帰ANOVA!$K$19*04_回帰ANOVA!$K$14*SQRT(1+_slice!O94)),MIN((_slice!O69-04_回帰ANOVA!$K$19*04_回帰ANOVA!$K$14*SQRT(1+_slice!O94))-01_因子設定!$B$14,01_因子設定!$B$15-(_slice!O69+04_回帰ANOVA!$K$19*04_回帰ANOVA!$K$14*SQRT(1+_slice!O94))))),"外")</f>
        <v>1.25332553709407</v>
      </c>
      <c r="P44" s="50" t="n">
        <f aca="false">IF(AND(_slice!$H$5=1,P$39&gt;=_slice!$H$6-0.000000001,P$39&lt;=_slice!$I$6+0.000000001,$B44&gt;=_slice!$H$7-0.000000001,$B44&lt;=_slice!$I$7+0.000000001,IF(01_因子設定!$B$20="Box-Behnken",P$39^2+$B44^2+_slice!$H$8&lt;=2+0.000000001,TRUE())),IF(01_因子設定!$B$13="最大化",(_slice!P69-04_回帰ANOVA!$K$19*04_回帰ANOVA!$K$14*SQRT(1+_slice!P94))-01_因子設定!$B$14,IF(01_因子設定!$B$13="最小化",01_因子設定!$B$15-(_slice!P69+04_回帰ANOVA!$K$19*04_回帰ANOVA!$K$14*SQRT(1+_slice!P94)),MIN((_slice!P69-04_回帰ANOVA!$K$19*04_回帰ANOVA!$K$14*SQRT(1+_slice!P94))-01_因子設定!$B$14,01_因子設定!$B$15-(_slice!P69+04_回帰ANOVA!$K$19*04_回帰ANOVA!$K$14*SQRT(1+_slice!P94))))),"外")</f>
        <v>1.36476464714715</v>
      </c>
      <c r="Q44" s="50" t="n">
        <f aca="false">IF(AND(_slice!$H$5=1,Q$39&gt;=_slice!$H$6-0.000000001,Q$39&lt;=_slice!$I$6+0.000000001,$B44&gt;=_slice!$H$7-0.000000001,$B44&lt;=_slice!$I$7+0.000000001,IF(01_因子設定!$B$20="Box-Behnken",Q$39^2+$B44^2+_slice!$H$8&lt;=2+0.000000001,TRUE())),IF(01_因子設定!$B$13="最大化",(_slice!Q69-04_回帰ANOVA!$K$19*04_回帰ANOVA!$K$14*SQRT(1+_slice!Q94))-01_因子設定!$B$14,IF(01_因子設定!$B$13="最小化",01_因子設定!$B$15-(_slice!Q69+04_回帰ANOVA!$K$19*04_回帰ANOVA!$K$14*SQRT(1+_slice!Q94)),MIN((_slice!Q69-04_回帰ANOVA!$K$19*04_回帰ANOVA!$K$14*SQRT(1+_slice!Q94))-01_因子設定!$B$14,01_因子設定!$B$15-(_slice!Q69+04_回帰ANOVA!$K$19*04_回帰ANOVA!$K$14*SQRT(1+_slice!Q94))))),"外")</f>
        <v>1.41956138788674</v>
      </c>
      <c r="R44" s="50" t="n">
        <f aca="false">IF(AND(_slice!$H$5=1,R$39&gt;=_slice!$H$6-0.000000001,R$39&lt;=_slice!$I$6+0.000000001,$B44&gt;=_slice!$H$7-0.000000001,$B44&lt;=_slice!$I$7+0.000000001,IF(01_因子設定!$B$20="Box-Behnken",R$39^2+$B44^2+_slice!$H$8&lt;=2+0.000000001,TRUE())),IF(01_因子設定!$B$13="最大化",(_slice!R69-04_回帰ANOVA!$K$19*04_回帰ANOVA!$K$14*SQRT(1+_slice!R94))-01_因子設定!$B$14,IF(01_因子設定!$B$13="最小化",01_因子設定!$B$15-(_slice!R69+04_回帰ANOVA!$K$19*04_回帰ANOVA!$K$14*SQRT(1+_slice!R94)),MIN((_slice!R69-04_回帰ANOVA!$K$19*04_回帰ANOVA!$K$14*SQRT(1+_slice!R94))-01_因子設定!$B$14,01_因子設定!$B$15-(_slice!R69+04_回帰ANOVA!$K$19*04_回帰ANOVA!$K$14*SQRT(1+_slice!R94))))),"外")</f>
        <v>1.41587642814638</v>
      </c>
      <c r="S44" s="50" t="n">
        <f aca="false">IF(AND(_slice!$H$5=1,S$39&gt;=_slice!$H$6-0.000000001,S$39&lt;=_slice!$I$6+0.000000001,$B44&gt;=_slice!$H$7-0.000000001,$B44&lt;=_slice!$I$7+0.000000001,IF(01_因子設定!$B$20="Box-Behnken",S$39^2+$B44^2+_slice!$H$8&lt;=2+0.000000001,TRUE())),IF(01_因子設定!$B$13="最大化",(_slice!S69-04_回帰ANOVA!$K$19*04_回帰ANOVA!$K$14*SQRT(1+_slice!S94))-01_因子設定!$B$14,IF(01_因子設定!$B$13="最小化",01_因子設定!$B$15-(_slice!S69+04_回帰ANOVA!$K$19*04_回帰ANOVA!$K$14*SQRT(1+_slice!S94)),MIN((_slice!S69-04_回帰ANOVA!$K$19*04_回帰ANOVA!$K$14*SQRT(1+_slice!S94))-01_因子設定!$B$14,01_因子設定!$B$15-(_slice!S69+04_回帰ANOVA!$K$19*04_回帰ANOVA!$K$14*SQRT(1+_slice!S94))))),"外")</f>
        <v>1.35139183354044</v>
      </c>
      <c r="T44" s="50" t="n">
        <f aca="false">IF(AND(_slice!$H$5=1,T$39&gt;=_slice!$H$6-0.000000001,T$39&lt;=_slice!$I$6+0.000000001,$B44&gt;=_slice!$H$7-0.000000001,$B44&lt;=_slice!$I$7+0.000000001,IF(01_因子設定!$B$20="Box-Behnken",T$39^2+$B44^2+_slice!$H$8&lt;=2+0.000000001,TRUE())),IF(01_因子設定!$B$13="最大化",(_slice!T69-04_回帰ANOVA!$K$19*04_回帰ANOVA!$K$14*SQRT(1+_slice!T94))-01_因子設定!$B$14,IF(01_因子設定!$B$13="最小化",01_因子設定!$B$15-(_slice!T69+04_回帰ANOVA!$K$19*04_回帰ANOVA!$K$14*SQRT(1+_slice!T94)),MIN((_slice!T69-04_回帰ANOVA!$K$19*04_回帰ANOVA!$K$14*SQRT(1+_slice!T94))-01_因子設定!$B$14,01_因子設定!$B$15-(_slice!T69+04_回帰ANOVA!$K$19*04_回帰ANOVA!$K$14*SQRT(1+_slice!T94))))),"外")</f>
        <v>1.2233944111054</v>
      </c>
      <c r="U44" s="50" t="n">
        <f aca="false">IF(AND(_slice!$H$5=1,U$39&gt;=_slice!$H$6-0.000000001,U$39&lt;=_slice!$I$6+0.000000001,$B44&gt;=_slice!$H$7-0.000000001,$B44&lt;=_slice!$I$7+0.000000001,IF(01_因子設定!$B$20="Box-Behnken",U$39^2+$B44^2+_slice!$H$8&lt;=2+0.000000001,TRUE())),IF(01_因子設定!$B$13="最大化",(_slice!U69-04_回帰ANOVA!$K$19*04_回帰ANOVA!$K$14*SQRT(1+_slice!U94))-01_因子設定!$B$14,IF(01_因子設定!$B$13="最小化",01_因子設定!$B$15-(_slice!U69+04_回帰ANOVA!$K$19*04_回帰ANOVA!$K$14*SQRT(1+_slice!U94)),MIN((_slice!U69-04_回帰ANOVA!$K$19*04_回帰ANOVA!$K$14*SQRT(1+_slice!U94))-01_因子設定!$B$14,01_因子設定!$B$15-(_slice!U69+04_回帰ANOVA!$K$19*04_回帰ANOVA!$K$14*SQRT(1+_slice!U94))))),"外")</f>
        <v>1.02891859380296</v>
      </c>
      <c r="V44" s="50" t="n">
        <f aca="false">IF(AND(_slice!$H$5=1,V$39&gt;=_slice!$H$6-0.000000001,V$39&lt;=_slice!$I$6+0.000000001,$B44&gt;=_slice!$H$7-0.000000001,$B44&lt;=_slice!$I$7+0.000000001,IF(01_因子設定!$B$20="Box-Behnken",V$39^2+$B44^2+_slice!$H$8&lt;=2+0.000000001,TRUE())),IF(01_因子設定!$B$13="最大化",(_slice!V69-04_回帰ANOVA!$K$19*04_回帰ANOVA!$K$14*SQRT(1+_slice!V94))-01_因子設定!$B$14,IF(01_因子設定!$B$13="最小化",01_因子設定!$B$15-(_slice!V69+04_回帰ANOVA!$K$19*04_回帰ANOVA!$K$14*SQRT(1+_slice!V94)),MIN((_slice!V69-04_回帰ANOVA!$K$19*04_回帰ANOVA!$K$14*SQRT(1+_slice!V94))-01_因子設定!$B$14,01_因子設定!$B$15-(_slice!V69+04_回帰ANOVA!$K$19*04_回帰ANOVA!$K$14*SQRT(1+_slice!V94))))),"外")</f>
        <v>0.764949305269347</v>
      </c>
      <c r="W44" s="50" t="n">
        <f aca="false">IF(AND(_slice!$H$5=1,W$39&gt;=_slice!$H$6-0.000000001,W$39&lt;=_slice!$I$6+0.000000001,$B44&gt;=_slice!$H$7-0.000000001,$B44&lt;=_slice!$I$7+0.000000001,IF(01_因子設定!$B$20="Box-Behnken",W$39^2+$B44^2+_slice!$H$8&lt;=2+0.000000001,TRUE())),IF(01_因子設定!$B$13="最大化",(_slice!W69-04_回帰ANOVA!$K$19*04_回帰ANOVA!$K$14*SQRT(1+_slice!W94))-01_因子設定!$B$14,IF(01_因子設定!$B$13="最小化",01_因子設定!$B$15-(_slice!W69+04_回帰ANOVA!$K$19*04_回帰ANOVA!$K$14*SQRT(1+_slice!W94)),MIN((_slice!W69-04_回帰ANOVA!$K$19*04_回帰ANOVA!$K$14*SQRT(1+_slice!W94))-01_因子設定!$B$14,01_因子設定!$B$15-(_slice!W69+04_回帰ANOVA!$K$19*04_回帰ANOVA!$K$14*SQRT(1+_slice!W94))))),"外")</f>
        <v>0.428661629548124</v>
      </c>
    </row>
    <row r="45" customFormat="false" ht="15" hidden="false" customHeight="false" outlineLevel="0" collapsed="false">
      <c r="A45" s="49" t="n">
        <f aca="false">INDEX(01_因子設定!$G$5:$G$6,$C$5)+B45*INDEX(01_因子設定!$H$5:$H$6,$C$5)</f>
        <v>36</v>
      </c>
      <c r="B45" s="49" t="n">
        <v>0.6</v>
      </c>
      <c r="C45" s="50" t="n">
        <f aca="false">IF(AND(_slice!$H$5=1,C$39&gt;=_slice!$H$6-0.000000001,C$39&lt;=_slice!$I$6+0.000000001,$B45&gt;=_slice!$H$7-0.000000001,$B45&lt;=_slice!$I$7+0.000000001,IF(01_因子設定!$B$20="Box-Behnken",C$39^2+$B45^2+_slice!$H$8&lt;=2+0.000000001,TRUE())),IF(01_因子設定!$B$13="最大化",(_slice!C70-04_回帰ANOVA!$K$19*04_回帰ANOVA!$K$14*SQRT(1+_slice!C95))-01_因子設定!$B$14,IF(01_因子設定!$B$13="最小化",01_因子設定!$B$15-(_slice!C70+04_回帰ANOVA!$K$19*04_回帰ANOVA!$K$14*SQRT(1+_slice!C95)),MIN((_slice!C70-04_回帰ANOVA!$K$19*04_回帰ANOVA!$K$14*SQRT(1+_slice!C95))-01_因子設定!$B$14,01_因子設定!$B$15-(_slice!C70+04_回帰ANOVA!$K$19*04_回帰ANOVA!$K$14*SQRT(1+_slice!C95))))),"外")</f>
        <v>-4.49437618287218</v>
      </c>
      <c r="D45" s="50" t="n">
        <f aca="false">IF(AND(_slice!$H$5=1,D$39&gt;=_slice!$H$6-0.000000001,D$39&lt;=_slice!$I$6+0.000000001,$B45&gt;=_slice!$H$7-0.000000001,$B45&lt;=_slice!$I$7+0.000000001,IF(01_因子設定!$B$20="Box-Behnken",D$39^2+$B45^2+_slice!$H$8&lt;=2+0.000000001,TRUE())),IF(01_因子設定!$B$13="最大化",(_slice!D70-04_回帰ANOVA!$K$19*04_回帰ANOVA!$K$14*SQRT(1+_slice!D95))-01_因子設定!$B$14,IF(01_因子設定!$B$13="最小化",01_因子設定!$B$15-(_slice!D70+04_回帰ANOVA!$K$19*04_回帰ANOVA!$K$14*SQRT(1+_slice!D95)),MIN((_slice!D70-04_回帰ANOVA!$K$19*04_回帰ANOVA!$K$14*SQRT(1+_slice!D95))-01_因子設定!$B$14,01_因子設定!$B$15-(_slice!D70+04_回帰ANOVA!$K$19*04_回帰ANOVA!$K$14*SQRT(1+_slice!D95))))),"外")</f>
        <v>-3.66545954397306</v>
      </c>
      <c r="E45" s="50" t="n">
        <f aca="false">IF(AND(_slice!$H$5=1,E$39&gt;=_slice!$H$6-0.000000001,E$39&lt;=_slice!$I$6+0.000000001,$B45&gt;=_slice!$H$7-0.000000001,$B45&lt;=_slice!$I$7+0.000000001,IF(01_因子設定!$B$20="Box-Behnken",E$39^2+$B45^2+_slice!$H$8&lt;=2+0.000000001,TRUE())),IF(01_因子設定!$B$13="最大化",(_slice!E70-04_回帰ANOVA!$K$19*04_回帰ANOVA!$K$14*SQRT(1+_slice!E95))-01_因子設定!$B$14,IF(01_因子設定!$B$13="最小化",01_因子設定!$B$15-(_slice!E70+04_回帰ANOVA!$K$19*04_回帰ANOVA!$K$14*SQRT(1+_slice!E95)),MIN((_slice!E70-04_回帰ANOVA!$K$19*04_回帰ANOVA!$K$14*SQRT(1+_slice!E95))-01_因子設定!$B$14,01_因子設定!$B$15-(_slice!E70+04_回帰ANOVA!$K$19*04_回帰ANOVA!$K$14*SQRT(1+_slice!E95))))),"外")</f>
        <v>-2.90903105476509</v>
      </c>
      <c r="F45" s="50" t="n">
        <f aca="false">IF(AND(_slice!$H$5=1,F$39&gt;=_slice!$H$6-0.000000001,F$39&lt;=_slice!$I$6+0.000000001,$B45&gt;=_slice!$H$7-0.000000001,$B45&lt;=_slice!$I$7+0.000000001,IF(01_因子設定!$B$20="Box-Behnken",F$39^2+$B45^2+_slice!$H$8&lt;=2+0.000000001,TRUE())),IF(01_因子設定!$B$13="最大化",(_slice!F70-04_回帰ANOVA!$K$19*04_回帰ANOVA!$K$14*SQRT(1+_slice!F95))-01_因子設定!$B$14,IF(01_因子設定!$B$13="最小化",01_因子設定!$B$15-(_slice!F70+04_回帰ANOVA!$K$19*04_回帰ANOVA!$K$14*SQRT(1+_slice!F95)),MIN((_slice!F70-04_回帰ANOVA!$K$19*04_回帰ANOVA!$K$14*SQRT(1+_slice!F95))-01_因子設定!$B$14,01_因子設定!$B$15-(_slice!F70+04_回帰ANOVA!$K$19*04_回帰ANOVA!$K$14*SQRT(1+_slice!F95))))),"外")</f>
        <v>-2.22227483312624</v>
      </c>
      <c r="G45" s="50" t="n">
        <f aca="false">IF(AND(_slice!$H$5=1,G$39&gt;=_slice!$H$6-0.000000001,G$39&lt;=_slice!$I$6+0.000000001,$B45&gt;=_slice!$H$7-0.000000001,$B45&lt;=_slice!$I$7+0.000000001,IF(01_因子設定!$B$20="Box-Behnken",G$39^2+$B45^2+_slice!$H$8&lt;=2+0.000000001,TRUE())),IF(01_因子設定!$B$13="最大化",(_slice!G70-04_回帰ANOVA!$K$19*04_回帰ANOVA!$K$14*SQRT(1+_slice!G95))-01_因子設定!$B$14,IF(01_因子設定!$B$13="最小化",01_因子設定!$B$15-(_slice!G70+04_回帰ANOVA!$K$19*04_回帰ANOVA!$K$14*SQRT(1+_slice!G95)),MIN((_slice!G70-04_回帰ANOVA!$K$19*04_回帰ANOVA!$K$14*SQRT(1+_slice!G95))-01_因子設定!$B$14,01_因子設定!$B$15-(_slice!G70+04_回帰ANOVA!$K$19*04_回帰ANOVA!$K$14*SQRT(1+_slice!G95))))),"外")</f>
        <v>-1.6021668577714</v>
      </c>
      <c r="H45" s="50" t="n">
        <f aca="false">IF(AND(_slice!$H$5=1,H$39&gt;=_slice!$H$6-0.000000001,H$39&lt;=_slice!$I$6+0.000000001,$B45&gt;=_slice!$H$7-0.000000001,$B45&lt;=_slice!$I$7+0.000000001,IF(01_因子設定!$B$20="Box-Behnken",H$39^2+$B45^2+_slice!$H$8&lt;=2+0.000000001,TRUE())),IF(01_因子設定!$B$13="最大化",(_slice!H70-04_回帰ANOVA!$K$19*04_回帰ANOVA!$K$14*SQRT(1+_slice!H95))-01_因子設定!$B$14,IF(01_因子設定!$B$13="最小化",01_因子設定!$B$15-(_slice!H70+04_回帰ANOVA!$K$19*04_回帰ANOVA!$K$14*SQRT(1+_slice!H95)),MIN((_slice!H70-04_回帰ANOVA!$K$19*04_回帰ANOVA!$K$14*SQRT(1+_slice!H95))-01_因子設定!$B$14,01_因子設定!$B$15-(_slice!H70+04_回帰ANOVA!$K$19*04_回帰ANOVA!$K$14*SQRT(1+_slice!H95))))),"外")</f>
        <v>-1.04571971316058</v>
      </c>
      <c r="I45" s="50" t="n">
        <f aca="false">IF(AND(_slice!$H$5=1,I$39&gt;=_slice!$H$6-0.000000001,I$39&lt;=_slice!$I$6+0.000000001,$B45&gt;=_slice!$H$7-0.000000001,$B45&lt;=_slice!$I$7+0.000000001,IF(01_因子設定!$B$20="Box-Behnken",I$39^2+$B45^2+_slice!$H$8&lt;=2+0.000000001,TRUE())),IF(01_因子設定!$B$13="最大化",(_slice!I70-04_回帰ANOVA!$K$19*04_回帰ANOVA!$K$14*SQRT(1+_slice!I95))-01_因子設定!$B$14,IF(01_因子設定!$B$13="最小化",01_因子設定!$B$15-(_slice!I70+04_回帰ANOVA!$K$19*04_回帰ANOVA!$K$14*SQRT(1+_slice!I95)),MIN((_slice!I70-04_回帰ANOVA!$K$19*04_回帰ANOVA!$K$14*SQRT(1+_slice!I95))-01_因子設定!$B$14,01_因子設定!$B$15-(_slice!I70+04_回帰ANOVA!$K$19*04_回帰ANOVA!$K$14*SQRT(1+_slice!I95))))),"外")</f>
        <v>-0.55019207234362</v>
      </c>
      <c r="J45" s="50" t="n">
        <f aca="false">IF(AND(_slice!$H$5=1,J$39&gt;=_slice!$H$6-0.000000001,J$39&lt;=_slice!$I$6+0.000000001,$B45&gt;=_slice!$H$7-0.000000001,$B45&lt;=_slice!$I$7+0.000000001,IF(01_因子設定!$B$20="Box-Behnken",J$39^2+$B45^2+_slice!$H$8&lt;=2+0.000000001,TRUE())),IF(01_因子設定!$B$13="最大化",(_slice!J70-04_回帰ANOVA!$K$19*04_回帰ANOVA!$K$14*SQRT(1+_slice!J95))-01_因子設定!$B$14,IF(01_因子設定!$B$13="最小化",01_因子設定!$B$15-(_slice!J70+04_回帰ANOVA!$K$19*04_回帰ANOVA!$K$14*SQRT(1+_slice!J95)),MIN((_slice!J70-04_回帰ANOVA!$K$19*04_回帰ANOVA!$K$14*SQRT(1+_slice!J95))-01_因子設定!$B$14,01_因子設定!$B$15-(_slice!J70+04_回帰ANOVA!$K$19*04_回帰ANOVA!$K$14*SQRT(1+_slice!J95))))),"外")</f>
        <v>-0.113237508795102</v>
      </c>
      <c r="K45" s="50" t="n">
        <f aca="false">IF(AND(_slice!$H$5=1,K$39&gt;=_slice!$H$6-0.000000001,K$39&lt;=_slice!$I$6+0.000000001,$B45&gt;=_slice!$H$7-0.000000001,$B45&lt;=_slice!$I$7+0.000000001,IF(01_因子設定!$B$20="Box-Behnken",K$39^2+$B45^2+_slice!$H$8&lt;=2+0.000000001,TRUE())),IF(01_因子設定!$B$13="最大化",(_slice!K70-04_回帰ANOVA!$K$19*04_回帰ANOVA!$K$14*SQRT(1+_slice!K95))-01_因子設定!$B$14,IF(01_因子設定!$B$13="最小化",01_因子設定!$B$15-(_slice!K70+04_回帰ANOVA!$K$19*04_回帰ANOVA!$K$14*SQRT(1+_slice!K95)),MIN((_slice!K70-04_回帰ANOVA!$K$19*04_回帰ANOVA!$K$14*SQRT(1+_slice!K95))-01_因子設定!$B$14,01_因子設定!$B$15-(_slice!K70+04_回帰ANOVA!$K$19*04_回帰ANOVA!$K$14*SQRT(1+_slice!K95))))),"外")</f>
        <v>0.267008011334376</v>
      </c>
      <c r="L45" s="50" t="n">
        <f aca="false">IF(AND(_slice!$H$5=1,L$39&gt;=_slice!$H$6-0.000000001,L$39&lt;=_slice!$I$6+0.000000001,$B45&gt;=_slice!$H$7-0.000000001,$B45&lt;=_slice!$I$7+0.000000001,IF(01_因子設定!$B$20="Box-Behnken",L$39^2+$B45^2+_slice!$H$8&lt;=2+0.000000001,TRUE())),IF(01_因子設定!$B$13="最大化",(_slice!L70-04_回帰ANOVA!$K$19*04_回帰ANOVA!$K$14*SQRT(1+_slice!L95))-01_因子設定!$B$14,IF(01_因子設定!$B$13="最小化",01_因子設定!$B$15-(_slice!L70+04_回帰ANOVA!$K$19*04_回帰ANOVA!$K$14*SQRT(1+_slice!L95)),MIN((_slice!L70-04_回帰ANOVA!$K$19*04_回帰ANOVA!$K$14*SQRT(1+_slice!L95))-01_因子設定!$B$14,01_因子設定!$B$15-(_slice!L70+04_回帰ANOVA!$K$19*04_回帰ANOVA!$K$14*SQRT(1+_slice!L95))))),"外")</f>
        <v>0.591885401646579</v>
      </c>
      <c r="M45" s="50" t="n">
        <f aca="false">IF(AND(_slice!$H$5=1,M$39&gt;=_slice!$H$6-0.000000001,M$39&lt;=_slice!$I$6+0.000000001,$B45&gt;=_slice!$H$7-0.000000001,$B45&lt;=_slice!$I$7+0.000000001,IF(01_因子設定!$B$20="Box-Behnken",M$39^2+$B45^2+_slice!$H$8&lt;=2+0.000000001,TRUE())),IF(01_因子設定!$B$13="最大化",(_slice!M70-04_回帰ANOVA!$K$19*04_回帰ANOVA!$K$14*SQRT(1+_slice!M95))-01_因子設定!$B$14,IF(01_因子設定!$B$13="最小化",01_因子設定!$B$15-(_slice!M70+04_回帰ANOVA!$K$19*04_回帰ANOVA!$K$14*SQRT(1+_slice!M95)),MIN((_slice!M70-04_回帰ANOVA!$K$19*04_回帰ANOVA!$K$14*SQRT(1+_slice!M95))-01_因子設定!$B$14,01_因子設定!$B$15-(_slice!M70+04_回帰ANOVA!$K$19*04_回帰ANOVA!$K$14*SQRT(1+_slice!M95))))),"外")</f>
        <v>0.862199625638027</v>
      </c>
      <c r="N45" s="50" t="n">
        <f aca="false">IF(AND(_slice!$H$5=1,N$39&gt;=_slice!$H$6-0.000000001,N$39&lt;=_slice!$I$6+0.000000001,$B45&gt;=_slice!$H$7-0.000000001,$B45&lt;=_slice!$I$7+0.000000001,IF(01_因子設定!$B$20="Box-Behnken",N$39^2+$B45^2+_slice!$H$8&lt;=2+0.000000001,TRUE())),IF(01_因子設定!$B$13="最大化",(_slice!N70-04_回帰ANOVA!$K$19*04_回帰ANOVA!$K$14*SQRT(1+_slice!N95))-01_因子設定!$B$14,IF(01_因子設定!$B$13="最小化",01_因子設定!$B$15-(_slice!N70+04_回帰ANOVA!$K$19*04_回帰ANOVA!$K$14*SQRT(1+_slice!N95)),MIN((_slice!N70-04_回帰ANOVA!$K$19*04_回帰ANOVA!$K$14*SQRT(1+_slice!N95))-01_因子設定!$B$14,01_因子設定!$B$15-(_slice!N70+04_回帰ANOVA!$K$19*04_回帰ANOVA!$K$14*SQRT(1+_slice!N95))))),"外")</f>
        <v>1.07821873497991</v>
      </c>
      <c r="O45" s="50" t="n">
        <f aca="false">IF(AND(_slice!$H$5=1,O$39&gt;=_slice!$H$6-0.000000001,O$39&lt;=_slice!$I$6+0.000000001,$B45&gt;=_slice!$H$7-0.000000001,$B45&lt;=_slice!$I$7+0.000000001,IF(01_因子設定!$B$20="Box-Behnken",O$39^2+$B45^2+_slice!$H$8&lt;=2+0.000000001,TRUE())),IF(01_因子設定!$B$13="最大化",(_slice!O70-04_回帰ANOVA!$K$19*04_回帰ANOVA!$K$14*SQRT(1+_slice!O95))-01_因子設定!$B$14,IF(01_因子設定!$B$13="最小化",01_因子設定!$B$15-(_slice!O70+04_回帰ANOVA!$K$19*04_回帰ANOVA!$K$14*SQRT(1+_slice!O95)),MIN((_slice!O70-04_回帰ANOVA!$K$19*04_回帰ANOVA!$K$14*SQRT(1+_slice!O95))-01_因子設定!$B$14,01_因子設定!$B$15-(_slice!O70+04_回帰ANOVA!$K$19*04_回帰ANOVA!$K$14*SQRT(1+_slice!O95))))),"外")</f>
        <v>1.23967467800104</v>
      </c>
      <c r="P45" s="50" t="n">
        <f aca="false">IF(AND(_slice!$H$5=1,P$39&gt;=_slice!$H$6-0.000000001,P$39&lt;=_slice!$I$6+0.000000001,$B45&gt;=_slice!$H$7-0.000000001,$B45&lt;=_slice!$I$7+0.000000001,IF(01_因子設定!$B$20="Box-Behnken",P$39^2+$B45^2+_slice!$H$8&lt;=2+0.000000001,TRUE())),IF(01_因子設定!$B$13="最大化",(_slice!P70-04_回帰ANOVA!$K$19*04_回帰ANOVA!$K$14*SQRT(1+_slice!P95))-01_因子設定!$B$14,IF(01_因子設定!$B$13="最小化",01_因子設定!$B$15-(_slice!P70+04_回帰ANOVA!$K$19*04_回帰ANOVA!$K$14*SQRT(1+_slice!P95)),MIN((_slice!P70-04_回帰ANOVA!$K$19*04_回帰ANOVA!$K$14*SQRT(1+_slice!P95))-01_因子設定!$B$14,01_因子設定!$B$15-(_slice!P70+04_回帰ANOVA!$K$19*04_回帰ANOVA!$K$14*SQRT(1+_slice!P95))))),"外")</f>
        <v>1.34576249120489</v>
      </c>
      <c r="Q45" s="50" t="n">
        <f aca="false">IF(AND(_slice!$H$5=1,Q$39&gt;=_slice!$H$6-0.000000001,Q$39&lt;=_slice!$I$6+0.000000001,$B45&gt;=_slice!$H$7-0.000000001,$B45&lt;=_slice!$I$7+0.000000001,IF(01_因子設定!$B$20="Box-Behnken",Q$39^2+$B45^2+_slice!$H$8&lt;=2+0.000000001,TRUE())),IF(01_因子設定!$B$13="最大化",(_slice!Q70-04_回帰ANOVA!$K$19*04_回帰ANOVA!$K$14*SQRT(1+_slice!Q95))-01_因子設定!$B$14,IF(01_因子設定!$B$13="最小化",01_因子設定!$B$15-(_slice!Q70+04_回帰ANOVA!$K$19*04_回帰ANOVA!$K$14*SQRT(1+_slice!Q95)),MIN((_slice!Q70-04_回帰ANOVA!$K$19*04_回帰ANOVA!$K$14*SQRT(1+_slice!Q95))-01_因子設定!$B$14,01_因子設定!$B$15-(_slice!Q70+04_回帰ANOVA!$K$19*04_回帰ANOVA!$K$14*SQRT(1+_slice!Q95))))),"外")</f>
        <v>1.3951412609897</v>
      </c>
      <c r="R45" s="50" t="n">
        <f aca="false">IF(AND(_slice!$H$5=1,R$39&gt;=_slice!$H$6-0.000000001,R$39&lt;=_slice!$I$6+0.000000001,$B45&gt;=_slice!$H$7-0.000000001,$B45&lt;=_slice!$I$7+0.000000001,IF(01_因子設定!$B$20="Box-Behnken",R$39^2+$B45^2+_slice!$H$8&lt;=2+0.000000001,TRUE())),IF(01_因子設定!$B$13="最大化",(_slice!R70-04_回帰ANOVA!$K$19*04_回帰ANOVA!$K$14*SQRT(1+_slice!R95))-01_因子設定!$B$14,IF(01_因子設定!$B$13="最小化",01_因子設定!$B$15-(_slice!R70+04_回帰ANOVA!$K$19*04_回帰ANOVA!$K$14*SQRT(1+_slice!R95)),MIN((_slice!R70-04_回帰ANOVA!$K$19*04_回帰ANOVA!$K$14*SQRT(1+_slice!R95))-01_因子設定!$B$14,01_因子設定!$B$15-(_slice!R70+04_回帰ANOVA!$K$19*04_回帰ANOVA!$K$14*SQRT(1+_slice!R95))))),"外")</f>
        <v>1.38594695350609</v>
      </c>
      <c r="S45" s="50" t="n">
        <f aca="false">IF(AND(_slice!$H$5=1,S$39&gt;=_slice!$H$6-0.000000001,S$39&lt;=_slice!$I$6+0.000000001,$B45&gt;=_slice!$H$7-0.000000001,$B45&lt;=_slice!$I$7+0.000000001,IF(01_因子設定!$B$20="Box-Behnken",S$39^2+$B45^2+_slice!$H$8&lt;=2+0.000000001,TRUE())),IF(01_因子設定!$B$13="最大化",(_slice!S70-04_回帰ANOVA!$K$19*04_回帰ANOVA!$K$14*SQRT(1+_slice!S95))-01_因子設定!$B$14,IF(01_因子設定!$B$13="最小化",01_因子設定!$B$15-(_slice!S70+04_回帰ANOVA!$K$19*04_回帰ANOVA!$K$14*SQRT(1+_slice!S95)),MIN((_slice!S70-04_回帰ANOVA!$K$19*04_回帰ANOVA!$K$14*SQRT(1+_slice!S95))-01_因子設定!$B$14,01_因子設定!$B$15-(_slice!S70+04_回帰ANOVA!$K$19*04_回帰ANOVA!$K$14*SQRT(1+_slice!S95))))),"外")</f>
        <v>1.31583314222861</v>
      </c>
      <c r="T45" s="50" t="n">
        <f aca="false">IF(AND(_slice!$H$5=1,T$39&gt;=_slice!$H$6-0.000000001,T$39&lt;=_slice!$I$6+0.000000001,$B45&gt;=_slice!$H$7-0.000000001,$B45&lt;=_slice!$I$7+0.000000001,IF(01_因子設定!$B$20="Box-Behnken",T$39^2+$B45^2+_slice!$H$8&lt;=2+0.000000001,TRUE())),IF(01_因子設定!$B$13="最大化",(_slice!T70-04_回帰ANOVA!$K$19*04_回帰ANOVA!$K$14*SQRT(1+_slice!T95))-01_因子設定!$B$14,IF(01_因子設定!$B$13="最小化",01_因子設定!$B$15-(_slice!T70+04_回帰ANOVA!$K$19*04_回帰ANOVA!$K$14*SQRT(1+_slice!T95)),MIN((_slice!T70-04_回帰ANOVA!$K$19*04_回帰ANOVA!$K$14*SQRT(1+_slice!T95))-01_因子設定!$B$14,01_因子設定!$B$15-(_slice!T70+04_回帰ANOVA!$K$19*04_回帰ANOVA!$K$14*SQRT(1+_slice!T95))))),"外")</f>
        <v>1.18205850020711</v>
      </c>
      <c r="U45" s="50" t="n">
        <f aca="false">IF(AND(_slice!$H$5=1,U$39&gt;=_slice!$H$6-0.000000001,U$39&lt;=_slice!$I$6+0.000000001,$B45&gt;=_slice!$H$7-0.000000001,$B45&lt;=_slice!$I$7+0.000000001,IF(01_因子設定!$B$20="Box-Behnken",U$39^2+$B45^2+_slice!$H$8&lt;=2+0.000000001,TRUE())),IF(01_因子設定!$B$13="最大化",(_slice!U70-04_回帰ANOVA!$K$19*04_回帰ANOVA!$K$14*SQRT(1+_slice!U95))-01_因子設定!$B$14,IF(01_因子設定!$B$13="最小化",01_因子設定!$B$15-(_slice!U70+04_回帰ANOVA!$K$19*04_回帰ANOVA!$K$14*SQRT(1+_slice!U95)),MIN((_slice!U70-04_回帰ANOVA!$K$19*04_回帰ANOVA!$K$14*SQRT(1+_slice!U95))-01_因子設定!$B$14,01_因子設定!$B$15-(_slice!U70+04_回帰ANOVA!$K$19*04_回帰ANOVA!$K$14*SQRT(1+_slice!U95))))),"外")</f>
        <v>0.981635611901588</v>
      </c>
      <c r="V45" s="50" t="n">
        <f aca="false">IF(AND(_slice!$H$5=1,V$39&gt;=_slice!$H$6-0.000000001,V$39&lt;=_slice!$I$6+0.000000001,$B45&gt;=_slice!$H$7-0.000000001,$B45&lt;=_slice!$I$7+0.000000001,IF(01_因子設定!$B$20="Box-Behnken",V$39^2+$B45^2+_slice!$H$8&lt;=2+0.000000001,TRUE())),IF(01_因子設定!$B$13="最大化",(_slice!V70-04_回帰ANOVA!$K$19*04_回帰ANOVA!$K$14*SQRT(1+_slice!V95))-01_因子設定!$B$14,IF(01_因子設定!$B$13="最小化",01_因子設定!$B$15-(_slice!V70+04_回帰ANOVA!$K$19*04_回帰ANOVA!$K$14*SQRT(1+_slice!V95)),MIN((_slice!V70-04_回帰ANOVA!$K$19*04_回帰ANOVA!$K$14*SQRT(1+_slice!V95))-01_因子設定!$B$14,01_因子設定!$B$15-(_slice!V70+04_回帰ANOVA!$K$19*04_回帰ANOVA!$K$14*SQRT(1+_slice!V95))))),"外")</f>
        <v>0.711540456026938</v>
      </c>
      <c r="W45" s="50" t="n">
        <f aca="false">IF(AND(_slice!$H$5=1,W$39&gt;=_slice!$H$6-0.000000001,W$39&lt;=_slice!$I$6+0.000000001,$B45&gt;=_slice!$H$7-0.000000001,$B45&lt;=_slice!$I$7+0.000000001,IF(01_因子設定!$B$20="Box-Behnken",W$39^2+$B45^2+_slice!$H$8&lt;=2+0.000000001,TRUE())),IF(01_因子設定!$B$13="最大化",(_slice!W70-04_回帰ANOVA!$K$19*04_回帰ANOVA!$K$14*SQRT(1+_slice!W95))-01_因子設定!$B$14,IF(01_因子設定!$B$13="最小化",01_因子設定!$B$15-(_slice!W70+04_回帰ANOVA!$K$19*04_回帰ANOVA!$K$14*SQRT(1+_slice!W95)),MIN((_slice!W70-04_回帰ANOVA!$K$19*04_回帰ANOVA!$K$14*SQRT(1+_slice!W95))-01_因子設定!$B$14,01_因子設定!$B$15-(_slice!W70+04_回帰ANOVA!$K$19*04_回帰ANOVA!$K$14*SQRT(1+_slice!W95))))),"外")</f>
        <v>0.368957150461149</v>
      </c>
    </row>
    <row r="46" customFormat="false" ht="15" hidden="false" customHeight="false" outlineLevel="0" collapsed="false">
      <c r="A46" s="49" t="n">
        <f aca="false">INDEX(01_因子設定!$G$5:$G$6,$C$5)+B46*INDEX(01_因子設定!$H$5:$H$6,$C$5)</f>
        <v>35</v>
      </c>
      <c r="B46" s="49" t="n">
        <v>0.5</v>
      </c>
      <c r="C46" s="50" t="n">
        <f aca="false">IF(AND(_slice!$H$5=1,C$39&gt;=_slice!$H$6-0.000000001,C$39&lt;=_slice!$I$6+0.000000001,$B46&gt;=_slice!$H$7-0.000000001,$B46&lt;=_slice!$I$7+0.000000001,IF(01_因子設定!$B$20="Box-Behnken",C$39^2+$B46^2+_slice!$H$8&lt;=2+0.000000001,TRUE())),IF(01_因子設定!$B$13="最大化",(_slice!C71-04_回帰ANOVA!$K$19*04_回帰ANOVA!$K$14*SQRT(1+_slice!C96))-01_因子設定!$B$14,IF(01_因子設定!$B$13="最小化",01_因子設定!$B$15-(_slice!C71+04_回帰ANOVA!$K$19*04_回帰ANOVA!$K$14*SQRT(1+_slice!C96)),MIN((_slice!C71-04_回帰ANOVA!$K$19*04_回帰ANOVA!$K$14*SQRT(1+_slice!C96))-01_因子設定!$B$14,01_因子設定!$B$15-(_slice!C71+04_回帰ANOVA!$K$19*04_回帰ANOVA!$K$14*SQRT(1+_slice!C96))))),"外")</f>
        <v>-4.48774401722225</v>
      </c>
      <c r="D46" s="50" t="n">
        <f aca="false">IF(AND(_slice!$H$5=1,D$39&gt;=_slice!$H$6-0.000000001,D$39&lt;=_slice!$I$6+0.000000001,$B46&gt;=_slice!$H$7-0.000000001,$B46&lt;=_slice!$I$7+0.000000001,IF(01_因子設定!$B$20="Box-Behnken",D$39^2+$B46^2+_slice!$H$8&lt;=2+0.000000001,TRUE())),IF(01_因子設定!$B$13="最大化",(_slice!D71-04_回帰ANOVA!$K$19*04_回帰ANOVA!$K$14*SQRT(1+_slice!D96))-01_因子設定!$B$14,IF(01_因子設定!$B$13="最小化",01_因子設定!$B$15-(_slice!D71+04_回帰ANOVA!$K$19*04_回帰ANOVA!$K$14*SQRT(1+_slice!D96)),MIN((_slice!D71-04_回帰ANOVA!$K$19*04_回帰ANOVA!$K$14*SQRT(1+_slice!D96))-01_因子設定!$B$14,01_因子設定!$B$15-(_slice!D71+04_回帰ANOVA!$K$19*04_回帰ANOVA!$K$14*SQRT(1+_slice!D96))))),"外")</f>
        <v>-3.66338610342837</v>
      </c>
      <c r="E46" s="50" t="n">
        <f aca="false">IF(AND(_slice!$H$5=1,E$39&gt;=_slice!$H$6-0.000000001,E$39&lt;=_slice!$I$6+0.000000001,$B46&gt;=_slice!$H$7-0.000000001,$B46&lt;=_slice!$I$7+0.000000001,IF(01_因子設定!$B$20="Box-Behnken",E$39^2+$B46^2+_slice!$H$8&lt;=2+0.000000001,TRUE())),IF(01_因子設定!$B$13="最大化",(_slice!E71-04_回帰ANOVA!$K$19*04_回帰ANOVA!$K$14*SQRT(1+_slice!E96))-01_因子設定!$B$14,IF(01_因子設定!$B$13="最小化",01_因子設定!$B$15-(_slice!E71+04_回帰ANOVA!$K$19*04_回帰ANOVA!$K$14*SQRT(1+_slice!E96)),MIN((_slice!E71-04_回帰ANOVA!$K$19*04_回帰ANOVA!$K$14*SQRT(1+_slice!E96))-01_因子設定!$B$14,01_因子設定!$B$15-(_slice!E71+04_回帰ANOVA!$K$19*04_回帰ANOVA!$K$14*SQRT(1+_slice!E96))))),"外")</f>
        <v>-2.91161484772547</v>
      </c>
      <c r="F46" s="50" t="n">
        <f aca="false">IF(AND(_slice!$H$5=1,F$39&gt;=_slice!$H$6-0.000000001,F$39&lt;=_slice!$I$6+0.000000001,$B46&gt;=_slice!$H$7-0.000000001,$B46&lt;=_slice!$I$7+0.000000001,IF(01_因子設定!$B$20="Box-Behnken",F$39^2+$B46^2+_slice!$H$8&lt;=2+0.000000001,TRUE())),IF(01_因子設定!$B$13="最大化",(_slice!F71-04_回帰ANOVA!$K$19*04_回帰ANOVA!$K$14*SQRT(1+_slice!F96))-01_因子設定!$B$14,IF(01_因子設定!$B$13="最小化",01_因子設定!$B$15-(_slice!F71+04_回帰ANOVA!$K$19*04_回帰ANOVA!$K$14*SQRT(1+_slice!F96)),MIN((_slice!F71-04_回帰ANOVA!$K$19*04_回帰ANOVA!$K$14*SQRT(1+_slice!F96))-01_因子設定!$B$14,01_因子設定!$B$15-(_slice!F71+04_回帰ANOVA!$K$19*04_回帰ANOVA!$K$14*SQRT(1+_slice!F96))))),"外")</f>
        <v>-2.22962357185362</v>
      </c>
      <c r="G46" s="50" t="n">
        <f aca="false">IF(AND(_slice!$H$5=1,G$39&gt;=_slice!$H$6-0.000000001,G$39&lt;=_slice!$I$6+0.000000001,$B46&gt;=_slice!$H$7-0.000000001,$B46&lt;=_slice!$I$7+0.000000001,IF(01_因子設定!$B$20="Box-Behnken",G$39^2+$B46^2+_slice!$H$8&lt;=2+0.000000001,TRUE())),IF(01_因子設定!$B$13="最大化",(_slice!G71-04_回帰ANOVA!$K$19*04_回帰ANOVA!$K$14*SQRT(1+_slice!G96))-01_因子設定!$B$14,IF(01_因子設定!$B$13="最小化",01_因子設定!$B$15-(_slice!G71+04_回帰ANOVA!$K$19*04_回帰ANOVA!$K$14*SQRT(1+_slice!G96)),MIN((_slice!G71-04_回帰ANOVA!$K$19*04_回帰ANOVA!$K$14*SQRT(1+_slice!G96))-01_因子設定!$B$14,01_因子設定!$B$15-(_slice!G71+04_回帰ANOVA!$K$19*04_回帰ANOVA!$K$14*SQRT(1+_slice!G96))))),"外")</f>
        <v>-1.61438637982725</v>
      </c>
      <c r="H46" s="50" t="n">
        <f aca="false">IF(AND(_slice!$H$5=1,H$39&gt;=_slice!$H$6-0.000000001,H$39&lt;=_slice!$I$6+0.000000001,$B46&gt;=_slice!$H$7-0.000000001,$B46&lt;=_slice!$I$7+0.000000001,IF(01_因子設定!$B$20="Box-Behnken",H$39^2+$B46^2+_slice!$H$8&lt;=2+0.000000001,TRUE())),IF(01_因子設定!$B$13="最大化",(_slice!H71-04_回帰ANOVA!$K$19*04_回帰ANOVA!$K$14*SQRT(1+_slice!H96))-01_因子設定!$B$14,IF(01_因子設定!$B$13="最小化",01_因子設定!$B$15-(_slice!H71+04_回帰ANOVA!$K$19*04_回帰ANOVA!$K$14*SQRT(1+_slice!H96)),MIN((_slice!H71-04_回帰ANOVA!$K$19*04_回帰ANOVA!$K$14*SQRT(1+_slice!H96))-01_因子設定!$B$14,01_因子設定!$B$15-(_slice!H71+04_回帰ANOVA!$K$19*04_回帰ANOVA!$K$14*SQRT(1+_slice!H96))))),"外")</f>
        <v>-1.06290553030576</v>
      </c>
      <c r="I46" s="50" t="n">
        <f aca="false">IF(AND(_slice!$H$5=1,I$39&gt;=_slice!$H$6-0.000000001,I$39&lt;=_slice!$I$6+0.000000001,$B46&gt;=_slice!$H$7-0.000000001,$B46&lt;=_slice!$I$7+0.000000001,IF(01_因子設定!$B$20="Box-Behnken",I$39^2+$B46^2+_slice!$H$8&lt;=2+0.000000001,TRUE())),IF(01_因子設定!$B$13="最大化",(_slice!I71-04_回帰ANOVA!$K$19*04_回帰ANOVA!$K$14*SQRT(1+_slice!I96))-01_因子設定!$B$14,IF(01_因子設定!$B$13="最小化",01_因子設定!$B$15-(_slice!I71+04_回帰ANOVA!$K$19*04_回帰ANOVA!$K$14*SQRT(1+_slice!I96)),MIN((_slice!I71-04_回帰ANOVA!$K$19*04_回帰ANOVA!$K$14*SQRT(1+_slice!I96))-01_因子設定!$B$14,01_因子設定!$B$15-(_slice!I71+04_回帰ANOVA!$K$19*04_回帰ANOVA!$K$14*SQRT(1+_slice!I96))))),"外")</f>
        <v>-0.572424760230369</v>
      </c>
      <c r="J46" s="50" t="n">
        <f aca="false">IF(AND(_slice!$H$5=1,J$39&gt;=_slice!$H$6-0.000000001,J$39&lt;=_slice!$I$6+0.000000001,$B46&gt;=_slice!$H$7-0.000000001,$B46&lt;=_slice!$I$7+0.000000001,IF(01_因子設定!$B$20="Box-Behnken",J$39^2+$B46^2+_slice!$H$8&lt;=2+0.000000001,TRUE())),IF(01_因子設定!$B$13="最大化",(_slice!J71-04_回帰ANOVA!$K$19*04_回帰ANOVA!$K$14*SQRT(1+_slice!J96))-01_因子設定!$B$14,IF(01_因子設定!$B$13="最小化",01_因子設定!$B$15-(_slice!J71+04_回帰ANOVA!$K$19*04_回帰ANOVA!$K$14*SQRT(1+_slice!J96)),MIN((_slice!J71-04_回帰ANOVA!$K$19*04_回帰ANOVA!$K$14*SQRT(1+_slice!J96))-01_因子設定!$B$14,01_因子設定!$B$15-(_slice!J71+04_回帰ANOVA!$K$19*04_回帰ANOVA!$K$14*SQRT(1+_slice!J96))))),"外")</f>
        <v>-0.140581744594286</v>
      </c>
      <c r="K46" s="50" t="n">
        <f aca="false">IF(AND(_slice!$H$5=1,K$39&gt;=_slice!$H$6-0.000000001,K$39&lt;=_slice!$I$6+0.000000001,$B46&gt;=_slice!$H$7-0.000000001,$B46&lt;=_slice!$I$7+0.000000001,IF(01_因子設定!$B$20="Box-Behnken",K$39^2+$B46^2+_slice!$H$8&lt;=2+0.000000001,TRUE())),IF(01_因子設定!$B$13="最大化",(_slice!K71-04_回帰ANOVA!$K$19*04_回帰ANOVA!$K$14*SQRT(1+_slice!K96))-01_因子設定!$B$14,IF(01_因子設定!$B$13="最小化",01_因子設定!$B$15-(_slice!K71+04_回帰ANOVA!$K$19*04_回帰ANOVA!$K$14*SQRT(1+_slice!K96)),MIN((_slice!K71-04_回帰ANOVA!$K$19*04_回帰ANOVA!$K$14*SQRT(1+_slice!K96))-01_因子設定!$B$14,01_因子設定!$B$15-(_slice!K71+04_回帰ANOVA!$K$19*04_回帰ANOVA!$K$14*SQRT(1+_slice!K96))))),"外")</f>
        <v>0.234501726600968</v>
      </c>
      <c r="L46" s="50" t="n">
        <f aca="false">IF(AND(_slice!$H$5=1,L$39&gt;=_slice!$H$6-0.000000001,L$39&lt;=_slice!$I$6+0.000000001,$B46&gt;=_slice!$H$7-0.000000001,$B46&lt;=_slice!$I$7+0.000000001,IF(01_因子設定!$B$20="Box-Behnken",L$39^2+$B46^2+_slice!$H$8&lt;=2+0.000000001,TRUE())),IF(01_因子設定!$B$13="最大化",(_slice!L71-04_回帰ANOVA!$K$19*04_回帰ANOVA!$K$14*SQRT(1+_slice!L96))-01_因子設定!$B$14,IF(01_因子設定!$B$13="最小化",01_因子設定!$B$15-(_slice!L71+04_回帰ANOVA!$K$19*04_回帰ANOVA!$K$14*SQRT(1+_slice!L96)),MIN((_slice!L71-04_回帰ANOVA!$K$19*04_回帰ANOVA!$K$14*SQRT(1+_slice!L96))-01_因子設定!$B$14,01_因子設定!$B$15-(_slice!L71+04_回帰ANOVA!$K$19*04_回帰ANOVA!$K$14*SQRT(1+_slice!L96))))),"外")</f>
        <v>0.554177408844495</v>
      </c>
      <c r="M46" s="50" t="n">
        <f aca="false">IF(AND(_slice!$H$5=1,M$39&gt;=_slice!$H$6-0.000000001,M$39&lt;=_slice!$I$6+0.000000001,$B46&gt;=_slice!$H$7-0.000000001,$B46&lt;=_slice!$I$7+0.000000001,IF(01_因子設定!$B$20="Box-Behnken",M$39^2+$B46^2+_slice!$H$8&lt;=2+0.000000001,TRUE())),IF(01_因子設定!$B$13="最大化",(_slice!M71-04_回帰ANOVA!$K$19*04_回帰ANOVA!$K$14*SQRT(1+_slice!M96))-01_因子設定!$B$14,IF(01_因子設定!$B$13="最小化",01_因子設定!$B$15-(_slice!M71+04_回帰ANOVA!$K$19*04_回帰ANOVA!$K$14*SQRT(1+_slice!M96)),MIN((_slice!M71-04_回帰ANOVA!$K$19*04_回帰ANOVA!$K$14*SQRT(1+_slice!M96))-01_因子設定!$B$14,01_因子設定!$B$15-(_slice!M71+04_回帰ANOVA!$K$19*04_回帰ANOVA!$K$14*SQRT(1+_slice!M96))))),"外")</f>
        <v>0.819256975988616</v>
      </c>
      <c r="N46" s="50" t="n">
        <f aca="false">IF(AND(_slice!$H$5=1,N$39&gt;=_slice!$H$6-0.000000001,N$39&lt;=_slice!$I$6+0.000000001,$B46&gt;=_slice!$H$7-0.000000001,$B46&lt;=_slice!$I$7+0.000000001,IF(01_因子設定!$B$20="Box-Behnken",N$39^2+$B46^2+_slice!$H$8&lt;=2+0.000000001,TRUE())),IF(01_因子設定!$B$13="最大化",(_slice!N71-04_回帰ANOVA!$K$19*04_回帰ANOVA!$K$14*SQRT(1+_slice!N96))-01_因子設定!$B$14,IF(01_因子設定!$B$13="最小化",01_因子設定!$B$15-(_slice!N71+04_回帰ANOVA!$K$19*04_回帰ANOVA!$K$14*SQRT(1+_slice!N96)),MIN((_slice!N71-04_回帰ANOVA!$K$19*04_回帰ANOVA!$K$14*SQRT(1+_slice!N96))-01_因子設定!$B$14,01_因子設定!$B$15-(_slice!N71+04_回帰ANOVA!$K$19*04_回帰ANOVA!$K$14*SQRT(1+_slice!N96))))),"外")</f>
        <v>1.03001074217782</v>
      </c>
      <c r="O46" s="50" t="n">
        <f aca="false">IF(AND(_slice!$H$5=1,O$39&gt;=_slice!$H$6-0.000000001,O$39&lt;=_slice!$I$6+0.000000001,$B46&gt;=_slice!$H$7-0.000000001,$B46&lt;=_slice!$I$7+0.000000001,IF(01_因子設定!$B$20="Box-Behnken",O$39^2+$B46^2+_slice!$H$8&lt;=2+0.000000001,TRUE())),IF(01_因子設定!$B$13="最大化",(_slice!O71-04_回帰ANOVA!$K$19*04_回帰ANOVA!$K$14*SQRT(1+_slice!O96))-01_因子設定!$B$14,IF(01_因子設定!$B$13="最小化",01_因子設定!$B$15-(_slice!O71+04_回帰ANOVA!$K$19*04_回帰ANOVA!$K$14*SQRT(1+_slice!O96)),MIN((_slice!O71-04_回帰ANOVA!$K$19*04_回帰ANOVA!$K$14*SQRT(1+_slice!O96))-01_因子設定!$B$14,01_因子設定!$B$15-(_slice!O71+04_回帰ANOVA!$K$19*04_回帰ANOVA!$K$14*SQRT(1+_slice!O96))))),"外")</f>
        <v>1.18616839326764</v>
      </c>
      <c r="P46" s="50" t="n">
        <f aca="false">IF(AND(_slice!$H$5=1,P$39&gt;=_slice!$H$6-0.000000001,P$39&lt;=_slice!$I$6+0.000000001,$B46&gt;=_slice!$H$7-0.000000001,$B46&lt;=_slice!$I$7+0.000000001,IF(01_因子設定!$B$20="Box-Behnken",P$39^2+$B46^2+_slice!$H$8&lt;=2+0.000000001,TRUE())),IF(01_因子設定!$B$13="最大化",(_slice!P71-04_回帰ANOVA!$K$19*04_回帰ANOVA!$K$14*SQRT(1+_slice!P96))-01_因子設定!$B$14,IF(01_因子設定!$B$13="最小化",01_因子設定!$B$15-(_slice!P71+04_回帰ANOVA!$K$19*04_回帰ANOVA!$K$14*SQRT(1+_slice!P96)),MIN((_slice!P71-04_回帰ANOVA!$K$19*04_回帰ANOVA!$K$14*SQRT(1+_slice!P96))-01_因子設定!$B$14,01_因子設定!$B$15-(_slice!P71+04_回帰ANOVA!$K$19*04_回帰ANOVA!$K$14*SQRT(1+_slice!P96))))),"外")</f>
        <v>1.28691825540571</v>
      </c>
      <c r="Q46" s="50" t="n">
        <f aca="false">IF(AND(_slice!$H$5=1,Q$39&gt;=_slice!$H$6-0.000000001,Q$39&lt;=_slice!$I$6+0.000000001,$B46&gt;=_slice!$H$7-0.000000001,$B46&lt;=_slice!$I$7+0.000000001,IF(01_因子設定!$B$20="Box-Behnken",Q$39^2+$B46^2+_slice!$H$8&lt;=2+0.000000001,TRUE())),IF(01_因子設定!$B$13="最大化",(_slice!Q71-04_回帰ANOVA!$K$19*04_回帰ANOVA!$K$14*SQRT(1+_slice!Q96))-01_因子設定!$B$14,IF(01_因子設定!$B$13="最小化",01_因子設定!$B$15-(_slice!Q71+04_回帰ANOVA!$K$19*04_回帰ANOVA!$K$14*SQRT(1+_slice!Q96)),MIN((_slice!Q71-04_回帰ANOVA!$K$19*04_回帰ANOVA!$K$14*SQRT(1+_slice!Q96))-01_因子設定!$B$14,01_因子設定!$B$15-(_slice!Q71+04_回帰ANOVA!$K$19*04_回帰ANOVA!$K$14*SQRT(1+_slice!Q96))))),"外")</f>
        <v>1.33090857310295</v>
      </c>
      <c r="R46" s="50" t="n">
        <f aca="false">IF(AND(_slice!$H$5=1,R$39&gt;=_slice!$H$6-0.000000001,R$39&lt;=_slice!$I$6+0.000000001,$B46&gt;=_slice!$H$7-0.000000001,$B46&lt;=_slice!$I$7+0.000000001,IF(01_因子設定!$B$20="Box-Behnken",R$39^2+$B46^2+_slice!$H$8&lt;=2+0.000000001,TRUE())),IF(01_因子設定!$B$13="最大化",(_slice!R71-04_回帰ANOVA!$K$19*04_回帰ANOVA!$K$14*SQRT(1+_slice!R96))-01_因子設定!$B$14,IF(01_因子設定!$B$13="最小化",01_因子設定!$B$15-(_slice!R71+04_回帰ANOVA!$K$19*04_回帰ANOVA!$K$14*SQRT(1+_slice!R96)),MIN((_slice!R71-04_回帰ANOVA!$K$19*04_回帰ANOVA!$K$14*SQRT(1+_slice!R96))-01_因子設定!$B$14,01_因子設定!$B$15-(_slice!R71+04_回帰ANOVA!$K$19*04_回帰ANOVA!$K$14*SQRT(1+_slice!R96))))),"外")</f>
        <v>1.31626113636091</v>
      </c>
      <c r="S46" s="50" t="n">
        <f aca="false">IF(AND(_slice!$H$5=1,S$39&gt;=_slice!$H$6-0.000000001,S$39&lt;=_slice!$I$6+0.000000001,$B46&gt;=_slice!$H$7-0.000000001,$B46&lt;=_slice!$I$7+0.000000001,IF(01_因子設定!$B$20="Box-Behnken",S$39^2+$B46^2+_slice!$H$8&lt;=2+0.000000001,TRUE())),IF(01_因子設定!$B$13="最大化",(_slice!S71-04_回帰ANOVA!$K$19*04_回帰ANOVA!$K$14*SQRT(1+_slice!S96))-01_因子設定!$B$14,IF(01_因子設定!$B$13="最小化",01_因子設定!$B$15-(_slice!S71+04_回帰ANOVA!$K$19*04_回帰ANOVA!$K$14*SQRT(1+_slice!S96)),MIN((_slice!S71-04_回帰ANOVA!$K$19*04_回帰ANOVA!$K$14*SQRT(1+_slice!S96))-01_因子設定!$B$14,01_因子設定!$B$15-(_slice!S71+04_回帰ANOVA!$K$19*04_回帰ANOVA!$K$14*SQRT(1+_slice!S96))))),"外")</f>
        <v>1.24061362017275</v>
      </c>
      <c r="T46" s="50" t="n">
        <f aca="false">IF(AND(_slice!$H$5=1,T$39&gt;=_slice!$H$6-0.000000001,T$39&lt;=_slice!$I$6+0.000000001,$B46&gt;=_slice!$H$7-0.000000001,$B46&lt;=_slice!$I$7+0.000000001,IF(01_因子設定!$B$20="Box-Behnken",T$39^2+$B46^2+_slice!$H$8&lt;=2+0.000000001,TRUE())),IF(01_因子設定!$B$13="最大化",(_slice!T71-04_回帰ANOVA!$K$19*04_回帰ANOVA!$K$14*SQRT(1+_slice!T96))-01_因子設定!$B$14,IF(01_因子設定!$B$13="最小化",01_因子設定!$B$15-(_slice!T71+04_回帰ANOVA!$K$19*04_回帰ANOVA!$K$14*SQRT(1+_slice!T96)),MIN((_slice!T71-04_回帰ANOVA!$K$19*04_回帰ANOVA!$K$14*SQRT(1+_slice!T96))-01_因子設定!$B$14,01_因子設定!$B$15-(_slice!T71+04_回帰ANOVA!$K$19*04_回帰ANOVA!$K$14*SQRT(1+_slice!T96))))),"外")</f>
        <v>1.10120976147972</v>
      </c>
      <c r="U46" s="50" t="n">
        <f aca="false">IF(AND(_slice!$H$5=1,U$39&gt;=_slice!$H$6-0.000000001,U$39&lt;=_slice!$I$6+0.000000001,$B46&gt;=_slice!$H$7-0.000000001,$B46&lt;=_slice!$I$7+0.000000001,IF(01_因子設定!$B$20="Box-Behnken",U$39^2+$B46^2+_slice!$H$8&lt;=2+0.000000001,TRUE())),IF(01_因子設定!$B$13="最大化",(_slice!U71-04_回帰ANOVA!$K$19*04_回帰ANOVA!$K$14*SQRT(1+_slice!U96))-01_因子設定!$B$14,IF(01_因子設定!$B$13="最小化",01_因子設定!$B$15-(_slice!U71+04_回帰ANOVA!$K$19*04_回帰ANOVA!$K$14*SQRT(1+_slice!U96)),MIN((_slice!U71-04_回帰ANOVA!$K$19*04_回帰ANOVA!$K$14*SQRT(1+_slice!U96))-01_因子設定!$B$14,01_因子設定!$B$15-(_slice!U71+04_回帰ANOVA!$K$19*04_回帰ANOVA!$K$14*SQRT(1+_slice!U96))))),"外")</f>
        <v>0.895051818941198</v>
      </c>
      <c r="V46" s="50" t="n">
        <f aca="false">IF(AND(_slice!$H$5=1,V$39&gt;=_slice!$H$6-0.000000001,V$39&lt;=_slice!$I$6+0.000000001,$B46&gt;=_slice!$H$7-0.000000001,$B46&lt;=_slice!$I$7+0.000000001,IF(01_因子設定!$B$20="Box-Behnken",V$39^2+$B46^2+_slice!$H$8&lt;=2+0.000000001,TRUE())),IF(01_因子設定!$B$13="最大化",(_slice!V71-04_回帰ANOVA!$K$19*04_回帰ANOVA!$K$14*SQRT(1+_slice!V96))-01_因子設定!$B$14,IF(01_因子設定!$B$13="最小化",01_因子設定!$B$15-(_slice!V71+04_回帰ANOVA!$K$19*04_回帰ANOVA!$K$14*SQRT(1+_slice!V96)),MIN((_slice!V71-04_回帰ANOVA!$K$19*04_回帰ANOVA!$K$14*SQRT(1+_slice!V96))-01_因子設定!$B$14,01_因子設定!$B$15-(_slice!V71+04_回帰ANOVA!$K$19*04_回帰ANOVA!$K$14*SQRT(1+_slice!V96))))),"外")</f>
        <v>0.619113896571626</v>
      </c>
      <c r="W46" s="50" t="n">
        <f aca="false">IF(AND(_slice!$H$5=1,W$39&gt;=_slice!$H$6-0.000000001,W$39&lt;=_slice!$I$6+0.000000001,$B46&gt;=_slice!$H$7-0.000000001,$B46&lt;=_slice!$I$7+0.000000001,IF(01_因子設定!$B$20="Box-Behnken",W$39^2+$B46^2+_slice!$H$8&lt;=2+0.000000001,TRUE())),IF(01_因子設定!$B$13="最大化",(_slice!W71-04_回帰ANOVA!$K$19*04_回帰ANOVA!$K$14*SQRT(1+_slice!W96))-01_因子設定!$B$14,IF(01_因子設定!$B$13="最小化",01_因子設定!$B$15-(_slice!W71+04_回帰ANOVA!$K$19*04_回帰ANOVA!$K$14*SQRT(1+_slice!W96)),MIN((_slice!W71-04_回帰ANOVA!$K$19*04_回帰ANOVA!$K$14*SQRT(1+_slice!W96))-01_因子設定!$B$14,01_因子設定!$B$15-(_slice!W71+04_回帰ANOVA!$K$19*04_回帰ANOVA!$K$14*SQRT(1+_slice!W96))))),"外")</f>
        <v>0.270589316111078</v>
      </c>
    </row>
    <row r="47" customFormat="false" ht="15" hidden="false" customHeight="false" outlineLevel="0" collapsed="false">
      <c r="A47" s="49" t="n">
        <f aca="false">INDEX(01_因子設定!$G$5:$G$6,$C$5)+B47*INDEX(01_因子設定!$H$5:$H$6,$C$5)</f>
        <v>34</v>
      </c>
      <c r="B47" s="49" t="n">
        <v>0.4</v>
      </c>
      <c r="C47" s="50" t="n">
        <f aca="false">IF(AND(_slice!$H$5=1,C$39&gt;=_slice!$H$6-0.000000001,C$39&lt;=_slice!$I$6+0.000000001,$B47&gt;=_slice!$H$7-0.000000001,$B47&lt;=_slice!$I$7+0.000000001,IF(01_因子設定!$B$20="Box-Behnken",C$39^2+$B47^2+_slice!$H$8&lt;=2+0.000000001,TRUE())),IF(01_因子設定!$B$13="最大化",(_slice!C72-04_回帰ANOVA!$K$19*04_回帰ANOVA!$K$14*SQRT(1+_slice!C97))-01_因子設定!$B$14,IF(01_因子設定!$B$13="最小化",01_因子設定!$B$15-(_slice!C72+04_回帰ANOVA!$K$19*04_回帰ANOVA!$K$14*SQRT(1+_slice!C97)),MIN((_slice!C72-04_回帰ANOVA!$K$19*04_回帰ANOVA!$K$14*SQRT(1+_slice!C97))-01_因子設定!$B$14,01_因子設定!$B$15-(_slice!C72+04_回帰ANOVA!$K$19*04_回帰ANOVA!$K$14*SQRT(1+_slice!C97))))),"外")</f>
        <v>-4.51725958762786</v>
      </c>
      <c r="D47" s="50" t="n">
        <f aca="false">IF(AND(_slice!$H$5=1,D$39&gt;=_slice!$H$6-0.000000001,D$39&lt;=_slice!$I$6+0.000000001,$B47&gt;=_slice!$H$7-0.000000001,$B47&lt;=_slice!$I$7+0.000000001,IF(01_因子設定!$B$20="Box-Behnken",D$39^2+$B47^2+_slice!$H$8&lt;=2+0.000000001,TRUE())),IF(01_因子設定!$B$13="最大化",(_slice!D72-04_回帰ANOVA!$K$19*04_回帰ANOVA!$K$14*SQRT(1+_slice!D97))-01_因子設定!$B$14,IF(01_因子設定!$B$13="最小化",01_因子設定!$B$15-(_slice!D72+04_回帰ANOVA!$K$19*04_回帰ANOVA!$K$14*SQRT(1+_slice!D97)),MIN((_slice!D72-04_回帰ANOVA!$K$19*04_回帰ANOVA!$K$14*SQRT(1+_slice!D97))-01_因子設定!$B$14,01_因子設定!$B$15-(_slice!D72+04_回帰ANOVA!$K$19*04_回帰ANOVA!$K$14*SQRT(1+_slice!D97))))),"外")</f>
        <v>-3.69772790624754</v>
      </c>
      <c r="E47" s="50" t="n">
        <f aca="false">IF(AND(_slice!$H$5=1,E$39&gt;=_slice!$H$6-0.000000001,E$39&lt;=_slice!$I$6+0.000000001,$B47&gt;=_slice!$H$7-0.000000001,$B47&lt;=_slice!$I$7+0.000000001,IF(01_因子設定!$B$20="Box-Behnken",E$39^2+$B47^2+_slice!$H$8&lt;=2+0.000000001,TRUE())),IF(01_因子設定!$B$13="最大化",(_slice!E72-04_回帰ANOVA!$K$19*04_回帰ANOVA!$K$14*SQRT(1+_slice!E97))-01_因子設定!$B$14,IF(01_因子設定!$B$13="最小化",01_因子設定!$B$15-(_slice!E72+04_回帰ANOVA!$K$19*04_回帰ANOVA!$K$14*SQRT(1+_slice!E97)),MIN((_slice!E72-04_回帰ANOVA!$K$19*04_回帰ANOVA!$K$14*SQRT(1+_slice!E97))-01_因子設定!$B$14,01_因子設定!$B$15-(_slice!E72+04_回帰ANOVA!$K$19*04_回帰ANOVA!$K$14*SQRT(1+_slice!E97))))),"外")</f>
        <v>-2.950831544184</v>
      </c>
      <c r="F47" s="50" t="n">
        <f aca="false">IF(AND(_slice!$H$5=1,F$39&gt;=_slice!$H$6-0.000000001,F$39&lt;=_slice!$I$6+0.000000001,$B47&gt;=_slice!$H$7-0.000000001,$B47&lt;=_slice!$I$7+0.000000001,IF(01_因子設定!$B$20="Box-Behnken",F$39^2+$B47^2+_slice!$H$8&lt;=2+0.000000001,TRUE())),IF(01_因子設定!$B$13="最大化",(_slice!F72-04_回帰ANOVA!$K$19*04_回帰ANOVA!$K$14*SQRT(1+_slice!F97))-01_因子設定!$B$14,IF(01_因子設定!$B$13="最小化",01_因子設定!$B$15-(_slice!F72+04_回帰ANOVA!$K$19*04_回帰ANOVA!$K$14*SQRT(1+_slice!F97)),MIN((_slice!F72-04_回帰ANOVA!$K$19*04_回帰ANOVA!$K$14*SQRT(1+_slice!F97))-01_因子設定!$B$14,01_因子設定!$B$15-(_slice!F72+04_回帰ANOVA!$K$19*04_回帰ANOVA!$K$14*SQRT(1+_slice!F97))))),"外")</f>
        <v>-2.27377194544659</v>
      </c>
      <c r="G47" s="50" t="n">
        <f aca="false">IF(AND(_slice!$H$5=1,G$39&gt;=_slice!$H$6-0.000000001,G$39&lt;=_slice!$I$6+0.000000001,$B47&gt;=_slice!$H$7-0.000000001,$B47&lt;=_slice!$I$7+0.000000001,IF(01_因子設定!$B$20="Box-Behnken",G$39^2+$B47^2+_slice!$H$8&lt;=2+0.000000001,TRUE())),IF(01_因子設定!$B$13="最大化",(_slice!G72-04_回帰ANOVA!$K$19*04_回帰ANOVA!$K$14*SQRT(1+_slice!G97))-01_因子設定!$B$14,IF(01_因子設定!$B$13="最小化",01_因子設定!$B$15-(_slice!G72+04_回帰ANOVA!$K$19*04_回帰ANOVA!$K$14*SQRT(1+_slice!G97)),MIN((_slice!G72-04_回帰ANOVA!$K$19*04_回帰ANOVA!$K$14*SQRT(1+_slice!G97))-01_因子設定!$B$14,01_因子設定!$B$15-(_slice!G72+04_回帰ANOVA!$K$19*04_回帰ANOVA!$K$14*SQRT(1+_slice!G97))))),"外")</f>
        <v>-1.66352540567696</v>
      </c>
      <c r="H47" s="50" t="n">
        <f aca="false">IF(AND(_slice!$H$5=1,H$39&gt;=_slice!$H$6-0.000000001,H$39&lt;=_slice!$I$6+0.000000001,$B47&gt;=_slice!$H$7-0.000000001,$B47&lt;=_slice!$I$7+0.000000001,IF(01_因子設定!$B$20="Box-Behnken",H$39^2+$B47^2+_slice!$H$8&lt;=2+0.000000001,TRUE())),IF(01_因子設定!$B$13="最大化",(_slice!H72-04_回帰ANOVA!$K$19*04_回帰ANOVA!$K$14*SQRT(1+_slice!H97))-01_因子設定!$B$14,IF(01_因子設定!$B$13="最小化",01_因子設定!$B$15-(_slice!H72+04_回帰ANOVA!$K$19*04_回帰ANOVA!$K$14*SQRT(1+_slice!H97)),MIN((_slice!H72-04_回帰ANOVA!$K$19*04_回帰ANOVA!$K$14*SQRT(1+_slice!H97))-01_因子設定!$B$14,01_因子設定!$B$15-(_slice!H72+04_回帰ANOVA!$K$19*04_回帰ANOVA!$K$14*SQRT(1+_slice!H97))))),"外")</f>
        <v>-1.11709142689705</v>
      </c>
      <c r="I47" s="50" t="n">
        <f aca="false">IF(AND(_slice!$H$5=1,I$39&gt;=_slice!$H$6-0.000000001,I$39&lt;=_slice!$I$6+0.000000001,$B47&gt;=_slice!$H$7-0.000000001,$B47&lt;=_slice!$I$7+0.000000001,IF(01_因子設定!$B$20="Box-Behnken",I$39^2+$B47^2+_slice!$H$8&lt;=2+0.000000001,TRUE())),IF(01_因子設定!$B$13="最大化",(_slice!I72-04_回帰ANOVA!$K$19*04_回帰ANOVA!$K$14*SQRT(1+_slice!I97))-01_因子設定!$B$14,IF(01_因子設定!$B$13="最小化",01_因子設定!$B$15-(_slice!I72+04_回帰ANOVA!$K$19*04_回帰ANOVA!$K$14*SQRT(1+_slice!I97)),MIN((_slice!I72-04_回帰ANOVA!$K$19*04_回帰ANOVA!$K$14*SQRT(1+_slice!I97))-01_因子設定!$B$14,01_因子設定!$B$15-(_slice!I72+04_回帰ANOVA!$K$19*04_回帰ANOVA!$K$14*SQRT(1+_slice!I97))))),"外")</f>
        <v>-0.631707880112593</v>
      </c>
      <c r="J47" s="50" t="n">
        <f aca="false">IF(AND(_slice!$H$5=1,J$39&gt;=_slice!$H$6-0.000000001,J$39&lt;=_slice!$I$6+0.000000001,$B47&gt;=_slice!$H$7-0.000000001,$B47&lt;=_slice!$I$7+0.000000001,IF(01_因子設定!$B$20="Box-Behnken",J$39^2+$B47^2+_slice!$H$8&lt;=2+0.000000001,TRUE())),IF(01_因子設定!$B$13="最大化",(_slice!J72-04_回帰ANOVA!$K$19*04_回帰ANOVA!$K$14*SQRT(1+_slice!J97))-01_因子設定!$B$14,IF(01_因子設定!$B$13="最小化",01_因子設定!$B$15-(_slice!J72+04_回帰ANOVA!$K$19*04_回帰ANOVA!$K$14*SQRT(1+_slice!J97)),MIN((_slice!J72-04_回帰ANOVA!$K$19*04_回帰ANOVA!$K$14*SQRT(1+_slice!J97))-01_因子設定!$B$14,01_因子設定!$B$15-(_slice!J72+04_回帰ANOVA!$K$19*04_回帰ANOVA!$K$14*SQRT(1+_slice!J97))))),"外")</f>
        <v>-0.20500540060484</v>
      </c>
      <c r="K47" s="50" t="n">
        <f aca="false">IF(AND(_slice!$H$5=1,K$39&gt;=_slice!$H$6-0.000000001,K$39&lt;=_slice!$I$6+0.000000001,$B47&gt;=_slice!$H$7-0.000000001,$B47&lt;=_slice!$I$7+0.000000001,IF(01_因子設定!$B$20="Box-Behnken",K$39^2+$B47^2+_slice!$H$8&lt;=2+0.000000001,TRUE())),IF(01_因子設定!$B$13="最大化",(_slice!K72-04_回帰ANOVA!$K$19*04_回帰ANOVA!$K$14*SQRT(1+_slice!K97))-01_因子設定!$B$14,IF(01_因子設定!$B$13="最小化",01_因子設定!$B$15-(_slice!K72+04_回帰ANOVA!$K$19*04_回帰ANOVA!$K$14*SQRT(1+_slice!K97)),MIN((_slice!K72-04_回帰ANOVA!$K$19*04_回帰ANOVA!$K$14*SQRT(1+_slice!K97))-01_因子設定!$B$14,01_因子設定!$B$15-(_slice!K72+04_回帰ANOVA!$K$19*04_回帰ANOVA!$K$14*SQRT(1+_slice!K97))))),"外")</f>
        <v>0.164900890351092</v>
      </c>
      <c r="L47" s="50" t="n">
        <f aca="false">IF(AND(_slice!$H$5=1,L$39&gt;=_slice!$H$6-0.000000001,L$39&lt;=_slice!$I$6+0.000000001,$B47&gt;=_slice!$H$7-0.000000001,$B47&lt;=_slice!$I$7+0.000000001,IF(01_因子設定!$B$20="Box-Behnken",L$39^2+$B47^2+_slice!$H$8&lt;=2+0.000000001,TRUE())),IF(01_因子設定!$B$13="最大化",(_slice!L72-04_回帰ANOVA!$K$19*04_回帰ANOVA!$K$14*SQRT(1+_slice!L97))-01_因子設定!$B$14,IF(01_因子設定!$B$13="最小化",01_因子設定!$B$15-(_slice!L72+04_回帰ANOVA!$K$19*04_回帰ANOVA!$K$14*SQRT(1+_slice!L97)),MIN((_slice!L72-04_回帰ANOVA!$K$19*04_回帰ANOVA!$K$14*SQRT(1+_slice!L97))-01_因子設定!$B$14,01_因子設定!$B$15-(_slice!L72+04_回帰ANOVA!$K$19*04_回帰ANOVA!$K$14*SQRT(1+_slice!L97))))),"外")</f>
        <v>0.479368033101267</v>
      </c>
      <c r="M47" s="50" t="n">
        <f aca="false">IF(AND(_slice!$H$5=1,M$39&gt;=_slice!$H$6-0.000000001,M$39&lt;=_slice!$I$6+0.000000001,$B47&gt;=_slice!$H$7-0.000000001,$B47&lt;=_slice!$I$7+0.000000001,IF(01_因子設定!$B$20="Box-Behnken",M$39^2+$B47^2+_slice!$H$8&lt;=2+0.000000001,TRUE())),IF(01_因子設定!$B$13="最大化",(_slice!M72-04_回帰ANOVA!$K$19*04_回帰ANOVA!$K$14*SQRT(1+_slice!M97))-01_因子設定!$B$14,IF(01_因子設定!$B$13="最小化",01_因子設定!$B$15-(_slice!M72+04_回帰ANOVA!$K$19*04_回帰ANOVA!$K$14*SQRT(1+_slice!M97)),MIN((_slice!M72-04_回帰ANOVA!$K$19*04_回帰ANOVA!$K$14*SQRT(1+_slice!M97))-01_因子設定!$B$14,01_因子設定!$B$15-(_slice!M72+04_回帰ANOVA!$K$19*04_回帰ANOVA!$K$14*SQRT(1+_slice!M97))))),"外")</f>
        <v>0.739211041358246</v>
      </c>
      <c r="N47" s="50" t="n">
        <f aca="false">IF(AND(_slice!$H$5=1,N$39&gt;=_slice!$H$6-0.000000001,N$39&lt;=_slice!$I$6+0.000000001,$B47&gt;=_slice!$H$7-0.000000001,$B47&lt;=_slice!$I$7+0.000000001,IF(01_因子設定!$B$20="Box-Behnken",N$39^2+$B47^2+_slice!$H$8&lt;=2+0.000000001,TRUE())),IF(01_因子設定!$B$13="最大化",(_slice!N72-04_回帰ANOVA!$K$19*04_回帰ANOVA!$K$14*SQRT(1+_slice!N97))-01_因子設定!$B$14,IF(01_因子設定!$B$13="最小化",01_因子設定!$B$15-(_slice!N72+04_回帰ANOVA!$K$19*04_回帰ANOVA!$K$14*SQRT(1+_slice!N97)),MIN((_slice!N72-04_回帰ANOVA!$K$19*04_回帰ANOVA!$K$14*SQRT(1+_slice!N97))-01_因子設定!$B$14,01_因子設定!$B$15-(_slice!N72+04_回帰ANOVA!$K$19*04_回帰ANOVA!$K$14*SQRT(1+_slice!N97))))),"外")</f>
        <v>0.9447013664346</v>
      </c>
      <c r="O47" s="50" t="n">
        <f aca="false">IF(AND(_slice!$H$5=1,O$39&gt;=_slice!$H$6-0.000000001,O$39&lt;=_slice!$I$6+0.000000001,$B47&gt;=_slice!$H$7-0.000000001,$B47&lt;=_slice!$I$7+0.000000001,IF(01_因子設定!$B$20="Box-Behnken",O$39^2+$B47^2+_slice!$H$8&lt;=2+0.000000001,TRUE())),IF(01_因子設定!$B$13="最大化",(_slice!O72-04_回帰ANOVA!$K$19*04_回帰ANOVA!$K$14*SQRT(1+_slice!O97))-01_因子設定!$B$14,IF(01_因子設定!$B$13="最小化",01_因子設定!$B$15-(_slice!O72+04_回帰ANOVA!$K$19*04_回帰ANOVA!$K$14*SQRT(1+_slice!O97)),MIN((_slice!O72-04_回帰ANOVA!$K$19*04_回帰ANOVA!$K$14*SQRT(1+_slice!O97))-01_因子設定!$B$14,01_因子設定!$B$15-(_slice!O72+04_回帰ANOVA!$K$19*04_回帰ANOVA!$K$14*SQRT(1+_slice!O97))))),"外")</f>
        <v>1.09556755701776</v>
      </c>
      <c r="P47" s="50" t="n">
        <f aca="false">IF(AND(_slice!$H$5=1,P$39&gt;=_slice!$H$6-0.000000001,P$39&lt;=_slice!$I$6+0.000000001,$B47&gt;=_slice!$H$7-0.000000001,$B47&lt;=_slice!$I$7+0.000000001,IF(01_因子設定!$B$20="Box-Behnken",P$39^2+$B47^2+_slice!$H$8&lt;=2+0.000000001,TRUE())),IF(01_因子設定!$B$13="最大化",(_slice!P72-04_回帰ANOVA!$K$19*04_回帰ANOVA!$K$14*SQRT(1+_slice!P97))-01_因子設定!$B$14,IF(01_因子設定!$B$13="最小化",01_因子設定!$B$15-(_slice!P72+04_回帰ANOVA!$K$19*04_回帰ANOVA!$K$14*SQRT(1+_slice!P97)),MIN((_slice!P72-04_回帰ANOVA!$K$19*04_回帰ANOVA!$K$14*SQRT(1+_slice!P97))-01_因子設定!$B$14,01_因子設定!$B$15-(_slice!P72+04_回帰ANOVA!$K$19*04_回帰ANOVA!$K$14*SQRT(1+_slice!P97))))),"外")</f>
        <v>1.19099459939516</v>
      </c>
      <c r="Q47" s="50" t="n">
        <f aca="false">IF(AND(_slice!$H$5=1,Q$39&gt;=_slice!$H$6-0.000000001,Q$39&lt;=_slice!$I$6+0.000000001,$B47&gt;=_slice!$H$7-0.000000001,$B47&lt;=_slice!$I$7+0.000000001,IF(01_因子設定!$B$20="Box-Behnken",Q$39^2+$B47^2+_slice!$H$8&lt;=2+0.000000001,TRUE())),IF(01_因子設定!$B$13="最大化",(_slice!Q72-04_回帰ANOVA!$K$19*04_回帰ANOVA!$K$14*SQRT(1+_slice!Q97))-01_因子設定!$B$14,IF(01_因子設定!$B$13="最小化",01_因子設定!$B$15-(_slice!Q72+04_回帰ANOVA!$K$19*04_回帰ANOVA!$K$14*SQRT(1+_slice!Q97)),MIN((_slice!Q72-04_回帰ANOVA!$K$19*04_回帰ANOVA!$K$14*SQRT(1+_slice!Q97))-01_因子設定!$B$14,01_因子設定!$B$15-(_slice!Q72+04_回帰ANOVA!$K$19*04_回帰ANOVA!$K$14*SQRT(1+_slice!Q97))))),"外")</f>
        <v>1.22962545322074</v>
      </c>
      <c r="R47" s="50" t="n">
        <f aca="false">IF(AND(_slice!$H$5=1,R$39&gt;=_slice!$H$6-0.000000001,R$39&lt;=_slice!$I$6+0.000000001,$B47&gt;=_slice!$H$7-0.000000001,$B47&lt;=_slice!$I$7+0.000000001,IF(01_因子設定!$B$20="Box-Behnken",R$39^2+$B47^2+_slice!$H$8&lt;=2+0.000000001,TRUE())),IF(01_因子設定!$B$13="最大化",(_slice!R72-04_回帰ANOVA!$K$19*04_回帰ANOVA!$K$14*SQRT(1+_slice!R97))-01_因子設定!$B$14,IF(01_因子設定!$B$13="最小化",01_因子設定!$B$15-(_slice!R72+04_回帰ANOVA!$K$19*04_回帰ANOVA!$K$14*SQRT(1+_slice!R97)),MIN((_slice!R72-04_回帰ANOVA!$K$19*04_回帰ANOVA!$K$14*SQRT(1+_slice!R97))-01_因子設定!$B$14,01_因子設定!$B$15-(_slice!R72+04_回帰ANOVA!$K$19*04_回帰ANOVA!$K$14*SQRT(1+_slice!R97))))),"外")</f>
        <v>1.20957523976962</v>
      </c>
      <c r="S47" s="50" t="n">
        <f aca="false">IF(AND(_slice!$H$5=1,S$39&gt;=_slice!$H$6-0.000000001,S$39&lt;=_slice!$I$6+0.000000001,$B47&gt;=_slice!$H$7-0.000000001,$B47&lt;=_slice!$I$7+0.000000001,IF(01_因子設定!$B$20="Box-Behnken",S$39^2+$B47^2+_slice!$H$8&lt;=2+0.000000001,TRUE())),IF(01_因子設定!$B$13="最大化",(_slice!S72-04_回帰ANOVA!$K$19*04_回帰ANOVA!$K$14*SQRT(1+_slice!S97))-01_因子設定!$B$14,IF(01_因子設定!$B$13="最小化",01_因子設定!$B$15-(_slice!S72+04_回帰ANOVA!$K$19*04_回帰ANOVA!$K$14*SQRT(1+_slice!S97)),MIN((_slice!S72-04_回帰ANOVA!$K$19*04_回帰ANOVA!$K$14*SQRT(1+_slice!S97))-01_因子設定!$B$14,01_因子設定!$B$15-(_slice!S72+04_回帰ANOVA!$K$19*04_回帰ANOVA!$K$14*SQRT(1+_slice!S97))))),"外")</f>
        <v>1.12847459432304</v>
      </c>
      <c r="T47" s="50" t="n">
        <f aca="false">IF(AND(_slice!$H$5=1,T$39&gt;=_slice!$H$6-0.000000001,T$39&lt;=_slice!$I$6+0.000000001,$B47&gt;=_slice!$H$7-0.000000001,$B47&lt;=_slice!$I$7+0.000000001,IF(01_因子設定!$B$20="Box-Behnken",T$39^2+$B47^2+_slice!$H$8&lt;=2+0.000000001,TRUE())),IF(01_因子設定!$B$13="最大化",(_slice!T72-04_回帰ANOVA!$K$19*04_回帰ANOVA!$K$14*SQRT(1+_slice!T97))-01_因子設定!$B$14,IF(01_因子設定!$B$13="最小化",01_因子設定!$B$15-(_slice!T72+04_回帰ANOVA!$K$19*04_回帰ANOVA!$K$14*SQRT(1+_slice!T97)),MIN((_slice!T72-04_回帰ANOVA!$K$19*04_回帰ANOVA!$K$14*SQRT(1+_slice!T97))-01_因子設定!$B$14,01_因子設定!$B$15-(_slice!T72+04_回帰ANOVA!$K$19*04_回帰ANOVA!$K$14*SQRT(1+_slice!T97))))),"外")</f>
        <v>0.983561387886745</v>
      </c>
      <c r="U47" s="50" t="n">
        <f aca="false">IF(AND(_slice!$H$5=1,U$39&gt;=_slice!$H$6-0.000000001,U$39&lt;=_slice!$I$6+0.000000001,$B47&gt;=_slice!$H$7-0.000000001,$B47&lt;=_slice!$I$7+0.000000001,IF(01_因子設定!$B$20="Box-Behnken",U$39^2+$B47^2+_slice!$H$8&lt;=2+0.000000001,TRUE())),IF(01_因子設定!$B$13="最大化",(_slice!U72-04_回帰ANOVA!$K$19*04_回帰ANOVA!$K$14*SQRT(1+_slice!U97))-01_因子設定!$B$14,IF(01_因子設定!$B$13="最小化",01_因子設定!$B$15-(_slice!U72+04_回帰ANOVA!$K$19*04_回帰ANOVA!$K$14*SQRT(1+_slice!U97)),MIN((_slice!U72-04_回帰ANOVA!$K$19*04_回帰ANOVA!$K$14*SQRT(1+_slice!U97))-01_因子設定!$B$14,01_因子設定!$B$15-(_slice!U72+04_回帰ANOVA!$K$19*04_回帰ANOVA!$K$14*SQRT(1+_slice!U97))))),"外")</f>
        <v>0.771835122482671</v>
      </c>
      <c r="V47" s="50" t="n">
        <f aca="false">IF(AND(_slice!$H$5=1,V$39&gt;=_slice!$H$6-0.000000001,V$39&lt;=_slice!$I$6+0.000000001,$B47&gt;=_slice!$H$7-0.000000001,$B47&lt;=_slice!$I$7+0.000000001,IF(01_因子設定!$B$20="Box-Behnken",V$39^2+$B47^2+_slice!$H$8&lt;=2+0.000000001,TRUE())),IF(01_因子設定!$B$13="最大化",(_slice!V72-04_回帰ANOVA!$K$19*04_回帰ANOVA!$K$14*SQRT(1+_slice!V97))-01_因子設定!$B$14,IF(01_因子設定!$B$13="最小化",01_因子設定!$B$15-(_slice!V72+04_回帰ANOVA!$K$19*04_回帰ANOVA!$K$14*SQRT(1+_slice!V97)),MIN((_slice!V72-04_回帰ANOVA!$K$19*04_回帰ANOVA!$K$14*SQRT(1+_slice!V97))-01_因子設定!$B$14,01_因子設定!$B$15-(_slice!V72+04_回帰ANOVA!$K$19*04_回帰ANOVA!$K$14*SQRT(1+_slice!V97))))),"外")</f>
        <v>0.490272093752459</v>
      </c>
      <c r="W47" s="50" t="n">
        <f aca="false">IF(AND(_slice!$H$5=1,W$39&gt;=_slice!$H$6-0.000000001,W$39&lt;=_slice!$I$6+0.000000001,$B47&gt;=_slice!$H$7-0.000000001,$B47&lt;=_slice!$I$7+0.000000001,IF(01_因子設定!$B$20="Box-Behnken",W$39^2+$B47^2+_slice!$H$8&lt;=2+0.000000001,TRUE())),IF(01_因子設定!$B$13="最大化",(_slice!W72-04_回帰ANOVA!$K$19*04_回帰ANOVA!$K$14*SQRT(1+_slice!W97))-01_因子設定!$B$14,IF(01_因子設定!$B$13="最小化",01_因子設定!$B$15-(_slice!W72+04_回帰ANOVA!$K$19*04_回帰ANOVA!$K$14*SQRT(1+_slice!W97)),MIN((_slice!W72-04_回帰ANOVA!$K$19*04_回帰ANOVA!$K$14*SQRT(1+_slice!W97))-01_因子設定!$B$14,01_因子設定!$B$15-(_slice!W72+04_回帰ANOVA!$K$19*04_回帰ANOVA!$K$14*SQRT(1+_slice!W97))))),"外")</f>
        <v>0.136073745705481</v>
      </c>
    </row>
    <row r="48" customFormat="false" ht="15" hidden="false" customHeight="false" outlineLevel="0" collapsed="false">
      <c r="A48" s="49" t="n">
        <f aca="false">INDEX(01_因子設定!$G$5:$G$6,$C$5)+B48*INDEX(01_因子設定!$H$5:$H$6,$C$5)</f>
        <v>33</v>
      </c>
      <c r="B48" s="49" t="n">
        <v>0.3</v>
      </c>
      <c r="C48" s="50" t="n">
        <f aca="false">IF(AND(_slice!$H$5=1,C$39&gt;=_slice!$H$6-0.000000001,C$39&lt;=_slice!$I$6+0.000000001,$B48&gt;=_slice!$H$7-0.000000001,$B48&lt;=_slice!$I$7+0.000000001,IF(01_因子設定!$B$20="Box-Behnken",C$39^2+$B48^2+_slice!$H$8&lt;=2+0.000000001,TRUE())),IF(01_因子設定!$B$13="最大化",(_slice!C73-04_回帰ANOVA!$K$19*04_回帰ANOVA!$K$14*SQRT(1+_slice!C98))-01_因子設定!$B$14,IF(01_因子設定!$B$13="最小化",01_因子設定!$B$15-(_slice!C73+04_回帰ANOVA!$K$19*04_回帰ANOVA!$K$14*SQRT(1+_slice!C98)),MIN((_slice!C73-04_回帰ANOVA!$K$19*04_回帰ANOVA!$K$14*SQRT(1+_slice!C98))-01_因子設定!$B$14,01_因子設定!$B$15-(_slice!C73+04_回帰ANOVA!$K$19*04_回帰ANOVA!$K$14*SQRT(1+_slice!C98))))),"外")</f>
        <v>-4.58079395730952</v>
      </c>
      <c r="D48" s="50" t="n">
        <f aca="false">IF(AND(_slice!$H$5=1,D$39&gt;=_slice!$H$6-0.000000001,D$39&lt;=_slice!$I$6+0.000000001,$B48&gt;=_slice!$H$7-0.000000001,$B48&lt;=_slice!$I$7+0.000000001,IF(01_因子設定!$B$20="Box-Behnken",D$39^2+$B48^2+_slice!$H$8&lt;=2+0.000000001,TRUE())),IF(01_因子設定!$B$13="最大化",(_slice!D73-04_回帰ANOVA!$K$19*04_回帰ANOVA!$K$14*SQRT(1+_slice!D98))-01_因子設定!$B$14,IF(01_因子設定!$B$13="最小化",01_因子設定!$B$15-(_slice!D73+04_回帰ANOVA!$K$19*04_回帰ANOVA!$K$14*SQRT(1+_slice!D98)),MIN((_slice!D73-04_回帰ANOVA!$K$19*04_回帰ANOVA!$K$14*SQRT(1+_slice!D98))-01_因子設定!$B$14,01_因子設定!$B$15-(_slice!D73+04_回帰ANOVA!$K$19*04_回帰ANOVA!$K$14*SQRT(1+_slice!D98))))),"外")</f>
        <v>-3.76627432799998</v>
      </c>
      <c r="E48" s="50" t="n">
        <f aca="false">IF(AND(_slice!$H$5=1,E$39&gt;=_slice!$H$6-0.000000001,E$39&lt;=_slice!$I$6+0.000000001,$B48&gt;=_slice!$H$7-0.000000001,$B48&lt;=_slice!$I$7+0.000000001,IF(01_因子設定!$B$20="Box-Behnken",E$39^2+$B48^2+_slice!$H$8&lt;=2+0.000000001,TRUE())),IF(01_因子設定!$B$13="最大化",(_slice!E73-04_回帰ANOVA!$K$19*04_回帰ANOVA!$K$14*SQRT(1+_slice!E98))-01_因子設定!$B$14,IF(01_因子設定!$B$13="最小化",01_因子設定!$B$15-(_slice!E73+04_回帰ANOVA!$K$19*04_回帰ANOVA!$K$14*SQRT(1+_slice!E98)),MIN((_slice!E73-04_回帰ANOVA!$K$19*04_回帰ANOVA!$K$14*SQRT(1+_slice!E98))-01_因子設定!$B$14,01_因子設定!$B$15-(_slice!E73+04_回帰ANOVA!$K$19*04_回帰ANOVA!$K$14*SQRT(1+_slice!E98))))),"外")</f>
        <v>-3.02440770200069</v>
      </c>
      <c r="F48" s="50" t="n">
        <f aca="false">IF(AND(_slice!$H$5=1,F$39&gt;=_slice!$H$6-0.000000001,F$39&lt;=_slice!$I$6+0.000000001,$B48&gt;=_slice!$H$7-0.000000001,$B48&lt;=_slice!$I$7+0.000000001,IF(01_因子設定!$B$20="Box-Behnken",F$39^2+$B48^2+_slice!$H$8&lt;=2+0.000000001,TRUE())),IF(01_因子設定!$B$13="最大化",(_slice!F73-04_回帰ANOVA!$K$19*04_回帰ANOVA!$K$14*SQRT(1+_slice!F98))-01_因子設定!$B$14,IF(01_因子設定!$B$13="最小化",01_因子設定!$B$15-(_slice!F73+04_回帰ANOVA!$K$19*04_回帰ANOVA!$K$14*SQRT(1+_slice!F98)),MIN((_slice!F73-04_回帰ANOVA!$K$19*04_回帰ANOVA!$K$14*SQRT(1+_slice!F98))-01_因子設定!$B$14,01_因子設定!$B$15-(_slice!F73+04_回帰ANOVA!$K$19*04_回帰ANOVA!$K$14*SQRT(1+_slice!F98))))),"外")</f>
        <v>-2.35240201951952</v>
      </c>
      <c r="G48" s="50" t="n">
        <f aca="false">IF(AND(_slice!$H$5=1,G$39&gt;=_slice!$H$6-0.000000001,G$39&lt;=_slice!$I$6+0.000000001,$B48&gt;=_slice!$H$7-0.000000001,$B48&lt;=_slice!$I$7+0.000000001,IF(01_因子設定!$B$20="Box-Behnken",G$39^2+$B48^2+_slice!$H$8&lt;=2+0.000000001,TRUE())),IF(01_因子設定!$B$13="最大化",(_slice!G73-04_回帰ANOVA!$K$19*04_回帰ANOVA!$K$14*SQRT(1+_slice!G98))-01_因子設定!$B$14,IF(01_因子設定!$B$13="最小化",01_因子設定!$B$15-(_slice!G73+04_回帰ANOVA!$K$19*04_回帰ANOVA!$K$14*SQRT(1+_slice!G98)),MIN((_slice!G73-04_回帰ANOVA!$K$19*04_回帰ANOVA!$K$14*SQRT(1+_slice!G98))-01_因子設定!$B$14,01_因子設定!$B$15-(_slice!G73+04_回帰ANOVA!$K$19*04_回帰ANOVA!$K$14*SQRT(1+_slice!G98))))),"外")</f>
        <v>-1.74723750879512</v>
      </c>
      <c r="H48" s="50" t="n">
        <f aca="false">IF(AND(_slice!$H$5=1,H$39&gt;=_slice!$H$6-0.000000001,H$39&lt;=_slice!$I$6+0.000000001,$B48&gt;=_slice!$H$7-0.000000001,$B48&lt;=_slice!$I$7+0.000000001,IF(01_因子設定!$B$20="Box-Behnken",H$39^2+$B48^2+_slice!$H$8&lt;=2+0.000000001,TRUE())),IF(01_因子設定!$B$13="最大化",(_slice!H73-04_回帰ANOVA!$K$19*04_回帰ANOVA!$K$14*SQRT(1+_slice!H98))-01_因子設定!$B$14,IF(01_因子設定!$B$13="最小化",01_因子設定!$B$15-(_slice!H73+04_回帰ANOVA!$K$19*04_回帰ANOVA!$K$14*SQRT(1+_slice!H98)),MIN((_slice!H73-04_回帰ANOVA!$K$19*04_回帰ANOVA!$K$14*SQRT(1+_slice!H98))-01_因子設定!$B$14,01_因子設定!$B$15-(_slice!H73+04_回帰ANOVA!$K$19*04_回帰ANOVA!$K$14*SQRT(1+_slice!H98))))),"外")</f>
        <v>-1.20591507792763</v>
      </c>
      <c r="I48" s="50" t="n">
        <f aca="false">IF(AND(_slice!$H$5=1,I$39&gt;=_slice!$H$6-0.000000001,I$39&lt;=_slice!$I$6+0.000000001,$B48&gt;=_slice!$H$7-0.000000001,$B48&lt;=_slice!$I$7+0.000000001,IF(01_因子設定!$B$20="Box-Behnken",I$39^2+$B48^2+_slice!$H$8&lt;=2+0.000000001,TRUE())),IF(01_因子設定!$B$13="最大化",(_slice!I73-04_回帰ANOVA!$K$19*04_回帰ANOVA!$K$14*SQRT(1+_slice!I98))-01_因子設定!$B$14,IF(01_因子設定!$B$13="最小化",01_因子設定!$B$15-(_slice!I73+04_回帰ANOVA!$K$19*04_回帰ANOVA!$K$14*SQRT(1+_slice!I98)),MIN((_slice!I73-04_回帰ANOVA!$K$19*04_回帰ANOVA!$K$14*SQRT(1+_slice!I98))-01_因子設定!$B$14,01_因子設定!$B$15-(_slice!I73+04_回帰ANOVA!$K$19*04_回帰ANOVA!$K$14*SQRT(1+_slice!I98))))),"外")</f>
        <v>-0.725672067271511</v>
      </c>
      <c r="J48" s="50" t="n">
        <f aca="false">IF(AND(_slice!$H$5=1,J$39&gt;=_slice!$H$6-0.000000001,J$39&lt;=_slice!$I$6+0.000000001,$B48&gt;=_slice!$H$7-0.000000001,$B48&lt;=_slice!$I$7+0.000000001,IF(01_因子設定!$B$20="Box-Behnken",J$39^2+$B48^2+_slice!$H$8&lt;=2+0.000000001,TRUE())),IF(01_因子設定!$B$13="最大化",(_slice!J73-04_回帰ANOVA!$K$19*04_回帰ANOVA!$K$14*SQRT(1+_slice!J98))-01_因子設定!$B$14,IF(01_因子設定!$B$13="最小化",01_因子設定!$B$15-(_slice!J73+04_回帰ANOVA!$K$19*04_回帰ANOVA!$K$14*SQRT(1+_slice!J98)),MIN((_slice!J73-04_回帰ANOVA!$K$19*04_回帰ANOVA!$K$14*SQRT(1+_slice!J98))-01_因子設定!$B$14,01_因子設定!$B$15-(_slice!J73+04_回帰ANOVA!$K$19*04_回帰ANOVA!$K$14*SQRT(1+_slice!J98))))),"外")</f>
        <v>-0.304137458956184</v>
      </c>
      <c r="K48" s="50" t="n">
        <f aca="false">IF(AND(_slice!$H$5=1,K$39&gt;=_slice!$H$6-0.000000001,K$39&lt;=_slice!$I$6+0.000000001,$B48&gt;=_slice!$H$7-0.000000001,$B48&lt;=_slice!$I$7+0.000000001,IF(01_因子設定!$B$20="Box-Behnken",K$39^2+$B48^2+_slice!$H$8&lt;=2+0.000000001,TRUE())),IF(01_因子設定!$B$13="最大化",(_slice!K73-04_回帰ANOVA!$K$19*04_回帰ANOVA!$K$14*SQRT(1+_slice!K98))-01_因子設定!$B$14,IF(01_因子設定!$B$13="最小化",01_因子設定!$B$15-(_slice!K73+04_回帰ANOVA!$K$19*04_回帰ANOVA!$K$14*SQRT(1+_slice!K98)),MIN((_slice!K73-04_回帰ANOVA!$K$19*04_回帰ANOVA!$K$14*SQRT(1+_slice!K98))-01_因子設定!$B$14,01_因子設定!$B$15-(_slice!K73+04_回帰ANOVA!$K$19*04_回帰ANOVA!$K$14*SQRT(1+_slice!K98))))),"外")</f>
        <v>0.0605756375462718</v>
      </c>
      <c r="L48" s="50" t="n">
        <f aca="false">IF(AND(_slice!$H$5=1,L$39&gt;=_slice!$H$6-0.000000001,L$39&lt;=_slice!$I$6+0.000000001,$B48&gt;=_slice!$H$7-0.000000001,$B48&lt;=_slice!$I$7+0.000000001,IF(01_因子設定!$B$20="Box-Behnken",L$39^2+$B48^2+_slice!$H$8&lt;=2+0.000000001,TRUE())),IF(01_因子設定!$B$13="最大化",(_slice!L73-04_回帰ANOVA!$K$19*04_回帰ANOVA!$K$14*SQRT(1+_slice!L98))-01_因子設定!$B$14,IF(01_因子設定!$B$13="最小化",01_因子設定!$B$15-(_slice!L73+04_回帰ANOVA!$K$19*04_回帰ANOVA!$K$14*SQRT(1+_slice!L98)),MIN((_slice!L73-04_回帰ANOVA!$K$19*04_回帰ANOVA!$K$14*SQRT(1+_slice!L98))-01_因子設定!$B$14,01_因子設定!$B$15-(_slice!L73+04_回帰ANOVA!$K$19*04_回帰ANOVA!$K$14*SQRT(1+_slice!L98))))),"外")</f>
        <v>0.369826055962129</v>
      </c>
      <c r="M48" s="50" t="n">
        <f aca="false">IF(AND(_slice!$H$5=1,M$39&gt;=_slice!$H$6-0.000000001,M$39&lt;=_slice!$I$6+0.000000001,$B48&gt;=_slice!$H$7-0.000000001,$B48&lt;=_slice!$I$7+0.000000001,IF(01_因子設定!$B$20="Box-Behnken",M$39^2+$B48^2+_slice!$H$8&lt;=2+0.000000001,TRUE())),IF(01_因子設定!$B$13="最大化",(_slice!M73-04_回帰ANOVA!$K$19*04_回帰ANOVA!$K$14*SQRT(1+_slice!M98))-01_因子設定!$B$14,IF(01_因子設定!$B$13="最小化",01_因子設定!$B$15-(_slice!M73+04_回帰ANOVA!$K$19*04_回帰ANOVA!$K$14*SQRT(1+_slice!M98)),MIN((_slice!M73-04_回帰ANOVA!$K$19*04_回帰ANOVA!$K$14*SQRT(1+_slice!M98))-01_因子設定!$B$14,01_因子設定!$B$15-(_slice!M73+04_回帰ANOVA!$K$19*04_回帰ANOVA!$K$14*SQRT(1+_slice!M98))))),"外")</f>
        <v>0.624430015485601</v>
      </c>
      <c r="N48" s="50" t="n">
        <f aca="false">IF(AND(_slice!$H$5=1,N$39&gt;=_slice!$H$6-0.000000001,N$39&lt;=_slice!$I$6+0.000000001,$B48&gt;=_slice!$H$7-0.000000001,$B48&lt;=_slice!$I$7+0.000000001,IF(01_因子設定!$B$20="Box-Behnken",N$39^2+$B48^2+_slice!$H$8&lt;=2+0.000000001,TRUE())),IF(01_因子設定!$B$13="最大化",(_slice!N73-04_回帰ANOVA!$K$19*04_回帰ANOVA!$K$14*SQRT(1+_slice!N98))-01_因子設定!$B$14,IF(01_因子設定!$B$13="最小化",01_因子設定!$B$15-(_slice!N73+04_回帰ANOVA!$K$19*04_回帰ANOVA!$K$14*SQRT(1+_slice!N98)),MIN((_slice!N73-04_回帰ANOVA!$K$19*04_回帰ANOVA!$K$14*SQRT(1+_slice!N98))-01_因子設定!$B$14,01_因子設定!$B$15-(_slice!N73+04_回帰ANOVA!$K$19*04_回帰ANOVA!$K$14*SQRT(1+_slice!N98))))),"外")</f>
        <v>0.824659389295455</v>
      </c>
      <c r="O48" s="50" t="n">
        <f aca="false">IF(AND(_slice!$H$5=1,O$39&gt;=_slice!$H$6-0.000000001,O$39&lt;=_slice!$I$6+0.000000001,$B48&gt;=_slice!$H$7-0.000000001,$B48&lt;=_slice!$I$7+0.000000001,IF(01_因子設定!$B$20="Box-Behnken",O$39^2+$B48^2+_slice!$H$8&lt;=2+0.000000001,TRUE())),IF(01_因子設定!$B$13="最大化",(_slice!O73-04_回帰ANOVA!$K$19*04_回帰ANOVA!$K$14*SQRT(1+_slice!O98))-01_因子設定!$B$14,IF(01_因子設定!$B$13="最小化",01_因子設定!$B$15-(_slice!O73+04_回帰ANOVA!$K$19*04_回帰ANOVA!$K$14*SQRT(1+_slice!O98)),MIN((_slice!O73-04_回帰ANOVA!$K$19*04_回帰ANOVA!$K$14*SQRT(1+_slice!O98))-01_因子設定!$B$14,01_因子設定!$B$15-(_slice!O73+04_回帰ANOVA!$K$19*04_回帰ANOVA!$K$14*SQRT(1+_slice!O98))))),"外")</f>
        <v>0.970242304212938</v>
      </c>
      <c r="P48" s="50" t="n">
        <f aca="false">IF(AND(_slice!$H$5=1,P$39&gt;=_slice!$H$6-0.000000001,P$39&lt;=_slice!$I$6+0.000000001,$B48&gt;=_slice!$H$7-0.000000001,$B48&lt;=_slice!$I$7+0.000000001,IF(01_因子設定!$B$20="Box-Behnken",P$39^2+$B48^2+_slice!$H$8&lt;=2+0.000000001,TRUE())),IF(01_因子設定!$B$13="最大化",(_slice!P73-04_回帰ANOVA!$K$19*04_回帰ANOVA!$K$14*SQRT(1+_slice!P98))-01_因子設定!$B$14,IF(01_因子設定!$B$13="最小化",01_因子設定!$B$15-(_slice!P73+04_回帰ANOVA!$K$19*04_回帰ANOVA!$K$14*SQRT(1+_slice!P98)),MIN((_slice!P73-04_回帰ANOVA!$K$19*04_回帰ANOVA!$K$14*SQRT(1+_slice!P98))-01_因子設定!$B$14,01_因子設定!$B$15-(_slice!P73+04_回帰ANOVA!$K$19*04_回帰ANOVA!$K$14*SQRT(1+_slice!P98))))),"外")</f>
        <v>1.06036254104381</v>
      </c>
      <c r="Q48" s="50" t="n">
        <f aca="false">IF(AND(_slice!$H$5=1,Q$39&gt;=_slice!$H$6-0.000000001,Q$39&lt;=_slice!$I$6+0.000000001,$B48&gt;=_slice!$H$7-0.000000001,$B48&lt;=_slice!$I$7+0.000000001,IF(01_因子設定!$B$20="Box-Behnken",Q$39^2+$B48^2+_slice!$H$8&lt;=2+0.000000001,TRUE())),IF(01_因子設定!$B$13="最大化",(_slice!Q73-04_回帰ANOVA!$K$19*04_回帰ANOVA!$K$14*SQRT(1+_slice!Q98))-01_因子設定!$B$14,IF(01_因子設定!$B$13="最小化",01_因子設定!$B$15-(_slice!Q73+04_回帰ANOVA!$K$19*04_回帰ANOVA!$K$14*SQRT(1+_slice!Q98)),MIN((_slice!Q73-04_回帰ANOVA!$K$19*04_回帰ANOVA!$K$14*SQRT(1+_slice!Q98))-01_因子設定!$B$14,01_因子設定!$B$15-(_slice!Q73+04_回帰ANOVA!$K$19*04_回帰ANOVA!$K$14*SQRT(1+_slice!Q98))))),"外")</f>
        <v>1.09366126606182</v>
      </c>
      <c r="R48" s="50" t="n">
        <f aca="false">IF(AND(_slice!$H$5=1,R$39&gt;=_slice!$H$6-0.000000001,R$39&lt;=_slice!$I$6+0.000000001,$B48&gt;=_slice!$H$7-0.000000001,$B48&lt;=_slice!$I$7+0.000000001,IF(01_因子設定!$B$20="Box-Behnken",R$39^2+$B48^2+_slice!$H$8&lt;=2+0.000000001,TRUE())),IF(01_因子設定!$B$13="最大化",(_slice!R73-04_回帰ANOVA!$K$19*04_回帰ANOVA!$K$14*SQRT(1+_slice!R98))-01_因子設定!$B$14,IF(01_因子設定!$B$13="最小化",01_因子設定!$B$15-(_slice!R73+04_回帰ANOVA!$K$19*04_回帰ANOVA!$K$14*SQRT(1+_slice!R98)),MIN((_slice!R73-04_回帰ANOVA!$K$19*04_回帰ANOVA!$K$14*SQRT(1+_slice!R98))-01_因子設定!$B$14,01_因子設定!$B$15-(_slice!R73+04_回帰ANOVA!$K$19*04_回帰ANOVA!$K$14*SQRT(1+_slice!R98))))),"外")</f>
        <v>1.06825158873905</v>
      </c>
      <c r="S48" s="50" t="n">
        <f aca="false">IF(AND(_slice!$H$5=1,S$39&gt;=_slice!$H$6-0.000000001,S$39&lt;=_slice!$I$6+0.000000001,$B48&gt;=_slice!$H$7-0.000000001,$B48&lt;=_slice!$I$7+0.000000001,IF(01_因子設定!$B$20="Box-Behnken",S$39^2+$B48^2+_slice!$H$8&lt;=2+0.000000001,TRUE())),IF(01_因子設定!$B$13="最大化",(_slice!S73-04_回帰ANOVA!$K$19*04_回帰ANOVA!$K$14*SQRT(1+_slice!S98))-01_因子設定!$B$14,IF(01_因子設定!$B$13="最小化",01_因子設定!$B$15-(_slice!S73+04_回帰ANOVA!$K$19*04_回帰ANOVA!$K$14*SQRT(1+_slice!S98)),MIN((_slice!S73-04_回帰ANOVA!$K$19*04_回帰ANOVA!$K$14*SQRT(1+_slice!S98))-01_因子設定!$B$14,01_因子設定!$B$15-(_slice!S73+04_回帰ANOVA!$K$19*04_回帰ANOVA!$K$14*SQRT(1+_slice!S98))))),"外")</f>
        <v>0.981762491204883</v>
      </c>
      <c r="T48" s="50" t="n">
        <f aca="false">IF(AND(_slice!$H$5=1,T$39&gt;=_slice!$H$6-0.000000001,T$39&lt;=_slice!$I$6+0.000000001,$B48&gt;=_slice!$H$7-0.000000001,$B48&lt;=_slice!$I$7+0.000000001,IF(01_因子設定!$B$20="Box-Behnken",T$39^2+$B48^2+_slice!$H$8&lt;=2+0.000000001,TRUE())),IF(01_因子設定!$B$13="最大化",(_slice!T73-04_回帰ANOVA!$K$19*04_回帰ANOVA!$K$14*SQRT(1+_slice!T98))-01_因子設定!$B$14,IF(01_因子設定!$B$13="最小化",01_因子設定!$B$15-(_slice!T73+04_回帰ANOVA!$K$19*04_回帰ANOVA!$K$14*SQRT(1+_slice!T98)),MIN((_slice!T73-04_回帰ANOVA!$K$19*04_回帰ANOVA!$K$14*SQRT(1+_slice!T98))-01_因子設定!$B$14,01_因子設定!$B$15-(_slice!T73+04_回帰ANOVA!$K$19*04_回帰ANOVA!$K$14*SQRT(1+_slice!T98))))),"外")</f>
        <v>0.831431313813816</v>
      </c>
      <c r="U48" s="50" t="n">
        <f aca="false">IF(AND(_slice!$H$5=1,U$39&gt;=_slice!$H$6-0.000000001,U$39&lt;=_slice!$I$6+0.000000001,$B48&gt;=_slice!$H$7-0.000000001,$B48&lt;=_slice!$I$7+0.000000001,IF(01_因子設定!$B$20="Box-Behnken",U$39^2+$B48^2+_slice!$H$8&lt;=2+0.000000001,TRUE())),IF(01_因子設定!$B$13="最大化",(_slice!U73-04_回帰ANOVA!$K$19*04_回帰ANOVA!$K$14*SQRT(1+_slice!U98))-01_因子設定!$B$14,IF(01_因子設定!$B$13="最小化",01_因子設定!$B$15-(_slice!U73+04_回帰ANOVA!$K$19*04_回帰ANOVA!$K$14*SQRT(1+_slice!U98)),MIN((_slice!U73-04_回帰ANOVA!$K$19*04_回帰ANOVA!$K$14*SQRT(1+_slice!U98))-01_因子設定!$B$14,01_因子設定!$B$15-(_slice!U73+04_回帰ANOVA!$K$19*04_回帰ANOVA!$K$14*SQRT(1+_slice!U98))))),"外")</f>
        <v>0.614258964665979</v>
      </c>
      <c r="V48" s="50" t="n">
        <f aca="false">IF(AND(_slice!$H$5=1,V$39&gt;=_slice!$H$6-0.000000001,V$39&lt;=_slice!$I$6+0.000000001,$B48&gt;=_slice!$H$7-0.000000001,$B48&lt;=_slice!$I$7+0.000000001,IF(01_因子設定!$B$20="Box-Behnken",V$39^2+$B48^2+_slice!$H$8&lt;=2+0.000000001,TRUE())),IF(01_因子設定!$B$13="最大化",(_slice!V73-04_回帰ANOVA!$K$19*04_回帰ANOVA!$K$14*SQRT(1+_slice!V98))-01_因子設定!$B$14,IF(01_因子設定!$B$13="最小化",01_因子設定!$B$15-(_slice!V73+04_回帰ANOVA!$K$19*04_回帰ANOVA!$K$14*SQRT(1+_slice!V98)),MIN((_slice!V73-04_回帰ANOVA!$K$19*04_回帰ANOVA!$K$14*SQRT(1+_slice!V98))-01_因子設定!$B$14,01_因子設定!$B$15-(_slice!V73+04_回帰ANOVA!$K$19*04_回帰ANOVA!$K$14*SQRT(1+_slice!V98))))),"外")</f>
        <v>0.327225672000026</v>
      </c>
      <c r="W48" s="50" t="n">
        <f aca="false">IF(AND(_slice!$H$5=1,W$39&gt;=_slice!$H$6-0.000000001,W$39&lt;=_slice!$I$6+0.000000001,$B48&gt;=_slice!$H$7-0.000000001,$B48&lt;=_slice!$I$7+0.000000001,IF(01_因子設定!$B$20="Box-Behnken",W$39^2+$B48^2+_slice!$H$8&lt;=2+0.000000001,TRUE())),IF(01_因子設定!$B$13="最大化",(_slice!W73-04_回帰ANOVA!$K$19*04_回帰ANOVA!$K$14*SQRT(1+_slice!W98))-01_因子設定!$B$14,IF(01_因子設定!$B$13="最小化",01_因子設定!$B$15-(_slice!W73+04_回帰ANOVA!$K$19*04_回帰ANOVA!$K$14*SQRT(1+_slice!W98)),MIN((_slice!W73-04_回帰ANOVA!$K$19*04_回帰ANOVA!$K$14*SQRT(1+_slice!W98))-01_因子設定!$B$14,01_因子設定!$B$15-(_slice!W73+04_回帰ANOVA!$K$19*04_回帰ANOVA!$K$14*SQRT(1+_slice!W98))))),"外")</f>
        <v>-0.032460623976192</v>
      </c>
    </row>
    <row r="49" customFormat="false" ht="15" hidden="false" customHeight="false" outlineLevel="0" collapsed="false">
      <c r="A49" s="49" t="n">
        <f aca="false">INDEX(01_因子設定!$G$5:$G$6,$C$5)+B49*INDEX(01_因子設定!$H$5:$H$6,$C$5)</f>
        <v>32</v>
      </c>
      <c r="B49" s="49" t="n">
        <v>0.2</v>
      </c>
      <c r="C49" s="50" t="n">
        <f aca="false">IF(AND(_slice!$H$5=1,C$39&gt;=_slice!$H$6-0.000000001,C$39&lt;=_slice!$I$6+0.000000001,$B49&gt;=_slice!$H$7-0.000000001,$B49&lt;=_slice!$I$7+0.000000001,IF(01_因子設定!$B$20="Box-Behnken",C$39^2+$B49^2+_slice!$H$8&lt;=2+0.000000001,TRUE())),IF(01_因子設定!$B$13="最大化",(_slice!C74-04_回帰ANOVA!$K$19*04_回帰ANOVA!$K$14*SQRT(1+_slice!C99))-01_因子設定!$B$14,IF(01_因子設定!$B$13="最小化",01_因子設定!$B$15-(_slice!C74+04_回帰ANOVA!$K$19*04_回帰ANOVA!$K$14*SQRT(1+_slice!C99)),MIN((_slice!C74-04_回帰ANOVA!$K$19*04_回帰ANOVA!$K$14*SQRT(1+_slice!C99))-01_因子設定!$B$14,01_因子設定!$B$15-(_slice!C74+04_回帰ANOVA!$K$19*04_回帰ANOVA!$K$14*SQRT(1+_slice!C99))))),"外")</f>
        <v>-4.67666644311171</v>
      </c>
      <c r="D49" s="50" t="n">
        <f aca="false">IF(AND(_slice!$H$5=1,D$39&gt;=_slice!$H$6-0.000000001,D$39&lt;=_slice!$I$6+0.000000001,$B49&gt;=_slice!$H$7-0.000000001,$B49&lt;=_slice!$I$7+0.000000001,IF(01_因子設定!$B$20="Box-Behnken",D$39^2+$B49^2+_slice!$H$8&lt;=2+0.000000001,TRUE())),IF(01_因子設定!$B$13="最大化",(_slice!D74-04_回帰ANOVA!$K$19*04_回帰ANOVA!$K$14*SQRT(1+_slice!D99))-01_因子設定!$B$14,IF(01_因子設定!$B$13="最小化",01_因子設定!$B$15-(_slice!D74+04_回帰ANOVA!$K$19*04_回帰ANOVA!$K$14*SQRT(1+_slice!D99)),MIN((_slice!D74-04_回帰ANOVA!$K$19*04_回帰ANOVA!$K$14*SQRT(1+_slice!D99))-01_因子設定!$B$14,01_因子設定!$B$15-(_slice!D74+04_回帰ANOVA!$K$19*04_回帰ANOVA!$K$14*SQRT(1+_slice!D99))))),"外")</f>
        <v>-3.86727676306131</v>
      </c>
      <c r="E49" s="50" t="n">
        <f aca="false">IF(AND(_slice!$H$5=1,E$39&gt;=_slice!$H$6-0.000000001,E$39&lt;=_slice!$I$6+0.000000001,$B49&gt;=_slice!$H$7-0.000000001,$B49&lt;=_slice!$I$7+0.000000001,IF(01_因子設定!$B$20="Box-Behnken",E$39^2+$B49^2+_slice!$H$8&lt;=2+0.000000001,TRUE())),IF(01_因子設定!$B$13="最大化",(_slice!E74-04_回帰ANOVA!$K$19*04_回帰ANOVA!$K$14*SQRT(1+_slice!E99))-01_因子設定!$B$14,IF(01_因子設定!$B$13="最小化",01_因子設定!$B$15-(_slice!E74+04_回帰ANOVA!$K$19*04_回帰ANOVA!$K$14*SQRT(1+_slice!E99)),MIN((_slice!E74-04_回帰ANOVA!$K$19*04_回帰ANOVA!$K$14*SQRT(1+_slice!E99))-01_因子設定!$B$14,01_因子設定!$B$15-(_slice!E74+04_回帰ANOVA!$K$19*04_回帰ANOVA!$K$14*SQRT(1+_slice!E99))))),"外")</f>
        <v>-3.1305418964798</v>
      </c>
      <c r="F49" s="50" t="n">
        <f aca="false">IF(AND(_slice!$H$5=1,F$39&gt;=_slice!$H$6-0.000000001,F$39&lt;=_slice!$I$6+0.000000001,$B49&gt;=_slice!$H$7-0.000000001,$B49&lt;=_slice!$I$7+0.000000001,IF(01_因子設定!$B$20="Box-Behnken",F$39^2+$B49^2+_slice!$H$8&lt;=2+0.000000001,TRUE())),IF(01_因子設定!$B$13="最大化",(_slice!F74-04_回帰ANOVA!$K$19*04_回帰ANOVA!$K$14*SQRT(1+_slice!F99))-01_因子設定!$B$14,IF(01_因子設定!$B$13="最小化",01_因子設定!$B$15-(_slice!F74+04_回帰ANOVA!$K$19*04_回帰ANOVA!$K$14*SQRT(1+_slice!F99)),MIN((_slice!F74-04_回帰ANOVA!$K$19*04_回帰ANOVA!$K$14*SQRT(1+_slice!F99))-01_因子設定!$B$14,01_因子設定!$B$15-(_slice!F74+04_回帰ANOVA!$K$19*04_回帰ANOVA!$K$14*SQRT(1+_slice!F99))))),"外")</f>
        <v>-2.46367446290595</v>
      </c>
      <c r="G49" s="50" t="n">
        <f aca="false">IF(AND(_slice!$H$5=1,G$39&gt;=_slice!$H$6-0.000000001,G$39&lt;=_slice!$I$6+0.000000001,$B49&gt;=_slice!$H$7-0.000000001,$B49&lt;=_slice!$I$7+0.000000001,IF(01_因子設定!$B$20="Box-Behnken",G$39^2+$B49^2+_slice!$H$8&lt;=2+0.000000001,TRUE())),IF(01_因子設定!$B$13="最大化",(_slice!G74-04_回帰ANOVA!$K$19*04_回帰ANOVA!$K$14*SQRT(1+_slice!G99))-01_因子設定!$B$14,IF(01_因子設定!$B$13="最小化",01_因子設定!$B$15-(_slice!G74+04_回帰ANOVA!$K$19*04_回帰ANOVA!$K$14*SQRT(1+_slice!G99)),MIN((_slice!G74-04_回帰ANOVA!$K$19*04_回帰ANOVA!$K$14*SQRT(1+_slice!G99))-01_因子設定!$B$14,01_因子設定!$B$15-(_slice!G74+04_回帰ANOVA!$K$19*04_回帰ANOVA!$K$14*SQRT(1+_slice!G99))))),"外")</f>
        <v>-1.86365865533231</v>
      </c>
      <c r="H49" s="50" t="n">
        <f aca="false">IF(AND(_slice!$H$5=1,H$39&gt;=_slice!$H$6-0.000000001,H$39&lt;=_slice!$I$6+0.000000001,$B49&gt;=_slice!$H$7-0.000000001,$B49&lt;=_slice!$I$7+0.000000001,IF(01_因子設定!$B$20="Box-Behnken",H$39^2+$B49^2+_slice!$H$8&lt;=2+0.000000001,TRUE())),IF(01_因子設定!$B$13="最大化",(_slice!H74-04_回帰ANOVA!$K$19*04_回帰ANOVA!$K$14*SQRT(1+_slice!H99))-01_因子設定!$B$14,IF(01_因子設定!$B$13="最小化",01_因子設定!$B$15-(_slice!H74+04_回帰ANOVA!$K$19*04_回帰ANOVA!$K$14*SQRT(1+_slice!H99)),MIN((_slice!H74-04_回帰ANOVA!$K$19*04_回帰ANOVA!$K$14*SQRT(1+_slice!H99))-01_因子設定!$B$14,01_因子設定!$B$15-(_slice!H74+04_回帰ANOVA!$K$19*04_回帰ANOVA!$K$14*SQRT(1+_slice!H99))))),"外")</f>
        <v>-1.32749827339904</v>
      </c>
      <c r="I49" s="50" t="n">
        <f aca="false">IF(AND(_slice!$H$5=1,I$39&gt;=_slice!$H$6-0.000000001,I$39&lt;=_slice!$I$6+0.000000001,$B49&gt;=_slice!$H$7-0.000000001,$B49&lt;=_slice!$I$7+0.000000001,IF(01_因子設定!$B$20="Box-Behnken",I$39^2+$B49^2+_slice!$H$8&lt;=2+0.000000001,TRUE())),IF(01_因子設定!$B$13="最大化",(_slice!I74-04_回帰ANOVA!$K$19*04_回帰ANOVA!$K$14*SQRT(1+_slice!I99))-01_因子設定!$B$14,IF(01_因子設定!$B$13="最小化",01_因子設定!$B$15-(_slice!I74+04_回帰ANOVA!$K$19*04_回帰ANOVA!$K$14*SQRT(1+_slice!I99)),MIN((_slice!I74-04_回帰ANOVA!$K$19*04_回帰ANOVA!$K$14*SQRT(1+_slice!I99))-01_因子設定!$B$14,01_因子設定!$B$15-(_slice!I74+04_回帰ANOVA!$K$19*04_回帰ANOVA!$K$14*SQRT(1+_slice!I99))))),"外")</f>
        <v>-0.852432442982249</v>
      </c>
      <c r="J49" s="50" t="n">
        <f aca="false">IF(AND(_slice!$H$5=1,J$39&gt;=_slice!$H$6-0.000000001,J$39&lt;=_slice!$I$6+0.000000001,$B49&gt;=_slice!$H$7-0.000000001,$B49&lt;=_slice!$I$7+0.000000001,IF(01_因子設定!$B$20="Box-Behnken",J$39^2+$B49^2+_slice!$H$8&lt;=2+0.000000001,TRUE())),IF(01_因子設定!$B$13="最大化",(_slice!J74-04_回帰ANOVA!$K$19*04_回帰ANOVA!$K$14*SQRT(1+_slice!J99))-01_因子設定!$B$14,IF(01_因子設定!$B$13="最小化",01_因子設定!$B$15-(_slice!J74+04_回帰ANOVA!$K$19*04_回帰ANOVA!$K$14*SQRT(1+_slice!J99)),MIN((_slice!J74-04_回帰ANOVA!$K$19*04_回帰ANOVA!$K$14*SQRT(1+_slice!J99))-01_因子設定!$B$14,01_因子設定!$B$15-(_slice!J74+04_回帰ANOVA!$K$19*04_回帰ANOVA!$K$14*SQRT(1+_slice!J99))))),"外")</f>
        <v>-0.436091029120398</v>
      </c>
      <c r="K49" s="50" t="n">
        <f aca="false">IF(AND(_slice!$H$5=1,K$39&gt;=_slice!$H$6-0.000000001,K$39&lt;=_slice!$I$6+0.000000001,$B49&gt;=_slice!$H$7-0.000000001,$B49&lt;=_slice!$I$7+0.000000001,IF(01_因子設定!$B$20="Box-Behnken",K$39^2+$B49^2+_slice!$H$8&lt;=2+0.000000001,TRUE())),IF(01_因子設定!$B$13="最大化",(_slice!K74-04_回帰ANOVA!$K$19*04_回帰ANOVA!$K$14*SQRT(1+_slice!K99))-01_因子設定!$B$14,IF(01_因子設定!$B$13="最小化",01_因子設定!$B$15-(_slice!K74+04_回帰ANOVA!$K$19*04_回帰ANOVA!$K$14*SQRT(1+_slice!K99)),MIN((_slice!K74-04_回帰ANOVA!$K$19*04_回帰ANOVA!$K$14*SQRT(1+_slice!K99))-01_因子設定!$B$14,01_因子設定!$B$15-(_slice!K74+04_回帰ANOVA!$K$19*04_回帰ANOVA!$K$14*SQRT(1+_slice!K99))))),"外")</f>
        <v>-0.0765874247996337</v>
      </c>
      <c r="L49" s="50" t="n">
        <f aca="false">IF(AND(_slice!$H$5=1,L$39&gt;=_slice!$H$6-0.000000001,L$39&lt;=_slice!$I$6+0.000000001,$B49&gt;=_slice!$H$7-0.000000001,$B49&lt;=_slice!$I$7+0.000000001,IF(01_因子設定!$B$20="Box-Behnken",L$39^2+$B49^2+_slice!$H$8&lt;=2+0.000000001,TRUE())),IF(01_因子設定!$B$13="最大化",(_slice!L74-04_回帰ANOVA!$K$19*04_回帰ANOVA!$K$14*SQRT(1+_slice!L99))-01_因子設定!$B$14,IF(01_因子設定!$B$13="最小化",01_因子設定!$B$15-(_slice!L74+04_回帰ANOVA!$K$19*04_回帰ANOVA!$K$14*SQRT(1+_slice!L99)),MIN((_slice!L74-04_回帰ANOVA!$K$19*04_回帰ANOVA!$K$14*SQRT(1+_slice!L99))-01_因子設定!$B$14,01_因子設定!$B$15-(_slice!L74+04_回帰ANOVA!$K$19*04_回帰ANOVA!$K$14*SQRT(1+_slice!L99))))),"外")</f>
        <v>0.227437226128949</v>
      </c>
      <c r="M49" s="50" t="n">
        <f aca="false">IF(AND(_slice!$H$5=1,M$39&gt;=_slice!$H$6-0.000000001,M$39&lt;=_slice!$I$6+0.000000001,$B49&gt;=_slice!$H$7-0.000000001,$B49&lt;=_slice!$I$7+0.000000001,IF(01_因子設定!$B$20="Box-Behnken",M$39^2+$B49^2+_slice!$H$8&lt;=2+0.000000001,TRUE())),IF(01_因子設定!$B$13="最大化",(_slice!M74-04_回帰ANOVA!$K$19*04_回帰ANOVA!$K$14*SQRT(1+_slice!M99))-01_因子設定!$B$14,IF(01_因子設定!$B$13="最小化",01_因子設定!$B$15-(_slice!M74+04_回帰ANOVA!$K$19*04_回帰ANOVA!$K$14*SQRT(1+_slice!M99)),MIN((_slice!M74-04_回帰ANOVA!$K$19*04_回帰ANOVA!$K$14*SQRT(1+_slice!M99))-01_因子設定!$B$14,01_因子設定!$B$15-(_slice!M74+04_回帰ANOVA!$K$19*04_回帰ANOVA!$K$14*SQRT(1+_slice!M99))))),"外")</f>
        <v>0.476799246644767</v>
      </c>
      <c r="N49" s="50" t="n">
        <f aca="false">IF(AND(_slice!$H$5=1,N$39&gt;=_slice!$H$6-0.000000001,N$39&lt;=_slice!$I$6+0.000000001,$B49&gt;=_slice!$H$7-0.000000001,$B49&lt;=_slice!$I$7+0.000000001,IF(01_因子設定!$B$20="Box-Behnken",N$39^2+$B49^2+_slice!$H$8&lt;=2+0.000000001,TRUE())),IF(01_因子設定!$B$13="最大化",(_slice!N74-04_回帰ANOVA!$K$19*04_回帰ANOVA!$K$14*SQRT(1+_slice!N99))-01_因子設定!$B$14,IF(01_因子設定!$B$13="最小化",01_因子設定!$B$15-(_slice!N74+04_回帰ANOVA!$K$19*04_回帰ANOVA!$K$14*SQRT(1+_slice!N99)),MIN((_slice!N74-04_回帰ANOVA!$K$19*04_回帰ANOVA!$K$14*SQRT(1+_slice!N99))-01_因子設定!$B$14,01_因子設定!$B$15-(_slice!N74+04_回帰ANOVA!$K$19*04_回帰ANOVA!$K$14*SQRT(1+_slice!N99))))),"外")</f>
        <v>0.671770559462281</v>
      </c>
      <c r="O49" s="50" t="n">
        <f aca="false">IF(AND(_slice!$H$5=1,O$39&gt;=_slice!$H$6-0.000000001,O$39&lt;=_slice!$I$6+0.000000001,$B49&gt;=_slice!$H$7-0.000000001,$B49&lt;=_slice!$I$7+0.000000001,IF(01_因子設定!$B$20="Box-Behnken",O$39^2+$B49^2+_slice!$H$8&lt;=2+0.000000001,TRUE())),IF(01_因子設定!$B$13="最大化",(_slice!O74-04_回帰ANOVA!$K$19*04_回帰ANOVA!$K$14*SQRT(1+_slice!O99))-01_因子設定!$B$14,IF(01_因子設定!$B$13="最小化",01_因子設定!$B$15-(_slice!O74+04_回帰ANOVA!$K$19*04_回帰ANOVA!$K$14*SQRT(1+_slice!O99)),MIN((_slice!O74-04_回帰ANOVA!$K$19*04_回帰ANOVA!$K$14*SQRT(1+_slice!O99))-01_因子設定!$B$14,01_因子設定!$B$15-(_slice!O74+04_回帰ANOVA!$K$19*04_回帰ANOVA!$K$14*SQRT(1+_slice!O99))))),"外")</f>
        <v>0.812079241867032</v>
      </c>
      <c r="P49" s="50" t="n">
        <f aca="false">IF(AND(_slice!$H$5=1,P$39&gt;=_slice!$H$6-0.000000001,P$39&lt;=_slice!$I$6+0.000000001,$B49&gt;=_slice!$H$7-0.000000001,$B49&lt;=_slice!$I$7+0.000000001,IF(01_因子設定!$B$20="Box-Behnken",P$39^2+$B49^2+_slice!$H$8&lt;=2+0.000000001,TRUE())),IF(01_因子設定!$B$13="最大化",(_slice!P74-04_回帰ANOVA!$K$19*04_回帰ANOVA!$K$14*SQRT(1+_slice!P99))-01_因子設定!$B$14,IF(01_因子設定!$B$13="最小化",01_因子設定!$B$15-(_slice!P74+04_回帰ANOVA!$K$19*04_回帰ANOVA!$K$14*SQRT(1+_slice!P99)),MIN((_slice!P74-04_回帰ANOVA!$K$19*04_回帰ANOVA!$K$14*SQRT(1+_slice!P99))-01_因子設定!$B$14,01_因子設定!$B$15-(_slice!P74+04_回帰ANOVA!$K$19*04_回帰ANOVA!$K$14*SQRT(1+_slice!P99))))),"外")</f>
        <v>0.896908970879601</v>
      </c>
      <c r="Q49" s="50" t="n">
        <f aca="false">IF(AND(_slice!$H$5=1,Q$39&gt;=_slice!$H$6-0.000000001,Q$39&lt;=_slice!$I$6+0.000000001,$B49&gt;=_slice!$H$7-0.000000001,$B49&lt;=_slice!$I$7+0.000000001,IF(01_因子設定!$B$20="Box-Behnken",Q$39^2+$B49^2+_slice!$H$8&lt;=2+0.000000001,TRUE())),IF(01_因子設定!$B$13="最大化",(_slice!Q74-04_回帰ANOVA!$K$19*04_回帰ANOVA!$K$14*SQRT(1+_slice!Q99))-01_因子設定!$B$14,IF(01_因子設定!$B$13="最小化",01_因子設定!$B$15-(_slice!Q74+04_回帰ANOVA!$K$19*04_回帰ANOVA!$K$14*SQRT(1+_slice!Q99)),MIN((_slice!Q74-04_回帰ANOVA!$K$19*04_回帰ANOVA!$K$14*SQRT(1+_slice!Q99))-01_因子設定!$B$14,01_因子設定!$B$15-(_slice!Q74+04_回帰ANOVA!$K$19*04_回帰ANOVA!$K$14*SQRT(1+_slice!Q99))))),"外")</f>
        <v>0.924900890351083</v>
      </c>
      <c r="R49" s="50" t="n">
        <f aca="false">IF(AND(_slice!$H$5=1,R$39&gt;=_slice!$H$6-0.000000001,R$39&lt;=_slice!$I$6+0.000000001,$B49&gt;=_slice!$H$7-0.000000001,$B49&lt;=_slice!$I$7+0.000000001,IF(01_因子設定!$B$20="Box-Behnken",R$39^2+$B49^2+_slice!$H$8&lt;=2+0.000000001,TRUE())),IF(01_因子設定!$B$13="最大化",(_slice!R74-04_回帰ANOVA!$K$19*04_回帰ANOVA!$K$14*SQRT(1+_slice!R99))-01_因子設定!$B$14,IF(01_因子設定!$B$13="最小化",01_因子設定!$B$15-(_slice!R74+04_回帰ANOVA!$K$19*04_回帰ANOVA!$K$14*SQRT(1+_slice!R99)),MIN((_slice!R74-04_回帰ANOVA!$K$19*04_回帰ANOVA!$K$14*SQRT(1+_slice!R99))-01_因子設定!$B$14,01_因子設定!$B$15-(_slice!R74+04_回帰ANOVA!$K$19*04_回帰ANOVA!$K$14*SQRT(1+_slice!R99))))),"外")</f>
        <v>0.894168393267634</v>
      </c>
      <c r="S49" s="50" t="n">
        <f aca="false">IF(AND(_slice!$H$5=1,S$39&gt;=_slice!$H$6-0.000000001,S$39&lt;=_slice!$I$6+0.000000001,$B49&gt;=_slice!$H$7-0.000000001,$B49&lt;=_slice!$I$7+0.000000001,IF(01_因子設定!$B$20="Box-Behnken",S$39^2+$B49^2+_slice!$H$8&lt;=2+0.000000001,TRUE())),IF(01_因子設定!$B$13="最大化",(_slice!S74-04_回帰ANOVA!$K$19*04_回帰ANOVA!$K$14*SQRT(1+_slice!S99))-01_因子設定!$B$14,IF(01_因子設定!$B$13="最小化",01_因子設定!$B$15-(_slice!S74+04_回帰ANOVA!$K$19*04_回帰ANOVA!$K$14*SQRT(1+_slice!S99)),MIN((_slice!S74-04_回帰ANOVA!$K$19*04_回帰ANOVA!$K$14*SQRT(1+_slice!S99))-01_因子設定!$B$14,01_因子設定!$B$15-(_slice!S74+04_回帰ANOVA!$K$19*04_回帰ANOVA!$K$14*SQRT(1+_slice!S99))))),"外")</f>
        <v>0.802341344667703</v>
      </c>
      <c r="T49" s="50" t="n">
        <f aca="false">IF(AND(_slice!$H$5=1,T$39&gt;=_slice!$H$6-0.000000001,T$39&lt;=_slice!$I$6+0.000000001,$B49&gt;=_slice!$H$7-0.000000001,$B49&lt;=_slice!$I$7+0.000000001,IF(01_因子設定!$B$20="Box-Behnken",T$39^2+$B49^2+_slice!$H$8&lt;=2+0.000000001,TRUE())),IF(01_因子設定!$B$13="最大化",(_slice!T74-04_回帰ANOVA!$K$19*04_回帰ANOVA!$K$14*SQRT(1+_slice!T99))-01_因子設定!$B$14,IF(01_因子設定!$B$13="最小化",01_因子設定!$B$15-(_slice!T74+04_回帰ANOVA!$K$19*04_回帰ANOVA!$K$14*SQRT(1+_slice!T99)),MIN((_slice!T74-04_回帰ANOVA!$K$19*04_回帰ANOVA!$K$14*SQRT(1+_slice!T99))-01_因子設定!$B$14,01_因子設定!$B$15-(_slice!T74+04_回帰ANOVA!$K$19*04_回帰ANOVA!$K$14*SQRT(1+_slice!T99))))),"外")</f>
        <v>0.646658870427395</v>
      </c>
      <c r="U49" s="50" t="n">
        <f aca="false">IF(AND(_slice!$H$5=1,U$39&gt;=_slice!$H$6-0.000000001,U$39&lt;=_slice!$I$6+0.000000001,$B49&gt;=_slice!$H$7-0.000000001,$B49&lt;=_slice!$I$7+0.000000001,IF(01_因子設定!$B$20="Box-Behnken",U$39^2+$B49^2+_slice!$H$8&lt;=2+0.000000001,TRUE())),IF(01_因子設定!$B$13="最大化",(_slice!U74-04_回帰ANOVA!$K$19*04_回帰ANOVA!$K$14*SQRT(1+_slice!U99))-01_因子設定!$B$14,IF(01_因子設定!$B$13="最小化",01_因子設定!$B$15-(_slice!U74+04_回帰ANOVA!$K$19*04_回帰ANOVA!$K$14*SQRT(1+_slice!U99)),MIN((_slice!U74-04_回帰ANOVA!$K$19*04_回帰ANOVA!$K$14*SQRT(1+_slice!U99))-01_因子設定!$B$14,01_因子設定!$B$15-(_slice!U74+04_回帰ANOVA!$K$19*04_回帰ANOVA!$K$14*SQRT(1+_slice!U99))))),"外")</f>
        <v>0.424124770186879</v>
      </c>
      <c r="V49" s="50" t="n">
        <f aca="false">IF(AND(_slice!$H$5=1,V$39&gt;=_slice!$H$6-0.000000001,V$39&lt;=_slice!$I$6+0.000000001,$B49&gt;=_slice!$H$7-0.000000001,$B49&lt;=_slice!$I$7+0.000000001,IF(01_因子設定!$B$20="Box-Behnken",V$39^2+$B49^2+_slice!$H$8&lt;=2+0.000000001,TRUE())),IF(01_因子設定!$B$13="最大化",(_slice!V74-04_回帰ANOVA!$K$19*04_回帰ANOVA!$K$14*SQRT(1+_slice!V99))-01_因子設定!$B$14,IF(01_因子設定!$B$13="最小化",01_因子設定!$B$15-(_slice!V74+04_回帰ANOVA!$K$19*04_回帰ANOVA!$K$14*SQRT(1+_slice!V99)),MIN((_slice!V74-04_回帰ANOVA!$K$19*04_回帰ANOVA!$K$14*SQRT(1+_slice!V99))-01_因子設定!$B$14,01_因子設定!$B$15-(_slice!V74+04_回帰ANOVA!$K$19*04_回帰ANOVA!$K$14*SQRT(1+_slice!V99))))),"外")</f>
        <v>0.13172323693869</v>
      </c>
      <c r="W49" s="50" t="n">
        <f aca="false">IF(AND(_slice!$H$5=1,W$39&gt;=_slice!$H$6-0.000000001,W$39&lt;=_slice!$I$6+0.000000001,$B49&gt;=_slice!$H$7-0.000000001,$B49&lt;=_slice!$I$7+0.000000001,IF(01_因子設定!$B$20="Box-Behnken",W$39^2+$B49^2+_slice!$H$8&lt;=2+0.000000001,TRUE())),IF(01_因子設定!$B$13="最大化",(_slice!W74-04_回帰ANOVA!$K$19*04_回帰ANOVA!$K$14*SQRT(1+_slice!W99))-01_因子設定!$B$14,IF(01_因子設定!$B$13="最小化",01_因子設定!$B$15-(_slice!W74+04_回帰ANOVA!$K$19*04_回帰ANOVA!$K$14*SQRT(1+_slice!W99)),MIN((_slice!W74-04_回帰ANOVA!$K$19*04_回帰ANOVA!$K$14*SQRT(1+_slice!W99))-01_因子設定!$B$14,01_因子設定!$B$15-(_slice!W74+04_回帰ANOVA!$K$19*04_回帰ANOVA!$K$14*SQRT(1+_slice!W99))))),"外")</f>
        <v>-0.233333109778378</v>
      </c>
    </row>
    <row r="50" customFormat="false" ht="15" hidden="false" customHeight="false" outlineLevel="0" collapsed="false">
      <c r="A50" s="49" t="n">
        <f aca="false">INDEX(01_因子設定!$G$5:$G$6,$C$5)+B50*INDEX(01_因子設定!$H$5:$H$6,$C$5)</f>
        <v>31</v>
      </c>
      <c r="B50" s="49" t="n">
        <v>0.1</v>
      </c>
      <c r="C50" s="50" t="n">
        <f aca="false">IF(AND(_slice!$H$5=1,C$39&gt;=_slice!$H$6-0.000000001,C$39&lt;=_slice!$I$6+0.000000001,$B50&gt;=_slice!$H$7-0.000000001,$B50&lt;=_slice!$I$7+0.000000001,IF(01_因子設定!$B$20="Box-Behnken",C$39^2+$B50^2+_slice!$H$8&lt;=2+0.000000001,TRUE())),IF(01_因子設定!$B$13="最大化",(_slice!C75-04_回帰ANOVA!$K$19*04_回帰ANOVA!$K$14*SQRT(1+_slice!C100))-01_因子設定!$B$14,IF(01_因子設定!$B$13="最小化",01_因子設定!$B$15-(_slice!C75+04_回帰ANOVA!$K$19*04_回帰ANOVA!$K$14*SQRT(1+_slice!C100)),MIN((_slice!C75-04_回帰ANOVA!$K$19*04_回帰ANOVA!$K$14*SQRT(1+_slice!C100))-01_因子設定!$B$14,01_因子設定!$B$15-(_slice!C75+04_回帰ANOVA!$K$19*04_回帰ANOVA!$K$14*SQRT(1+_slice!C100))))),"外")</f>
        <v>-4.80367168078546</v>
      </c>
      <c r="D50" s="50" t="n">
        <f aca="false">IF(AND(_slice!$H$5=1,D$39&gt;=_slice!$H$6-0.000000001,D$39&lt;=_slice!$I$6+0.000000001,$B50&gt;=_slice!$H$7-0.000000001,$B50&lt;=_slice!$I$7+0.000000001,IF(01_因子設定!$B$20="Box-Behnken",D$39^2+$B50^2+_slice!$H$8&lt;=2+0.000000001,TRUE())),IF(01_因子設定!$B$13="最大化",(_slice!D75-04_回帰ANOVA!$K$19*04_回帰ANOVA!$K$14*SQRT(1+_slice!D100))-01_因子設定!$B$14,IF(01_因子設定!$B$13="最小化",01_因子設定!$B$15-(_slice!D75+04_回帰ANOVA!$K$19*04_回帰ANOVA!$K$14*SQRT(1+_slice!D100)),MIN((_slice!D75-04_回帰ANOVA!$K$19*04_回帰ANOVA!$K$14*SQRT(1+_slice!D100))-01_因子設定!$B$14,01_因子設定!$B$15-(_slice!D75+04_回帰ANOVA!$K$19*04_回帰ANOVA!$K$14*SQRT(1+_slice!D100))))),"外")</f>
        <v>-3.99948003252869</v>
      </c>
      <c r="E50" s="50" t="n">
        <f aca="false">IF(AND(_slice!$H$5=1,E$39&gt;=_slice!$H$6-0.000000001,E$39&lt;=_slice!$I$6+0.000000001,$B50&gt;=_slice!$H$7-0.000000001,$B50&lt;=_slice!$I$7+0.000000001,IF(01_因子設定!$B$20="Box-Behnken",E$39^2+$B50^2+_slice!$H$8&lt;=2+0.000000001,TRUE())),IF(01_因子設定!$B$13="最大化",(_slice!E75-04_回帰ANOVA!$K$19*04_回帰ANOVA!$K$14*SQRT(1+_slice!E100))-01_因子設定!$B$14,IF(01_因子設定!$B$13="最小化",01_因子設定!$B$15-(_slice!E75+04_回帰ANOVA!$K$19*04_回帰ANOVA!$K$14*SQRT(1+_slice!E100)),MIN((_slice!E75-04_回帰ANOVA!$K$19*04_回帰ANOVA!$K$14*SQRT(1+_slice!E100))-01_因子設定!$B$14,01_因子設定!$B$15-(_slice!E75+04_回帰ANOVA!$K$19*04_回帰ANOVA!$K$14*SQRT(1+_slice!E100))))),"外")</f>
        <v>-3.26793997164958</v>
      </c>
      <c r="F50" s="50" t="n">
        <f aca="false">IF(AND(_slice!$H$5=1,F$39&gt;=_slice!$H$6-0.000000001,F$39&lt;=_slice!$I$6+0.000000001,$B50&gt;=_slice!$H$7-0.000000001,$B50&lt;=_slice!$I$7+0.000000001,IF(01_因子設定!$B$20="Box-Behnken",F$39^2+$B50^2+_slice!$H$8&lt;=2+0.000000001,TRUE())),IF(01_因子設定!$B$13="最大化",(_slice!F75-04_回帰ANOVA!$K$19*04_回帰ANOVA!$K$14*SQRT(1+_slice!F100))-01_因子設定!$B$14,IF(01_因子設定!$B$13="最小化",01_因子設定!$B$15-(_slice!F75+04_回帰ANOVA!$K$19*04_回帰ANOVA!$K$14*SQRT(1+_slice!F100)),MIN((_slice!F75-04_回帰ANOVA!$K$19*04_回帰ANOVA!$K$14*SQRT(1+_slice!F100))-01_因子設定!$B$14,01_因子設定!$B$15-(_slice!F75+04_回帰ANOVA!$K$19*04_回帰ANOVA!$K$14*SQRT(1+_slice!F100))))),"外")</f>
        <v>-2.60626693013477</v>
      </c>
      <c r="G50" s="50" t="n">
        <f aca="false">IF(AND(_slice!$H$5=1,G$39&gt;=_slice!$H$6-0.000000001,G$39&lt;=_slice!$I$6+0.000000001,$B50&gt;=_slice!$H$7-0.000000001,$B50&lt;=_slice!$I$7+0.000000001,IF(01_因子設定!$B$20="Box-Behnken",G$39^2+$B50^2+_slice!$H$8&lt;=2+0.000000001,TRUE())),IF(01_因子設定!$B$13="最大化",(_slice!G75-04_回帰ANOVA!$K$19*04_回帰ANOVA!$K$14*SQRT(1+_slice!G100))-01_因子設定!$B$14,IF(01_因子設定!$B$13="最小化",01_因子設定!$B$15-(_slice!G75+04_回帰ANOVA!$K$19*04_回帰ANOVA!$K$14*SQRT(1+_slice!G100)),MIN((_slice!G75-04_回帰ANOVA!$K$19*04_回帰ANOVA!$K$14*SQRT(1+_slice!G100))-01_因子設定!$B$14,01_因子設定!$B$15-(_slice!G75+04_回帰ANOVA!$K$19*04_回帰ANOVA!$K$14*SQRT(1+_slice!G100))))),"外")</f>
        <v>-2.01144793168677</v>
      </c>
      <c r="H50" s="50" t="n">
        <f aca="false">IF(AND(_slice!$H$5=1,H$39&gt;=_slice!$H$6-0.000000001,H$39&lt;=_slice!$I$6+0.000000001,$B50&gt;=_slice!$H$7-0.000000001,$B50&lt;=_slice!$I$7+0.000000001,IF(01_因子設定!$B$20="Box-Behnken",H$39^2+$B50^2+_slice!$H$8&lt;=2+0.000000001,TRUE())),IF(01_因子設定!$B$13="最大化",(_slice!H75-04_回帰ANOVA!$K$19*04_回帰ANOVA!$K$14*SQRT(1+_slice!H100))-01_因子設定!$B$14,IF(01_因子設定!$B$13="最小化",01_因子設定!$B$15-(_slice!H75+04_回帰ANOVA!$K$19*04_回帰ANOVA!$K$14*SQRT(1+_slice!H100)),MIN((_slice!H75-04_回帰ANOVA!$K$19*04_回帰ANOVA!$K$14*SQRT(1+_slice!H100))-01_因子設定!$B$14,01_因子設定!$B$15-(_slice!H75+04_回帰ANOVA!$K$19*04_回帰ANOVA!$K$14*SQRT(1+_slice!H100))))),"外")</f>
        <v>-1.48048925782218</v>
      </c>
      <c r="I50" s="50" t="n">
        <f aca="false">IF(AND(_slice!$H$5=1,I$39&gt;=_slice!$H$6-0.000000001,I$39&lt;=_slice!$I$6+0.000000001,$B50&gt;=_slice!$H$7-0.000000001,$B50&lt;=_slice!$I$7+0.000000001,IF(01_因子設定!$B$20="Box-Behnken",I$39^2+$B50^2+_slice!$H$8&lt;=2+0.000000001,TRUE())),IF(01_因子設定!$B$13="最大化",(_slice!I75-04_回帰ANOVA!$K$19*04_回帰ANOVA!$K$14*SQRT(1+_slice!I100))-01_因子設定!$B$14,IF(01_因子設定!$B$13="最小化",01_因子設定!$B$15-(_slice!I75+04_回帰ANOVA!$K$19*04_回帰ANOVA!$K$14*SQRT(1+_slice!I100)),MIN((_slice!I75-04_回帰ANOVA!$K$19*04_回帰ANOVA!$K$14*SQRT(1+_slice!I100))-01_因子設定!$B$14,01_因子設定!$B$15-(_slice!I75+04_回帰ANOVA!$K$19*04_回帰ANOVA!$K$14*SQRT(1+_slice!I100))))),"外")</f>
        <v>-1.01063196689874</v>
      </c>
      <c r="J50" s="50" t="n">
        <f aca="false">IF(AND(_slice!$H$5=1,J$39&gt;=_slice!$H$6-0.000000001,J$39&lt;=_slice!$I$6+0.000000001,$B50&gt;=_slice!$H$7-0.000000001,$B50&lt;=_slice!$I$7+0.000000001,IF(01_因子設定!$B$20="Box-Behnken",J$39^2+$B50^2+_slice!$H$8&lt;=2+0.000000001,TRUE())),IF(01_因子設定!$B$13="最大化",(_slice!J75-04_回帰ANOVA!$K$19*04_回帰ANOVA!$K$14*SQRT(1+_slice!J100))-01_因子設定!$B$14,IF(01_因子設定!$B$13="最小化",01_因子設定!$B$15-(_slice!J75+04_回帰ANOVA!$K$19*04_回帰ANOVA!$K$14*SQRT(1+_slice!J100)),MIN((_slice!J75-04_回帰ANOVA!$K$19*04_回帰ANOVA!$K$14*SQRT(1+_slice!J100))-01_因子設定!$B$14,01_因子設定!$B$15-(_slice!J75+04_回帰ANOVA!$K$19*04_回帰ANOVA!$K$14*SQRT(1+_slice!J100))))),"外")</f>
        <v>-0.599507277371203</v>
      </c>
      <c r="K50" s="50" t="n">
        <f aca="false">IF(AND(_slice!$H$5=1,K$39&gt;=_slice!$H$6-0.000000001,K$39&lt;=_slice!$I$6+0.000000001,$B50&gt;=_slice!$H$7-0.000000001,$B50&lt;=_slice!$I$7+0.000000001,IF(01_因子設定!$B$20="Box-Behnken",K$39^2+$B50^2+_slice!$H$8&lt;=2+0.000000001,TRUE())),IF(01_因子設定!$B$13="最大化",(_slice!K75-04_回帰ANOVA!$K$19*04_回帰ANOVA!$K$14*SQRT(1+_slice!K100))-01_因子設定!$B$14,IF(01_因子設定!$B$13="最小化",01_因子設定!$B$15-(_slice!K75+04_回帰ANOVA!$K$19*04_回帰ANOVA!$K$14*SQRT(1+_slice!K100)),MIN((_slice!K75-04_回帰ANOVA!$K$19*04_回帰ANOVA!$K$14*SQRT(1+_slice!K100))-01_因子設定!$B$14,01_因子設定!$B$15-(_slice!K75+04_回帰ANOVA!$K$19*04_回帰ANOVA!$K$14*SQRT(1+_slice!K100))))),"外")</f>
        <v>-0.245229440537713</v>
      </c>
      <c r="L50" s="50" t="n">
        <f aca="false">IF(AND(_slice!$H$5=1,L$39&gt;=_slice!$H$6-0.000000001,L$39&lt;=_slice!$I$6+0.000000001,$B50&gt;=_slice!$H$7-0.000000001,$B50&lt;=_slice!$I$7+0.000000001,IF(01_因子設定!$B$20="Box-Behnken",L$39^2+$B50^2+_slice!$H$8&lt;=2+0.000000001,TRUE())),IF(01_因子設定!$B$13="最大化",(_slice!L75-04_回帰ANOVA!$K$19*04_回帰ANOVA!$K$14*SQRT(1+_slice!L100))-01_因子設定!$B$14,IF(01_因子設定!$B$13="最小化",01_因子設定!$B$15-(_slice!L75+04_回帰ANOVA!$K$19*04_回帰ANOVA!$K$14*SQRT(1+_slice!L100)),MIN((_slice!L75-04_回帰ANOVA!$K$19*04_回帰ANOVA!$K$14*SQRT(1+_slice!L100))-01_因子設定!$B$14,01_因子設定!$B$15-(_slice!L75+04_回帰ANOVA!$K$19*04_回帰ANOVA!$K$14*SQRT(1+_slice!L100))))),"外")</f>
        <v>0.0535599090035532</v>
      </c>
      <c r="M50" s="50" t="n">
        <f aca="false">IF(AND(_slice!$H$5=1,M$39&gt;=_slice!$H$6-0.000000001,M$39&lt;=_slice!$I$6+0.000000001,$B50&gt;=_slice!$H$7-0.000000001,$B50&lt;=_slice!$I$7+0.000000001,IF(01_因子設定!$B$20="Box-Behnken",M$39^2+$B50^2+_slice!$H$8&lt;=2+0.000000001,TRUE())),IF(01_因子設定!$B$13="最大化",(_slice!M75-04_回帰ANOVA!$K$19*04_回帰ANOVA!$K$14*SQRT(1+_slice!M100))-01_因子設定!$B$14,IF(01_因子設定!$B$13="最小化",01_因子設定!$B$15-(_slice!M75+04_回帰ANOVA!$K$19*04_回帰ANOVA!$K$14*SQRT(1+_slice!M100)),MIN((_slice!M75-04_回帰ANOVA!$K$19*04_回帰ANOVA!$K$14*SQRT(1+_slice!M100))-01_因子設定!$B$14,01_因子設定!$B$15-(_slice!M75+04_回帰ANOVA!$K$19*04_回帰ANOVA!$K$14*SQRT(1+_slice!M100))))),"外")</f>
        <v>0.297676852824594</v>
      </c>
      <c r="N50" s="50" t="n">
        <f aca="false">IF(AND(_slice!$H$5=1,N$39&gt;=_slice!$H$6-0.000000001,N$39&lt;=_slice!$I$6+0.000000001,$B50&gt;=_slice!$H$7-0.000000001,$B50&lt;=_slice!$I$7+0.000000001,IF(01_因子設定!$B$20="Box-Behnken",N$39^2+$B50^2+_slice!$H$8&lt;=2+0.000000001,TRUE())),IF(01_因子設定!$B$13="最大化",(_slice!N75-04_回帰ANOVA!$K$19*04_回帰ANOVA!$K$14*SQRT(1+_slice!N100))-01_因子設定!$B$14,IF(01_因子設定!$B$13="最小化",01_因子設定!$B$15-(_slice!N75+04_回帰ANOVA!$K$19*04_回帰ANOVA!$K$14*SQRT(1+_slice!N100)),MIN((_slice!N75-04_回帰ANOVA!$K$19*04_回帰ANOVA!$K$14*SQRT(1+_slice!N100))-01_因子設定!$B$14,01_因子設定!$B$15-(_slice!N75+04_回帰ANOVA!$K$19*04_回帰ANOVA!$K$14*SQRT(1+_slice!N100))))),"外")</f>
        <v>0.487393242336879</v>
      </c>
      <c r="O50" s="50" t="n">
        <f aca="false">IF(AND(_slice!$H$5=1,O$39&gt;=_slice!$H$6-0.000000001,O$39&lt;=_slice!$I$6+0.000000001,$B50&gt;=_slice!$H$7-0.000000001,$B50&lt;=_slice!$I$7+0.000000001,IF(01_因子設定!$B$20="Box-Behnken",O$39^2+$B50^2+_slice!$H$8&lt;=2+0.000000001,TRUE())),IF(01_因子設定!$B$13="最大化",(_slice!O75-04_回帰ANOVA!$K$19*04_回帰ANOVA!$K$14*SQRT(1+_slice!O100))-01_因子設定!$B$14,IF(01_因子設定!$B$13="最小化",01_因子設定!$B$15-(_slice!O75+04_回帰ANOVA!$K$19*04_回帰ANOVA!$K$14*SQRT(1+_slice!O100)),MIN((_slice!O75-04_回帰ANOVA!$K$19*04_回帰ANOVA!$K$14*SQRT(1+_slice!O100))-01_因子設定!$B$14,01_因子設定!$B$15-(_slice!O75+04_回帰ANOVA!$K$19*04_回帰ANOVA!$K$14*SQRT(1+_slice!O100))))),"外")</f>
        <v>0.622437226128952</v>
      </c>
      <c r="P50" s="50" t="n">
        <f aca="false">IF(AND(_slice!$H$5=1,P$39&gt;=_slice!$H$6-0.000000001,P$39&lt;=_slice!$I$6+0.000000001,$B50&gt;=_slice!$H$7-0.000000001,$B50&lt;=_slice!$I$7+0.000000001,IF(01_因子設定!$B$20="Box-Behnken",P$39^2+$B50^2+_slice!$H$8&lt;=2+0.000000001,TRUE())),IF(01_因子設定!$B$13="最大化",(_slice!P75-04_回帰ANOVA!$K$19*04_回帰ANOVA!$K$14*SQRT(1+_slice!P100))-01_因子設定!$B$14,IF(01_因子設定!$B$13="最小化",01_因子設定!$B$15-(_slice!P75+04_回帰ANOVA!$K$19*04_回帰ANOVA!$K$14*SQRT(1+_slice!P100)),MIN((_slice!P75-04_回帰ANOVA!$K$19*04_回帰ANOVA!$K$14*SQRT(1+_slice!P100))-01_因子設定!$B$14,01_因子設定!$B$15-(_slice!P75+04_回帰ANOVA!$K$19*04_回帰ANOVA!$K$14*SQRT(1+_slice!P100))))),"外")</f>
        <v>0.701992722628788</v>
      </c>
      <c r="Q50" s="50" t="n">
        <f aca="false">IF(AND(_slice!$H$5=1,Q$39&gt;=_slice!$H$6-0.000000001,Q$39&lt;=_slice!$I$6+0.000000001,$B50&gt;=_slice!$H$7-0.000000001,$B50&lt;=_slice!$I$7+0.000000001,IF(01_因子設定!$B$20="Box-Behnken",Q$39^2+$B50^2+_slice!$H$8&lt;=2+0.000000001,TRUE())),IF(01_因子設定!$B$13="最大化",(_slice!Q75-04_回帰ANOVA!$K$19*04_回帰ANOVA!$K$14*SQRT(1+_slice!Q100))-01_因子設定!$B$14,IF(01_因子設定!$B$13="最小化",01_因子設定!$B$15-(_slice!Q75+04_回帰ANOVA!$K$19*04_回帰ANOVA!$K$14*SQRT(1+_slice!Q100)),MIN((_slice!Q75-04_回帰ANOVA!$K$19*04_回帰ANOVA!$K$14*SQRT(1+_slice!Q100))-01_因子設定!$B$14,01_因子設定!$B$15-(_slice!Q75+04_回帰ANOVA!$K$19*04_回帰ANOVA!$K$14*SQRT(1+_slice!Q100))))),"外")</f>
        <v>0.724701366434594</v>
      </c>
      <c r="R50" s="50" t="n">
        <f aca="false">IF(AND(_slice!$H$5=1,R$39&gt;=_slice!$H$6-0.000000001,R$39&lt;=_slice!$I$6+0.000000001,$B50&gt;=_slice!$H$7-0.000000001,$B50&lt;=_slice!$I$7+0.000000001,IF(01_因子設定!$B$20="Box-Behnken",R$39^2+$B50^2+_slice!$H$8&lt;=2+0.000000001,TRUE())),IF(01_因子設定!$B$13="最大化",(_slice!R75-04_回帰ANOVA!$K$19*04_回帰ANOVA!$K$14*SQRT(1+_slice!R100))-01_因子設定!$B$14,IF(01_因子設定!$B$13="最小化",01_因子設定!$B$15-(_slice!R75+04_回帰ANOVA!$K$19*04_回帰ANOVA!$K$14*SQRT(1+_slice!R100)),MIN((_slice!R75-04_回帰ANOVA!$K$19*04_回帰ANOVA!$K$14*SQRT(1+_slice!R100))-01_因子設定!$B$14,01_因子設定!$B$15-(_slice!R75+04_回帰ANOVA!$K$19*04_回帰ANOVA!$K$14*SQRT(1+_slice!R100))))),"外")</f>
        <v>0.688677408844491</v>
      </c>
      <c r="S50" s="50" t="n">
        <f aca="false">IF(AND(_slice!$H$5=1,S$39&gt;=_slice!$H$6-0.000000001,S$39&lt;=_slice!$I$6+0.000000001,$B50&gt;=_slice!$H$7-0.000000001,$B50&lt;=_slice!$I$7+0.000000001,IF(01_因子設定!$B$20="Box-Behnken",S$39^2+$B50^2+_slice!$H$8&lt;=2+0.000000001,TRUE())),IF(01_因子設定!$B$13="最大化",(_slice!S75-04_回帰ANOVA!$K$19*04_回帰ANOVA!$K$14*SQRT(1+_slice!S100))-01_因子設定!$B$14,IF(01_因子設定!$B$13="最小化",01_因子設定!$B$15-(_slice!S75+04_回帰ANOVA!$K$19*04_回帰ANOVA!$K$14*SQRT(1+_slice!S100)),MIN((_slice!S75-04_回帰ANOVA!$K$19*04_回帰ANOVA!$K$14*SQRT(1+_slice!S100))-01_因子設定!$B$14,01_因子設定!$B$15-(_slice!S75+04_回帰ANOVA!$K$19*04_回帰ANOVA!$K$14*SQRT(1+_slice!S100))))),"外")</f>
        <v>0.591552068313241</v>
      </c>
      <c r="T50" s="50" t="n">
        <f aca="false">IF(AND(_slice!$H$5=1,T$39&gt;=_slice!$H$6-0.000000001,T$39&lt;=_slice!$I$6+0.000000001,$B50&gt;=_slice!$H$7-0.000000001,$B50&lt;=_slice!$I$7+0.000000001,IF(01_因子設定!$B$20="Box-Behnken",T$39^2+$B50^2+_slice!$H$8&lt;=2+0.000000001,TRUE())),IF(01_因子設定!$B$13="最大化",(_slice!T75-04_回帰ANOVA!$K$19*04_回帰ANOVA!$K$14*SQRT(1+_slice!T100))-01_因子設定!$B$14,IF(01_因子設定!$B$13="最小化",01_因子設定!$B$15-(_slice!T75+04_回帰ANOVA!$K$19*04_回帰ANOVA!$K$14*SQRT(1+_slice!T100)),MIN((_slice!T75-04_回帰ANOVA!$K$19*04_回帰ANOVA!$K$14*SQRT(1+_slice!T100))-01_因子設定!$B$14,01_因子設定!$B$15-(_slice!T75+04_回帰ANOVA!$K$19*04_回帰ANOVA!$K$14*SQRT(1+_slice!T100))))),"外")</f>
        <v>0.430566403198569</v>
      </c>
      <c r="U50" s="50" t="n">
        <f aca="false">IF(AND(_slice!$H$5=1,U$39&gt;=_slice!$H$6-0.000000001,U$39&lt;=_slice!$I$6+0.000000001,$B50&gt;=_slice!$H$7-0.000000001,$B50&lt;=_slice!$I$7+0.000000001,IF(01_因子設定!$B$20="Box-Behnken",U$39^2+$B50^2+_slice!$H$8&lt;=2+0.000000001,TRUE())),IF(01_因子設定!$B$13="最大化",(_slice!U75-04_回帰ANOVA!$K$19*04_回帰ANOVA!$K$14*SQRT(1+_slice!U100))-01_因子設定!$B$14,IF(01_因子設定!$B$13="最小化",01_因子設定!$B$15-(_slice!U75+04_回帰ANOVA!$K$19*04_回帰ANOVA!$K$14*SQRT(1+_slice!U100)),MIN((_slice!U75-04_回帰ANOVA!$K$19*04_回帰ANOVA!$K$14*SQRT(1+_slice!U100))-01_因子設定!$B$14,01_因子設定!$B$15-(_slice!U75+04_回帰ANOVA!$K$19*04_回帰ANOVA!$K$14*SQRT(1+_slice!U100))))),"外")</f>
        <v>0.202726695017098</v>
      </c>
      <c r="V50" s="50" t="n">
        <f aca="false">IF(AND(_slice!$H$5=1,V$39&gt;=_slice!$H$6-0.000000001,V$39&lt;=_slice!$I$6+0.000000001,$B50&gt;=_slice!$H$7-0.000000001,$B50&lt;=_slice!$I$7+0.000000001,IF(01_因子設定!$B$20="Box-Behnken",V$39^2+$B50^2+_slice!$H$8&lt;=2+0.000000001,TRUE())),IF(01_因子設定!$B$13="最大化",(_slice!V75-04_回帰ANOVA!$K$19*04_回帰ANOVA!$K$14*SQRT(1+_slice!V100))-01_因子設定!$B$14,IF(01_因子設定!$B$13="最小化",01_因子設定!$B$15-(_slice!V75+04_回帰ANOVA!$K$19*04_回帰ANOVA!$K$14*SQRT(1+_slice!V100)),MIN((_slice!V75-04_回帰ANOVA!$K$19*04_回帰ANOVA!$K$14*SQRT(1+_slice!V100))-01_因子設定!$B$14,01_因子設定!$B$15-(_slice!V75+04_回帰ANOVA!$K$19*04_回帰ANOVA!$K$14*SQRT(1+_slice!V100))))),"外")</f>
        <v>-0.0949800325286887</v>
      </c>
      <c r="W50" s="50" t="n">
        <f aca="false">IF(AND(_slice!$H$5=1,W$39&gt;=_slice!$H$6-0.000000001,W$39&lt;=_slice!$I$6+0.000000001,$B50&gt;=_slice!$H$7-0.000000001,$B50&lt;=_slice!$I$7+0.000000001,IF(01_因子設定!$B$20="Box-Behnken",W$39^2+$B50^2+_slice!$H$8&lt;=2+0.000000001,TRUE())),IF(01_因子設定!$B$13="最大化",(_slice!W75-04_回帰ANOVA!$K$19*04_回帰ANOVA!$K$14*SQRT(1+_slice!W100))-01_因子設定!$B$14,IF(01_因子設定!$B$13="最小化",01_因子設定!$B$15-(_slice!W75+04_回帰ANOVA!$K$19*04_回帰ANOVA!$K$14*SQRT(1+_slice!W100)),MIN((_slice!W75-04_回帰ANOVA!$K$19*04_回帰ANOVA!$K$14*SQRT(1+_slice!W100))-01_因子設定!$B$14,01_因子設定!$B$15-(_slice!W75+04_回帰ANOVA!$K$19*04_回帰ANOVA!$K$14*SQRT(1+_slice!W100))))),"外")</f>
        <v>-0.465338347452118</v>
      </c>
    </row>
    <row r="51" customFormat="false" ht="15" hidden="false" customHeight="false" outlineLevel="0" collapsed="false">
      <c r="A51" s="49" t="n">
        <f aca="false">INDEX(01_因子設定!$G$5:$G$6,$C$5)+B51*INDEX(01_因子設定!$H$5:$H$6,$C$5)</f>
        <v>30</v>
      </c>
      <c r="B51" s="49" t="n">
        <v>0</v>
      </c>
      <c r="C51" s="50" t="n">
        <f aca="false">IF(AND(_slice!$H$5=1,C$39&gt;=_slice!$H$6-0.000000001,C$39&lt;=_slice!$I$6+0.000000001,$B51&gt;=_slice!$H$7-0.000000001,$B51&lt;=_slice!$I$7+0.000000001,IF(01_因子設定!$B$20="Box-Behnken",C$39^2+$B51^2+_slice!$H$8&lt;=2+0.000000001,TRUE())),IF(01_因子設定!$B$13="最大化",(_slice!C76-04_回帰ANOVA!$K$19*04_回帰ANOVA!$K$14*SQRT(1+_slice!C101))-01_因子設定!$B$14,IF(01_因子設定!$B$13="最小化",01_因子設定!$B$15-(_slice!C76+04_回帰ANOVA!$K$19*04_回帰ANOVA!$K$14*SQRT(1+_slice!C101)),MIN((_slice!C76-04_回帰ANOVA!$K$19*04_回帰ANOVA!$K$14*SQRT(1+_slice!C101))-01_因子設定!$B$14,01_因子設定!$B$15-(_slice!C76+04_回帰ANOVA!$K$19*04_回帰ANOVA!$K$14*SQRT(1+_slice!C101))))),"外")</f>
        <v>-4.96108695246679</v>
      </c>
      <c r="D51" s="50" t="n">
        <f aca="false">IF(AND(_slice!$H$5=1,D$39&gt;=_slice!$H$6-0.000000001,D$39&lt;=_slice!$I$6+0.000000001,$B51&gt;=_slice!$H$7-0.000000001,$B51&lt;=_slice!$I$7+0.000000001,IF(01_因子設定!$B$20="Box-Behnken",D$39^2+$B51^2+_slice!$H$8&lt;=2+0.000000001,TRUE())),IF(01_因子設定!$B$13="最大化",(_slice!D76-04_回帰ANOVA!$K$19*04_回帰ANOVA!$K$14*SQRT(1+_slice!D101))-01_因子設定!$B$14,IF(01_因子設定!$B$13="最小化",01_因子設定!$B$15-(_slice!D76+04_回帰ANOVA!$K$19*04_回帰ANOVA!$K$14*SQRT(1+_slice!D101)),MIN((_slice!D76-04_回帰ANOVA!$K$19*04_回帰ANOVA!$K$14*SQRT(1+_slice!D101))-01_因子設定!$B$14,01_因子設定!$B$15-(_slice!D76+04_回帰ANOVA!$K$19*04_回帰ANOVA!$K$14*SQRT(1+_slice!D101))))),"外")</f>
        <v>-4.16213132579811</v>
      </c>
      <c r="E51" s="50" t="n">
        <f aca="false">IF(AND(_slice!$H$5=1,E$39&gt;=_slice!$H$6-0.000000001,E$39&lt;=_slice!$I$6+0.000000001,$B51&gt;=_slice!$H$7-0.000000001,$B51&lt;=_slice!$I$7+0.000000001,IF(01_因子設定!$B$20="Box-Behnken",E$39^2+$B51^2+_slice!$H$8&lt;=2+0.000000001,TRUE())),IF(01_因子設定!$B$13="最大化",(_slice!E76-04_回帰ANOVA!$K$19*04_回帰ANOVA!$K$14*SQRT(1+_slice!E101))-01_因子設定!$B$14,IF(01_因子設定!$B$13="最小化",01_因子設定!$B$15-(_slice!E76+04_回帰ANOVA!$K$19*04_回帰ANOVA!$K$14*SQRT(1+_slice!E101)),MIN((_slice!E76-04_回帰ANOVA!$K$19*04_回帰ANOVA!$K$14*SQRT(1+_slice!E101))-01_因子設定!$B$14,01_因子設定!$B$15-(_slice!E76+04_回帰ANOVA!$K$19*04_回帰ANOVA!$K$14*SQRT(1+_slice!E101))))),"外")</f>
        <v>-3.43582549551163</v>
      </c>
      <c r="F51" s="50" t="n">
        <f aca="false">IF(AND(_slice!$H$5=1,F$39&gt;=_slice!$H$6-0.000000001,F$39&lt;=_slice!$I$6+0.000000001,$B51&gt;=_slice!$H$7-0.000000001,$B51&lt;=_slice!$I$7+0.000000001,IF(01_因子設定!$B$20="Box-Behnken",F$39^2+$B51^2+_slice!$H$8&lt;=2+0.000000001,TRUE())),IF(01_因子設定!$B$13="最大化",(_slice!F76-04_回帰ANOVA!$K$19*04_回帰ANOVA!$K$14*SQRT(1+_slice!F101))-01_因子設定!$B$14,IF(01_因子設定!$B$13="最小化",01_因子設定!$B$15-(_slice!F76+04_回帰ANOVA!$K$19*04_回帰ANOVA!$K$14*SQRT(1+_slice!F101)),MIN((_slice!F76-04_回帰ANOVA!$K$19*04_回帰ANOVA!$K$14*SQRT(1+_slice!F101))-01_因子設定!$B$14,01_因子設定!$B$15-(_slice!F76+04_回帰ANOVA!$K$19*04_回帰ANOVA!$K$14*SQRT(1+_slice!F101))))),"外")</f>
        <v>-2.77938583117412</v>
      </c>
      <c r="G51" s="50" t="n">
        <f aca="false">IF(AND(_slice!$H$5=1,G$39&gt;=_slice!$H$6-0.000000001,G$39&lt;=_slice!$I$6+0.000000001,$B51&gt;=_slice!$H$7-0.000000001,$B51&lt;=_slice!$I$7+0.000000001,IF(01_因子設定!$B$20="Box-Behnken",G$39^2+$B51^2+_slice!$H$8&lt;=2+0.000000001,TRUE())),IF(01_因子設定!$B$13="最大化",(_slice!G76-04_回帰ANOVA!$K$19*04_回帰ANOVA!$K$14*SQRT(1+_slice!G101))-01_因子設定!$B$14,IF(01_因子設定!$B$13="最小化",01_因子設定!$B$15-(_slice!G76+04_回帰ANOVA!$K$19*04_回帰ANOVA!$K$14*SQRT(1+_slice!G101)),MIN((_slice!G76-04_回帰ANOVA!$K$19*04_回帰ANOVA!$K$14*SQRT(1+_slice!G101))-01_因子設定!$B$14,01_因子設定!$B$15-(_slice!G76+04_回帰ANOVA!$K$19*04_回帰ANOVA!$K$14*SQRT(1+_slice!G101))))),"外")</f>
        <v>-2.18980037436199</v>
      </c>
      <c r="H51" s="50" t="n">
        <f aca="false">IF(AND(_slice!$H$5=1,H$39&gt;=_slice!$H$6-0.000000001,H$39&lt;=_slice!$I$6+0.000000001,$B51&gt;=_slice!$H$7-0.000000001,$B51&lt;=_slice!$I$7+0.000000001,IF(01_因子設定!$B$20="Box-Behnken",H$39^2+$B51^2+_slice!$H$8&lt;=2+0.000000001,TRUE())),IF(01_因子設定!$B$13="最大化",(_slice!H76-04_回帰ANOVA!$K$19*04_回帰ANOVA!$K$14*SQRT(1+_slice!H101))-01_因子設定!$B$14,IF(01_因子設定!$B$13="最小化",01_因子設定!$B$15-(_slice!H76+04_回帰ANOVA!$K$19*04_回帰ANOVA!$K$14*SQRT(1+_slice!H101)),MIN((_slice!H76-04_回帰ANOVA!$K$19*04_回帰ANOVA!$K$14*SQRT(1+_slice!H101))-01_因子設定!$B$14,01_因子設定!$B$15-(_slice!H76+04_回帰ANOVA!$K$19*04_回帰ANOVA!$K$14*SQRT(1+_slice!H101))))),"外")</f>
        <v>-1.66407635734473</v>
      </c>
      <c r="I51" s="50" t="n">
        <f aca="false">IF(AND(_slice!$H$5=1,I$39&gt;=_slice!$H$6-0.000000001,I$39&lt;=_slice!$I$6+0.000000001,$B51&gt;=_slice!$H$7-0.000000001,$B51&lt;=_slice!$I$7+0.000000001,IF(01_因子設定!$B$20="Box-Behnken",I$39^2+$B51^2+_slice!$H$8&lt;=2+0.000000001,TRUE())),IF(01_因子設定!$B$13="最大化",(_slice!I76-04_回帰ANOVA!$K$19*04_回帰ANOVA!$K$14*SQRT(1+_slice!I101))-01_因子設定!$B$14,IF(01_因子設定!$B$13="最小化",01_因子設定!$B$15-(_slice!I76+04_回帰ANOVA!$K$19*04_回帰ANOVA!$K$14*SQRT(1+_slice!I101)),MIN((_slice!I76-04_回帰ANOVA!$K$19*04_回帰ANOVA!$K$14*SQRT(1+_slice!I101))-01_因子設定!$B$14,01_因子設定!$B$15-(_slice!I76+04_回帰ANOVA!$K$19*04_回帰ANOVA!$K$14*SQRT(1+_slice!I101))))),"外")</f>
        <v>-1.19945562530842</v>
      </c>
      <c r="J51" s="50" t="n">
        <f aca="false">IF(AND(_slice!$H$5=1,J$39&gt;=_slice!$H$6-0.000000001,J$39&lt;=_slice!$I$6+0.000000001,$B51&gt;=_slice!$H$7-0.000000001,$B51&lt;=_slice!$I$7+0.000000001,IF(01_因子設定!$B$20="Box-Behnken",J$39^2+$B51^2+_slice!$H$8&lt;=2+0.000000001,TRUE())),IF(01_因子設定!$B$13="最大化",(_slice!J76-04_回帰ANOVA!$K$19*04_回帰ANOVA!$K$14*SQRT(1+_slice!J101))-01_因子設定!$B$14,IF(01_因子設定!$B$13="最小化",01_因子設定!$B$15-(_slice!J76+04_回帰ANOVA!$K$19*04_回帰ANOVA!$K$14*SQRT(1+_slice!J101)),MIN((_slice!J76-04_回帰ANOVA!$K$19*04_回帰ANOVA!$K$14*SQRT(1+_slice!J101))-01_因子設定!$B$14,01_因子設定!$B$15-(_slice!J76+04_回帰ANOVA!$K$19*04_回帰ANOVA!$K$14*SQRT(1+_slice!J101))))),"外")</f>
        <v>-0.793569984514399</v>
      </c>
      <c r="K51" s="50" t="n">
        <f aca="false">IF(AND(_slice!$H$5=1,K$39&gt;=_slice!$H$6-0.000000001,K$39&lt;=_slice!$I$6+0.000000001,$B51&gt;=_slice!$H$7-0.000000001,$B51&lt;=_slice!$I$7+0.000000001,IF(01_因子設定!$B$20="Box-Behnken",K$39^2+$B51^2+_slice!$H$8&lt;=2+0.000000001,TRUE())),IF(01_因子設定!$B$13="最大化",(_slice!K76-04_回帰ANOVA!$K$19*04_回帰ANOVA!$K$14*SQRT(1+_slice!K101))-01_因子設定!$B$14,IF(01_因子設定!$B$13="最小化",01_因子設定!$B$15-(_slice!K76+04_回帰ANOVA!$K$19*04_回帰ANOVA!$K$14*SQRT(1+_slice!K101)),MIN((_slice!K76-04_回帰ANOVA!$K$19*04_回帰ANOVA!$K$14*SQRT(1+_slice!K101))-01_因子設定!$B$14,01_因子設定!$B$15-(_slice!K76+04_回帰ANOVA!$K$19*04_回帰ANOVA!$K$14*SQRT(1+_slice!K101))))),"外")</f>
        <v>-0.444534086688563</v>
      </c>
      <c r="L51" s="50" t="n">
        <f aca="false">IF(AND(_slice!$H$5=1,L$39&gt;=_slice!$H$6-0.000000001,L$39&lt;=_slice!$I$6+0.000000001,$B51&gt;=_slice!$H$7-0.000000001,$B51&lt;=_slice!$I$7+0.000000001,IF(01_因子設定!$B$20="Box-Behnken",L$39^2+$B51^2+_slice!$H$8&lt;=2+0.000000001,TRUE())),IF(01_因子設定!$B$13="最大化",(_slice!L76-04_回帰ANOVA!$K$19*04_回帰ANOVA!$K$14*SQRT(1+_slice!L101))-01_因子設定!$B$14,IF(01_因子設定!$B$13="最小化",01_因子設定!$B$15-(_slice!L76+04_回帰ANOVA!$K$19*04_回帰ANOVA!$K$14*SQRT(1+_slice!L101)),MIN((_slice!L76-04_回帰ANOVA!$K$19*04_回帰ANOVA!$K$14*SQRT(1+_slice!L101))-01_因子設定!$B$14,01_因子設定!$B$15-(_slice!L76+04_回帰ANOVA!$K$19*04_回帰ANOVA!$K$14*SQRT(1+_slice!L101))))),"外")</f>
        <v>-0.150989813842074</v>
      </c>
      <c r="M51" s="50" t="n">
        <f aca="false">IF(AND(_slice!$H$5=1,M$39&gt;=_slice!$H$6-0.000000001,M$39&lt;=_slice!$I$6+0.000000001,$B51&gt;=_slice!$H$7-0.000000001,$B51&lt;=_slice!$I$7+0.000000001,IF(01_因子設定!$B$20="Box-Behnken",M$39^2+$B51^2+_slice!$H$8&lt;=2+0.000000001,TRUE())),IF(01_因子設定!$B$13="最大化",(_slice!M76-04_回帰ANOVA!$K$19*04_回帰ANOVA!$K$14*SQRT(1+_slice!M101))-01_因子設定!$B$14,IF(01_因子設定!$B$13="最小化",01_因子設定!$B$15-(_slice!M76+04_回帰ANOVA!$K$19*04_回帰ANOVA!$K$14*SQRT(1+_slice!M101)),MIN((_slice!M76-04_回帰ANOVA!$K$19*04_回帰ANOVA!$K$14*SQRT(1+_slice!M101))-01_因子設定!$B$14,01_因子設定!$B$15-(_slice!M76+04_回帰ANOVA!$K$19*04_回帰ANOVA!$K$14*SQRT(1+_slice!M101))))),"外")</f>
        <v>0.0878787846071774</v>
      </c>
      <c r="N51" s="50" t="n">
        <f aca="false">IF(AND(_slice!$H$5=1,N$39&gt;=_slice!$H$6-0.000000001,N$39&lt;=_slice!$I$6+0.000000001,$B51&gt;=_slice!$H$7-0.000000001,$B51&lt;=_slice!$I$7+0.000000001,IF(01_因子設定!$B$20="Box-Behnken",N$39^2+$B51^2+_slice!$H$8&lt;=2+0.000000001,TRUE())),IF(01_因子設定!$B$13="最大化",(_slice!N76-04_回帰ANOVA!$K$19*04_回帰ANOVA!$K$14*SQRT(1+_slice!N101))-01_因子設定!$B$14,IF(01_因子設定!$B$13="最小化",01_因子設定!$B$15-(_slice!N76+04_回帰ANOVA!$K$19*04_回帰ANOVA!$K$14*SQRT(1+_slice!N101)),MIN((_slice!N76-04_回帰ANOVA!$K$19*04_回帰ANOVA!$K$14*SQRT(1+_slice!N101))-01_因子設定!$B$14,01_因子設定!$B$15-(_slice!N76+04_回帰ANOVA!$K$19*04_回帰ANOVA!$K$14*SQRT(1+_slice!N101))))),"外")</f>
        <v>0.272343519491258</v>
      </c>
      <c r="O51" s="50" t="n">
        <f aca="false">IF(AND(_slice!$H$5=1,O$39&gt;=_slice!$H$6-0.000000001,O$39&lt;=_slice!$I$6+0.000000001,$B51&gt;=_slice!$H$7-0.000000001,$B51&lt;=_slice!$I$7+0.000000001,IF(01_因子設定!$B$20="Box-Behnken",O$39^2+$B51^2+_slice!$H$8&lt;=2+0.000000001,TRUE())),IF(01_因子設定!$B$13="最大化",(_slice!O76-04_回帰ANOVA!$K$19*04_回帰ANOVA!$K$14*SQRT(1+_slice!O101))-01_因子設定!$B$14,IF(01_因子設定!$B$13="最小化",01_因子設定!$B$15-(_slice!O76+04_回帰ANOVA!$K$19*04_回帰ANOVA!$K$14*SQRT(1+_slice!O101)),MIN((_slice!O76-04_回帰ANOVA!$K$19*04_回帰ANOVA!$K$14*SQRT(1+_slice!O101))-01_因子設定!$B$14,01_因子設定!$B$15-(_slice!O76+04_回帰ANOVA!$K$19*04_回帰ANOVA!$K$14*SQRT(1+_slice!O101))))),"外")</f>
        <v>0.402132579978101</v>
      </c>
      <c r="P51" s="50" t="n">
        <f aca="false">IF(AND(_slice!$H$5=1,P$39&gt;=_slice!$H$6-0.000000001,P$39&lt;=_slice!$I$6+0.000000001,$B51&gt;=_slice!$H$7-0.000000001,$B51&lt;=_slice!$I$7+0.000000001,IF(01_因子設定!$B$20="Box-Behnken",P$39^2+$B51^2+_slice!$H$8&lt;=2+0.000000001,TRUE())),IF(01_因子設定!$B$13="最大化",(_slice!P76-04_回帰ANOVA!$K$19*04_回帰ANOVA!$K$14*SQRT(1+_slice!P101))-01_因子設定!$B$14,IF(01_因子設定!$B$13="最小化",01_因子設定!$B$15-(_slice!P76+04_回帰ANOVA!$K$19*04_回帰ANOVA!$K$14*SQRT(1+_slice!P101)),MIN((_slice!P76-04_回帰ANOVA!$K$19*04_回帰ANOVA!$K$14*SQRT(1+_slice!P101))-01_因子設定!$B$14,01_因子設定!$B$15-(_slice!P76+04_回帰ANOVA!$K$19*04_回帰ANOVA!$K$14*SQRT(1+_slice!P101))))),"外")</f>
        <v>0.476430015485597</v>
      </c>
      <c r="Q51" s="50" t="n">
        <f aca="false">IF(AND(_slice!$H$5=1,Q$39&gt;=_slice!$H$6-0.000000001,Q$39&lt;=_slice!$I$6+0.000000001,$B51&gt;=_slice!$H$7-0.000000001,$B51&lt;=_slice!$I$7+0.000000001,IF(01_因子設定!$B$20="Box-Behnken",Q$39^2+$B51^2+_slice!$H$8&lt;=2+0.000000001,TRUE())),IF(01_因子設定!$B$13="最大化",(_slice!Q76-04_回帰ANOVA!$K$19*04_回帰ANOVA!$K$14*SQRT(1+_slice!Q101))-01_因子設定!$B$14,IF(01_因子設定!$B$13="最小化",01_因子設定!$B$15-(_slice!Q76+04_回帰ANOVA!$K$19*04_回帰ANOVA!$K$14*SQRT(1+_slice!Q101)),MIN((_slice!Q76-04_回帰ANOVA!$K$19*04_回帰ANOVA!$K$14*SQRT(1+_slice!Q101))-01_因子設定!$B$14,01_因子設定!$B$15-(_slice!Q76+04_回帰ANOVA!$K$19*04_回帰ANOVA!$K$14*SQRT(1+_slice!Q101))))),"外")</f>
        <v>0.493877708024904</v>
      </c>
      <c r="R51" s="50" t="n">
        <f aca="false">IF(AND(_slice!$H$5=1,R$39&gt;=_slice!$H$6-0.000000001,R$39&lt;=_slice!$I$6+0.000000001,$B51&gt;=_slice!$H$7-0.000000001,$B51&lt;=_slice!$I$7+0.000000001,IF(01_因子設定!$B$20="Box-Behnken",R$39^2+$B51^2+_slice!$H$8&lt;=2+0.000000001,TRUE())),IF(01_因子設定!$B$13="最大化",(_slice!R76-04_回帰ANOVA!$K$19*04_回帰ANOVA!$K$14*SQRT(1+_slice!R101))-01_因子設定!$B$14,IF(01_因子設定!$B$13="最小化",01_因子設定!$B$15-(_slice!R76+04_回帰ANOVA!$K$19*04_回帰ANOVA!$K$14*SQRT(1+_slice!R101)),MIN((_slice!R76-04_回帰ANOVA!$K$19*04_回帰ANOVA!$K$14*SQRT(1+_slice!R101))-01_因子設定!$B$14,01_因子設定!$B$15-(_slice!R76+04_回帰ANOVA!$K$19*04_回帰ANOVA!$K$14*SQRT(1+_slice!R101))))),"外")</f>
        <v>0.452590309321948</v>
      </c>
      <c r="S51" s="50" t="n">
        <f aca="false">IF(AND(_slice!$H$5=1,S$39&gt;=_slice!$H$6-0.000000001,S$39&lt;=_slice!$I$6+0.000000001,$B51&gt;=_slice!$H$7-0.000000001,$B51&lt;=_slice!$I$7+0.000000001,IF(01_因子設定!$B$20="Box-Behnken",S$39^2+$B51^2+_slice!$H$8&lt;=2+0.000000001,TRUE())),IF(01_因子設定!$B$13="最大化",(_slice!S76-04_回帰ANOVA!$K$19*04_回帰ANOVA!$K$14*SQRT(1+_slice!S101))-01_因子設定!$B$14,IF(01_因子設定!$B$13="最小化",01_因子設定!$B$15-(_slice!S76+04_回帰ANOVA!$K$19*04_回帰ANOVA!$K$14*SQRT(1+_slice!S101)),MIN((_slice!S76-04_回帰ANOVA!$K$19*04_回帰ANOVA!$K$14*SQRT(1+_slice!S101))-01_因子設定!$B$14,01_因子設定!$B$15-(_slice!S76+04_回帰ANOVA!$K$19*04_回帰ANOVA!$K$14*SQRT(1+_slice!S101))))),"外")</f>
        <v>0.35019962563802</v>
      </c>
      <c r="T51" s="50" t="n">
        <f aca="false">IF(AND(_slice!$H$5=1,T$39&gt;=_slice!$H$6-0.000000001,T$39&lt;=_slice!$I$6+0.000000001,$B51&gt;=_slice!$H$7-0.000000001,$B51&lt;=_slice!$I$7+0.000000001,IF(01_因子設定!$B$20="Box-Behnken",T$39^2+$B51^2+_slice!$H$8&lt;=2+0.000000001,TRUE())),IF(01_因子設定!$B$13="最大化",(_slice!T76-04_回帰ANOVA!$K$19*04_回帰ANOVA!$K$14*SQRT(1+_slice!T101))-01_因子設定!$B$14,IF(01_因子設定!$B$13="最小化",01_因子設定!$B$15-(_slice!T76+04_回帰ANOVA!$K$19*04_回帰ANOVA!$K$14*SQRT(1+_slice!T101)),MIN((_slice!T76-04_回帰ANOVA!$K$19*04_回帰ANOVA!$K$14*SQRT(1+_slice!T101))-01_因子設定!$B$14,01_因子設定!$B$15-(_slice!T76+04_回帰ANOVA!$K$19*04_回帰ANOVA!$K$14*SQRT(1+_slice!T101))))),"外")</f>
        <v>0.183947502159221</v>
      </c>
      <c r="U51" s="50" t="n">
        <f aca="false">IF(AND(_slice!$H$5=1,U$39&gt;=_slice!$H$6-0.000000001,U$39&lt;=_slice!$I$6+0.000000001,$B51&gt;=_slice!$H$7-0.000000001,$B51&lt;=_slice!$I$7+0.000000001,IF(01_因子設定!$B$20="Box-Behnken",U$39^2+$B51^2+_slice!$H$8&lt;=2+0.000000001,TRUE())),IF(01_因子設定!$B$13="最大化",(_slice!U76-04_回帰ANOVA!$K$19*04_回帰ANOVA!$K$14*SQRT(1+_slice!U101))-01_因子設定!$B$14,IF(01_因子設定!$B$13="最小化",01_因子設定!$B$15-(_slice!U76+04_回帰ANOVA!$K$19*04_回帰ANOVA!$K$14*SQRT(1+_slice!U101)),MIN((_slice!U76-04_回帰ANOVA!$K$19*04_回帰ANOVA!$K$14*SQRT(1+_slice!U101))-01_因子設定!$B$14,01_因子設定!$B$15-(_slice!U76+04_回帰ANOVA!$K$19*04_回帰ANOVA!$K$14*SQRT(1+_slice!U101))))),"外")</f>
        <v>-0.0491588288449591</v>
      </c>
      <c r="V51" s="50" t="n">
        <f aca="false">IF(AND(_slice!$H$5=1,V$39&gt;=_slice!$H$6-0.000000001,V$39&lt;=_slice!$I$6+0.000000001,$B51&gt;=_slice!$H$7-0.000000001,$B51&lt;=_slice!$I$7+0.000000001,IF(01_因子設定!$B$20="Box-Behnken",V$39^2+$B51^2+_slice!$H$8&lt;=2+0.000000001,TRUE())),IF(01_因子設定!$B$13="最大化",(_slice!V76-04_回帰ANOVA!$K$19*04_回帰ANOVA!$K$14*SQRT(1+_slice!V101))-01_因子設定!$B$14,IF(01_因子設定!$B$13="最小化",01_因子設定!$B$15-(_slice!V76+04_回帰ANOVA!$K$19*04_回帰ANOVA!$K$14*SQRT(1+_slice!V101)),MIN((_slice!V76-04_回帰ANOVA!$K$19*04_回帰ANOVA!$K$14*SQRT(1+_slice!V101))-01_因子設定!$B$14,01_因子設定!$B$15-(_slice!V76+04_回帰ANOVA!$K$19*04_回帰ANOVA!$K$14*SQRT(1+_slice!V101))))),"外")</f>
        <v>-0.352131325798105</v>
      </c>
      <c r="W51" s="50" t="n">
        <f aca="false">IF(AND(_slice!$H$5=1,W$39&gt;=_slice!$H$6-0.000000001,W$39&lt;=_slice!$I$6+0.000000001,$B51&gt;=_slice!$H$7-0.000000001,$B51&lt;=_slice!$I$7+0.000000001,IF(01_因子設定!$B$20="Box-Behnken",W$39^2+$B51^2+_slice!$H$8&lt;=2+0.000000001,TRUE())),IF(01_因子設定!$B$13="最大化",(_slice!W76-04_回帰ANOVA!$K$19*04_回帰ANOVA!$K$14*SQRT(1+_slice!W101))-01_因子設定!$B$14,IF(01_因子設定!$B$13="最小化",01_因子設定!$B$15-(_slice!W76+04_回帰ANOVA!$K$19*04_回帰ANOVA!$K$14*SQRT(1+_slice!W101)),MIN((_slice!W76-04_回帰ANOVA!$K$19*04_回帰ANOVA!$K$14*SQRT(1+_slice!W101))-01_因子設定!$B$14,01_因子設定!$B$15-(_slice!W76+04_回帰ANOVA!$K$19*04_回帰ANOVA!$K$14*SQRT(1+_slice!W101))))),"外")</f>
        <v>-0.727753619133452</v>
      </c>
    </row>
    <row r="52" customFormat="false" ht="15" hidden="false" customHeight="false" outlineLevel="0" collapsed="false">
      <c r="A52" s="49" t="n">
        <f aca="false">INDEX(01_因子設定!$G$5:$G$6,$C$5)+B52*INDEX(01_因子設定!$H$5:$H$6,$C$5)</f>
        <v>29</v>
      </c>
      <c r="B52" s="49" t="n">
        <v>-0.1</v>
      </c>
      <c r="C52" s="50" t="n">
        <f aca="false">IF(AND(_slice!$H$5=1,C$39&gt;=_slice!$H$6-0.000000001,C$39&lt;=_slice!$I$6+0.000000001,$B52&gt;=_slice!$H$7-0.000000001,$B52&lt;=_slice!$I$7+0.000000001,IF(01_因子設定!$B$20="Box-Behnken",C$39^2+$B52^2+_slice!$H$8&lt;=2+0.000000001,TRUE())),IF(01_因子設定!$B$13="最大化",(_slice!C77-04_回帰ANOVA!$K$19*04_回帰ANOVA!$K$14*SQRT(1+_slice!C102))-01_因子設定!$B$14,IF(01_因子設定!$B$13="最小化",01_因子設定!$B$15-(_slice!C77+04_回帰ANOVA!$K$19*04_回帰ANOVA!$K$14*SQRT(1+_slice!C102)),MIN((_slice!C77-04_回帰ANOVA!$K$19*04_回帰ANOVA!$K$14*SQRT(1+_slice!C102))-01_因子設定!$B$14,01_因子設定!$B$15-(_slice!C77+04_回帰ANOVA!$K$19*04_回帰ANOVA!$K$14*SQRT(1+_slice!C102))))),"外")</f>
        <v>-5.14867168078546</v>
      </c>
      <c r="D52" s="50" t="n">
        <f aca="false">IF(AND(_slice!$H$5=1,D$39&gt;=_slice!$H$6-0.000000001,D$39&lt;=_slice!$I$6+0.000000001,$B52&gt;=_slice!$H$7-0.000000001,$B52&lt;=_slice!$I$7+0.000000001,IF(01_因子設定!$B$20="Box-Behnken",D$39^2+$B52^2+_slice!$H$8&lt;=2+0.000000001,TRUE())),IF(01_因子設定!$B$13="最大化",(_slice!D77-04_回帰ANOVA!$K$19*04_回帰ANOVA!$K$14*SQRT(1+_slice!D102))-01_因子設定!$B$14,IF(01_因子設定!$B$13="最小化",01_因子設定!$B$15-(_slice!D77+04_回帰ANOVA!$K$19*04_回帰ANOVA!$K$14*SQRT(1+_slice!D102)),MIN((_slice!D77-04_回帰ANOVA!$K$19*04_回帰ANOVA!$K$14*SQRT(1+_slice!D102))-01_因子設定!$B$14,01_因子設定!$B$15-(_slice!D77+04_回帰ANOVA!$K$19*04_回帰ANOVA!$K$14*SQRT(1+_slice!D102))))),"外")</f>
        <v>-4.35498003252869</v>
      </c>
      <c r="E52" s="50" t="n">
        <f aca="false">IF(AND(_slice!$H$5=1,E$39&gt;=_slice!$H$6-0.000000001,E$39&lt;=_slice!$I$6+0.000000001,$B52&gt;=_slice!$H$7-0.000000001,$B52&lt;=_slice!$I$7+0.000000001,IF(01_因子設定!$B$20="Box-Behnken",E$39^2+$B52^2+_slice!$H$8&lt;=2+0.000000001,TRUE())),IF(01_因子設定!$B$13="最大化",(_slice!E77-04_回帰ANOVA!$K$19*04_回帰ANOVA!$K$14*SQRT(1+_slice!E102))-01_因子設定!$B$14,IF(01_因子設定!$B$13="最小化",01_因子設定!$B$15-(_slice!E77+04_回帰ANOVA!$K$19*04_回帰ANOVA!$K$14*SQRT(1+_slice!E102)),MIN((_slice!E77-04_回帰ANOVA!$K$19*04_回帰ANOVA!$K$14*SQRT(1+_slice!E102))-01_因子設定!$B$14,01_因子設定!$B$15-(_slice!E77+04_回帰ANOVA!$K$19*04_回帰ANOVA!$K$14*SQRT(1+_slice!E102))))),"外")</f>
        <v>-3.63393997164958</v>
      </c>
      <c r="F52" s="50" t="n">
        <f aca="false">IF(AND(_slice!$H$5=1,F$39&gt;=_slice!$H$6-0.000000001,F$39&lt;=_slice!$I$6+0.000000001,$B52&gt;=_slice!$H$7-0.000000001,$B52&lt;=_slice!$I$7+0.000000001,IF(01_因子設定!$B$20="Box-Behnken",F$39^2+$B52^2+_slice!$H$8&lt;=2+0.000000001,TRUE())),IF(01_因子設定!$B$13="最大化",(_slice!F77-04_回帰ANOVA!$K$19*04_回帰ANOVA!$K$14*SQRT(1+_slice!F102))-01_因子設定!$B$14,IF(01_因子設定!$B$13="最小化",01_因子設定!$B$15-(_slice!F77+04_回帰ANOVA!$K$19*04_回帰ANOVA!$K$14*SQRT(1+_slice!F102)),MIN((_slice!F77-04_回帰ANOVA!$K$19*04_回帰ANOVA!$K$14*SQRT(1+_slice!F102))-01_因子設定!$B$14,01_因子設定!$B$15-(_slice!F77+04_回帰ANOVA!$K$19*04_回帰ANOVA!$K$14*SQRT(1+_slice!F102))))),"外")</f>
        <v>-2.98276693013477</v>
      </c>
      <c r="G52" s="50" t="n">
        <f aca="false">IF(AND(_slice!$H$5=1,G$39&gt;=_slice!$H$6-0.000000001,G$39&lt;=_slice!$I$6+0.000000001,$B52&gt;=_slice!$H$7-0.000000001,$B52&lt;=_slice!$I$7+0.000000001,IF(01_因子設定!$B$20="Box-Behnken",G$39^2+$B52^2+_slice!$H$8&lt;=2+0.000000001,TRUE())),IF(01_因子設定!$B$13="最大化",(_slice!G77-04_回帰ANOVA!$K$19*04_回帰ANOVA!$K$14*SQRT(1+_slice!G102))-01_因子設定!$B$14,IF(01_因子設定!$B$13="最小化",01_因子設定!$B$15-(_slice!G77+04_回帰ANOVA!$K$19*04_回帰ANOVA!$K$14*SQRT(1+_slice!G102)),MIN((_slice!G77-04_回帰ANOVA!$K$19*04_回帰ANOVA!$K$14*SQRT(1+_slice!G102))-01_因子設定!$B$14,01_因子設定!$B$15-(_slice!G77+04_回帰ANOVA!$K$19*04_回帰ANOVA!$K$14*SQRT(1+_slice!G102))))),"外")</f>
        <v>-2.39844793168677</v>
      </c>
      <c r="H52" s="50" t="n">
        <f aca="false">IF(AND(_slice!$H$5=1,H$39&gt;=_slice!$H$6-0.000000001,H$39&lt;=_slice!$I$6+0.000000001,$B52&gt;=_slice!$H$7-0.000000001,$B52&lt;=_slice!$I$7+0.000000001,IF(01_因子設定!$B$20="Box-Behnken",H$39^2+$B52^2+_slice!$H$8&lt;=2+0.000000001,TRUE())),IF(01_因子設定!$B$13="最大化",(_slice!H77-04_回帰ANOVA!$K$19*04_回帰ANOVA!$K$14*SQRT(1+_slice!H102))-01_因子設定!$B$14,IF(01_因子設定!$B$13="最小化",01_因子設定!$B$15-(_slice!H77+04_回帰ANOVA!$K$19*04_回帰ANOVA!$K$14*SQRT(1+_slice!H102)),MIN((_slice!H77-04_回帰ANOVA!$K$19*04_回帰ANOVA!$K$14*SQRT(1+_slice!H102))-01_因子設定!$B$14,01_因子設定!$B$15-(_slice!H77+04_回帰ANOVA!$K$19*04_回帰ANOVA!$K$14*SQRT(1+_slice!H102))))),"外")</f>
        <v>-1.87798925782219</v>
      </c>
      <c r="I52" s="50" t="n">
        <f aca="false">IF(AND(_slice!$H$5=1,I$39&gt;=_slice!$H$6-0.000000001,I$39&lt;=_slice!$I$6+0.000000001,$B52&gt;=_slice!$H$7-0.000000001,$B52&lt;=_slice!$I$7+0.000000001,IF(01_因子設定!$B$20="Box-Behnken",I$39^2+$B52^2+_slice!$H$8&lt;=2+0.000000001,TRUE())),IF(01_因子設定!$B$13="最大化",(_slice!I77-04_回帰ANOVA!$K$19*04_回帰ANOVA!$K$14*SQRT(1+_slice!I102))-01_因子設定!$B$14,IF(01_因子設定!$B$13="最小化",01_因子設定!$B$15-(_slice!I77+04_回帰ANOVA!$K$19*04_回帰ANOVA!$K$14*SQRT(1+_slice!I102)),MIN((_slice!I77-04_回帰ANOVA!$K$19*04_回帰ANOVA!$K$14*SQRT(1+_slice!I102))-01_因子設定!$B$14,01_因子設定!$B$15-(_slice!I77+04_回帰ANOVA!$K$19*04_回帰ANOVA!$K$14*SQRT(1+_slice!I102))))),"外")</f>
        <v>-1.41863196689874</v>
      </c>
      <c r="J52" s="50" t="n">
        <f aca="false">IF(AND(_slice!$H$5=1,J$39&gt;=_slice!$H$6-0.000000001,J$39&lt;=_slice!$I$6+0.000000001,$B52&gt;=_slice!$H$7-0.000000001,$B52&lt;=_slice!$I$7+0.000000001,IF(01_因子設定!$B$20="Box-Behnken",J$39^2+$B52^2+_slice!$H$8&lt;=2+0.000000001,TRUE())),IF(01_因子設定!$B$13="最大化",(_slice!J77-04_回帰ANOVA!$K$19*04_回帰ANOVA!$K$14*SQRT(1+_slice!J102))-01_因子設定!$B$14,IF(01_因子設定!$B$13="最小化",01_因子設定!$B$15-(_slice!J77+04_回帰ANOVA!$K$19*04_回帰ANOVA!$K$14*SQRT(1+_slice!J102)),MIN((_slice!J77-04_回帰ANOVA!$K$19*04_回帰ANOVA!$K$14*SQRT(1+_slice!J102))-01_因子設定!$B$14,01_因子設定!$B$15-(_slice!J77+04_回帰ANOVA!$K$19*04_回帰ANOVA!$K$14*SQRT(1+_slice!J102))))),"外")</f>
        <v>-1.01800727737121</v>
      </c>
      <c r="K52" s="50" t="n">
        <f aca="false">IF(AND(_slice!$H$5=1,K$39&gt;=_slice!$H$6-0.000000001,K$39&lt;=_slice!$I$6+0.000000001,$B52&gt;=_slice!$H$7-0.000000001,$B52&lt;=_slice!$I$7+0.000000001,IF(01_因子設定!$B$20="Box-Behnken",K$39^2+$B52^2+_slice!$H$8&lt;=2+0.000000001,TRUE())),IF(01_因子設定!$B$13="最大化",(_slice!K77-04_回帰ANOVA!$K$19*04_回帰ANOVA!$K$14*SQRT(1+_slice!K102))-01_因子設定!$B$14,IF(01_因子設定!$B$13="最小化",01_因子設定!$B$15-(_slice!K77+04_回帰ANOVA!$K$19*04_回帰ANOVA!$K$14*SQRT(1+_slice!K102)),MIN((_slice!K77-04_回帰ANOVA!$K$19*04_回帰ANOVA!$K$14*SQRT(1+_slice!K102))-01_因子設定!$B$14,01_因子設定!$B$15-(_slice!K77+04_回帰ANOVA!$K$19*04_回帰ANOVA!$K$14*SQRT(1+_slice!K102))))),"外")</f>
        <v>-0.674229440537715</v>
      </c>
      <c r="L52" s="50" t="n">
        <f aca="false">IF(AND(_slice!$H$5=1,L$39&gt;=_slice!$H$6-0.000000001,L$39&lt;=_slice!$I$6+0.000000001,$B52&gt;=_slice!$H$7-0.000000001,$B52&lt;=_slice!$I$7+0.000000001,IF(01_因子設定!$B$20="Box-Behnken",L$39^2+$B52^2+_slice!$H$8&lt;=2+0.000000001,TRUE())),IF(01_因子設定!$B$13="最大化",(_slice!L77-04_回帰ANOVA!$K$19*04_回帰ANOVA!$K$14*SQRT(1+_slice!L102))-01_因子設定!$B$14,IF(01_因子設定!$B$13="最小化",01_因子設定!$B$15-(_slice!L77+04_回帰ANOVA!$K$19*04_回帰ANOVA!$K$14*SQRT(1+_slice!L102)),MIN((_slice!L77-04_回帰ANOVA!$K$19*04_回帰ANOVA!$K$14*SQRT(1+_slice!L102))-01_因子設定!$B$14,01_因子設定!$B$15-(_slice!L77+04_回帰ANOVA!$K$19*04_回帰ANOVA!$K$14*SQRT(1+_slice!L102))))),"外")</f>
        <v>-0.385940090996456</v>
      </c>
      <c r="M52" s="50" t="n">
        <f aca="false">IF(AND(_slice!$H$5=1,M$39&gt;=_slice!$H$6-0.000000001,M$39&lt;=_slice!$I$6+0.000000001,$B52&gt;=_slice!$H$7-0.000000001,$B52&lt;=_slice!$I$7+0.000000001,IF(01_因子設定!$B$20="Box-Behnken",M$39^2+$B52^2+_slice!$H$8&lt;=2+0.000000001,TRUE())),IF(01_因子設定!$B$13="最大化",(_slice!M77-04_回帰ANOVA!$K$19*04_回帰ANOVA!$K$14*SQRT(1+_slice!M102))-01_因子設定!$B$14,IF(01_因子設定!$B$13="最小化",01_因子設定!$B$15-(_slice!M77+04_回帰ANOVA!$K$19*04_回帰ANOVA!$K$14*SQRT(1+_slice!M102)),MIN((_slice!M77-04_回帰ANOVA!$K$19*04_回帰ANOVA!$K$14*SQRT(1+_slice!M102))-01_因子設定!$B$14,01_因子設定!$B$15-(_slice!M77+04_回帰ANOVA!$K$19*04_回帰ANOVA!$K$14*SQRT(1+_slice!M102))))),"外")</f>
        <v>-0.152323147175409</v>
      </c>
      <c r="N52" s="50" t="n">
        <f aca="false">IF(AND(_slice!$H$5=1,N$39&gt;=_slice!$H$6-0.000000001,N$39&lt;=_slice!$I$6+0.000000001,$B52&gt;=_slice!$H$7-0.000000001,$B52&lt;=_slice!$I$7+0.000000001,IF(01_因子設定!$B$20="Box-Behnken",N$39^2+$B52^2+_slice!$H$8&lt;=2+0.000000001,TRUE())),IF(01_因子設定!$B$13="最大化",(_slice!N77-04_回帰ANOVA!$K$19*04_回帰ANOVA!$K$14*SQRT(1+_slice!N102))-01_因子設定!$B$14,IF(01_因子設定!$B$13="最小化",01_因子設定!$B$15-(_slice!N77+04_回帰ANOVA!$K$19*04_回帰ANOVA!$K$14*SQRT(1+_slice!N102)),MIN((_slice!N77-04_回帰ANOVA!$K$19*04_回帰ANOVA!$K$14*SQRT(1+_slice!N102))-01_因子設定!$B$14,01_因子設定!$B$15-(_slice!N77+04_回帰ANOVA!$K$19*04_回帰ANOVA!$K$14*SQRT(1+_slice!N102))))),"外")</f>
        <v>0.0268932423368824</v>
      </c>
      <c r="O52" s="50" t="n">
        <f aca="false">IF(AND(_slice!$H$5=1,O$39&gt;=_slice!$H$6-0.000000001,O$39&lt;=_slice!$I$6+0.000000001,$B52&gt;=_slice!$H$7-0.000000001,$B52&lt;=_slice!$I$7+0.000000001,IF(01_因子設定!$B$20="Box-Behnken",O$39^2+$B52^2+_slice!$H$8&lt;=2+0.000000001,TRUE())),IF(01_因子設定!$B$13="最大化",(_slice!O77-04_回帰ANOVA!$K$19*04_回帰ANOVA!$K$14*SQRT(1+_slice!O102))-01_因子設定!$B$14,IF(01_因子設定!$B$13="最小化",01_因子設定!$B$15-(_slice!O77+04_回帰ANOVA!$K$19*04_回帰ANOVA!$K$14*SQRT(1+_slice!O102)),MIN((_slice!O77-04_回帰ANOVA!$K$19*04_回帰ANOVA!$K$14*SQRT(1+_slice!O102))-01_因子設定!$B$14,01_因子設定!$B$15-(_slice!O77+04_回帰ANOVA!$K$19*04_回帰ANOVA!$K$14*SQRT(1+_slice!O102))))),"外")</f>
        <v>0.151437226128948</v>
      </c>
      <c r="P52" s="50" t="n">
        <f aca="false">IF(AND(_slice!$H$5=1,P$39&gt;=_slice!$H$6-0.000000001,P$39&lt;=_slice!$I$6+0.000000001,$B52&gt;=_slice!$H$7-0.000000001,$B52&lt;=_slice!$I$7+0.000000001,IF(01_因子設定!$B$20="Box-Behnken",P$39^2+$B52^2+_slice!$H$8&lt;=2+0.000000001,TRUE())),IF(01_因子設定!$B$13="最大化",(_slice!P77-04_回帰ANOVA!$K$19*04_回帰ANOVA!$K$14*SQRT(1+_slice!P102))-01_因子設定!$B$14,IF(01_因子設定!$B$13="最小化",01_因子設定!$B$15-(_slice!P77+04_回帰ANOVA!$K$19*04_回帰ANOVA!$K$14*SQRT(1+_slice!P102)),MIN((_slice!P77-04_回帰ANOVA!$K$19*04_回帰ANOVA!$K$14*SQRT(1+_slice!P102))-01_因子設定!$B$14,01_因子設定!$B$15-(_slice!P77+04_回帰ANOVA!$K$19*04_回帰ANOVA!$K$14*SQRT(1+_slice!P102))))),"外")</f>
        <v>0.220492722628791</v>
      </c>
      <c r="Q52" s="50" t="n">
        <f aca="false">IF(AND(_slice!$H$5=1,Q$39&gt;=_slice!$H$6-0.000000001,Q$39&lt;=_slice!$I$6+0.000000001,$B52&gt;=_slice!$H$7-0.000000001,$B52&lt;=_slice!$I$7+0.000000001,IF(01_因子設定!$B$20="Box-Behnken",Q$39^2+$B52^2+_slice!$H$8&lt;=2+0.000000001,TRUE())),IF(01_因子設定!$B$13="最大化",(_slice!Q77-04_回帰ANOVA!$K$19*04_回帰ANOVA!$K$14*SQRT(1+_slice!Q102))-01_因子設定!$B$14,IF(01_因子設定!$B$13="最小化",01_因子設定!$B$15-(_slice!Q77+04_回帰ANOVA!$K$19*04_回帰ANOVA!$K$14*SQRT(1+_slice!Q102)),MIN((_slice!Q77-04_回帰ANOVA!$K$19*04_回帰ANOVA!$K$14*SQRT(1+_slice!Q102))-01_因子設定!$B$14,01_因子設定!$B$15-(_slice!Q77+04_回帰ANOVA!$K$19*04_回帰ANOVA!$K$14*SQRT(1+_slice!Q102))))),"外")</f>
        <v>0.23270136643459</v>
      </c>
      <c r="R52" s="50" t="n">
        <f aca="false">IF(AND(_slice!$H$5=1,R$39&gt;=_slice!$H$6-0.000000001,R$39&lt;=_slice!$I$6+0.000000001,$B52&gt;=_slice!$H$7-0.000000001,$B52&lt;=_slice!$I$7+0.000000001,IF(01_因子設定!$B$20="Box-Behnken",R$39^2+$B52^2+_slice!$H$8&lt;=2+0.000000001,TRUE())),IF(01_因子設定!$B$13="最大化",(_slice!R77-04_回帰ANOVA!$K$19*04_回帰ANOVA!$K$14*SQRT(1+_slice!R102))-01_因子設定!$B$14,IF(01_因子設定!$B$13="最小化",01_因子設定!$B$15-(_slice!R77+04_回帰ANOVA!$K$19*04_回帰ANOVA!$K$14*SQRT(1+_slice!R102)),MIN((_slice!R77-04_回帰ANOVA!$K$19*04_回帰ANOVA!$K$14*SQRT(1+_slice!R102))-01_因子設定!$B$14,01_因子設定!$B$15-(_slice!R77+04_回帰ANOVA!$K$19*04_回帰ANOVA!$K$14*SQRT(1+_slice!R102))))),"外")</f>
        <v>0.186177408844493</v>
      </c>
      <c r="S52" s="50" t="n">
        <f aca="false">IF(AND(_slice!$H$5=1,S$39&gt;=_slice!$H$6-0.000000001,S$39&lt;=_slice!$I$6+0.000000001,$B52&gt;=_slice!$H$7-0.000000001,$B52&lt;=_slice!$I$7+0.000000001,IF(01_因子設定!$B$20="Box-Behnken",S$39^2+$B52^2+_slice!$H$8&lt;=2+0.000000001,TRUE())),IF(01_因子設定!$B$13="最大化",(_slice!S77-04_回帰ANOVA!$K$19*04_回帰ANOVA!$K$14*SQRT(1+_slice!S102))-01_因子設定!$B$14,IF(01_因子設定!$B$13="最小化",01_因子設定!$B$15-(_slice!S77+04_回帰ANOVA!$K$19*04_回帰ANOVA!$K$14*SQRT(1+_slice!S102)),MIN((_slice!S77-04_回帰ANOVA!$K$19*04_回帰ANOVA!$K$14*SQRT(1+_slice!S102))-01_因子設定!$B$14,01_因子設定!$B$15-(_slice!S77+04_回帰ANOVA!$K$19*04_回帰ANOVA!$K$14*SQRT(1+_slice!S102))))),"外")</f>
        <v>0.0785520683132361</v>
      </c>
      <c r="T52" s="50" t="n">
        <f aca="false">IF(AND(_slice!$H$5=1,T$39&gt;=_slice!$H$6-0.000000001,T$39&lt;=_slice!$I$6+0.000000001,$B52&gt;=_slice!$H$7-0.000000001,$B52&lt;=_slice!$I$7+0.000000001,IF(01_因子設定!$B$20="Box-Behnken",T$39^2+$B52^2+_slice!$H$8&lt;=2+0.000000001,TRUE())),IF(01_因子設定!$B$13="最大化",(_slice!T77-04_回帰ANOVA!$K$19*04_回帰ANOVA!$K$14*SQRT(1+_slice!T102))-01_因子設定!$B$14,IF(01_因子設定!$B$13="最小化",01_因子設定!$B$15-(_slice!T77+04_回帰ANOVA!$K$19*04_回帰ANOVA!$K$14*SQRT(1+_slice!T102)),MIN((_slice!T77-04_回帰ANOVA!$K$19*04_回帰ANOVA!$K$14*SQRT(1+_slice!T102))-01_因子設定!$B$14,01_因子設定!$B$15-(_slice!T77+04_回帰ANOVA!$K$19*04_回帰ANOVA!$K$14*SQRT(1+_slice!T102))))),"外")</f>
        <v>-0.09293359680143</v>
      </c>
      <c r="U52" s="50" t="n">
        <f aca="false">IF(AND(_slice!$H$5=1,U$39&gt;=_slice!$H$6-0.000000001,U$39&lt;=_slice!$I$6+0.000000001,$B52&gt;=_slice!$H$7-0.000000001,$B52&lt;=_slice!$I$7+0.000000001,IF(01_因子設定!$B$20="Box-Behnken",U$39^2+$B52^2+_slice!$H$8&lt;=2+0.000000001,TRUE())),IF(01_因子設定!$B$13="最大化",(_slice!U77-04_回帰ANOVA!$K$19*04_回帰ANOVA!$K$14*SQRT(1+_slice!U102))-01_因子設定!$B$14,IF(01_因子設定!$B$13="最小化",01_因子設定!$B$15-(_slice!U77+04_回帰ANOVA!$K$19*04_回帰ANOVA!$K$14*SQRT(1+_slice!U102)),MIN((_slice!U77-04_回帰ANOVA!$K$19*04_回帰ANOVA!$K$14*SQRT(1+_slice!U102))-01_因子設定!$B$14,01_因子設定!$B$15-(_slice!U77+04_回帰ANOVA!$K$19*04_回帰ANOVA!$K$14*SQRT(1+_slice!U102))))),"外")</f>
        <v>-0.331273304982908</v>
      </c>
      <c r="V52" s="50" t="n">
        <f aca="false">IF(AND(_slice!$H$5=1,V$39&gt;=_slice!$H$6-0.000000001,V$39&lt;=_slice!$I$6+0.000000001,$B52&gt;=_slice!$H$7-0.000000001,$B52&lt;=_slice!$I$7+0.000000001,IF(01_因子設定!$B$20="Box-Behnken",V$39^2+$B52^2+_slice!$H$8&lt;=2+0.000000001,TRUE())),IF(01_因子設定!$B$13="最大化",(_slice!V77-04_回帰ANOVA!$K$19*04_回帰ANOVA!$K$14*SQRT(1+_slice!V102))-01_因子設定!$B$14,IF(01_因子設定!$B$13="最小化",01_因子設定!$B$15-(_slice!V77+04_回帰ANOVA!$K$19*04_回帰ANOVA!$K$14*SQRT(1+_slice!V102)),MIN((_slice!V77-04_回帰ANOVA!$K$19*04_回帰ANOVA!$K$14*SQRT(1+_slice!V102))-01_因子設定!$B$14,01_因子設定!$B$15-(_slice!V77+04_回帰ANOVA!$K$19*04_回帰ANOVA!$K$14*SQRT(1+_slice!V102))))),"外")</f>
        <v>-0.639480032528688</v>
      </c>
      <c r="W52" s="50" t="n">
        <f aca="false">IF(AND(_slice!$H$5=1,W$39&gt;=_slice!$H$6-0.000000001,W$39&lt;=_slice!$I$6+0.000000001,$B52&gt;=_slice!$H$7-0.000000001,$B52&lt;=_slice!$I$7+0.000000001,IF(01_因子設定!$B$20="Box-Behnken",W$39^2+$B52^2+_slice!$H$8&lt;=2+0.000000001,TRUE())),IF(01_因子設定!$B$13="最大化",(_slice!W77-04_回帰ANOVA!$K$19*04_回帰ANOVA!$K$14*SQRT(1+_slice!W102))-01_因子設定!$B$14,IF(01_因子設定!$B$13="最小化",01_因子設定!$B$15-(_slice!W77+04_回帰ANOVA!$K$19*04_回帰ANOVA!$K$14*SQRT(1+_slice!W102)),MIN((_slice!W77-04_回帰ANOVA!$K$19*04_回帰ANOVA!$K$14*SQRT(1+_slice!W102))-01_因子設定!$B$14,01_因子設定!$B$15-(_slice!W77+04_回帰ANOVA!$K$19*04_回帰ANOVA!$K$14*SQRT(1+_slice!W102))))),"外")</f>
        <v>-1.02033834745212</v>
      </c>
    </row>
    <row r="53" customFormat="false" ht="15" hidden="false" customHeight="false" outlineLevel="0" collapsed="false">
      <c r="A53" s="49" t="n">
        <f aca="false">INDEX(01_因子設定!$G$5:$G$6,$C$5)+B53*INDEX(01_因子設定!$H$5:$H$6,$C$5)</f>
        <v>28</v>
      </c>
      <c r="B53" s="49" t="n">
        <v>-0.2</v>
      </c>
      <c r="C53" s="50" t="n">
        <f aca="false">IF(AND(_slice!$H$5=1,C$39&gt;=_slice!$H$6-0.000000001,C$39&lt;=_slice!$I$6+0.000000001,$B53&gt;=_slice!$H$7-0.000000001,$B53&lt;=_slice!$I$7+0.000000001,IF(01_因子設定!$B$20="Box-Behnken",C$39^2+$B53^2+_slice!$H$8&lt;=2+0.000000001,TRUE())),IF(01_因子設定!$B$13="最大化",(_slice!C78-04_回帰ANOVA!$K$19*04_回帰ANOVA!$K$14*SQRT(1+_slice!C103))-01_因子設定!$B$14,IF(01_因子設定!$B$13="最小化",01_因子設定!$B$15-(_slice!C78+04_回帰ANOVA!$K$19*04_回帰ANOVA!$K$14*SQRT(1+_slice!C103)),MIN((_slice!C78-04_回帰ANOVA!$K$19*04_回帰ANOVA!$K$14*SQRT(1+_slice!C103))-01_因子設定!$B$14,01_因子設定!$B$15-(_slice!C78+04_回帰ANOVA!$K$19*04_回帰ANOVA!$K$14*SQRT(1+_slice!C103))))),"外")</f>
        <v>-5.36666644311172</v>
      </c>
      <c r="D53" s="50" t="n">
        <f aca="false">IF(AND(_slice!$H$5=1,D$39&gt;=_slice!$H$6-0.000000001,D$39&lt;=_slice!$I$6+0.000000001,$B53&gt;=_slice!$H$7-0.000000001,$B53&lt;=_slice!$I$7+0.000000001,IF(01_因子設定!$B$20="Box-Behnken",D$39^2+$B53^2+_slice!$H$8&lt;=2+0.000000001,TRUE())),IF(01_因子設定!$B$13="最大化",(_slice!D78-04_回帰ANOVA!$K$19*04_回帰ANOVA!$K$14*SQRT(1+_slice!D103))-01_因子設定!$B$14,IF(01_因子設定!$B$13="最小化",01_因子設定!$B$15-(_slice!D78+04_回帰ANOVA!$K$19*04_回帰ANOVA!$K$14*SQRT(1+_slice!D103)),MIN((_slice!D78-04_回帰ANOVA!$K$19*04_回帰ANOVA!$K$14*SQRT(1+_slice!D103))-01_因子設定!$B$14,01_因子設定!$B$15-(_slice!D78+04_回帰ANOVA!$K$19*04_回帰ANOVA!$K$14*SQRT(1+_slice!D103))))),"外")</f>
        <v>-4.57827676306132</v>
      </c>
      <c r="E53" s="50" t="n">
        <f aca="false">IF(AND(_slice!$H$5=1,E$39&gt;=_slice!$H$6-0.000000001,E$39&lt;=_slice!$I$6+0.000000001,$B53&gt;=_slice!$H$7-0.000000001,$B53&lt;=_slice!$I$7+0.000000001,IF(01_因子設定!$B$20="Box-Behnken",E$39^2+$B53^2+_slice!$H$8&lt;=2+0.000000001,TRUE())),IF(01_因子設定!$B$13="最大化",(_slice!E78-04_回帰ANOVA!$K$19*04_回帰ANOVA!$K$14*SQRT(1+_slice!E103))-01_因子設定!$B$14,IF(01_因子設定!$B$13="最小化",01_因子設定!$B$15-(_slice!E78+04_回帰ANOVA!$K$19*04_回帰ANOVA!$K$14*SQRT(1+_slice!E103)),MIN((_slice!E78-04_回帰ANOVA!$K$19*04_回帰ANOVA!$K$14*SQRT(1+_slice!E103))-01_因子設定!$B$14,01_因子設定!$B$15-(_slice!E78+04_回帰ANOVA!$K$19*04_回帰ANOVA!$K$14*SQRT(1+_slice!E103))))),"外")</f>
        <v>-3.8625418964798</v>
      </c>
      <c r="F53" s="50" t="n">
        <f aca="false">IF(AND(_slice!$H$5=1,F$39&gt;=_slice!$H$6-0.000000001,F$39&lt;=_slice!$I$6+0.000000001,$B53&gt;=_slice!$H$7-0.000000001,$B53&lt;=_slice!$I$7+0.000000001,IF(01_因子設定!$B$20="Box-Behnken",F$39^2+$B53^2+_slice!$H$8&lt;=2+0.000000001,TRUE())),IF(01_因子設定!$B$13="最大化",(_slice!F78-04_回帰ANOVA!$K$19*04_回帰ANOVA!$K$14*SQRT(1+_slice!F103))-01_因子設定!$B$14,IF(01_因子設定!$B$13="最小化",01_因子設定!$B$15-(_slice!F78+04_回帰ANOVA!$K$19*04_回帰ANOVA!$K$14*SQRT(1+_slice!F103)),MIN((_slice!F78-04_回帰ANOVA!$K$19*04_回帰ANOVA!$K$14*SQRT(1+_slice!F103))-01_因子設定!$B$14,01_因子設定!$B$15-(_slice!F78+04_回帰ANOVA!$K$19*04_回帰ANOVA!$K$14*SQRT(1+_slice!F103))))),"外")</f>
        <v>-3.21667446290595</v>
      </c>
      <c r="G53" s="50" t="n">
        <f aca="false">IF(AND(_slice!$H$5=1,G$39&gt;=_slice!$H$6-0.000000001,G$39&lt;=_slice!$I$6+0.000000001,$B53&gt;=_slice!$H$7-0.000000001,$B53&lt;=_slice!$I$7+0.000000001,IF(01_因子設定!$B$20="Box-Behnken",G$39^2+$B53^2+_slice!$H$8&lt;=2+0.000000001,TRUE())),IF(01_因子設定!$B$13="最大化",(_slice!G78-04_回帰ANOVA!$K$19*04_回帰ANOVA!$K$14*SQRT(1+_slice!G103))-01_因子設定!$B$14,IF(01_因子設定!$B$13="最小化",01_因子設定!$B$15-(_slice!G78+04_回帰ANOVA!$K$19*04_回帰ANOVA!$K$14*SQRT(1+_slice!G103)),MIN((_slice!G78-04_回帰ANOVA!$K$19*04_回帰ANOVA!$K$14*SQRT(1+_slice!G103))-01_因子設定!$B$14,01_因子設定!$B$15-(_slice!G78+04_回帰ANOVA!$K$19*04_回帰ANOVA!$K$14*SQRT(1+_slice!G103))))),"外")</f>
        <v>-2.63765865533231</v>
      </c>
      <c r="H53" s="50" t="n">
        <f aca="false">IF(AND(_slice!$H$5=1,H$39&gt;=_slice!$H$6-0.000000001,H$39&lt;=_slice!$I$6+0.000000001,$B53&gt;=_slice!$H$7-0.000000001,$B53&lt;=_slice!$I$7+0.000000001,IF(01_因子設定!$B$20="Box-Behnken",H$39^2+$B53^2+_slice!$H$8&lt;=2+0.000000001,TRUE())),IF(01_因子設定!$B$13="最大化",(_slice!H78-04_回帰ANOVA!$K$19*04_回帰ANOVA!$K$14*SQRT(1+_slice!H103))-01_因子設定!$B$14,IF(01_因子設定!$B$13="最小化",01_因子設定!$B$15-(_slice!H78+04_回帰ANOVA!$K$19*04_回帰ANOVA!$K$14*SQRT(1+_slice!H103)),MIN((_slice!H78-04_回帰ANOVA!$K$19*04_回帰ANOVA!$K$14*SQRT(1+_slice!H103))-01_因子設定!$B$14,01_因子設定!$B$15-(_slice!H78+04_回帰ANOVA!$K$19*04_回帰ANOVA!$K$14*SQRT(1+_slice!H103))))),"外")</f>
        <v>-2.12249827339905</v>
      </c>
      <c r="I53" s="50" t="n">
        <f aca="false">IF(AND(_slice!$H$5=1,I$39&gt;=_slice!$H$6-0.000000001,I$39&lt;=_slice!$I$6+0.000000001,$B53&gt;=_slice!$H$7-0.000000001,$B53&lt;=_slice!$I$7+0.000000001,IF(01_因子設定!$B$20="Box-Behnken",I$39^2+$B53^2+_slice!$H$8&lt;=2+0.000000001,TRUE())),IF(01_因子設定!$B$13="最大化",(_slice!I78-04_回帰ANOVA!$K$19*04_回帰ANOVA!$K$14*SQRT(1+_slice!I103))-01_因子設定!$B$14,IF(01_因子設定!$B$13="最小化",01_因子設定!$B$15-(_slice!I78+04_回帰ANOVA!$K$19*04_回帰ANOVA!$K$14*SQRT(1+_slice!I103)),MIN((_slice!I78-04_回帰ANOVA!$K$19*04_回帰ANOVA!$K$14*SQRT(1+_slice!I103))-01_因子設定!$B$14,01_因子設定!$B$15-(_slice!I78+04_回帰ANOVA!$K$19*04_回帰ANOVA!$K$14*SQRT(1+_slice!I103))))),"外")</f>
        <v>-1.66843244298225</v>
      </c>
      <c r="J53" s="50" t="n">
        <f aca="false">IF(AND(_slice!$H$5=1,J$39&gt;=_slice!$H$6-0.000000001,J$39&lt;=_slice!$I$6+0.000000001,$B53&gt;=_slice!$H$7-0.000000001,$B53&lt;=_slice!$I$7+0.000000001,IF(01_因子設定!$B$20="Box-Behnken",J$39^2+$B53^2+_slice!$H$8&lt;=2+0.000000001,TRUE())),IF(01_因子設定!$B$13="最大化",(_slice!J78-04_回帰ANOVA!$K$19*04_回帰ANOVA!$K$14*SQRT(1+_slice!J103))-01_因子設定!$B$14,IF(01_因子設定!$B$13="最小化",01_因子設定!$B$15-(_slice!J78+04_回帰ANOVA!$K$19*04_回帰ANOVA!$K$14*SQRT(1+_slice!J103)),MIN((_slice!J78-04_回帰ANOVA!$K$19*04_回帰ANOVA!$K$14*SQRT(1+_slice!J103))-01_因子設定!$B$14,01_因子設定!$B$15-(_slice!J78+04_回帰ANOVA!$K$19*04_回帰ANOVA!$K$14*SQRT(1+_slice!J103))))),"外")</f>
        <v>-1.2730910291204</v>
      </c>
      <c r="K53" s="50" t="n">
        <f aca="false">IF(AND(_slice!$H$5=1,K$39&gt;=_slice!$H$6-0.000000001,K$39&lt;=_slice!$I$6+0.000000001,$B53&gt;=_slice!$H$7-0.000000001,$B53&lt;=_slice!$I$7+0.000000001,IF(01_因子設定!$B$20="Box-Behnken",K$39^2+$B53^2+_slice!$H$8&lt;=2+0.000000001,TRUE())),IF(01_因子設定!$B$13="最大化",(_slice!K78-04_回帰ANOVA!$K$19*04_回帰ANOVA!$K$14*SQRT(1+_slice!K103))-01_因子設定!$B$14,IF(01_因子設定!$B$13="最小化",01_因子設定!$B$15-(_slice!K78+04_回帰ANOVA!$K$19*04_回帰ANOVA!$K$14*SQRT(1+_slice!K103)),MIN((_slice!K78-04_回帰ANOVA!$K$19*04_回帰ANOVA!$K$14*SQRT(1+_slice!K103))-01_因子設定!$B$14,01_因子設定!$B$15-(_slice!K78+04_回帰ANOVA!$K$19*04_回帰ANOVA!$K$14*SQRT(1+_slice!K103))))),"外")</f>
        <v>-0.934587424799638</v>
      </c>
      <c r="L53" s="50" t="n">
        <f aca="false">IF(AND(_slice!$H$5=1,L$39&gt;=_slice!$H$6-0.000000001,L$39&lt;=_slice!$I$6+0.000000001,$B53&gt;=_slice!$H$7-0.000000001,$B53&lt;=_slice!$I$7+0.000000001,IF(01_因子設定!$B$20="Box-Behnken",L$39^2+$B53^2+_slice!$H$8&lt;=2+0.000000001,TRUE())),IF(01_因子設定!$B$13="最大化",(_slice!L78-04_回帰ANOVA!$K$19*04_回帰ANOVA!$K$14*SQRT(1+_slice!L103))-01_因子設定!$B$14,IF(01_因子設定!$B$13="最小化",01_因子設定!$B$15-(_slice!L78+04_回帰ANOVA!$K$19*04_回帰ANOVA!$K$14*SQRT(1+_slice!L103)),MIN((_slice!L78-04_回帰ANOVA!$K$19*04_回帰ANOVA!$K$14*SQRT(1+_slice!L103))-01_因子設定!$B$14,01_因子設定!$B$15-(_slice!L78+04_回帰ANOVA!$K$19*04_回帰ANOVA!$K$14*SQRT(1+_slice!L103))))),"外")</f>
        <v>-0.651562773871056</v>
      </c>
      <c r="M53" s="50" t="n">
        <f aca="false">IF(AND(_slice!$H$5=1,M$39&gt;=_slice!$H$6-0.000000001,M$39&lt;=_slice!$I$6+0.000000001,$B53&gt;=_slice!$H$7-0.000000001,$B53&lt;=_slice!$I$7+0.000000001,IF(01_因子設定!$B$20="Box-Behnken",M$39^2+$B53^2+_slice!$H$8&lt;=2+0.000000001,TRUE())),IF(01_因子設定!$B$13="最大化",(_slice!M78-04_回帰ANOVA!$K$19*04_回帰ANOVA!$K$14*SQRT(1+_slice!M103))-01_因子設定!$B$14,IF(01_因子設定!$B$13="最小化",01_因子設定!$B$15-(_slice!M78+04_回帰ANOVA!$K$19*04_回帰ANOVA!$K$14*SQRT(1+_slice!M103)),MIN((_slice!M78-04_回帰ANOVA!$K$19*04_回帰ANOVA!$K$14*SQRT(1+_slice!M103))-01_因子設定!$B$14,01_因子設定!$B$15-(_slice!M78+04_回帰ANOVA!$K$19*04_回帰ANOVA!$K$14*SQRT(1+_slice!M103))))),"外")</f>
        <v>-0.423200753355239</v>
      </c>
      <c r="N53" s="50" t="n">
        <f aca="false">IF(AND(_slice!$H$5=1,N$39&gt;=_slice!$H$6-0.000000001,N$39&lt;=_slice!$I$6+0.000000001,$B53&gt;=_slice!$H$7-0.000000001,$B53&lt;=_slice!$I$7+0.000000001,IF(01_因子設定!$B$20="Box-Behnken",N$39^2+$B53^2+_slice!$H$8&lt;=2+0.000000001,TRUE())),IF(01_因子設定!$B$13="最大化",(_slice!N78-04_回帰ANOVA!$K$19*04_回帰ANOVA!$K$14*SQRT(1+_slice!N103))-01_因子設定!$B$14,IF(01_因子設定!$B$13="最小化",01_因子設定!$B$15-(_slice!N78+04_回帰ANOVA!$K$19*04_回帰ANOVA!$K$14*SQRT(1+_slice!N103)),MIN((_slice!N78-04_回帰ANOVA!$K$19*04_回帰ANOVA!$K$14*SQRT(1+_slice!N103))-01_因子設定!$B$14,01_因子設定!$B$15-(_slice!N78+04_回帰ANOVA!$K$19*04_回帰ANOVA!$K$14*SQRT(1+_slice!N103))))),"外")</f>
        <v>-0.249229440537725</v>
      </c>
      <c r="O53" s="50" t="n">
        <f aca="false">IF(AND(_slice!$H$5=1,O$39&gt;=_slice!$H$6-0.000000001,O$39&lt;=_slice!$I$6+0.000000001,$B53&gt;=_slice!$H$7-0.000000001,$B53&lt;=_slice!$I$7+0.000000001,IF(01_因子設定!$B$20="Box-Behnken",O$39^2+$B53^2+_slice!$H$8&lt;=2+0.000000001,TRUE())),IF(01_因子設定!$B$13="最大化",(_slice!O78-04_回帰ANOVA!$K$19*04_回帰ANOVA!$K$14*SQRT(1+_slice!O103))-01_因子設定!$B$14,IF(01_因子設定!$B$13="最小化",01_因子設定!$B$15-(_slice!O78+04_回帰ANOVA!$K$19*04_回帰ANOVA!$K$14*SQRT(1+_slice!O103)),MIN((_slice!O78-04_回帰ANOVA!$K$19*04_回帰ANOVA!$K$14*SQRT(1+_slice!O103))-01_因子設定!$B$14,01_因子設定!$B$15-(_slice!O78+04_回帰ANOVA!$K$19*04_回帰ANOVA!$K$14*SQRT(1+_slice!O103))))),"外")</f>
        <v>-0.129920758132975</v>
      </c>
      <c r="P53" s="50" t="n">
        <f aca="false">IF(AND(_slice!$H$5=1,P$39&gt;=_slice!$H$6-0.000000001,P$39&lt;=_slice!$I$6+0.000000001,$B53&gt;=_slice!$H$7-0.000000001,$B53&lt;=_slice!$I$7+0.000000001,IF(01_因子設定!$B$20="Box-Behnken",P$39^2+$B53^2+_slice!$H$8&lt;=2+0.000000001,TRUE())),IF(01_因子設定!$B$13="最大化",(_slice!P78-04_回帰ANOVA!$K$19*04_回帰ANOVA!$K$14*SQRT(1+_slice!P103))-01_因子設定!$B$14,IF(01_因子設定!$B$13="最小化",01_因子設定!$B$15-(_slice!P78+04_回帰ANOVA!$K$19*04_回帰ANOVA!$K$14*SQRT(1+_slice!P103)),MIN((_slice!P78-04_回帰ANOVA!$K$19*04_回帰ANOVA!$K$14*SQRT(1+_slice!P103))-01_因子設定!$B$14,01_因子設定!$B$15-(_slice!P78+04_回帰ANOVA!$K$19*04_回帰ANOVA!$K$14*SQRT(1+_slice!P103))))),"外")</f>
        <v>-0.0660910291204075</v>
      </c>
      <c r="Q53" s="50" t="n">
        <f aca="false">IF(AND(_slice!$H$5=1,Q$39&gt;=_slice!$H$6-0.000000001,Q$39&lt;=_slice!$I$6+0.000000001,$B53&gt;=_slice!$H$7-0.000000001,$B53&lt;=_slice!$I$7+0.000000001,IF(01_因子設定!$B$20="Box-Behnken",Q$39^2+$B53^2+_slice!$H$8&lt;=2+0.000000001,TRUE())),IF(01_因子設定!$B$13="最大化",(_slice!Q78-04_回帰ANOVA!$K$19*04_回帰ANOVA!$K$14*SQRT(1+_slice!Q103))-01_因子設定!$B$14,IF(01_因子設定!$B$13="最小化",01_因子設定!$B$15-(_slice!Q78+04_回帰ANOVA!$K$19*04_回帰ANOVA!$K$14*SQRT(1+_slice!Q103)),MIN((_slice!Q78-04_回帰ANOVA!$K$19*04_回帰ANOVA!$K$14*SQRT(1+_slice!Q103))-01_因子設定!$B$14,01_因子設定!$B$15-(_slice!Q78+04_回帰ANOVA!$K$19*04_回帰ANOVA!$K$14*SQRT(1+_slice!Q103))))),"外")</f>
        <v>-0.0590991096489262</v>
      </c>
      <c r="R53" s="50" t="n">
        <f aca="false">IF(AND(_slice!$H$5=1,R$39&gt;=_slice!$H$6-0.000000001,R$39&lt;=_slice!$I$6+0.000000001,$B53&gt;=_slice!$H$7-0.000000001,$B53&lt;=_slice!$I$7+0.000000001,IF(01_因子設定!$B$20="Box-Behnken",R$39^2+$B53^2+_slice!$H$8&lt;=2+0.000000001,TRUE())),IF(01_因子設定!$B$13="最大化",(_slice!R78-04_回帰ANOVA!$K$19*04_回帰ANOVA!$K$14*SQRT(1+_slice!R103))-01_因子設定!$B$14,IF(01_因子設定!$B$13="最小化",01_因子設定!$B$15-(_slice!R78+04_回帰ANOVA!$K$19*04_回帰ANOVA!$K$14*SQRT(1+_slice!R103)),MIN((_slice!R78-04_回帰ANOVA!$K$19*04_回帰ANOVA!$K$14*SQRT(1+_slice!R103))-01_因子設定!$B$14,01_因子設定!$B$15-(_slice!R78+04_回帰ANOVA!$K$19*04_回帰ANOVA!$K$14*SQRT(1+_slice!R103))))),"外")</f>
        <v>-0.110831606732376</v>
      </c>
      <c r="S53" s="50" t="n">
        <f aca="false">IF(AND(_slice!$H$5=1,S$39&gt;=_slice!$H$6-0.000000001,S$39&lt;=_slice!$I$6+0.000000001,$B53&gt;=_slice!$H$7-0.000000001,$B53&lt;=_slice!$I$7+0.000000001,IF(01_因子設定!$B$20="Box-Behnken",S$39^2+$B53^2+_slice!$H$8&lt;=2+0.000000001,TRUE())),IF(01_因子設定!$B$13="最大化",(_slice!S78-04_回帰ANOVA!$K$19*04_回帰ANOVA!$K$14*SQRT(1+_slice!S103))-01_因子設定!$B$14,IF(01_因子設定!$B$13="最小化",01_因子設定!$B$15-(_slice!S78+04_回帰ANOVA!$K$19*04_回帰ANOVA!$K$14*SQRT(1+_slice!S103)),MIN((_slice!S78-04_回帰ANOVA!$K$19*04_回帰ANOVA!$K$14*SQRT(1+_slice!S103))-01_因子設定!$B$14,01_因子設定!$B$15-(_slice!S78+04_回帰ANOVA!$K$19*04_回帰ANOVA!$K$14*SQRT(1+_slice!S103))))),"外")</f>
        <v>-0.223658655332308</v>
      </c>
      <c r="T53" s="50" t="n">
        <f aca="false">IF(AND(_slice!$H$5=1,T$39&gt;=_slice!$H$6-0.000000001,T$39&lt;=_slice!$I$6+0.000000001,$B53&gt;=_slice!$H$7-0.000000001,$B53&lt;=_slice!$I$7+0.000000001,IF(01_因子設定!$B$20="Box-Behnken",T$39^2+$B53^2+_slice!$H$8&lt;=2+0.000000001,TRUE())),IF(01_因子設定!$B$13="最大化",(_slice!T78-04_回帰ANOVA!$K$19*04_回帰ANOVA!$K$14*SQRT(1+_slice!T103))-01_因子設定!$B$14,IF(01_因子設定!$B$13="最小化",01_因子設定!$B$15-(_slice!T78+04_回帰ANOVA!$K$19*04_回帰ANOVA!$K$14*SQRT(1+_slice!T103)),MIN((_slice!T78-04_回帰ANOVA!$K$19*04_回帰ANOVA!$K$14*SQRT(1+_slice!T103))-01_因子設定!$B$14,01_因子設定!$B$15-(_slice!T78+04_回帰ANOVA!$K$19*04_回帰ANOVA!$K$14*SQRT(1+_slice!T103))))),"外")</f>
        <v>-0.400341129572617</v>
      </c>
      <c r="U53" s="50" t="n">
        <f aca="false">IF(AND(_slice!$H$5=1,U$39&gt;=_slice!$H$6-0.000000001,U$39&lt;=_slice!$I$6+0.000000001,$B53&gt;=_slice!$H$7-0.000000001,$B53&lt;=_slice!$I$7+0.000000001,IF(01_因子設定!$B$20="Box-Behnken",U$39^2+$B53^2+_slice!$H$8&lt;=2+0.000000001,TRUE())),IF(01_因子設定!$B$13="最大化",(_slice!U78-04_回帰ANOVA!$K$19*04_回帰ANOVA!$K$14*SQRT(1+_slice!U103))-01_因子設定!$B$14,IF(01_因子設定!$B$13="最小化",01_因子設定!$B$15-(_slice!U78+04_回帰ANOVA!$K$19*04_回帰ANOVA!$K$14*SQRT(1+_slice!U103)),MIN((_slice!U78-04_回帰ANOVA!$K$19*04_回帰ANOVA!$K$14*SQRT(1+_slice!U103))-01_因子設定!$B$14,01_因子設定!$B$15-(_slice!U78+04_回帰ANOVA!$K$19*04_回帰ANOVA!$K$14*SQRT(1+_slice!U103))))),"外")</f>
        <v>-0.643875229813133</v>
      </c>
      <c r="V53" s="50" t="n">
        <f aca="false">IF(AND(_slice!$H$5=1,V$39&gt;=_slice!$H$6-0.000000001,V$39&lt;=_slice!$I$6+0.000000001,$B53&gt;=_slice!$H$7-0.000000001,$B53&lt;=_slice!$I$7+0.000000001,IF(01_因子設定!$B$20="Box-Behnken",V$39^2+$B53^2+_slice!$H$8&lt;=2+0.000000001,TRUE())),IF(01_因子設定!$B$13="最大化",(_slice!V78-04_回帰ANOVA!$K$19*04_回帰ANOVA!$K$14*SQRT(1+_slice!V103))-01_因子設定!$B$14,IF(01_因子設定!$B$13="最小化",01_因子設定!$B$15-(_slice!V78+04_回帰ANOVA!$K$19*04_回帰ANOVA!$K$14*SQRT(1+_slice!V103)),MIN((_slice!V78-04_回帰ANOVA!$K$19*04_回帰ANOVA!$K$14*SQRT(1+_slice!V103))-01_因子設定!$B$14,01_因子設定!$B$15-(_slice!V78+04_回帰ANOVA!$K$19*04_回帰ANOVA!$K$14*SQRT(1+_slice!V103))))),"外")</f>
        <v>-0.957276763061309</v>
      </c>
      <c r="W53" s="50" t="n">
        <f aca="false">IF(AND(_slice!$H$5=1,W$39&gt;=_slice!$H$6-0.000000001,W$39&lt;=_slice!$I$6+0.000000001,$B53&gt;=_slice!$H$7-0.000000001,$B53&lt;=_slice!$I$7+0.000000001,IF(01_因子設定!$B$20="Box-Behnken",W$39^2+$B53^2+_slice!$H$8&lt;=2+0.000000001,TRUE())),IF(01_因子設定!$B$13="最大化",(_slice!W78-04_回帰ANOVA!$K$19*04_回帰ANOVA!$K$14*SQRT(1+_slice!W103))-01_因子設定!$B$14,IF(01_因子設定!$B$13="最小化",01_因子設定!$B$15-(_slice!W78+04_回帰ANOVA!$K$19*04_回帰ANOVA!$K$14*SQRT(1+_slice!W103)),MIN((_slice!W78-04_回帰ANOVA!$K$19*04_回帰ANOVA!$K$14*SQRT(1+_slice!W103))-01_因子設定!$B$14,01_因子設定!$B$15-(_slice!W78+04_回帰ANOVA!$K$19*04_回帰ANOVA!$K$14*SQRT(1+_slice!W103))))),"外")</f>
        <v>-1.34333310977838</v>
      </c>
    </row>
    <row r="54" customFormat="false" ht="15" hidden="false" customHeight="false" outlineLevel="0" collapsed="false">
      <c r="A54" s="49" t="n">
        <f aca="false">INDEX(01_因子設定!$G$5:$G$6,$C$5)+B54*INDEX(01_因子設定!$H$5:$H$6,$C$5)</f>
        <v>27</v>
      </c>
      <c r="B54" s="49" t="n">
        <v>-0.3</v>
      </c>
      <c r="C54" s="50" t="n">
        <f aca="false">IF(AND(_slice!$H$5=1,C$39&gt;=_slice!$H$6-0.000000001,C$39&lt;=_slice!$I$6+0.000000001,$B54&gt;=_slice!$H$7-0.000000001,$B54&lt;=_slice!$I$7+0.000000001,IF(01_因子設定!$B$20="Box-Behnken",C$39^2+$B54^2+_slice!$H$8&lt;=2+0.000000001,TRUE())),IF(01_因子設定!$B$13="最大化",(_slice!C79-04_回帰ANOVA!$K$19*04_回帰ANOVA!$K$14*SQRT(1+_slice!C104))-01_因子設定!$B$14,IF(01_因子設定!$B$13="最小化",01_因子設定!$B$15-(_slice!C79+04_回帰ANOVA!$K$19*04_回帰ANOVA!$K$14*SQRT(1+_slice!C104)),MIN((_slice!C79-04_回帰ANOVA!$K$19*04_回帰ANOVA!$K$14*SQRT(1+_slice!C104))-01_因子設定!$B$14,01_因子設定!$B$15-(_slice!C79+04_回帰ANOVA!$K$19*04_回帰ANOVA!$K$14*SQRT(1+_slice!C104))))),"外")</f>
        <v>-5.61579395730952</v>
      </c>
      <c r="D54" s="50" t="n">
        <f aca="false">IF(AND(_slice!$H$5=1,D$39&gt;=_slice!$H$6-0.000000001,D$39&lt;=_slice!$I$6+0.000000001,$B54&gt;=_slice!$H$7-0.000000001,$B54&lt;=_slice!$I$7+0.000000001,IF(01_因子設定!$B$20="Box-Behnken",D$39^2+$B54^2+_slice!$H$8&lt;=2+0.000000001,TRUE())),IF(01_因子設定!$B$13="最大化",(_slice!D79-04_回帰ANOVA!$K$19*04_回帰ANOVA!$K$14*SQRT(1+_slice!D104))-01_因子設定!$B$14,IF(01_因子設定!$B$13="最小化",01_因子設定!$B$15-(_slice!D79+04_回帰ANOVA!$K$19*04_回帰ANOVA!$K$14*SQRT(1+_slice!D104)),MIN((_slice!D79-04_回帰ANOVA!$K$19*04_回帰ANOVA!$K$14*SQRT(1+_slice!D104))-01_因子設定!$B$14,01_因子設定!$B$15-(_slice!D79+04_回帰ANOVA!$K$19*04_回帰ANOVA!$K$14*SQRT(1+_slice!D104))))),"外")</f>
        <v>-4.83277432799997</v>
      </c>
      <c r="E54" s="50" t="n">
        <f aca="false">IF(AND(_slice!$H$5=1,E$39&gt;=_slice!$H$6-0.000000001,E$39&lt;=_slice!$I$6+0.000000001,$B54&gt;=_slice!$H$7-0.000000001,$B54&lt;=_slice!$I$7+0.000000001,IF(01_因子設定!$B$20="Box-Behnken",E$39^2+$B54^2+_slice!$H$8&lt;=2+0.000000001,TRUE())),IF(01_因子設定!$B$13="最大化",(_slice!E79-04_回帰ANOVA!$K$19*04_回帰ANOVA!$K$14*SQRT(1+_slice!E104))-01_因子設定!$B$14,IF(01_因子設定!$B$13="最小化",01_因子設定!$B$15-(_slice!E79+04_回帰ANOVA!$K$19*04_回帰ANOVA!$K$14*SQRT(1+_slice!E104)),MIN((_slice!E79-04_回帰ANOVA!$K$19*04_回帰ANOVA!$K$14*SQRT(1+_slice!E104))-01_因子設定!$B$14,01_因子設定!$B$15-(_slice!E79+04_回帰ANOVA!$K$19*04_回帰ANOVA!$K$14*SQRT(1+_slice!E104))))),"外")</f>
        <v>-4.12240770200069</v>
      </c>
      <c r="F54" s="50" t="n">
        <f aca="false">IF(AND(_slice!$H$5=1,F$39&gt;=_slice!$H$6-0.000000001,F$39&lt;=_slice!$I$6+0.000000001,$B54&gt;=_slice!$H$7-0.000000001,$B54&lt;=_slice!$I$7+0.000000001,IF(01_因子設定!$B$20="Box-Behnken",F$39^2+$B54^2+_slice!$H$8&lt;=2+0.000000001,TRUE())),IF(01_因子設定!$B$13="最大化",(_slice!F79-04_回帰ANOVA!$K$19*04_回帰ANOVA!$K$14*SQRT(1+_slice!F104))-01_因子設定!$B$14,IF(01_因子設定!$B$13="最小化",01_因子設定!$B$15-(_slice!F79+04_回帰ANOVA!$K$19*04_回帰ANOVA!$K$14*SQRT(1+_slice!F104)),MIN((_slice!F79-04_回帰ANOVA!$K$19*04_回帰ANOVA!$K$14*SQRT(1+_slice!F104))-01_因子設定!$B$14,01_因子設定!$B$15-(_slice!F79+04_回帰ANOVA!$K$19*04_回帰ANOVA!$K$14*SQRT(1+_slice!F104))))),"外")</f>
        <v>-3.48190201951952</v>
      </c>
      <c r="G54" s="50" t="n">
        <f aca="false">IF(AND(_slice!$H$5=1,G$39&gt;=_slice!$H$6-0.000000001,G$39&lt;=_slice!$I$6+0.000000001,$B54&gt;=_slice!$H$7-0.000000001,$B54&lt;=_slice!$I$7+0.000000001,IF(01_因子設定!$B$20="Box-Behnken",G$39^2+$B54^2+_slice!$H$8&lt;=2+0.000000001,TRUE())),IF(01_因子設定!$B$13="最大化",(_slice!G79-04_回帰ANOVA!$K$19*04_回帰ANOVA!$K$14*SQRT(1+_slice!G104))-01_因子設定!$B$14,IF(01_因子設定!$B$13="最小化",01_因子設定!$B$15-(_slice!G79+04_回帰ANOVA!$K$19*04_回帰ANOVA!$K$14*SQRT(1+_slice!G104)),MIN((_slice!G79-04_回帰ANOVA!$K$19*04_回帰ANOVA!$K$14*SQRT(1+_slice!G104))-01_因子設定!$B$14,01_因子設定!$B$15-(_slice!G79+04_回帰ANOVA!$K$19*04_回帰ANOVA!$K$14*SQRT(1+_slice!G104))))),"外")</f>
        <v>-2.90823750879512</v>
      </c>
      <c r="H54" s="50" t="n">
        <f aca="false">IF(AND(_slice!$H$5=1,H$39&gt;=_slice!$H$6-0.000000001,H$39&lt;=_slice!$I$6+0.000000001,$B54&gt;=_slice!$H$7-0.000000001,$B54&lt;=_slice!$I$7+0.000000001,IF(01_因子設定!$B$20="Box-Behnken",H$39^2+$B54^2+_slice!$H$8&lt;=2+0.000000001,TRUE())),IF(01_因子設定!$B$13="最大化",(_slice!H79-04_回帰ANOVA!$K$19*04_回帰ANOVA!$K$14*SQRT(1+_slice!H104))-01_因子設定!$B$14,IF(01_因子設定!$B$13="最小化",01_因子設定!$B$15-(_slice!H79+04_回帰ANOVA!$K$19*04_回帰ANOVA!$K$14*SQRT(1+_slice!H104)),MIN((_slice!H79-04_回帰ANOVA!$K$19*04_回帰ANOVA!$K$14*SQRT(1+_slice!H104))-01_因子設定!$B$14,01_因子設定!$B$15-(_slice!H79+04_回帰ANOVA!$K$19*04_回帰ANOVA!$K$14*SQRT(1+_slice!H104))))),"外")</f>
        <v>-2.39841507792762</v>
      </c>
      <c r="I54" s="50" t="n">
        <f aca="false">IF(AND(_slice!$H$5=1,I$39&gt;=_slice!$H$6-0.000000001,I$39&lt;=_slice!$I$6+0.000000001,$B54&gt;=_slice!$H$7-0.000000001,$B54&lt;=_slice!$I$7+0.000000001,IF(01_因子設定!$B$20="Box-Behnken",I$39^2+$B54^2+_slice!$H$8&lt;=2+0.000000001,TRUE())),IF(01_因子設定!$B$13="最大化",(_slice!I79-04_回帰ANOVA!$K$19*04_回帰ANOVA!$K$14*SQRT(1+_slice!I104))-01_因子設定!$B$14,IF(01_因子設定!$B$13="最小化",01_因子設定!$B$15-(_slice!I79+04_回帰ANOVA!$K$19*04_回帰ANOVA!$K$14*SQRT(1+_slice!I104)),MIN((_slice!I79-04_回帰ANOVA!$K$19*04_回帰ANOVA!$K$14*SQRT(1+_slice!I104))-01_因子設定!$B$14,01_因子設定!$B$15-(_slice!I79+04_回帰ANOVA!$K$19*04_回帰ANOVA!$K$14*SQRT(1+_slice!I104))))),"外")</f>
        <v>-1.9496720672715</v>
      </c>
      <c r="J54" s="50" t="n">
        <f aca="false">IF(AND(_slice!$H$5=1,J$39&gt;=_slice!$H$6-0.000000001,J$39&lt;=_slice!$I$6+0.000000001,$B54&gt;=_slice!$H$7-0.000000001,$B54&lt;=_slice!$I$7+0.000000001,IF(01_因子設定!$B$20="Box-Behnken",J$39^2+$B54^2+_slice!$H$8&lt;=2+0.000000001,TRUE())),IF(01_因子設定!$B$13="最大化",(_slice!J79-04_回帰ANOVA!$K$19*04_回帰ANOVA!$K$14*SQRT(1+_slice!J104))-01_因子設定!$B$14,IF(01_因子設定!$B$13="最小化",01_因子設定!$B$15-(_slice!J79+04_回帰ANOVA!$K$19*04_回帰ANOVA!$K$14*SQRT(1+_slice!J104)),MIN((_slice!J79-04_回帰ANOVA!$K$19*04_回帰ANOVA!$K$14*SQRT(1+_slice!J104))-01_因子設定!$B$14,01_因子設定!$B$15-(_slice!J79+04_回帰ANOVA!$K$19*04_回帰ANOVA!$K$14*SQRT(1+_slice!J104))))),"外")</f>
        <v>-1.55963745895618</v>
      </c>
      <c r="K54" s="50" t="n">
        <f aca="false">IF(AND(_slice!$H$5=1,K$39&gt;=_slice!$H$6-0.000000001,K$39&lt;=_slice!$I$6+0.000000001,$B54&gt;=_slice!$H$7-0.000000001,$B54&lt;=_slice!$I$7+0.000000001,IF(01_因子設定!$B$20="Box-Behnken",K$39^2+$B54^2+_slice!$H$8&lt;=2+0.000000001,TRUE())),IF(01_因子設定!$B$13="最大化",(_slice!K79-04_回帰ANOVA!$K$19*04_回帰ANOVA!$K$14*SQRT(1+_slice!K104))-01_因子設定!$B$14,IF(01_因子設定!$B$13="最小化",01_因子設定!$B$15-(_slice!K79+04_回帰ANOVA!$K$19*04_回帰ANOVA!$K$14*SQRT(1+_slice!K104)),MIN((_slice!K79-04_回帰ANOVA!$K$19*04_回帰ANOVA!$K$14*SQRT(1+_slice!K104))-01_因子設定!$B$14,01_因子設定!$B$15-(_slice!K79+04_回帰ANOVA!$K$19*04_回帰ANOVA!$K$14*SQRT(1+_slice!K104))))),"外")</f>
        <v>-1.22642436245372</v>
      </c>
      <c r="L54" s="50" t="n">
        <f aca="false">IF(AND(_slice!$H$5=1,L$39&gt;=_slice!$H$6-0.000000001,L$39&lt;=_slice!$I$6+0.000000001,$B54&gt;=_slice!$H$7-0.000000001,$B54&lt;=_slice!$I$7+0.000000001,IF(01_因子設定!$B$20="Box-Behnken",L$39^2+$B54^2+_slice!$H$8&lt;=2+0.000000001,TRUE())),IF(01_因子設定!$B$13="最大化",(_slice!L79-04_回帰ANOVA!$K$19*04_回帰ANOVA!$K$14*SQRT(1+_slice!L104))-01_因子設定!$B$14,IF(01_因子設定!$B$13="最小化",01_因子設定!$B$15-(_slice!L79+04_回帰ANOVA!$K$19*04_回帰ANOVA!$K$14*SQRT(1+_slice!L104)),MIN((_slice!L79-04_回帰ANOVA!$K$19*04_回帰ANOVA!$K$14*SQRT(1+_slice!L104))-01_因子設定!$B$14,01_因子設定!$B$15-(_slice!L79+04_回帰ANOVA!$K$19*04_回帰ANOVA!$K$14*SQRT(1+_slice!L104))))),"外")</f>
        <v>-0.948673944037871</v>
      </c>
      <c r="M54" s="50" t="n">
        <f aca="false">IF(AND(_slice!$H$5=1,M$39&gt;=_slice!$H$6-0.000000001,M$39&lt;=_slice!$I$6+0.000000001,$B54&gt;=_slice!$H$7-0.000000001,$B54&lt;=_slice!$I$7+0.000000001,IF(01_因子設定!$B$20="Box-Behnken",M$39^2+$B54^2+_slice!$H$8&lt;=2+0.000000001,TRUE())),IF(01_因子設定!$B$13="最大化",(_slice!M79-04_回帰ANOVA!$K$19*04_回帰ANOVA!$K$14*SQRT(1+_slice!M104))-01_因子設定!$B$14,IF(01_因子設定!$B$13="最小化",01_因子設定!$B$15-(_slice!M79+04_回帰ANOVA!$K$19*04_回帰ANOVA!$K$14*SQRT(1+_slice!M104)),MIN((_slice!M79-04_回帰ANOVA!$K$19*04_回帰ANOVA!$K$14*SQRT(1+_slice!M104))-01_因子設定!$B$14,01_因子設定!$B$15-(_slice!M79+04_回帰ANOVA!$K$19*04_回帰ANOVA!$K$14*SQRT(1+_slice!M104))))),"外")</f>
        <v>-0.725569984514394</v>
      </c>
      <c r="N54" s="50" t="n">
        <f aca="false">IF(AND(_slice!$H$5=1,N$39&gt;=_slice!$H$6-0.000000001,N$39&lt;=_slice!$I$6+0.000000001,$B54&gt;=_slice!$H$7-0.000000001,$B54&lt;=_slice!$I$7+0.000000001,IF(01_因子設定!$B$20="Box-Behnken",N$39^2+$B54^2+_slice!$H$8&lt;=2+0.000000001,TRUE())),IF(01_因子設定!$B$13="最大化",(_slice!N79-04_回帰ANOVA!$K$19*04_回帰ANOVA!$K$14*SQRT(1+_slice!N104))-01_因子設定!$B$14,IF(01_因子設定!$B$13="最小化",01_因子設定!$B$15-(_slice!N79+04_回帰ANOVA!$K$19*04_回帰ANOVA!$K$14*SQRT(1+_slice!N104)),MIN((_slice!N79-04_回帰ANOVA!$K$19*04_回帰ANOVA!$K$14*SQRT(1+_slice!N104))-01_因子設定!$B$14,01_因子設定!$B$15-(_slice!N79+04_回帰ANOVA!$K$19*04_回帰ANOVA!$K$14*SQRT(1+_slice!N104))))),"外")</f>
        <v>-0.556840610704533</v>
      </c>
      <c r="O54" s="50" t="n">
        <f aca="false">IF(AND(_slice!$H$5=1,O$39&gt;=_slice!$H$6-0.000000001,O$39&lt;=_slice!$I$6+0.000000001,$B54&gt;=_slice!$H$7-0.000000001,$B54&lt;=_slice!$I$7+0.000000001,IF(01_因子設定!$B$20="Box-Behnken",O$39^2+$B54^2+_slice!$H$8&lt;=2+0.000000001,TRUE())),IF(01_因子設定!$B$13="最大化",(_slice!O79-04_回帰ANOVA!$K$19*04_回帰ANOVA!$K$14*SQRT(1+_slice!O104))-01_因子設定!$B$14,IF(01_因子設定!$B$13="最小化",01_因子設定!$B$15-(_slice!O79+04_回帰ANOVA!$K$19*04_回帰ANOVA!$K$14*SQRT(1+_slice!O104)),MIN((_slice!O79-04_回帰ANOVA!$K$19*04_回帰ANOVA!$K$14*SQRT(1+_slice!O104))-01_因子設定!$B$14,01_因子設定!$B$15-(_slice!O79+04_回帰ANOVA!$K$19*04_回帰ANOVA!$K$14*SQRT(1+_slice!O104))))),"外")</f>
        <v>-0.442757695787059</v>
      </c>
      <c r="P54" s="50" t="n">
        <f aca="false">IF(AND(_slice!$H$5=1,P$39&gt;=_slice!$H$6-0.000000001,P$39&lt;=_slice!$I$6+0.000000001,$B54&gt;=_slice!$H$7-0.000000001,$B54&lt;=_slice!$I$7+0.000000001,IF(01_因子設定!$B$20="Box-Behnken",P$39^2+$B54^2+_slice!$H$8&lt;=2+0.000000001,TRUE())),IF(01_因子設定!$B$13="最大化",(_slice!P79-04_回帰ANOVA!$K$19*04_回帰ANOVA!$K$14*SQRT(1+_slice!P104))-01_因子設定!$B$14,IF(01_因子設定!$B$13="最小化",01_因子設定!$B$15-(_slice!P79+04_回帰ANOVA!$K$19*04_回帰ANOVA!$K$14*SQRT(1+_slice!P104)),MIN((_slice!P79-04_回帰ANOVA!$K$19*04_回帰ANOVA!$K$14*SQRT(1+_slice!P104))-01_因子設定!$B$14,01_因子設定!$B$15-(_slice!P79+04_回帰ANOVA!$K$19*04_回帰ANOVA!$K$14*SQRT(1+_slice!P104))))),"外")</f>
        <v>-0.384137458956182</v>
      </c>
      <c r="Q54" s="50" t="n">
        <f aca="false">IF(AND(_slice!$H$5=1,Q$39&gt;=_slice!$H$6-0.000000001,Q$39&lt;=_slice!$I$6+0.000000001,$B54&gt;=_slice!$H$7-0.000000001,$B54&lt;=_slice!$I$7+0.000000001,IF(01_因子設定!$B$20="Box-Behnken",Q$39^2+$B54^2+_slice!$H$8&lt;=2+0.000000001,TRUE())),IF(01_因子設定!$B$13="最大化",(_slice!Q79-04_回帰ANOVA!$K$19*04_回帰ANOVA!$K$14*SQRT(1+_slice!Q104))-01_因子設定!$B$14,IF(01_因子設定!$B$13="最小化",01_因子設定!$B$15-(_slice!Q79+04_回帰ANOVA!$K$19*04_回帰ANOVA!$K$14*SQRT(1+_slice!Q104)),MIN((_slice!Q79-04_回帰ANOVA!$K$19*04_回帰ANOVA!$K$14*SQRT(1+_slice!Q104))-01_因子設定!$B$14,01_因子設定!$B$15-(_slice!Q79+04_回帰ANOVA!$K$19*04_回帰ANOVA!$K$14*SQRT(1+_slice!Q104))))),"外")</f>
        <v>-0.382338733938177</v>
      </c>
      <c r="R54" s="50" t="n">
        <f aca="false">IF(AND(_slice!$H$5=1,R$39&gt;=_slice!$H$6-0.000000001,R$39&lt;=_slice!$I$6+0.000000001,$B54&gt;=_slice!$H$7-0.000000001,$B54&lt;=_slice!$I$7+0.000000001,IF(01_因子設定!$B$20="Box-Behnken",R$39^2+$B54^2+_slice!$H$8&lt;=2+0.000000001,TRUE())),IF(01_因子設定!$B$13="最大化",(_slice!R79-04_回帰ANOVA!$K$19*04_回帰ANOVA!$K$14*SQRT(1+_slice!R104))-01_因子設定!$B$14,IF(01_因子設定!$B$13="最小化",01_因子設定!$B$15-(_slice!R79+04_回帰ANOVA!$K$19*04_回帰ANOVA!$K$14*SQRT(1+_slice!R104)),MIN((_slice!R79-04_回帰ANOVA!$K$19*04_回帰ANOVA!$K$14*SQRT(1+_slice!R104))-01_因子設定!$B$14,01_因子設定!$B$15-(_slice!R79+04_回帰ANOVA!$K$19*04_回帰ANOVA!$K$14*SQRT(1+_slice!R104))))),"外")</f>
        <v>-0.439248411260948</v>
      </c>
      <c r="S54" s="50" t="n">
        <f aca="false">IF(AND(_slice!$H$5=1,S$39&gt;=_slice!$H$6-0.000000001,S$39&lt;=_slice!$I$6+0.000000001,$B54&gt;=_slice!$H$7-0.000000001,$B54&lt;=_slice!$I$7+0.000000001,IF(01_因子設定!$B$20="Box-Behnken",S$39^2+$B54^2+_slice!$H$8&lt;=2+0.000000001,TRUE())),IF(01_因子設定!$B$13="最大化",(_slice!S79-04_回帰ANOVA!$K$19*04_回帰ANOVA!$K$14*SQRT(1+_slice!S104))-01_因子設定!$B$14,IF(01_因子設定!$B$13="最小化",01_因子設定!$B$15-(_slice!S79+04_回帰ANOVA!$K$19*04_回帰ANOVA!$K$14*SQRT(1+_slice!S104)),MIN((_slice!S79-04_回帰ANOVA!$K$19*04_回帰ANOVA!$K$14*SQRT(1+_slice!S104))-01_因子設定!$B$14,01_因子設定!$B$15-(_slice!S79+04_回帰ANOVA!$K$19*04_回帰ANOVA!$K$14*SQRT(1+_slice!S104))))),"外")</f>
        <v>-0.557237508795105</v>
      </c>
      <c r="T54" s="50" t="n">
        <f aca="false">IF(AND(_slice!$H$5=1,T$39&gt;=_slice!$H$6-0.000000001,T$39&lt;=_slice!$I$6+0.000000001,$B54&gt;=_slice!$H$7-0.000000001,$B54&lt;=_slice!$I$7+0.000000001,IF(01_因子設定!$B$20="Box-Behnken",T$39^2+$B54^2+_slice!$H$8&lt;=2+0.000000001,TRUE())),IF(01_因子設定!$B$13="最大化",(_slice!T79-04_回帰ANOVA!$K$19*04_回帰ANOVA!$K$14*SQRT(1+_slice!T104))-01_因子設定!$B$14,IF(01_因子設定!$B$13="最小化",01_因子設定!$B$15-(_slice!T79+04_回帰ANOVA!$K$19*04_回帰ANOVA!$K$14*SQRT(1+_slice!T104)),MIN((_slice!T79-04_回帰ANOVA!$K$19*04_回帰ANOVA!$K$14*SQRT(1+_slice!T104))-01_因子設定!$B$14,01_因子設定!$B$15-(_slice!T79+04_回帰ANOVA!$K$19*04_回帰ANOVA!$K$14*SQRT(1+_slice!T104))))),"外")</f>
        <v>-0.73906868618618</v>
      </c>
      <c r="U54" s="50" t="n">
        <f aca="false">IF(AND(_slice!$H$5=1,U$39&gt;=_slice!$H$6-0.000000001,U$39&lt;=_slice!$I$6+0.000000001,$B54&gt;=_slice!$H$7-0.000000001,$B54&lt;=_slice!$I$7+0.000000001,IF(01_因子設定!$B$20="Box-Behnken",U$39^2+$B54^2+_slice!$H$8&lt;=2+0.000000001,TRUE())),IF(01_因子設定!$B$13="最大化",(_slice!U79-04_回帰ANOVA!$K$19*04_回帰ANOVA!$K$14*SQRT(1+_slice!U104))-01_因子設定!$B$14,IF(01_因子設定!$B$13="最小化",01_因子設定!$B$15-(_slice!U79+04_回帰ANOVA!$K$19*04_回帰ANOVA!$K$14*SQRT(1+_slice!U104)),MIN((_slice!U79-04_回帰ANOVA!$K$19*04_回帰ANOVA!$K$14*SQRT(1+_slice!U104))-01_因子設定!$B$14,01_因子設定!$B$15-(_slice!U79+04_回帰ANOVA!$K$19*04_回帰ANOVA!$K$14*SQRT(1+_slice!U104))))),"外")</f>
        <v>-0.987741035334011</v>
      </c>
      <c r="V54" s="50" t="n">
        <f aca="false">IF(AND(_slice!$H$5=1,V$39&gt;=_slice!$H$6-0.000000001,V$39&lt;=_slice!$I$6+0.000000001,$B54&gt;=_slice!$H$7-0.000000001,$B54&lt;=_slice!$I$7+0.000000001,IF(01_因子設定!$B$20="Box-Behnken",V$39^2+$B54^2+_slice!$H$8&lt;=2+0.000000001,TRUE())),IF(01_因子設定!$B$13="最大化",(_slice!V79-04_回帰ANOVA!$K$19*04_回帰ANOVA!$K$14*SQRT(1+_slice!V104))-01_因子設定!$B$14,IF(01_因子設定!$B$13="最小化",01_因子設定!$B$15-(_slice!V79+04_回帰ANOVA!$K$19*04_回帰ANOVA!$K$14*SQRT(1+_slice!V104)),MIN((_slice!V79-04_回帰ANOVA!$K$19*04_回帰ANOVA!$K$14*SQRT(1+_slice!V104))-01_因子設定!$B$14,01_因子設定!$B$15-(_slice!V79+04_回帰ANOVA!$K$19*04_回帰ANOVA!$K$14*SQRT(1+_slice!V104))))),"外")</f>
        <v>-1.30627432799997</v>
      </c>
      <c r="W54" s="50" t="n">
        <f aca="false">IF(AND(_slice!$H$5=1,W$39&gt;=_slice!$H$6-0.000000001,W$39&lt;=_slice!$I$6+0.000000001,$B54&gt;=_slice!$H$7-0.000000001,$B54&lt;=_slice!$I$7+0.000000001,IF(01_因子設定!$B$20="Box-Behnken",W$39^2+$B54^2+_slice!$H$8&lt;=2+0.000000001,TRUE())),IF(01_因子設定!$B$13="最大化",(_slice!W79-04_回帰ANOVA!$K$19*04_回帰ANOVA!$K$14*SQRT(1+_slice!W104))-01_因子設定!$B$14,IF(01_因子設定!$B$13="最小化",01_因子設定!$B$15-(_slice!W79+04_回帰ANOVA!$K$19*04_回帰ANOVA!$K$14*SQRT(1+_slice!W104)),MIN((_slice!W79-04_回帰ANOVA!$K$19*04_回帰ANOVA!$K$14*SQRT(1+_slice!W104))-01_因子設定!$B$14,01_因子設定!$B$15-(_slice!W79+04_回帰ANOVA!$K$19*04_回帰ANOVA!$K$14*SQRT(1+_slice!W104))))),"外")</f>
        <v>-1.69746062397618</v>
      </c>
    </row>
    <row r="55" customFormat="false" ht="15" hidden="false" customHeight="false" outlineLevel="0" collapsed="false">
      <c r="A55" s="49" t="n">
        <f aca="false">INDEX(01_因子設定!$G$5:$G$6,$C$5)+B55*INDEX(01_因子設定!$H$5:$H$6,$C$5)</f>
        <v>26</v>
      </c>
      <c r="B55" s="49" t="n">
        <v>-0.4</v>
      </c>
      <c r="C55" s="50" t="n">
        <f aca="false">IF(AND(_slice!$H$5=1,C$39&gt;=_slice!$H$6-0.000000001,C$39&lt;=_slice!$I$6+0.000000001,$B55&gt;=_slice!$H$7-0.000000001,$B55&lt;=_slice!$I$7+0.000000001,IF(01_因子設定!$B$20="Box-Behnken",C$39^2+$B55^2+_slice!$H$8&lt;=2+0.000000001,TRUE())),IF(01_因子設定!$B$13="最大化",(_slice!C80-04_回帰ANOVA!$K$19*04_回帰ANOVA!$K$14*SQRT(1+_slice!C105))-01_因子設定!$B$14,IF(01_因子設定!$B$13="最小化",01_因子設定!$B$15-(_slice!C80+04_回帰ANOVA!$K$19*04_回帰ANOVA!$K$14*SQRT(1+_slice!C105)),MIN((_slice!C80-04_回帰ANOVA!$K$19*04_回帰ANOVA!$K$14*SQRT(1+_slice!C105))-01_因子設定!$B$14,01_因子設定!$B$15-(_slice!C80+04_回帰ANOVA!$K$19*04_回帰ANOVA!$K$14*SQRT(1+_slice!C105))))),"外")</f>
        <v>-5.89725958762785</v>
      </c>
      <c r="D55" s="50" t="n">
        <f aca="false">IF(AND(_slice!$H$5=1,D$39&gt;=_slice!$H$6-0.000000001,D$39&lt;=_slice!$I$6+0.000000001,$B55&gt;=_slice!$H$7-0.000000001,$B55&lt;=_slice!$I$7+0.000000001,IF(01_因子設定!$B$20="Box-Behnken",D$39^2+$B55^2+_slice!$H$8&lt;=2+0.000000001,TRUE())),IF(01_因子設定!$B$13="最大化",(_slice!D80-04_回帰ANOVA!$K$19*04_回帰ANOVA!$K$14*SQRT(1+_slice!D105))-01_因子設定!$B$14,IF(01_因子設定!$B$13="最小化",01_因子設定!$B$15-(_slice!D80+04_回帰ANOVA!$K$19*04_回帰ANOVA!$K$14*SQRT(1+_slice!D105)),MIN((_slice!D80-04_回帰ANOVA!$K$19*04_回帰ANOVA!$K$14*SQRT(1+_slice!D105))-01_因子設定!$B$14,01_因子設定!$B$15-(_slice!D80+04_回帰ANOVA!$K$19*04_回帰ANOVA!$K$14*SQRT(1+_slice!D105))))),"外")</f>
        <v>-5.11972790624754</v>
      </c>
      <c r="E55" s="50" t="n">
        <f aca="false">IF(AND(_slice!$H$5=1,E$39&gt;=_slice!$H$6-0.000000001,E$39&lt;=_slice!$I$6+0.000000001,$B55&gt;=_slice!$H$7-0.000000001,$B55&lt;=_slice!$I$7+0.000000001,IF(01_因子設定!$B$20="Box-Behnken",E$39^2+$B55^2+_slice!$H$8&lt;=2+0.000000001,TRUE())),IF(01_因子設定!$B$13="最大化",(_slice!E80-04_回帰ANOVA!$K$19*04_回帰ANOVA!$K$14*SQRT(1+_slice!E105))-01_因子設定!$B$14,IF(01_因子設定!$B$13="最小化",01_因子設定!$B$15-(_slice!E80+04_回帰ANOVA!$K$19*04_回帰ANOVA!$K$14*SQRT(1+_slice!E105)),MIN((_slice!E80-04_回帰ANOVA!$K$19*04_回帰ANOVA!$K$14*SQRT(1+_slice!E105))-01_因子設定!$B$14,01_因子設定!$B$15-(_slice!E80+04_回帰ANOVA!$K$19*04_回帰ANOVA!$K$14*SQRT(1+_slice!E105))))),"外")</f>
        <v>-4.414831544184</v>
      </c>
      <c r="F55" s="50" t="n">
        <f aca="false">IF(AND(_slice!$H$5=1,F$39&gt;=_slice!$H$6-0.000000001,F$39&lt;=_slice!$I$6+0.000000001,$B55&gt;=_slice!$H$7-0.000000001,$B55&lt;=_slice!$I$7+0.000000001,IF(01_因子設定!$B$20="Box-Behnken",F$39^2+$B55^2+_slice!$H$8&lt;=2+0.000000001,TRUE())),IF(01_因子設定!$B$13="最大化",(_slice!F80-04_回帰ANOVA!$K$19*04_回帰ANOVA!$K$14*SQRT(1+_slice!F105))-01_因子設定!$B$14,IF(01_因子設定!$B$13="最小化",01_因子設定!$B$15-(_slice!F80+04_回帰ANOVA!$K$19*04_回帰ANOVA!$K$14*SQRT(1+_slice!F105)),MIN((_slice!F80-04_回帰ANOVA!$K$19*04_回帰ANOVA!$K$14*SQRT(1+_slice!F105))-01_因子設定!$B$14,01_因子設定!$B$15-(_slice!F80+04_回帰ANOVA!$K$19*04_回帰ANOVA!$K$14*SQRT(1+_slice!F105))))),"外")</f>
        <v>-3.77977194544659</v>
      </c>
      <c r="G55" s="50" t="n">
        <f aca="false">IF(AND(_slice!$H$5=1,G$39&gt;=_slice!$H$6-0.000000001,G$39&lt;=_slice!$I$6+0.000000001,$B55&gt;=_slice!$H$7-0.000000001,$B55&lt;=_slice!$I$7+0.000000001,IF(01_因子設定!$B$20="Box-Behnken",G$39^2+$B55^2+_slice!$H$8&lt;=2+0.000000001,TRUE())),IF(01_因子設定!$B$13="最大化",(_slice!G80-04_回帰ANOVA!$K$19*04_回帰ANOVA!$K$14*SQRT(1+_slice!G105))-01_因子設定!$B$14,IF(01_因子設定!$B$13="最小化",01_因子設定!$B$15-(_slice!G80+04_回帰ANOVA!$K$19*04_回帰ANOVA!$K$14*SQRT(1+_slice!G105)),MIN((_slice!G80-04_回帰ANOVA!$K$19*04_回帰ANOVA!$K$14*SQRT(1+_slice!G105))-01_因子設定!$B$14,01_因子設定!$B$15-(_slice!G80+04_回帰ANOVA!$K$19*04_回帰ANOVA!$K$14*SQRT(1+_slice!G105))))),"外")</f>
        <v>-3.21152540567697</v>
      </c>
      <c r="H55" s="50" t="n">
        <f aca="false">IF(AND(_slice!$H$5=1,H$39&gt;=_slice!$H$6-0.000000001,H$39&lt;=_slice!$I$6+0.000000001,$B55&gt;=_slice!$H$7-0.000000001,$B55&lt;=_slice!$I$7+0.000000001,IF(01_因子設定!$B$20="Box-Behnken",H$39^2+$B55^2+_slice!$H$8&lt;=2+0.000000001,TRUE())),IF(01_因子設定!$B$13="最大化",(_slice!H80-04_回帰ANOVA!$K$19*04_回帰ANOVA!$K$14*SQRT(1+_slice!H105))-01_因子設定!$B$14,IF(01_因子設定!$B$13="最小化",01_因子設定!$B$15-(_slice!H80+04_回帰ANOVA!$K$19*04_回帰ANOVA!$K$14*SQRT(1+_slice!H105)),MIN((_slice!H80-04_回帰ANOVA!$K$19*04_回帰ANOVA!$K$14*SQRT(1+_slice!H105))-01_因子設定!$B$14,01_因子設定!$B$15-(_slice!H80+04_回帰ANOVA!$K$19*04_回帰ANOVA!$K$14*SQRT(1+_slice!H105))))),"外")</f>
        <v>-2.70709142689705</v>
      </c>
      <c r="I55" s="50" t="n">
        <f aca="false">IF(AND(_slice!$H$5=1,I$39&gt;=_slice!$H$6-0.000000001,I$39&lt;=_slice!$I$6+0.000000001,$B55&gt;=_slice!$H$7-0.000000001,$B55&lt;=_slice!$I$7+0.000000001,IF(01_因子設定!$B$20="Box-Behnken",I$39^2+$B55^2+_slice!$H$8&lt;=2+0.000000001,TRUE())),IF(01_因子設定!$B$13="最大化",(_slice!I80-04_回帰ANOVA!$K$19*04_回帰ANOVA!$K$14*SQRT(1+_slice!I105))-01_因子設定!$B$14,IF(01_因子設定!$B$13="最小化",01_因子設定!$B$15-(_slice!I80+04_回帰ANOVA!$K$19*04_回帰ANOVA!$K$14*SQRT(1+_slice!I105)),MIN((_slice!I80-04_回帰ANOVA!$K$19*04_回帰ANOVA!$K$14*SQRT(1+_slice!I105))-01_因子設定!$B$14,01_因子設定!$B$15-(_slice!I80+04_回帰ANOVA!$K$19*04_回帰ANOVA!$K$14*SQRT(1+_slice!I105))))),"外")</f>
        <v>-2.26370788011258</v>
      </c>
      <c r="J55" s="50" t="n">
        <f aca="false">IF(AND(_slice!$H$5=1,J$39&gt;=_slice!$H$6-0.000000001,J$39&lt;=_slice!$I$6+0.000000001,$B55&gt;=_slice!$H$7-0.000000001,$B55&lt;=_slice!$I$7+0.000000001,IF(01_因子設定!$B$20="Box-Behnken",J$39^2+$B55^2+_slice!$H$8&lt;=2+0.000000001,TRUE())),IF(01_因子設定!$B$13="最大化",(_slice!J80-04_回帰ANOVA!$K$19*04_回帰ANOVA!$K$14*SQRT(1+_slice!J105))-01_因子設定!$B$14,IF(01_因子設定!$B$13="最小化",01_因子設定!$B$15-(_slice!J80+04_回帰ANOVA!$K$19*04_回帰ANOVA!$K$14*SQRT(1+_slice!J105)),MIN((_slice!J80-04_回帰ANOVA!$K$19*04_回帰ANOVA!$K$14*SQRT(1+_slice!J105))-01_因子設定!$B$14,01_因子設定!$B$15-(_slice!J80+04_回帰ANOVA!$K$19*04_回帰ANOVA!$K$14*SQRT(1+_slice!J105))))),"外")</f>
        <v>-1.87900540060483</v>
      </c>
      <c r="K55" s="50" t="n">
        <f aca="false">IF(AND(_slice!$H$5=1,K$39&gt;=_slice!$H$6-0.000000001,K$39&lt;=_slice!$I$6+0.000000001,$B55&gt;=_slice!$H$7-0.000000001,$B55&lt;=_slice!$I$7+0.000000001,IF(01_因子設定!$B$20="Box-Behnken",K$39^2+$B55^2+_slice!$H$8&lt;=2+0.000000001,TRUE())),IF(01_因子設定!$B$13="最大化",(_slice!K80-04_回帰ANOVA!$K$19*04_回帰ANOVA!$K$14*SQRT(1+_slice!K105))-01_因子設定!$B$14,IF(01_因子設定!$B$13="最小化",01_因子設定!$B$15-(_slice!K80+04_回帰ANOVA!$K$19*04_回帰ANOVA!$K$14*SQRT(1+_slice!K105)),MIN((_slice!K80-04_回帰ANOVA!$K$19*04_回帰ANOVA!$K$14*SQRT(1+_slice!K105))-01_因子設定!$B$14,01_因子設定!$B$15-(_slice!K80+04_回帰ANOVA!$K$19*04_回帰ANOVA!$K$14*SQRT(1+_slice!K105))))),"外")</f>
        <v>-1.5510991096489</v>
      </c>
      <c r="L55" s="50" t="n">
        <f aca="false">IF(AND(_slice!$H$5=1,L$39&gt;=_slice!$H$6-0.000000001,L$39&lt;=_slice!$I$6+0.000000001,$B55&gt;=_slice!$H$7-0.000000001,$B55&lt;=_slice!$I$7+0.000000001,IF(01_因子設定!$B$20="Box-Behnken",L$39^2+$B55^2+_slice!$H$8&lt;=2+0.000000001,TRUE())),IF(01_因子設定!$B$13="最大化",(_slice!L80-04_回帰ANOVA!$K$19*04_回帰ANOVA!$K$14*SQRT(1+_slice!L105))-01_因子設定!$B$14,IF(01_因子設定!$B$13="最小化",01_因子設定!$B$15-(_slice!L80+04_回帰ANOVA!$K$19*04_回帰ANOVA!$K$14*SQRT(1+_slice!L105)),MIN((_slice!L80-04_回帰ANOVA!$K$19*04_回帰ANOVA!$K$14*SQRT(1+_slice!L105))-01_因子設定!$B$14,01_因子設定!$B$15-(_slice!L80+04_回帰ANOVA!$K$19*04_回帰ANOVA!$K$14*SQRT(1+_slice!L105))))),"外")</f>
        <v>-1.27863196689873</v>
      </c>
      <c r="M55" s="50" t="n">
        <f aca="false">IF(AND(_slice!$H$5=1,M$39&gt;=_slice!$H$6-0.000000001,M$39&lt;=_slice!$I$6+0.000000001,$B55&gt;=_slice!$H$7-0.000000001,$B55&lt;=_slice!$I$7+0.000000001,IF(01_因子設定!$B$20="Box-Behnken",M$39^2+$B55^2+_slice!$H$8&lt;=2+0.000000001,TRUE())),IF(01_因子設定!$B$13="最大化",(_slice!M80-04_回帰ANOVA!$K$19*04_回帰ANOVA!$K$14*SQRT(1+_slice!M105))-01_因子設定!$B$14,IF(01_因子設定!$B$13="最小化",01_因子設定!$B$15-(_slice!M80+04_回帰ANOVA!$K$19*04_回帰ANOVA!$K$14*SQRT(1+_slice!M105)),MIN((_slice!M80-04_回帰ANOVA!$K$19*04_回帰ANOVA!$K$14*SQRT(1+_slice!M105))-01_因子設定!$B$14,01_因子設定!$B$15-(_slice!M80+04_回帰ANOVA!$K$19*04_回帰ANOVA!$K$14*SQRT(1+_slice!M105))))),"外")</f>
        <v>-1.06078895864175</v>
      </c>
      <c r="N55" s="50" t="n">
        <f aca="false">IF(AND(_slice!$H$5=1,N$39&gt;=_slice!$H$6-0.000000001,N$39&lt;=_slice!$I$6+0.000000001,$B55&gt;=_slice!$H$7-0.000000001,$B55&lt;=_slice!$I$7+0.000000001,IF(01_因子設定!$B$20="Box-Behnken",N$39^2+$B55^2+_slice!$H$8&lt;=2+0.000000001,TRUE())),IF(01_因子設定!$B$13="最大化",(_slice!N80-04_回帰ANOVA!$K$19*04_回帰ANOVA!$K$14*SQRT(1+_slice!N105))-01_因子設定!$B$14,IF(01_因子設定!$B$13="最小化",01_因子設定!$B$15-(_slice!N80+04_回帰ANOVA!$K$19*04_回帰ANOVA!$K$14*SQRT(1+_slice!N105)),MIN((_slice!N80-04_回帰ANOVA!$K$19*04_回帰ANOVA!$K$14*SQRT(1+_slice!N105))-01_因子設定!$B$14,01_因子設定!$B$15-(_slice!N80+04_回帰ANOVA!$K$19*04_回帰ANOVA!$K$14*SQRT(1+_slice!N105))))),"外")</f>
        <v>-0.897298633565399</v>
      </c>
      <c r="O55" s="50" t="n">
        <f aca="false">IF(AND(_slice!$H$5=1,O$39&gt;=_slice!$H$6-0.000000001,O$39&lt;=_slice!$I$6+0.000000001,$B55&gt;=_slice!$H$7-0.000000001,$B55&lt;=_slice!$I$7+0.000000001,IF(01_因子設定!$B$20="Box-Behnken",O$39^2+$B55^2+_slice!$H$8&lt;=2+0.000000001,TRUE())),IF(01_因子設定!$B$13="最大化",(_slice!O80-04_回帰ANOVA!$K$19*04_回帰ANOVA!$K$14*SQRT(1+_slice!O105))-01_因子設定!$B$14,IF(01_因子設定!$B$13="最小化",01_因子設定!$B$15-(_slice!O80+04_回帰ANOVA!$K$19*04_回帰ANOVA!$K$14*SQRT(1+_slice!O105)),MIN((_slice!O80-04_回帰ANOVA!$K$19*04_回帰ANOVA!$K$14*SQRT(1+_slice!O105))-01_因子設定!$B$14,01_因子設定!$B$15-(_slice!O80+04_回帰ANOVA!$K$19*04_回帰ANOVA!$K$14*SQRT(1+_slice!O105))))),"外")</f>
        <v>-0.788432442982241</v>
      </c>
      <c r="P55" s="50" t="n">
        <f aca="false">IF(AND(_slice!$H$5=1,P$39&gt;=_slice!$H$6-0.000000001,P$39&lt;=_slice!$I$6+0.000000001,$B55&gt;=_slice!$H$7-0.000000001,$B55&lt;=_slice!$I$7+0.000000001,IF(01_因子設定!$B$20="Box-Behnken",P$39^2+$B55^2+_slice!$H$8&lt;=2+0.000000001,TRUE())),IF(01_因子設定!$B$13="最大化",(_slice!P80-04_回帰ANOVA!$K$19*04_回帰ANOVA!$K$14*SQRT(1+_slice!P105))-01_因子設定!$B$14,IF(01_因子設定!$B$13="最小化",01_因子設定!$B$15-(_slice!P80+04_回帰ANOVA!$K$19*04_回帰ANOVA!$K$14*SQRT(1+_slice!P105)),MIN((_slice!P80-04_回帰ANOVA!$K$19*04_回帰ANOVA!$K$14*SQRT(1+_slice!P105))-01_因子設定!$B$14,01_因子設定!$B$15-(_slice!P80+04_回帰ANOVA!$K$19*04_回帰ANOVA!$K$14*SQRT(1+_slice!P105))))),"外")</f>
        <v>-0.735005400604841</v>
      </c>
      <c r="Q55" s="50" t="n">
        <f aca="false">IF(AND(_slice!$H$5=1,Q$39&gt;=_slice!$H$6-0.000000001,Q$39&lt;=_slice!$I$6+0.000000001,$B55&gt;=_slice!$H$7-0.000000001,$B55&lt;=_slice!$I$7+0.000000001,IF(01_因子設定!$B$20="Box-Behnken",Q$39^2+$B55^2+_slice!$H$8&lt;=2+0.000000001,TRUE())),IF(01_因子設定!$B$13="最大化",(_slice!Q80-04_回帰ANOVA!$K$19*04_回帰ANOVA!$K$14*SQRT(1+_slice!Q105))-01_因子設定!$B$14,IF(01_因子設定!$B$13="最小化",01_因子設定!$B$15-(_slice!Q80+04_回帰ANOVA!$K$19*04_回帰ANOVA!$K$14*SQRT(1+_slice!Q105)),MIN((_slice!Q80-04_回帰ANOVA!$K$19*04_回帰ANOVA!$K$14*SQRT(1+_slice!Q105))-01_因子設定!$B$14,01_因子設定!$B$15-(_slice!Q80+04_回帰ANOVA!$K$19*04_回帰ANOVA!$K$14*SQRT(1+_slice!Q105))))),"外")</f>
        <v>-0.738374546779262</v>
      </c>
      <c r="R55" s="50" t="n">
        <f aca="false">IF(AND(_slice!$H$5=1,R$39&gt;=_slice!$H$6-0.000000001,R$39&lt;=_slice!$I$6+0.000000001,$B55&gt;=_slice!$H$7-0.000000001,$B55&lt;=_slice!$I$7+0.000000001,IF(01_因子設定!$B$20="Box-Behnken",R$39^2+$B55^2+_slice!$H$8&lt;=2+0.000000001,TRUE())),IF(01_因子設定!$B$13="最大化",(_slice!R80-04_回帰ANOVA!$K$19*04_回帰ANOVA!$K$14*SQRT(1+_slice!R105))-01_因子設定!$B$14,IF(01_因子設定!$B$13="最小化",01_因子設定!$B$15-(_slice!R80+04_回帰ANOVA!$K$19*04_回帰ANOVA!$K$14*SQRT(1+_slice!R105)),MIN((_slice!R80-04_回帰ANOVA!$K$19*04_回帰ANOVA!$K$14*SQRT(1+_slice!R105))-01_因子設定!$B$14,01_因子設定!$B$15-(_slice!R80+04_回帰ANOVA!$K$19*04_回帰ANOVA!$K$14*SQRT(1+_slice!R105))))),"外")</f>
        <v>-0.800424760230371</v>
      </c>
      <c r="S55" s="50" t="n">
        <f aca="false">IF(AND(_slice!$H$5=1,S$39&gt;=_slice!$H$6-0.000000001,S$39&lt;=_slice!$I$6+0.000000001,$B55&gt;=_slice!$H$7-0.000000001,$B55&lt;=_slice!$I$7+0.000000001,IF(01_因子設定!$B$20="Box-Behnken",S$39^2+$B55^2+_slice!$H$8&lt;=2+0.000000001,TRUE())),IF(01_因子設定!$B$13="最大化",(_slice!S80-04_回帰ANOVA!$K$19*04_回帰ANOVA!$K$14*SQRT(1+_slice!S105))-01_因子設定!$B$14,IF(01_因子設定!$B$13="最小化",01_因子設定!$B$15-(_slice!S80+04_回帰ANOVA!$K$19*04_回帰ANOVA!$K$14*SQRT(1+_slice!S105)),MIN((_slice!S80-04_回帰ANOVA!$K$19*04_回帰ANOVA!$K$14*SQRT(1+_slice!S105))-01_因子設定!$B$14,01_因子設定!$B$15-(_slice!S80+04_回帰ANOVA!$K$19*04_回帰ANOVA!$K$14*SQRT(1+_slice!S105))))),"外")</f>
        <v>-0.923525405676955</v>
      </c>
      <c r="T55" s="50" t="n">
        <f aca="false">IF(AND(_slice!$H$5=1,T$39&gt;=_slice!$H$6-0.000000001,T$39&lt;=_slice!$I$6+0.000000001,$B55&gt;=_slice!$H$7-0.000000001,$B55&lt;=_slice!$I$7+0.000000001,IF(01_因子設定!$B$20="Box-Behnken",T$39^2+$B55^2+_slice!$H$8&lt;=2+0.000000001,TRUE())),IF(01_因子設定!$B$13="最大化",(_slice!T80-04_回帰ANOVA!$K$19*04_回帰ANOVA!$K$14*SQRT(1+_slice!T105))-01_因子設定!$B$14,IF(01_因子設定!$B$13="最小化",01_因子設定!$B$15-(_slice!T80+04_回帰ANOVA!$K$19*04_回帰ANOVA!$K$14*SQRT(1+_slice!T105)),MIN((_slice!T80-04_回帰ANOVA!$K$19*04_回帰ANOVA!$K$14*SQRT(1+_slice!T105))-01_因子設定!$B$14,01_因子設定!$B$15-(_slice!T80+04_回帰ANOVA!$K$19*04_回帰ANOVA!$K$14*SQRT(1+_slice!T105))))),"外")</f>
        <v>-1.11043861211325</v>
      </c>
      <c r="U55" s="50" t="n">
        <f aca="false">IF(AND(_slice!$H$5=1,U$39&gt;=_slice!$H$6-0.000000001,U$39&lt;=_slice!$I$6+0.000000001,$B55&gt;=_slice!$H$7-0.000000001,$B55&lt;=_slice!$I$7+0.000000001,IF(01_因子設定!$B$20="Box-Behnken",U$39^2+$B55^2+_slice!$H$8&lt;=2+0.000000001,TRUE())),IF(01_因子設定!$B$13="最大化",(_slice!U80-04_回帰ANOVA!$K$19*04_回帰ANOVA!$K$14*SQRT(1+_slice!U105))-01_因子設定!$B$14,IF(01_因子設定!$B$13="最小化",01_因子設定!$B$15-(_slice!U80+04_回帰ANOVA!$K$19*04_回帰ANOVA!$K$14*SQRT(1+_slice!U105)),MIN((_slice!U80-04_回帰ANOVA!$K$19*04_回帰ANOVA!$K$14*SQRT(1+_slice!U105))-01_因子設定!$B$14,01_因子設定!$B$15-(_slice!U80+04_回帰ANOVA!$K$19*04_回帰ANOVA!$K$14*SQRT(1+_slice!U105))))),"外")</f>
        <v>-1.36416487751733</v>
      </c>
      <c r="V55" s="50" t="n">
        <f aca="false">IF(AND(_slice!$H$5=1,V$39&gt;=_slice!$H$6-0.000000001,V$39&lt;=_slice!$I$6+0.000000001,$B55&gt;=_slice!$H$7-0.000000001,$B55&lt;=_slice!$I$7+0.000000001,IF(01_因子設定!$B$20="Box-Behnken",V$39^2+$B55^2+_slice!$H$8&lt;=2+0.000000001,TRUE())),IF(01_因子設定!$B$13="最大化",(_slice!V80-04_回帰ANOVA!$K$19*04_回帰ANOVA!$K$14*SQRT(1+_slice!V105))-01_因子設定!$B$14,IF(01_因子設定!$B$13="最小化",01_因子設定!$B$15-(_slice!V80+04_回帰ANOVA!$K$19*04_回帰ANOVA!$K$14*SQRT(1+_slice!V105)),MIN((_slice!V80-04_回帰ANOVA!$K$19*04_回帰ANOVA!$K$14*SQRT(1+_slice!V105))-01_因子設定!$B$14,01_因子設定!$B$15-(_slice!V80+04_回帰ANOVA!$K$19*04_回帰ANOVA!$K$14*SQRT(1+_slice!V105))))),"外")</f>
        <v>-1.68772790624754</v>
      </c>
      <c r="W55" s="50" t="n">
        <f aca="false">IF(AND(_slice!$H$5=1,W$39&gt;=_slice!$H$6-0.000000001,W$39&lt;=_slice!$I$6+0.000000001,$B55&gt;=_slice!$H$7-0.000000001,$B55&lt;=_slice!$I$7+0.000000001,IF(01_因子設定!$B$20="Box-Behnken",W$39^2+$B55^2+_slice!$H$8&lt;=2+0.000000001,TRUE())),IF(01_因子設定!$B$13="最大化",(_slice!W80-04_回帰ANOVA!$K$19*04_回帰ANOVA!$K$14*SQRT(1+_slice!W105))-01_因子設定!$B$14,IF(01_因子設定!$B$13="最小化",01_因子設定!$B$15-(_slice!W80+04_回帰ANOVA!$K$19*04_回帰ANOVA!$K$14*SQRT(1+_slice!W105)),MIN((_slice!W80-04_回帰ANOVA!$K$19*04_回帰ANOVA!$K$14*SQRT(1+_slice!W105))-01_因子設定!$B$14,01_因子設定!$B$15-(_slice!W80+04_回帰ANOVA!$K$19*04_回帰ANOVA!$K$14*SQRT(1+_slice!W105))))),"外")</f>
        <v>-2.08392625429452</v>
      </c>
    </row>
    <row r="56" customFormat="false" ht="15" hidden="false" customHeight="false" outlineLevel="0" collapsed="false">
      <c r="A56" s="49" t="n">
        <f aca="false">INDEX(01_因子設定!$G$5:$G$6,$C$5)+B56*INDEX(01_因子設定!$H$5:$H$6,$C$5)</f>
        <v>25</v>
      </c>
      <c r="B56" s="49" t="n">
        <v>-0.5</v>
      </c>
      <c r="C56" s="50" t="n">
        <f aca="false">IF(AND(_slice!$H$5=1,C$39&gt;=_slice!$H$6-0.000000001,C$39&lt;=_slice!$I$6+0.000000001,$B56&gt;=_slice!$H$7-0.000000001,$B56&lt;=_slice!$I$7+0.000000001,IF(01_因子設定!$B$20="Box-Behnken",C$39^2+$B56^2+_slice!$H$8&lt;=2+0.000000001,TRUE())),IF(01_因子設定!$B$13="最大化",(_slice!C81-04_回帰ANOVA!$K$19*04_回帰ANOVA!$K$14*SQRT(1+_slice!C106))-01_因子設定!$B$14,IF(01_因子設定!$B$13="最小化",01_因子設定!$B$15-(_slice!C81+04_回帰ANOVA!$K$19*04_回帰ANOVA!$K$14*SQRT(1+_slice!C106)),MIN((_slice!C81-04_回帰ANOVA!$K$19*04_回帰ANOVA!$K$14*SQRT(1+_slice!C106))-01_因子設定!$B$14,01_因子設定!$B$15-(_slice!C81+04_回帰ANOVA!$K$19*04_回帰ANOVA!$K$14*SQRT(1+_slice!C106))))),"外")</f>
        <v>-6.21274401722226</v>
      </c>
      <c r="D56" s="50" t="n">
        <f aca="false">IF(AND(_slice!$H$5=1,D$39&gt;=_slice!$H$6-0.000000001,D$39&lt;=_slice!$I$6+0.000000001,$B56&gt;=_slice!$H$7-0.000000001,$B56&lt;=_slice!$I$7+0.000000001,IF(01_因子設定!$B$20="Box-Behnken",D$39^2+$B56^2+_slice!$H$8&lt;=2+0.000000001,TRUE())),IF(01_因子設定!$B$13="最大化",(_slice!D81-04_回帰ANOVA!$K$19*04_回帰ANOVA!$K$14*SQRT(1+_slice!D106))-01_因子設定!$B$14,IF(01_因子設定!$B$13="最小化",01_因子設定!$B$15-(_slice!D81+04_回帰ANOVA!$K$19*04_回帰ANOVA!$K$14*SQRT(1+_slice!D106)),MIN((_slice!D81-04_回帰ANOVA!$K$19*04_回帰ANOVA!$K$14*SQRT(1+_slice!D106))-01_因子設定!$B$14,01_因子設定!$B$15-(_slice!D81+04_回帰ANOVA!$K$19*04_回帰ANOVA!$K$14*SQRT(1+_slice!D106))))),"外")</f>
        <v>-5.44088610342838</v>
      </c>
      <c r="E56" s="50" t="n">
        <f aca="false">IF(AND(_slice!$H$5=1,E$39&gt;=_slice!$H$6-0.000000001,E$39&lt;=_slice!$I$6+0.000000001,$B56&gt;=_slice!$H$7-0.000000001,$B56&lt;=_slice!$I$7+0.000000001,IF(01_因子設定!$B$20="Box-Behnken",E$39^2+$B56^2+_slice!$H$8&lt;=2+0.000000001,TRUE())),IF(01_因子設定!$B$13="最大化",(_slice!E81-04_回帰ANOVA!$K$19*04_回帰ANOVA!$K$14*SQRT(1+_slice!E106))-01_因子設定!$B$14,IF(01_因子設定!$B$13="最小化",01_因子設定!$B$15-(_slice!E81+04_回帰ANOVA!$K$19*04_回帰ANOVA!$K$14*SQRT(1+_slice!E106)),MIN((_slice!E81-04_回帰ANOVA!$K$19*04_回帰ANOVA!$K$14*SQRT(1+_slice!E106))-01_因子設定!$B$14,01_因子設定!$B$15-(_slice!E81+04_回帰ANOVA!$K$19*04_回帰ANOVA!$K$14*SQRT(1+_slice!E106))))),"外")</f>
        <v>-4.74161484772547</v>
      </c>
      <c r="F56" s="50" t="n">
        <f aca="false">IF(AND(_slice!$H$5=1,F$39&gt;=_slice!$H$6-0.000000001,F$39&lt;=_slice!$I$6+0.000000001,$B56&gt;=_slice!$H$7-0.000000001,$B56&lt;=_slice!$I$7+0.000000001,IF(01_因子設定!$B$20="Box-Behnken",F$39^2+$B56^2+_slice!$H$8&lt;=2+0.000000001,TRUE())),IF(01_因子設定!$B$13="最大化",(_slice!F81-04_回帰ANOVA!$K$19*04_回帰ANOVA!$K$14*SQRT(1+_slice!F106))-01_因子設定!$B$14,IF(01_因子設定!$B$13="最小化",01_因子設定!$B$15-(_slice!F81+04_回帰ANOVA!$K$19*04_回帰ANOVA!$K$14*SQRT(1+_slice!F106)),MIN((_slice!F81-04_回帰ANOVA!$K$19*04_回帰ANOVA!$K$14*SQRT(1+_slice!F106))-01_因子設定!$B$14,01_因子設定!$B$15-(_slice!F81+04_回帰ANOVA!$K$19*04_回帰ANOVA!$K$14*SQRT(1+_slice!F106))))),"外")</f>
        <v>-4.11212357185362</v>
      </c>
      <c r="G56" s="50" t="n">
        <f aca="false">IF(AND(_slice!$H$5=1,G$39&gt;=_slice!$H$6-0.000000001,G$39&lt;=_slice!$I$6+0.000000001,$B56&gt;=_slice!$H$7-0.000000001,$B56&lt;=_slice!$I$7+0.000000001,IF(01_因子設定!$B$20="Box-Behnken",G$39^2+$B56^2+_slice!$H$8&lt;=2+0.000000001,TRUE())),IF(01_因子設定!$B$13="最大化",(_slice!G81-04_回帰ANOVA!$K$19*04_回帰ANOVA!$K$14*SQRT(1+_slice!G106))-01_因子設定!$B$14,IF(01_因子設定!$B$13="最小化",01_因子設定!$B$15-(_slice!G81+04_回帰ANOVA!$K$19*04_回帰ANOVA!$K$14*SQRT(1+_slice!G106)),MIN((_slice!G81-04_回帰ANOVA!$K$19*04_回帰ANOVA!$K$14*SQRT(1+_slice!G106))-01_因子設定!$B$14,01_因子設定!$B$15-(_slice!G81+04_回帰ANOVA!$K$19*04_回帰ANOVA!$K$14*SQRT(1+_slice!G106))))),"外")</f>
        <v>-3.54938637982725</v>
      </c>
      <c r="H56" s="50" t="n">
        <f aca="false">IF(AND(_slice!$H$5=1,H$39&gt;=_slice!$H$6-0.000000001,H$39&lt;=_slice!$I$6+0.000000001,$B56&gt;=_slice!$H$7-0.000000001,$B56&lt;=_slice!$I$7+0.000000001,IF(01_因子設定!$B$20="Box-Behnken",H$39^2+$B56^2+_slice!$H$8&lt;=2+0.000000001,TRUE())),IF(01_因子設定!$B$13="最大化",(_slice!H81-04_回帰ANOVA!$K$19*04_回帰ANOVA!$K$14*SQRT(1+_slice!H106))-01_因子設定!$B$14,IF(01_因子設定!$B$13="最小化",01_因子設定!$B$15-(_slice!H81+04_回帰ANOVA!$K$19*04_回帰ANOVA!$K$14*SQRT(1+_slice!H106)),MIN((_slice!H81-04_回帰ANOVA!$K$19*04_回帰ANOVA!$K$14*SQRT(1+_slice!H106))-01_因子設定!$B$14,01_因子設定!$B$15-(_slice!H81+04_回帰ANOVA!$K$19*04_回帰ANOVA!$K$14*SQRT(1+_slice!H106))))),"外")</f>
        <v>-3.05040553030576</v>
      </c>
      <c r="I56" s="50" t="n">
        <f aca="false">IF(AND(_slice!$H$5=1,I$39&gt;=_slice!$H$6-0.000000001,I$39&lt;=_slice!$I$6+0.000000001,$B56&gt;=_slice!$H$7-0.000000001,$B56&lt;=_slice!$I$7+0.000000001,IF(01_因子設定!$B$20="Box-Behnken",I$39^2+$B56^2+_slice!$H$8&lt;=2+0.000000001,TRUE())),IF(01_因子設定!$B$13="最大化",(_slice!I81-04_回帰ANOVA!$K$19*04_回帰ANOVA!$K$14*SQRT(1+_slice!I106))-01_因子設定!$B$14,IF(01_因子設定!$B$13="最小化",01_因子設定!$B$15-(_slice!I81+04_回帰ANOVA!$K$19*04_回帰ANOVA!$K$14*SQRT(1+_slice!I106)),MIN((_slice!I81-04_回帰ANOVA!$K$19*04_回帰ANOVA!$K$14*SQRT(1+_slice!I106))-01_因子設定!$B$14,01_因子設定!$B$15-(_slice!I81+04_回帰ANOVA!$K$19*04_回帰ANOVA!$K$14*SQRT(1+_slice!I106))))),"外")</f>
        <v>-2.61242476023038</v>
      </c>
      <c r="J56" s="50" t="n">
        <f aca="false">IF(AND(_slice!$H$5=1,J$39&gt;=_slice!$H$6-0.000000001,J$39&lt;=_slice!$I$6+0.000000001,$B56&gt;=_slice!$H$7-0.000000001,$B56&lt;=_slice!$I$7+0.000000001,IF(01_因子設定!$B$20="Box-Behnken",J$39^2+$B56^2+_slice!$H$8&lt;=2+0.000000001,TRUE())),IF(01_因子設定!$B$13="最大化",(_slice!J81-04_回帰ANOVA!$K$19*04_回帰ANOVA!$K$14*SQRT(1+_slice!J106))-01_因子設定!$B$14,IF(01_因子設定!$B$13="最小化",01_因子設定!$B$15-(_slice!J81+04_回帰ANOVA!$K$19*04_回帰ANOVA!$K$14*SQRT(1+_slice!J106)),MIN((_slice!J81-04_回帰ANOVA!$K$19*04_回帰ANOVA!$K$14*SQRT(1+_slice!J106))-01_因子設定!$B$14,01_因子設定!$B$15-(_slice!J81+04_回帰ANOVA!$K$19*04_回帰ANOVA!$K$14*SQRT(1+_slice!J106))))),"外")</f>
        <v>-2.23308174459429</v>
      </c>
      <c r="K56" s="50" t="n">
        <f aca="false">IF(AND(_slice!$H$5=1,K$39&gt;=_slice!$H$6-0.000000001,K$39&lt;=_slice!$I$6+0.000000001,$B56&gt;=_slice!$H$7-0.000000001,$B56&lt;=_slice!$I$7+0.000000001,IF(01_因子設定!$B$20="Box-Behnken",K$39^2+$B56^2+_slice!$H$8&lt;=2+0.000000001,TRUE())),IF(01_因子設定!$B$13="最大化",(_slice!K81-04_回帰ANOVA!$K$19*04_回帰ANOVA!$K$14*SQRT(1+_slice!K106))-01_因子設定!$B$14,IF(01_因子設定!$B$13="最小化",01_因子設定!$B$15-(_slice!K81+04_回帰ANOVA!$K$19*04_回帰ANOVA!$K$14*SQRT(1+_slice!K106)),MIN((_slice!K81-04_回帰ANOVA!$K$19*04_回帰ANOVA!$K$14*SQRT(1+_slice!K106))-01_因子設定!$B$14,01_因子設定!$B$15-(_slice!K81+04_回帰ANOVA!$K$19*04_回帰ANOVA!$K$14*SQRT(1+_slice!K106))))),"外")</f>
        <v>-1.91049827339903</v>
      </c>
      <c r="L56" s="50" t="n">
        <f aca="false">IF(AND(_slice!$H$5=1,L$39&gt;=_slice!$H$6-0.000000001,L$39&lt;=_slice!$I$6+0.000000001,$B56&gt;=_slice!$H$7-0.000000001,$B56&lt;=_slice!$I$7+0.000000001,IF(01_因子設定!$B$20="Box-Behnken",L$39^2+$B56^2+_slice!$H$8&lt;=2+0.000000001,TRUE())),IF(01_因子設定!$B$13="最大化",(_slice!L81-04_回帰ANOVA!$K$19*04_回帰ANOVA!$K$14*SQRT(1+_slice!L106))-01_因子設定!$B$14,IF(01_因子設定!$B$13="最小化",01_因子設定!$B$15-(_slice!L81+04_回帰ANOVA!$K$19*04_回帰ANOVA!$K$14*SQRT(1+_slice!L106)),MIN((_slice!L81-04_回帰ANOVA!$K$19*04_回帰ANOVA!$K$14*SQRT(1+_slice!L106))-01_因子設定!$B$14,01_因子設定!$B$15-(_slice!L81+04_回帰ANOVA!$K$19*04_回帰ANOVA!$K$14*SQRT(1+_slice!L106))))),"外")</f>
        <v>-1.64332259115551</v>
      </c>
      <c r="M56" s="50" t="n">
        <f aca="false">IF(AND(_slice!$H$5=1,M$39&gt;=_slice!$H$6-0.000000001,M$39&lt;=_slice!$I$6+0.000000001,$B56&gt;=_slice!$H$7-0.000000001,$B56&lt;=_slice!$I$7+0.000000001,IF(01_因子設定!$B$20="Box-Behnken",M$39^2+$B56^2+_slice!$H$8&lt;=2+0.000000001,TRUE())),IF(01_因子設定!$B$13="最大化",(_slice!M81-04_回帰ANOVA!$K$19*04_回帰ANOVA!$K$14*SQRT(1+_slice!M106))-01_因子設定!$B$14,IF(01_因子設定!$B$13="最小化",01_因子設定!$B$15-(_slice!M81+04_回帰ANOVA!$K$19*04_回帰ANOVA!$K$14*SQRT(1+_slice!M106)),MIN((_slice!M81-04_回帰ANOVA!$K$19*04_回帰ANOVA!$K$14*SQRT(1+_slice!M106))-01_因子設定!$B$14,01_因子設定!$B$15-(_slice!M81+04_回帰ANOVA!$K$19*04_回帰ANOVA!$K$14*SQRT(1+_slice!M106))))),"外")</f>
        <v>-1.43074302401138</v>
      </c>
      <c r="N56" s="50" t="n">
        <f aca="false">IF(AND(_slice!$H$5=1,N$39&gt;=_slice!$H$6-0.000000001,N$39&lt;=_slice!$I$6+0.000000001,$B56&gt;=_slice!$H$7-0.000000001,$B56&lt;=_slice!$I$7+0.000000001,IF(01_因子設定!$B$20="Box-Behnken",N$39^2+$B56^2+_slice!$H$8&lt;=2+0.000000001,TRUE())),IF(01_因子設定!$B$13="最大化",(_slice!N81-04_回帰ANOVA!$K$19*04_回帰ANOVA!$K$14*SQRT(1+_slice!N106))-01_因子設定!$B$14,IF(01_因子設定!$B$13="最小化",01_因子設定!$B$15-(_slice!N81+04_回帰ANOVA!$K$19*04_回帰ANOVA!$K$14*SQRT(1+_slice!N106)),MIN((_slice!N81-04_回帰ANOVA!$K$19*04_回帰ANOVA!$K$14*SQRT(1+_slice!N106))-01_因子設定!$B$14,01_因子設定!$B$15-(_slice!N81+04_回帰ANOVA!$K$19*04_回帰ANOVA!$K$14*SQRT(1+_slice!N106))))),"外")</f>
        <v>-1.27248925782217</v>
      </c>
      <c r="O56" s="50" t="n">
        <f aca="false">IF(AND(_slice!$H$5=1,O$39&gt;=_slice!$H$6-0.000000001,O$39&lt;=_slice!$I$6+0.000000001,$B56&gt;=_slice!$H$7-0.000000001,$B56&lt;=_slice!$I$7+0.000000001,IF(01_因子設定!$B$20="Box-Behnken",O$39^2+$B56^2+_slice!$H$8&lt;=2+0.000000001,TRUE())),IF(01_因子設定!$B$13="最大化",(_slice!O81-04_回帰ANOVA!$K$19*04_回帰ANOVA!$K$14*SQRT(1+_slice!O106))-01_因子設定!$B$14,IF(01_因子設定!$B$13="最小化",01_因子設定!$B$15-(_slice!O81+04_回帰ANOVA!$K$19*04_回帰ANOVA!$K$14*SQRT(1+_slice!O106)),MIN((_slice!O81-04_回帰ANOVA!$K$19*04_回帰ANOVA!$K$14*SQRT(1+_slice!O106))-01_因子設定!$B$14,01_因子設定!$B$15-(_slice!O81+04_回帰ANOVA!$K$19*04_回帰ANOVA!$K$14*SQRT(1+_slice!O106))))),"外")</f>
        <v>-1.16883160673237</v>
      </c>
      <c r="P56" s="50" t="n">
        <f aca="false">IF(AND(_slice!$H$5=1,P$39&gt;=_slice!$H$6-0.000000001,P$39&lt;=_slice!$I$6+0.000000001,$B56&gt;=_slice!$H$7-0.000000001,$B56&lt;=_slice!$I$7+0.000000001,IF(01_因子設定!$B$20="Box-Behnken",P$39^2+$B56^2+_slice!$H$8&lt;=2+0.000000001,TRUE())),IF(01_因子設定!$B$13="最大化",(_slice!P81-04_回帰ANOVA!$K$19*04_回帰ANOVA!$K$14*SQRT(1+_slice!P106))-01_因子設定!$B$14,IF(01_因子設定!$B$13="最小化",01_因子設定!$B$15-(_slice!P81+04_回帰ANOVA!$K$19*04_回帰ANOVA!$K$14*SQRT(1+_slice!P106)),MIN((_slice!P81-04_回帰ANOVA!$K$19*04_回帰ANOVA!$K$14*SQRT(1+_slice!P106))-01_因子設定!$B$14,01_因子設定!$B$15-(_slice!P81+04_回帰ANOVA!$K$19*04_回帰ANOVA!$K$14*SQRT(1+_slice!P106))))),"外")</f>
        <v>-1.12058174459429</v>
      </c>
      <c r="Q56" s="50" t="n">
        <f aca="false">IF(AND(_slice!$H$5=1,Q$39&gt;=_slice!$H$6-0.000000001,Q$39&lt;=_slice!$I$6+0.000000001,$B56&gt;=_slice!$H$7-0.000000001,$B56&lt;=_slice!$I$7+0.000000001,IF(01_因子設定!$B$20="Box-Behnken",Q$39^2+$B56^2+_slice!$H$8&lt;=2+0.000000001,TRUE())),IF(01_因子設定!$B$13="最大化",(_slice!Q81-04_回帰ANOVA!$K$19*04_回帰ANOVA!$K$14*SQRT(1+_slice!Q106))-01_因子設定!$B$14,IF(01_因子設定!$B$13="最小化",01_因子設定!$B$15-(_slice!Q81+04_回帰ANOVA!$K$19*04_回帰ANOVA!$K$14*SQRT(1+_slice!Q106)),MIN((_slice!Q81-04_回帰ANOVA!$K$19*04_回帰ANOVA!$K$14*SQRT(1+_slice!Q106))-01_因子設定!$B$14,01_因子設定!$B$15-(_slice!Q81+04_回帰ANOVA!$K$19*04_回帰ANOVA!$K$14*SQRT(1+_slice!Q106))))),"外")</f>
        <v>-1.12909142689704</v>
      </c>
      <c r="R56" s="50" t="n">
        <f aca="false">IF(AND(_slice!$H$5=1,R$39&gt;=_slice!$H$6-0.000000001,R$39&lt;=_slice!$I$6+0.000000001,$B56&gt;=_slice!$H$7-0.000000001,$B56&lt;=_slice!$I$7+0.000000001,IF(01_因子設定!$B$20="Box-Behnken",R$39^2+$B56^2+_slice!$H$8&lt;=2+0.000000001,TRUE())),IF(01_因子設定!$B$13="最大化",(_slice!R81-04_回帰ANOVA!$K$19*04_回帰ANOVA!$K$14*SQRT(1+_slice!R106))-01_因子設定!$B$14,IF(01_因子設定!$B$13="最小化",01_因子設定!$B$15-(_slice!R81+04_回帰ANOVA!$K$19*04_回帰ANOVA!$K$14*SQRT(1+_slice!R106)),MIN((_slice!R81-04_回帰ANOVA!$K$19*04_回帰ANOVA!$K$14*SQRT(1+_slice!R106))-01_因子設定!$B$14,01_因子設定!$B$15-(_slice!R81+04_回帰ANOVA!$K$19*04_回帰ANOVA!$K$14*SQRT(1+_slice!R106))))),"外")</f>
        <v>-1.19623886363909</v>
      </c>
      <c r="S56" s="50" t="n">
        <f aca="false">IF(AND(_slice!$H$5=1,S$39&gt;=_slice!$H$6-0.000000001,S$39&lt;=_slice!$I$6+0.000000001,$B56&gt;=_slice!$H$7-0.000000001,$B56&lt;=_slice!$I$7+0.000000001,IF(01_因子設定!$B$20="Box-Behnken",S$39^2+$B56^2+_slice!$H$8&lt;=2+0.000000001,TRUE())),IF(01_因子設定!$B$13="最大化",(_slice!S81-04_回帰ANOVA!$K$19*04_回帰ANOVA!$K$14*SQRT(1+_slice!S106))-01_因子設定!$B$14,IF(01_因子設定!$B$13="最小化",01_因子設定!$B$15-(_slice!S81+04_回帰ANOVA!$K$19*04_回帰ANOVA!$K$14*SQRT(1+_slice!S106)),MIN((_slice!S81-04_回帰ANOVA!$K$19*04_回帰ANOVA!$K$14*SQRT(1+_slice!S106))-01_因子設定!$B$14,01_因子設定!$B$15-(_slice!S81+04_回帰ANOVA!$K$19*04_回帰ANOVA!$K$14*SQRT(1+_slice!S106))))),"外")</f>
        <v>-1.32438637982725</v>
      </c>
      <c r="T56" s="50" t="n">
        <f aca="false">IF(AND(_slice!$H$5=1,T$39&gt;=_slice!$H$6-0.000000001,T$39&lt;=_slice!$I$6+0.000000001,$B56&gt;=_slice!$H$7-0.000000001,$B56&lt;=_slice!$I$7+0.000000001,IF(01_因子設定!$B$20="Box-Behnken",T$39^2+$B56^2+_slice!$H$8&lt;=2+0.000000001,TRUE())),IF(01_因子設定!$B$13="最大化",(_slice!T81-04_回帰ANOVA!$K$19*04_回帰ANOVA!$K$14*SQRT(1+_slice!T106))-01_因子設定!$B$14,IF(01_因子設定!$B$13="最小化",01_因子設定!$B$15-(_slice!T81+04_回帰ANOVA!$K$19*04_回帰ANOVA!$K$14*SQRT(1+_slice!T106)),MIN((_slice!T81-04_回帰ANOVA!$K$19*04_回帰ANOVA!$K$14*SQRT(1+_slice!T106))-01_因子設定!$B$14,01_因子設定!$B$15-(_slice!T81+04_回帰ANOVA!$K$19*04_回帰ANOVA!$K$14*SQRT(1+_slice!T106))))),"外")</f>
        <v>-1.51629023852028</v>
      </c>
      <c r="U56" s="50" t="n">
        <f aca="false">IF(AND(_slice!$H$5=1,U$39&gt;=_slice!$H$6-0.000000001,U$39&lt;=_slice!$I$6+0.000000001,$B56&gt;=_slice!$H$7-0.000000001,$B56&lt;=_slice!$I$7+0.000000001,IF(01_因子設定!$B$20="Box-Behnken",U$39^2+$B56^2+_slice!$H$8&lt;=2+0.000000001,TRUE())),IF(01_因子設定!$B$13="最大化",(_slice!U81-04_回帰ANOVA!$K$19*04_回帰ANOVA!$K$14*SQRT(1+_slice!U106))-01_因子設定!$B$14,IF(01_因子設定!$B$13="最小化",01_因子設定!$B$15-(_slice!U81+04_回帰ANOVA!$K$19*04_回帰ANOVA!$K$14*SQRT(1+_slice!U106)),MIN((_slice!U81-04_回帰ANOVA!$K$19*04_回帰ANOVA!$K$14*SQRT(1+_slice!U106))-01_因子設定!$B$14,01_因子設定!$B$15-(_slice!U81+04_回帰ANOVA!$K$19*04_回帰ANOVA!$K$14*SQRT(1+_slice!U106))))),"外")</f>
        <v>-1.7749481810588</v>
      </c>
      <c r="V56" s="50" t="n">
        <f aca="false">IF(AND(_slice!$H$5=1,V$39&gt;=_slice!$H$6-0.000000001,V$39&lt;=_slice!$I$6+0.000000001,$B56&gt;=_slice!$H$7-0.000000001,$B56&lt;=_slice!$I$7+0.000000001,IF(01_因子設定!$B$20="Box-Behnken",V$39^2+$B56^2+_slice!$H$8&lt;=2+0.000000001,TRUE())),IF(01_因子設定!$B$13="最大化",(_slice!V81-04_回帰ANOVA!$K$19*04_回帰ANOVA!$K$14*SQRT(1+_slice!V106))-01_因子設定!$B$14,IF(01_因子設定!$B$13="最小化",01_因子設定!$B$15-(_slice!V81+04_回帰ANOVA!$K$19*04_回帰ANOVA!$K$14*SQRT(1+_slice!V106)),MIN((_slice!V81-04_回帰ANOVA!$K$19*04_回帰ANOVA!$K$14*SQRT(1+_slice!V106))-01_因子設定!$B$14,01_因子設定!$B$15-(_slice!V81+04_回帰ANOVA!$K$19*04_回帰ANOVA!$K$14*SQRT(1+_slice!V106))))),"外")</f>
        <v>-2.10338610342837</v>
      </c>
      <c r="W56" s="50" t="n">
        <f aca="false">IF(AND(_slice!$H$5=1,W$39&gt;=_slice!$H$6-0.000000001,W$39&lt;=_slice!$I$6+0.000000001,$B56&gt;=_slice!$H$7-0.000000001,$B56&lt;=_slice!$I$7+0.000000001,IF(01_因子設定!$B$20="Box-Behnken",W$39^2+$B56^2+_slice!$H$8&lt;=2+0.000000001,TRUE())),IF(01_因子設定!$B$13="最大化",(_slice!W81-04_回帰ANOVA!$K$19*04_回帰ANOVA!$K$14*SQRT(1+_slice!W106))-01_因子設定!$B$14,IF(01_因子設定!$B$13="最小化",01_因子設定!$B$15-(_slice!W81+04_回帰ANOVA!$K$19*04_回帰ANOVA!$K$14*SQRT(1+_slice!W106)),MIN((_slice!W81-04_回帰ANOVA!$K$19*04_回帰ANOVA!$K$14*SQRT(1+_slice!W106))-01_因子設定!$B$14,01_因子設定!$B$15-(_slice!W81+04_回帰ANOVA!$K$19*04_回帰ANOVA!$K$14*SQRT(1+_slice!W106))))),"外")</f>
        <v>-2.50441068388891</v>
      </c>
    </row>
    <row r="57" customFormat="false" ht="15" hidden="false" customHeight="false" outlineLevel="0" collapsed="false">
      <c r="A57" s="49" t="n">
        <f aca="false">INDEX(01_因子設定!$G$5:$G$6,$C$5)+B57*INDEX(01_因子設定!$H$5:$H$6,$C$5)</f>
        <v>24</v>
      </c>
      <c r="B57" s="49" t="n">
        <v>-0.6</v>
      </c>
      <c r="C57" s="50" t="n">
        <f aca="false">IF(AND(_slice!$H$5=1,C$39&gt;=_slice!$H$6-0.000000001,C$39&lt;=_slice!$I$6+0.000000001,$B57&gt;=_slice!$H$7-0.000000001,$B57&lt;=_slice!$I$7+0.000000001,IF(01_因子設定!$B$20="Box-Behnken",C$39^2+$B57^2+_slice!$H$8&lt;=2+0.000000001,TRUE())),IF(01_因子設定!$B$13="最大化",(_slice!C82-04_回帰ANOVA!$K$19*04_回帰ANOVA!$K$14*SQRT(1+_slice!C107))-01_因子設定!$B$14,IF(01_因子設定!$B$13="最小化",01_因子設定!$B$15-(_slice!C82+04_回帰ANOVA!$K$19*04_回帰ANOVA!$K$14*SQRT(1+_slice!C107)),MIN((_slice!C82-04_回帰ANOVA!$K$19*04_回帰ANOVA!$K$14*SQRT(1+_slice!C107))-01_因子設定!$B$14,01_因子設定!$B$15-(_slice!C82+04_回帰ANOVA!$K$19*04_回帰ANOVA!$K$14*SQRT(1+_slice!C107))))),"外")</f>
        <v>-6.56437618287219</v>
      </c>
      <c r="D57" s="50" t="n">
        <f aca="false">IF(AND(_slice!$H$5=1,D$39&gt;=_slice!$H$6-0.000000001,D$39&lt;=_slice!$I$6+0.000000001,$B57&gt;=_slice!$H$7-0.000000001,$B57&lt;=_slice!$I$7+0.000000001,IF(01_因子設定!$B$20="Box-Behnken",D$39^2+$B57^2+_slice!$H$8&lt;=2+0.000000001,TRUE())),IF(01_因子設定!$B$13="最大化",(_slice!D82-04_回帰ANOVA!$K$19*04_回帰ANOVA!$K$14*SQRT(1+_slice!D107))-01_因子設定!$B$14,IF(01_因子設定!$B$13="最小化",01_因子設定!$B$15-(_slice!D82+04_回帰ANOVA!$K$19*04_回帰ANOVA!$K$14*SQRT(1+_slice!D107)),MIN((_slice!D82-04_回帰ANOVA!$K$19*04_回帰ANOVA!$K$14*SQRT(1+_slice!D107))-01_因子設定!$B$14,01_因子設定!$B$15-(_slice!D82+04_回帰ANOVA!$K$19*04_回帰ANOVA!$K$14*SQRT(1+_slice!D107))))),"外")</f>
        <v>-5.79845954397307</v>
      </c>
      <c r="E57" s="50" t="n">
        <f aca="false">IF(AND(_slice!$H$5=1,E$39&gt;=_slice!$H$6-0.000000001,E$39&lt;=_slice!$I$6+0.000000001,$B57&gt;=_slice!$H$7-0.000000001,$B57&lt;=_slice!$I$7+0.000000001,IF(01_因子設定!$B$20="Box-Behnken",E$39^2+$B57^2+_slice!$H$8&lt;=2+0.000000001,TRUE())),IF(01_因子設定!$B$13="最大化",(_slice!E82-04_回帰ANOVA!$K$19*04_回帰ANOVA!$K$14*SQRT(1+_slice!E107))-01_因子設定!$B$14,IF(01_因子設定!$B$13="最小化",01_因子設定!$B$15-(_slice!E82+04_回帰ANOVA!$K$19*04_回帰ANOVA!$K$14*SQRT(1+_slice!E107)),MIN((_slice!E82-04_回帰ANOVA!$K$19*04_回帰ANOVA!$K$14*SQRT(1+_slice!E107))-01_因子設定!$B$14,01_因子設定!$B$15-(_slice!E82+04_回帰ANOVA!$K$19*04_回帰ANOVA!$K$14*SQRT(1+_slice!E107))))),"外")</f>
        <v>-5.10503105476509</v>
      </c>
      <c r="F57" s="50" t="n">
        <f aca="false">IF(AND(_slice!$H$5=1,F$39&gt;=_slice!$H$6-0.000000001,F$39&lt;=_slice!$I$6+0.000000001,$B57&gt;=_slice!$H$7-0.000000001,$B57&lt;=_slice!$I$7+0.000000001,IF(01_因子設定!$B$20="Box-Behnken",F$39^2+$B57^2+_slice!$H$8&lt;=2+0.000000001,TRUE())),IF(01_因子設定!$B$13="最大化",(_slice!F82-04_回帰ANOVA!$K$19*04_回帰ANOVA!$K$14*SQRT(1+_slice!F107))-01_因子設定!$B$14,IF(01_因子設定!$B$13="最小化",01_因子設定!$B$15-(_slice!F82+04_回帰ANOVA!$K$19*04_回帰ANOVA!$K$14*SQRT(1+_slice!F107)),MIN((_slice!F82-04_回帰ANOVA!$K$19*04_回帰ANOVA!$K$14*SQRT(1+_slice!F107))-01_因子設定!$B$14,01_因子設定!$B$15-(_slice!F82+04_回帰ANOVA!$K$19*04_回帰ANOVA!$K$14*SQRT(1+_slice!F107))))),"外")</f>
        <v>-4.48127483312624</v>
      </c>
      <c r="G57" s="50" t="n">
        <f aca="false">IF(AND(_slice!$H$5=1,G$39&gt;=_slice!$H$6-0.000000001,G$39&lt;=_slice!$I$6+0.000000001,$B57&gt;=_slice!$H$7-0.000000001,$B57&lt;=_slice!$I$7+0.000000001,IF(01_因子設定!$B$20="Box-Behnken",G$39^2+$B57^2+_slice!$H$8&lt;=2+0.000000001,TRUE())),IF(01_因子設定!$B$13="最大化",(_slice!G82-04_回帰ANOVA!$K$19*04_回帰ANOVA!$K$14*SQRT(1+_slice!G107))-01_因子設定!$B$14,IF(01_因子設定!$B$13="最小化",01_因子設定!$B$15-(_slice!G82+04_回帰ANOVA!$K$19*04_回帰ANOVA!$K$14*SQRT(1+_slice!G107)),MIN((_slice!G82-04_回帰ANOVA!$K$19*04_回帰ANOVA!$K$14*SQRT(1+_slice!G107))-01_因子設定!$B$14,01_因子設定!$B$15-(_slice!G82+04_回帰ANOVA!$K$19*04_回帰ANOVA!$K$14*SQRT(1+_slice!G107))))),"外")</f>
        <v>-3.9241668577714</v>
      </c>
      <c r="H57" s="50" t="n">
        <f aca="false">IF(AND(_slice!$H$5=1,H$39&gt;=_slice!$H$6-0.000000001,H$39&lt;=_slice!$I$6+0.000000001,$B57&gt;=_slice!$H$7-0.000000001,$B57&lt;=_slice!$I$7+0.000000001,IF(01_因子設定!$B$20="Box-Behnken",H$39^2+$B57^2+_slice!$H$8&lt;=2+0.000000001,TRUE())),IF(01_因子設定!$B$13="最大化",(_slice!H82-04_回帰ANOVA!$K$19*04_回帰ANOVA!$K$14*SQRT(1+_slice!H107))-01_因子設定!$B$14,IF(01_因子設定!$B$13="最小化",01_因子設定!$B$15-(_slice!H82+04_回帰ANOVA!$K$19*04_回帰ANOVA!$K$14*SQRT(1+_slice!H107)),MIN((_slice!H82-04_回帰ANOVA!$K$19*04_回帰ANOVA!$K$14*SQRT(1+_slice!H107))-01_因子設定!$B$14,01_因子設定!$B$15-(_slice!H82+04_回帰ANOVA!$K$19*04_回帰ANOVA!$K$14*SQRT(1+_slice!H107))))),"外")</f>
        <v>-3.43071971316058</v>
      </c>
      <c r="I57" s="50" t="n">
        <f aca="false">IF(AND(_slice!$H$5=1,I$39&gt;=_slice!$H$6-0.000000001,I$39&lt;=_slice!$I$6+0.000000001,$B57&gt;=_slice!$H$7-0.000000001,$B57&lt;=_slice!$I$7+0.000000001,IF(01_因子設定!$B$20="Box-Behnken",I$39^2+$B57^2+_slice!$H$8&lt;=2+0.000000001,TRUE())),IF(01_因子設定!$B$13="最大化",(_slice!I82-04_回帰ANOVA!$K$19*04_回帰ANOVA!$K$14*SQRT(1+_slice!I107))-01_因子設定!$B$14,IF(01_因子設定!$B$13="最小化",01_因子設定!$B$15-(_slice!I82+04_回帰ANOVA!$K$19*04_回帰ANOVA!$K$14*SQRT(1+_slice!I107)),MIN((_slice!I82-04_回帰ANOVA!$K$19*04_回帰ANOVA!$K$14*SQRT(1+_slice!I107))-01_因子設定!$B$14,01_因子設定!$B$15-(_slice!I82+04_回帰ANOVA!$K$19*04_回帰ANOVA!$K$14*SQRT(1+_slice!I107))))),"外")</f>
        <v>-2.99819207234363</v>
      </c>
      <c r="J57" s="50" t="n">
        <f aca="false">IF(AND(_slice!$H$5=1,J$39&gt;=_slice!$H$6-0.000000001,J$39&lt;=_slice!$I$6+0.000000001,$B57&gt;=_slice!$H$7-0.000000001,$B57&lt;=_slice!$I$7+0.000000001,IF(01_因子設定!$B$20="Box-Behnken",J$39^2+$B57^2+_slice!$H$8&lt;=2+0.000000001,TRUE())),IF(01_因子設定!$B$13="最大化",(_slice!J82-04_回帰ANOVA!$K$19*04_回帰ANOVA!$K$14*SQRT(1+_slice!J107))-01_因子設定!$B$14,IF(01_因子設定!$B$13="最小化",01_因子設定!$B$15-(_slice!J82+04_回帰ANOVA!$K$19*04_回帰ANOVA!$K$14*SQRT(1+_slice!J107)),MIN((_slice!J82-04_回帰ANOVA!$K$19*04_回帰ANOVA!$K$14*SQRT(1+_slice!J107))-01_因子設定!$B$14,01_因子設定!$B$15-(_slice!J82+04_回帰ANOVA!$K$19*04_回帰ANOVA!$K$14*SQRT(1+_slice!J107))))),"外")</f>
        <v>-2.62423750879511</v>
      </c>
      <c r="K57" s="50" t="n">
        <f aca="false">IF(AND(_slice!$H$5=1,K$39&gt;=_slice!$H$6-0.000000001,K$39&lt;=_slice!$I$6+0.000000001,$B57&gt;=_slice!$H$7-0.000000001,$B57&lt;=_slice!$I$7+0.000000001,IF(01_因子設定!$B$20="Box-Behnken",K$39^2+$B57^2+_slice!$H$8&lt;=2+0.000000001,TRUE())),IF(01_因子設定!$B$13="最大化",(_slice!K82-04_回帰ANOVA!$K$19*04_回帰ANOVA!$K$14*SQRT(1+_slice!K107))-01_因子設定!$B$14,IF(01_因子設定!$B$13="最小化",01_因子設定!$B$15-(_slice!K82+04_回帰ANOVA!$K$19*04_回帰ANOVA!$K$14*SQRT(1+_slice!K107)),MIN((_slice!K82-04_回帰ANOVA!$K$19*04_回帰ANOVA!$K$14*SQRT(1+_slice!K107))-01_因子設定!$B$14,01_因子設定!$B$15-(_slice!K82+04_回帰ANOVA!$K$19*04_回帰ANOVA!$K$14*SQRT(1+_slice!K107))))),"外")</f>
        <v>-2.30699198866562</v>
      </c>
      <c r="L57" s="50" t="n">
        <f aca="false">IF(AND(_slice!$H$5=1,L$39&gt;=_slice!$H$6-0.000000001,L$39&lt;=_slice!$I$6+0.000000001,$B57&gt;=_slice!$H$7-0.000000001,$B57&lt;=_slice!$I$7+0.000000001,IF(01_因子設定!$B$20="Box-Behnken",L$39^2+$B57^2+_slice!$H$8&lt;=2+0.000000001,TRUE())),IF(01_因子設定!$B$13="最大化",(_slice!L82-04_回帰ANOVA!$K$19*04_回帰ANOVA!$K$14*SQRT(1+_slice!L107))-01_因子設定!$B$14,IF(01_因子設定!$B$13="最小化",01_因子設定!$B$15-(_slice!L82+04_回帰ANOVA!$K$19*04_回帰ANOVA!$K$14*SQRT(1+_slice!L107)),MIN((_slice!L82-04_回帰ANOVA!$K$19*04_回帰ANOVA!$K$14*SQRT(1+_slice!L107))-01_因子設定!$B$14,01_因子設定!$B$15-(_slice!L82+04_回帰ANOVA!$K$19*04_回帰ANOVA!$K$14*SQRT(1+_slice!L107))))),"外")</f>
        <v>-2.04511459835342</v>
      </c>
      <c r="M57" s="50" t="n">
        <f aca="false">IF(AND(_slice!$H$5=1,M$39&gt;=_slice!$H$6-0.000000001,M$39&lt;=_slice!$I$6+0.000000001,$B57&gt;=_slice!$H$7-0.000000001,$B57&lt;=_slice!$I$7+0.000000001,IF(01_因子設定!$B$20="Box-Behnken",M$39^2+$B57^2+_slice!$H$8&lt;=2+0.000000001,TRUE())),IF(01_因子設定!$B$13="最大化",(_slice!M82-04_回帰ANOVA!$K$19*04_回帰ANOVA!$K$14*SQRT(1+_slice!M107))-01_因子設定!$B$14,IF(01_因子設定!$B$13="最小化",01_因子設定!$B$15-(_slice!M82+04_回帰ANOVA!$K$19*04_回帰ANOVA!$K$14*SQRT(1+_slice!M107)),MIN((_slice!M82-04_回帰ANOVA!$K$19*04_回帰ANOVA!$K$14*SQRT(1+_slice!M107))-01_因子設定!$B$14,01_因子設定!$B$15-(_slice!M82+04_回帰ANOVA!$K$19*04_回帰ANOVA!$K$14*SQRT(1+_slice!M107))))),"外")</f>
        <v>-1.83780037436198</v>
      </c>
      <c r="N57" s="50" t="n">
        <f aca="false">IF(AND(_slice!$H$5=1,N$39&gt;=_slice!$H$6-0.000000001,N$39&lt;=_slice!$I$6+0.000000001,$B57&gt;=_slice!$H$7-0.000000001,$B57&lt;=_slice!$I$7+0.000000001,IF(01_因子設定!$B$20="Box-Behnken",N$39^2+$B57^2+_slice!$H$8&lt;=2+0.000000001,TRUE())),IF(01_因子設定!$B$13="最大化",(_slice!N82-04_回帰ANOVA!$K$19*04_回帰ANOVA!$K$14*SQRT(1+_slice!N107))-01_因子設定!$B$14,IF(01_因子設定!$B$13="最小化",01_因子設定!$B$15-(_slice!N82+04_回帰ANOVA!$K$19*04_回帰ANOVA!$K$14*SQRT(1+_slice!N107)),MIN((_slice!N82-04_回帰ANOVA!$K$19*04_回帰ANOVA!$K$14*SQRT(1+_slice!N107))-01_因子設定!$B$14,01_因子設定!$B$15-(_slice!N82+04_回帰ANOVA!$K$19*04_回帰ANOVA!$K$14*SQRT(1+_slice!N107))))),"外")</f>
        <v>-1.68478126502009</v>
      </c>
      <c r="O57" s="50" t="n">
        <f aca="false">IF(AND(_slice!$H$5=1,O$39&gt;=_slice!$H$6-0.000000001,O$39&lt;=_slice!$I$6+0.000000001,$B57&gt;=_slice!$H$7-0.000000001,$B57&lt;=_slice!$I$7+0.000000001,IF(01_因子設定!$B$20="Box-Behnken",O$39^2+$B57^2+_slice!$H$8&lt;=2+0.000000001,TRUE())),IF(01_因子設定!$B$13="最大化",(_slice!O82-04_回帰ANOVA!$K$19*04_回帰ANOVA!$K$14*SQRT(1+_slice!O107))-01_因子設定!$B$14,IF(01_因子設定!$B$13="最小化",01_因子設定!$B$15-(_slice!O82+04_回帰ANOVA!$K$19*04_回帰ANOVA!$K$14*SQRT(1+_slice!O107)),MIN((_slice!O82-04_回帰ANOVA!$K$19*04_回帰ANOVA!$K$14*SQRT(1+_slice!O107))-01_因子設定!$B$14,01_因子設定!$B$15-(_slice!O82+04_回帰ANOVA!$K$19*04_回帰ANOVA!$K$14*SQRT(1+_slice!O107))))),"外")</f>
        <v>-1.58632532199896</v>
      </c>
      <c r="P57" s="50" t="n">
        <f aca="false">IF(AND(_slice!$H$5=1,P$39&gt;=_slice!$H$6-0.000000001,P$39&lt;=_slice!$I$6+0.000000001,$B57&gt;=_slice!$H$7-0.000000001,$B57&lt;=_slice!$I$7+0.000000001,IF(01_因子設定!$B$20="Box-Behnken",P$39^2+$B57^2+_slice!$H$8&lt;=2+0.000000001,TRUE())),IF(01_因子設定!$B$13="最大化",(_slice!P82-04_回帰ANOVA!$K$19*04_回帰ANOVA!$K$14*SQRT(1+_slice!P107))-01_因子設定!$B$14,IF(01_因子設定!$B$13="最小化",01_因子設定!$B$15-(_slice!P82+04_回帰ANOVA!$K$19*04_回帰ANOVA!$K$14*SQRT(1+_slice!P107)),MIN((_slice!P82-04_回帰ANOVA!$K$19*04_回帰ANOVA!$K$14*SQRT(1+_slice!P107))-01_因子設定!$B$14,01_因子設定!$B$15-(_slice!P82+04_回帰ANOVA!$K$19*04_回帰ANOVA!$K$14*SQRT(1+_slice!P107))))),"外")</f>
        <v>-1.54323750879511</v>
      </c>
      <c r="Q57" s="50" t="n">
        <f aca="false">IF(AND(_slice!$H$5=1,Q$39&gt;=_slice!$H$6-0.000000001,Q$39&lt;=_slice!$I$6+0.000000001,$B57&gt;=_slice!$H$7-0.000000001,$B57&lt;=_slice!$I$7+0.000000001,IF(01_因子設定!$B$20="Box-Behnken",Q$39^2+$B57^2+_slice!$H$8&lt;=2+0.000000001,TRUE())),IF(01_因子設定!$B$13="最大化",(_slice!Q82-04_回帰ANOVA!$K$19*04_回帰ANOVA!$K$14*SQRT(1+_slice!Q107))-01_因子設定!$B$14,IF(01_因子設定!$B$13="最小化",01_因子設定!$B$15-(_slice!Q82+04_回帰ANOVA!$K$19*04_回帰ANOVA!$K$14*SQRT(1+_slice!Q107)),MIN((_slice!Q82-04_回帰ANOVA!$K$19*04_回帰ANOVA!$K$14*SQRT(1+_slice!Q107))-01_因子設定!$B$14,01_因子設定!$B$15-(_slice!Q82+04_回帰ANOVA!$K$19*04_回帰ANOVA!$K$14*SQRT(1+_slice!Q107))))),"外")</f>
        <v>-1.55685873901029</v>
      </c>
      <c r="R57" s="50" t="n">
        <f aca="false">IF(AND(_slice!$H$5=1,R$39&gt;=_slice!$H$6-0.000000001,R$39&lt;=_slice!$I$6+0.000000001,$B57&gt;=_slice!$H$7-0.000000001,$B57&lt;=_slice!$I$7+0.000000001,IF(01_因子設定!$B$20="Box-Behnken",R$39^2+$B57^2+_slice!$H$8&lt;=2+0.000000001,TRUE())),IF(01_因子設定!$B$13="最大化",(_slice!R82-04_回帰ANOVA!$K$19*04_回帰ANOVA!$K$14*SQRT(1+_slice!R107))-01_因子設定!$B$14,IF(01_因子設定!$B$13="最小化",01_因子設定!$B$15-(_slice!R82+04_回帰ANOVA!$K$19*04_回帰ANOVA!$K$14*SQRT(1+_slice!R107)),MIN((_slice!R82-04_回帰ANOVA!$K$19*04_回帰ANOVA!$K$14*SQRT(1+_slice!R107))-01_因子設定!$B$14,01_因子設定!$B$15-(_slice!R82+04_回帰ANOVA!$K$19*04_回帰ANOVA!$K$14*SQRT(1+_slice!R107))))),"外")</f>
        <v>-1.62905304649391</v>
      </c>
      <c r="S57" s="50" t="n">
        <f aca="false">IF(AND(_slice!$H$5=1,S$39&gt;=_slice!$H$6-0.000000001,S$39&lt;=_slice!$I$6+0.000000001,$B57&gt;=_slice!$H$7-0.000000001,$B57&lt;=_slice!$I$7+0.000000001,IF(01_因子設定!$B$20="Box-Behnken",S$39^2+$B57^2+_slice!$H$8&lt;=2+0.000000001,TRUE())),IF(01_因子設定!$B$13="最大化",(_slice!S82-04_回帰ANOVA!$K$19*04_回帰ANOVA!$K$14*SQRT(1+_slice!S107))-01_因子設定!$B$14,IF(01_因子設定!$B$13="最小化",01_因子設定!$B$15-(_slice!S82+04_回帰ANOVA!$K$19*04_回帰ANOVA!$K$14*SQRT(1+_slice!S107)),MIN((_slice!S82-04_回帰ANOVA!$K$19*04_回帰ANOVA!$K$14*SQRT(1+_slice!S107))-01_因子設定!$B$14,01_因子設定!$B$15-(_slice!S82+04_回帰ANOVA!$K$19*04_回帰ANOVA!$K$14*SQRT(1+_slice!S107))))),"外")</f>
        <v>-1.7621668577714</v>
      </c>
      <c r="T57" s="50" t="n">
        <f aca="false">IF(AND(_slice!$H$5=1,T$39&gt;=_slice!$H$6-0.000000001,T$39&lt;=_slice!$I$6+0.000000001,$B57&gt;=_slice!$H$7-0.000000001,$B57&lt;=_slice!$I$7+0.000000001,IF(01_因子設定!$B$20="Box-Behnken",T$39^2+$B57^2+_slice!$H$8&lt;=2+0.000000001,TRUE())),IF(01_因子設定!$B$13="最大化",(_slice!T82-04_回帰ANOVA!$K$19*04_回帰ANOVA!$K$14*SQRT(1+_slice!T107))-01_因子設定!$B$14,IF(01_因子設定!$B$13="最小化",01_因子設定!$B$15-(_slice!T82+04_回帰ANOVA!$K$19*04_回帰ANOVA!$K$14*SQRT(1+_slice!T107)),MIN((_slice!T82-04_回帰ANOVA!$K$19*04_回帰ANOVA!$K$14*SQRT(1+_slice!T107))-01_因子設定!$B$14,01_因子設定!$B$15-(_slice!T82+04_回帰ANOVA!$K$19*04_回帰ANOVA!$K$14*SQRT(1+_slice!T107))))),"外")</f>
        <v>-1.9589414997929</v>
      </c>
      <c r="U57" s="50" t="n">
        <f aca="false">IF(AND(_slice!$H$5=1,U$39&gt;=_slice!$H$6-0.000000001,U$39&lt;=_slice!$I$6+0.000000001,$B57&gt;=_slice!$H$7-0.000000001,$B57&lt;=_slice!$I$7+0.000000001,IF(01_因子設定!$B$20="Box-Behnken",U$39^2+$B57^2+_slice!$H$8&lt;=2+0.000000001,TRUE())),IF(01_因子設定!$B$13="最大化",(_slice!U82-04_回帰ANOVA!$K$19*04_回帰ANOVA!$K$14*SQRT(1+_slice!U107))-01_因子設定!$B$14,IF(01_因子設定!$B$13="最小化",01_因子設定!$B$15-(_slice!U82+04_回帰ANOVA!$K$19*04_回帰ANOVA!$K$14*SQRT(1+_slice!U107)),MIN((_slice!U82-04_回帰ANOVA!$K$19*04_回帰ANOVA!$K$14*SQRT(1+_slice!U107))-01_因子設定!$B$14,01_因子設定!$B$15-(_slice!U82+04_回帰ANOVA!$K$19*04_回帰ANOVA!$K$14*SQRT(1+_slice!U107))))),"外")</f>
        <v>-2.22236438809842</v>
      </c>
      <c r="V57" s="50" t="n">
        <f aca="false">IF(AND(_slice!$H$5=1,V$39&gt;=_slice!$H$6-0.000000001,V$39&lt;=_slice!$I$6+0.000000001,$B57&gt;=_slice!$H$7-0.000000001,$B57&lt;=_slice!$I$7+0.000000001,IF(01_因子設定!$B$20="Box-Behnken",V$39^2+$B57^2+_slice!$H$8&lt;=2+0.000000001,TRUE())),IF(01_因子設定!$B$13="最大化",(_slice!V82-04_回帰ANOVA!$K$19*04_回帰ANOVA!$K$14*SQRT(1+_slice!V107))-01_因子設定!$B$14,IF(01_因子設定!$B$13="最小化",01_因子設定!$B$15-(_slice!V82+04_回帰ANOVA!$K$19*04_回帰ANOVA!$K$14*SQRT(1+_slice!V107)),MIN((_slice!V82-04_回帰ANOVA!$K$19*04_回帰ANOVA!$K$14*SQRT(1+_slice!V107))-01_因子設定!$B$14,01_因子設定!$B$15-(_slice!V82+04_回帰ANOVA!$K$19*04_回帰ANOVA!$K$14*SQRT(1+_slice!V107))))),"外")</f>
        <v>-2.55545954397306</v>
      </c>
      <c r="W57" s="50" t="n">
        <f aca="false">IF(AND(_slice!$H$5=1,W$39&gt;=_slice!$H$6-0.000000001,W$39&lt;=_slice!$I$6+0.000000001,$B57&gt;=_slice!$H$7-0.000000001,$B57&lt;=_slice!$I$7+0.000000001,IF(01_因子設定!$B$20="Box-Behnken",W$39^2+$B57^2+_slice!$H$8&lt;=2+0.000000001,TRUE())),IF(01_因子設定!$B$13="最大化",(_slice!W82-04_回帰ANOVA!$K$19*04_回帰ANOVA!$K$14*SQRT(1+_slice!W107))-01_因子設定!$B$14,IF(01_因子設定!$B$13="最小化",01_因子設定!$B$15-(_slice!W82+04_回帰ANOVA!$K$19*04_回帰ANOVA!$K$14*SQRT(1+_slice!W107)),MIN((_slice!W82-04_回帰ANOVA!$K$19*04_回帰ANOVA!$K$14*SQRT(1+_slice!W107))-01_因子設定!$B$14,01_因子設定!$B$15-(_slice!W82+04_回帰ANOVA!$K$19*04_回帰ANOVA!$K$14*SQRT(1+_slice!W107))))),"外")</f>
        <v>-2.96104284953885</v>
      </c>
    </row>
    <row r="58" customFormat="false" ht="15" hidden="false" customHeight="false" outlineLevel="0" collapsed="false">
      <c r="A58" s="49" t="n">
        <f aca="false">INDEX(01_因子設定!$G$5:$G$6,$C$5)+B58*INDEX(01_因子設定!$H$5:$H$6,$C$5)</f>
        <v>23</v>
      </c>
      <c r="B58" s="49" t="n">
        <v>-0.7</v>
      </c>
      <c r="C58" s="50" t="n">
        <f aca="false">IF(AND(_slice!$H$5=1,C$39&gt;=_slice!$H$6-0.000000001,C$39&lt;=_slice!$I$6+0.000000001,$B58&gt;=_slice!$H$7-0.000000001,$B58&lt;=_slice!$I$7+0.000000001,IF(01_因子設定!$B$20="Box-Behnken",C$39^2+$B58^2+_slice!$H$8&lt;=2+0.000000001,TRUE())),IF(01_因子設定!$B$13="最大化",(_slice!C83-04_回帰ANOVA!$K$19*04_回帰ANOVA!$K$14*SQRT(1+_slice!C108))-01_因子設定!$B$14,IF(01_因子設定!$B$13="最小化",01_因子設定!$B$15-(_slice!C83+04_回帰ANOVA!$K$19*04_回帰ANOVA!$K$14*SQRT(1+_slice!C108)),MIN((_slice!C83-04_回帰ANOVA!$K$19*04_回帰ANOVA!$K$14*SQRT(1+_slice!C108))-01_因子設定!$B$14,01_因子設定!$B$15-(_slice!C83+04_回帰ANOVA!$K$19*04_回帰ANOVA!$K$14*SQRT(1+_slice!C108))))),"外")</f>
        <v>-6.9546717037852</v>
      </c>
      <c r="D58" s="50" t="n">
        <f aca="false">IF(AND(_slice!$H$5=1,D$39&gt;=_slice!$H$6-0.000000001,D$39&lt;=_slice!$I$6+0.000000001,$B58&gt;=_slice!$H$7-0.000000001,$B58&lt;=_slice!$I$7+0.000000001,IF(01_因子設定!$B$20="Box-Behnken",D$39^2+$B58^2+_slice!$H$8&lt;=2+0.000000001,TRUE())),IF(01_因子設定!$B$13="最大化",(_slice!D83-04_回帰ANOVA!$K$19*04_回帰ANOVA!$K$14*SQRT(1+_slice!D108))-01_因子設定!$B$14,IF(01_因子設定!$B$13="最小化",01_因子設定!$B$15-(_slice!D83+04_回帰ANOVA!$K$19*04_回帰ANOVA!$K$14*SQRT(1+_slice!D108)),MIN((_slice!D83-04_回帰ANOVA!$K$19*04_回帰ANOVA!$K$14*SQRT(1+_slice!D108))-01_因子設定!$B$14,01_因子設定!$B$15-(_slice!D83+04_回帰ANOVA!$K$19*04_回帰ANOVA!$K$14*SQRT(1+_slice!D108))))),"外")</f>
        <v>-6.19505069473065</v>
      </c>
      <c r="E58" s="50" t="n">
        <f aca="false">IF(AND(_slice!$H$5=1,E$39&gt;=_slice!$H$6-0.000000001,E$39&lt;=_slice!$I$6+0.000000001,$B58&gt;=_slice!$H$7-0.000000001,$B58&lt;=_slice!$I$7+0.000000001,IF(01_因子設定!$B$20="Box-Behnken",E$39^2+$B58^2+_slice!$H$8&lt;=2+0.000000001,TRUE())),IF(01_因子設定!$B$13="最大化",(_slice!E83-04_回帰ANOVA!$K$19*04_回帰ANOVA!$K$14*SQRT(1+_slice!E108))-01_因子設定!$B$14,IF(01_因子設定!$B$13="最小化",01_因子設定!$B$15-(_slice!E83+04_回帰ANOVA!$K$19*04_回帰ANOVA!$K$14*SQRT(1+_slice!E108)),MIN((_slice!E83-04_回帰ANOVA!$K$19*04_回帰ANOVA!$K$14*SQRT(1+_slice!E108))-01_因子設定!$B$14,01_因子設定!$B$15-(_slice!E83+04_回帰ANOVA!$K$19*04_回帰ANOVA!$K$14*SQRT(1+_slice!E108))))),"外")</f>
        <v>-5.50774807286371</v>
      </c>
      <c r="F58" s="50" t="n">
        <f aca="false">IF(AND(_slice!$H$5=1,F$39&gt;=_slice!$H$6-0.000000001,F$39&lt;=_slice!$I$6+0.000000001,$B58&gt;=_slice!$H$7-0.000000001,$B58&lt;=_slice!$I$7+0.000000001,IF(01_因子設定!$B$20="Box-Behnken",F$39^2+$B58^2+_slice!$H$8&lt;=2+0.000000001,TRUE())),IF(01_因子設定!$B$13="最大化",(_slice!F83-04_回帰ANOVA!$K$19*04_回帰ANOVA!$K$14*SQRT(1+_slice!F108))-01_因子設定!$B$14,IF(01_因子設定!$B$13="最小化",01_因子設定!$B$15-(_slice!F83+04_回帰ANOVA!$K$19*04_回帰ANOVA!$K$14*SQRT(1+_slice!F108)),MIN((_slice!F83-04_回帰ANOVA!$K$19*04_回帰ANOVA!$K$14*SQRT(1+_slice!F108))-01_因子設定!$B$14,01_因子設定!$B$15-(_slice!F83+04_回帰ANOVA!$K$19*04_回帰ANOVA!$K$14*SQRT(1+_slice!F108))))),"外")</f>
        <v>-4.88993892222793</v>
      </c>
      <c r="G58" s="50" t="n">
        <f aca="false">IF(AND(_slice!$H$5=1,G$39&gt;=_slice!$H$6-0.000000001,G$39&lt;=_slice!$I$6+0.000000001,$B58&gt;=_slice!$H$7-0.000000001,$B58&lt;=_slice!$I$7+0.000000001,IF(01_因子設定!$B$20="Box-Behnken",G$39^2+$B58^2+_slice!$H$8&lt;=2+0.000000001,TRUE())),IF(01_因子設定!$B$13="最大化",(_slice!G83-04_回帰ANOVA!$K$19*04_回帰ANOVA!$K$14*SQRT(1+_slice!G108))-01_因子設定!$B$14,IF(01_因子設定!$B$13="最小化",01_因子設定!$B$15-(_slice!G83+04_回帰ANOVA!$K$19*04_回帰ANOVA!$K$14*SQRT(1+_slice!G108)),MIN((_slice!G83-04_回帰ANOVA!$K$19*04_回帰ANOVA!$K$14*SQRT(1+_slice!G108))-01_因子設定!$B$14,01_因子設定!$B$15-(_slice!G83+04_回帰ANOVA!$K$19*04_回帰ANOVA!$K$14*SQRT(1+_slice!G108))))),"外")</f>
        <v>-4.33860816645956</v>
      </c>
      <c r="H58" s="50" t="n">
        <f aca="false">IF(AND(_slice!$H$5=1,H$39&gt;=_slice!$H$6-0.000000001,H$39&lt;=_slice!$I$6+0.000000001,$B58&gt;=_slice!$H$7-0.000000001,$B58&lt;=_slice!$I$7+0.000000001,IF(01_因子設定!$B$20="Box-Behnken",H$39^2+$B58^2+_slice!$H$8&lt;=2+0.000000001,TRUE())),IF(01_因子設定!$B$13="最大化",(_slice!H83-04_回帰ANOVA!$K$19*04_回帰ANOVA!$K$14*SQRT(1+_slice!H108))-01_因子設定!$B$14,IF(01_因子設定!$B$13="最小化",01_因子設定!$B$15-(_slice!H83+04_回帰ANOVA!$K$19*04_回帰ANOVA!$K$14*SQRT(1+_slice!H108)),MIN((_slice!H83-04_回帰ANOVA!$K$19*04_回帰ANOVA!$K$14*SQRT(1+_slice!H108))-01_因子設定!$B$14,01_因子設定!$B$15-(_slice!H83+04_回帰ANOVA!$K$19*04_回帰ANOVA!$K$14*SQRT(1+_slice!H108))))),"外")</f>
        <v>-3.85079023852028</v>
      </c>
      <c r="I58" s="50" t="n">
        <f aca="false">IF(AND(_slice!$H$5=1,I$39&gt;=_slice!$H$6-0.000000001,I$39&lt;=_slice!$I$6+0.000000001,$B58&gt;=_slice!$H$7-0.000000001,$B58&lt;=_slice!$I$7+0.000000001,IF(01_因子設定!$B$20="Box-Behnken",I$39^2+$B58^2+_slice!$H$8&lt;=2+0.000000001,TRUE())),IF(01_因子設定!$B$13="最大化",(_slice!I83-04_回帰ANOVA!$K$19*04_回帰ANOVA!$K$14*SQRT(1+_slice!I108))-01_因子設定!$B$14,IF(01_因子設定!$B$13="最小化",01_因子設定!$B$15-(_slice!I83+04_回帰ANOVA!$K$19*04_回帰ANOVA!$K$14*SQRT(1+_slice!I108)),MIN((_slice!I83-04_回帰ANOVA!$K$19*04_回帰ANOVA!$K$14*SQRT(1+_slice!I108))-01_因子設定!$B$14,01_因子設定!$B$15-(_slice!I83+04_回帰ANOVA!$K$19*04_回帰ANOVA!$K$14*SQRT(1+_slice!I108))))),"外")</f>
        <v>-3.42377194544657</v>
      </c>
      <c r="J58" s="50" t="n">
        <f aca="false">IF(AND(_slice!$H$5=1,J$39&gt;=_slice!$H$6-0.000000001,J$39&lt;=_slice!$I$6+0.000000001,$B58&gt;=_slice!$H$7-0.000000001,$B58&lt;=_slice!$I$7+0.000000001,IF(01_因子設定!$B$20="Box-Behnken",J$39^2+$B58^2+_slice!$H$8&lt;=2+0.000000001,TRUE())),IF(01_因子設定!$B$13="最大化",(_slice!J83-04_回帰ANOVA!$K$19*04_回帰ANOVA!$K$14*SQRT(1+_slice!J108))-01_因子設定!$B$14,IF(01_因子設定!$B$13="最小化",01_因子設定!$B$15-(_slice!J83+04_回帰ANOVA!$K$19*04_回帰ANOVA!$K$14*SQRT(1+_slice!J108)),MIN((_slice!J83-04_回帰ANOVA!$K$19*04_回帰ANOVA!$K$14*SQRT(1+_slice!J108))-01_因子設定!$B$14,01_因子設定!$B$15-(_slice!J83+04_回帰ANOVA!$K$19*04_回帰ANOVA!$K$14*SQRT(1+_slice!J108))))),"外")</f>
        <v>-3.05523535285283</v>
      </c>
      <c r="K58" s="50" t="n">
        <f aca="false">IF(AND(_slice!$H$5=1,K$39&gt;=_slice!$H$6-0.000000001,K$39&lt;=_slice!$I$6+0.000000001,$B58&gt;=_slice!$H$7-0.000000001,$B58&lt;=_slice!$I$7+0.000000001,IF(01_因子設定!$B$20="Box-Behnken",K$39^2+$B58^2+_slice!$H$8&lt;=2+0.000000001,TRUE())),IF(01_因子設定!$B$13="最大化",(_slice!K83-04_回帰ANOVA!$K$19*04_回帰ANOVA!$K$14*SQRT(1+_slice!K108))-01_因子設定!$B$14,IF(01_因子設定!$B$13="最小化",01_因子設定!$B$15-(_slice!K83+04_回帰ANOVA!$K$19*04_回帰ANOVA!$K$14*SQRT(1+_slice!K108)),MIN((_slice!K83-04_回帰ANOVA!$K$19*04_回帰ANOVA!$K$14*SQRT(1+_slice!K108))-01_因子設定!$B$14,01_因子設定!$B$15-(_slice!K83+04_回帰ANOVA!$K$19*04_回帰ANOVA!$K$14*SQRT(1+_slice!K108))))),"外")</f>
        <v>-2.74334112957258</v>
      </c>
      <c r="L58" s="50" t="n">
        <f aca="false">IF(AND(_slice!$H$5=1,L$39&gt;=_slice!$H$6-0.000000001,L$39&lt;=_slice!$I$6+0.000000001,$B58&gt;=_slice!$H$7-0.000000001,$B58&lt;=_slice!$I$7+0.000000001,IF(01_因子設定!$B$20="Box-Behnken",L$39^2+$B58^2+_slice!$H$8&lt;=2+0.000000001,TRUE())),IF(01_因子設定!$B$13="最大化",(_slice!L83-04_回帰ANOVA!$K$19*04_回帰ANOVA!$K$14*SQRT(1+_slice!L108))-01_因子設定!$B$14,IF(01_因子設定!$B$13="最小化",01_因子設定!$B$15-(_slice!L83+04_回帰ANOVA!$K$19*04_回帰ANOVA!$K$14*SQRT(1+_slice!L108)),MIN((_slice!L83-04_回帰ANOVA!$K$19*04_回帰ANOVA!$K$14*SQRT(1+_slice!L108))-01_因子設定!$B$14,01_因子設定!$B$15-(_slice!L83+04_回帰ANOVA!$K$19*04_回帰ANOVA!$K$14*SQRT(1+_slice!L108))))),"外")</f>
        <v>-2.48676693013475</v>
      </c>
      <c r="M58" s="50" t="n">
        <f aca="false">IF(AND(_slice!$H$5=1,M$39&gt;=_slice!$H$6-0.000000001,M$39&lt;=_slice!$I$6+0.000000001,$B58&gt;=_slice!$H$7-0.000000001,$B58&lt;=_slice!$I$7+0.000000001,IF(01_因子設定!$B$20="Box-Behnken",M$39^2+$B58^2+_slice!$H$8&lt;=2+0.000000001,TRUE())),IF(01_因子設定!$B$13="最大化",(_slice!M83-04_回帰ANOVA!$K$19*04_回帰ANOVA!$K$14*SQRT(1+_slice!M108))-01_因子設定!$B$14,IF(01_因子設定!$B$13="最小化",01_因子設定!$B$15-(_slice!M83+04_回帰ANOVA!$K$19*04_回帰ANOVA!$K$14*SQRT(1+_slice!M108)),MIN((_slice!M83-04_回帰ANOVA!$K$19*04_回帰ANOVA!$K$14*SQRT(1+_slice!M108))-01_因子設定!$B$14,01_因子設定!$B$15-(_slice!M83+04_回帰ANOVA!$K$19*04_回帰ANOVA!$K$14*SQRT(1+_slice!M108))))),"外")</f>
        <v>-2.28471916450743</v>
      </c>
      <c r="N58" s="50" t="n">
        <f aca="false">IF(AND(_slice!$H$5=1,N$39&gt;=_slice!$H$6-0.000000001,N$39&lt;=_slice!$I$6+0.000000001,$B58&gt;=_slice!$H$7-0.000000001,$B58&lt;=_slice!$I$7+0.000000001,IF(01_因子設定!$B$20="Box-Behnken",N$39^2+$B58^2+_slice!$H$8&lt;=2+0.000000001,TRUE())),IF(01_因子設定!$B$13="最大化",(_slice!N83-04_回帰ANOVA!$K$19*04_回帰ANOVA!$K$14*SQRT(1+_slice!N108))-01_因子設定!$B$14,IF(01_因子設定!$B$13="最小化",01_因子設定!$B$15-(_slice!N83+04_回帰ANOVA!$K$19*04_回帰ANOVA!$K$14*SQRT(1+_slice!N108)),MIN((_slice!N83-04_回帰ANOVA!$K$19*04_回帰ANOVA!$K$14*SQRT(1+_slice!N108))-01_因子設定!$B$14,01_因子設定!$B$15-(_slice!N83+04_回帰ANOVA!$K$19*04_回帰ANOVA!$K$14*SQRT(1+_slice!N108))))),"外")</f>
        <v>-2.13693359680141</v>
      </c>
      <c r="O58" s="50" t="n">
        <f aca="false">IF(AND(_slice!$H$5=1,O$39&gt;=_slice!$H$6-0.000000001,O$39&lt;=_slice!$I$6+0.000000001,$B58&gt;=_slice!$H$7-0.000000001,$B58&lt;=_slice!$I$7+0.000000001,IF(01_因子設定!$B$20="Box-Behnken",O$39^2+$B58^2+_slice!$H$8&lt;=2+0.000000001,TRUE())),IF(01_因子設定!$B$13="最大化",(_slice!O83-04_回帰ANOVA!$K$19*04_回帰ANOVA!$K$14*SQRT(1+_slice!O108))-01_因子設定!$B$14,IF(01_因子設定!$B$13="最小化",01_因子設定!$B$15-(_slice!O83+04_回帰ANOVA!$K$19*04_回帰ANOVA!$K$14*SQRT(1+_slice!O108)),MIN((_slice!O83-04_回帰ANOVA!$K$19*04_回帰ANOVA!$K$14*SQRT(1+_slice!O108))-01_因子設定!$B$14,01_因子設定!$B$15-(_slice!O83+04_回帰ANOVA!$K$19*04_回帰ANOVA!$K$14*SQRT(1+_slice!O108))))),"外")</f>
        <v>-2.04367446290593</v>
      </c>
      <c r="P58" s="50" t="n">
        <f aca="false">IF(AND(_slice!$H$5=1,P$39&gt;=_slice!$H$6-0.000000001,P$39&lt;=_slice!$I$6+0.000000001,$B58&gt;=_slice!$H$7-0.000000001,$B58&lt;=_slice!$I$7+0.000000001,IF(01_因子設定!$B$20="Box-Behnken",P$39^2+$B58^2+_slice!$H$8&lt;=2+0.000000001,TRUE())),IF(01_因子設定!$B$13="最大化",(_slice!P83-04_回帰ANOVA!$K$19*04_回帰ANOVA!$K$14*SQRT(1+_slice!P108))-01_因子設定!$B$14,IF(01_因子設定!$B$13="最小化",01_因子設定!$B$15-(_slice!P83+04_回帰ANOVA!$K$19*04_回帰ANOVA!$K$14*SQRT(1+_slice!P108)),MIN((_slice!P83-04_回帰ANOVA!$K$19*04_回帰ANOVA!$K$14*SQRT(1+_slice!P108))-01_因子設定!$B$14,01_因子設定!$B$15-(_slice!P83+04_回帰ANOVA!$K$19*04_回帰ANOVA!$K$14*SQRT(1+_slice!P108))))),"外")</f>
        <v>-2.00573535285284</v>
      </c>
      <c r="Q58" s="50" t="n">
        <f aca="false">IF(AND(_slice!$H$5=1,Q$39&gt;=_slice!$H$6-0.000000001,Q$39&lt;=_slice!$I$6+0.000000001,$B58&gt;=_slice!$H$7-0.000000001,$B58&lt;=_slice!$I$7+0.000000001,IF(01_因子設定!$B$20="Box-Behnken",Q$39^2+$B58^2+_slice!$H$8&lt;=2+0.000000001,TRUE())),IF(01_因子設定!$B$13="最大化",(_slice!Q83-04_回帰ANOVA!$K$19*04_回帰ANOVA!$K$14*SQRT(1+_slice!Q108))-01_因子設定!$B$14,IF(01_因子設定!$B$13="最小化",01_因子設定!$B$15-(_slice!Q83+04_回帰ANOVA!$K$19*04_回帰ANOVA!$K$14*SQRT(1+_slice!Q108)),MIN((_slice!Q83-04_回帰ANOVA!$K$19*04_回帰ANOVA!$K$14*SQRT(1+_slice!Q108))-01_因子設定!$B$14,01_因子設定!$B$15-(_slice!Q83+04_回帰ANOVA!$K$19*04_回帰ANOVA!$K$14*SQRT(1+_slice!Q108))))),"外")</f>
        <v>-2.02443861211324</v>
      </c>
      <c r="R58" s="50" t="n">
        <f aca="false">IF(AND(_slice!$H$5=1,R$39&gt;=_slice!$H$6-0.000000001,R$39&lt;=_slice!$I$6+0.000000001,$B58&gt;=_slice!$H$7-0.000000001,$B58&lt;=_slice!$I$7+0.000000001,IF(01_因子設定!$B$20="Box-Behnken",R$39^2+$B58^2+_slice!$H$8&lt;=2+0.000000001,TRUE())),IF(01_因子設定!$B$13="最大化",(_slice!R83-04_回帰ANOVA!$K$19*04_回帰ANOVA!$K$14*SQRT(1+_slice!R108))-01_因子設定!$B$14,IF(01_因子設定!$B$13="最小化",01_因子設定!$B$15-(_slice!R83+04_回帰ANOVA!$K$19*04_回帰ANOVA!$K$14*SQRT(1+_slice!R108)),MIN((_slice!R83-04_回帰ANOVA!$K$19*04_回帰ANOVA!$K$14*SQRT(1+_slice!R108))-01_因子設定!$B$14,01_因子設定!$B$15-(_slice!R83+04_回帰ANOVA!$K$19*04_回帰ANOVA!$K$14*SQRT(1+_slice!R108))))),"外")</f>
        <v>-2.1016235718536</v>
      </c>
      <c r="S58" s="50" t="n">
        <f aca="false">IF(AND(_slice!$H$5=1,S$39&gt;=_slice!$H$6-0.000000001,S$39&lt;=_slice!$I$6+0.000000001,$B58&gt;=_slice!$H$7-0.000000001,$B58&lt;=_slice!$I$7+0.000000001,IF(01_因子設定!$B$20="Box-Behnken",S$39^2+$B58^2+_slice!$H$8&lt;=2+0.000000001,TRUE())),IF(01_因子設定!$B$13="最大化",(_slice!S83-04_回帰ANOVA!$K$19*04_回帰ANOVA!$K$14*SQRT(1+_slice!S108))-01_因子設定!$B$14,IF(01_因子設定!$B$13="最小化",01_因子設定!$B$15-(_slice!S83+04_回帰ANOVA!$K$19*04_回帰ANOVA!$K$14*SQRT(1+_slice!S108)),MIN((_slice!S83-04_回帰ANOVA!$K$19*04_回帰ANOVA!$K$14*SQRT(1+_slice!S108))-01_因子設定!$B$14,01_因子設定!$B$15-(_slice!S83+04_回帰ANOVA!$K$19*04_回帰ANOVA!$K$14*SQRT(1+_slice!S108))))),"外")</f>
        <v>-2.23960816645955</v>
      </c>
      <c r="T58" s="50" t="n">
        <f aca="false">IF(AND(_slice!$H$5=1,T$39&gt;=_slice!$H$6-0.000000001,T$39&lt;=_slice!$I$6+0.000000001,$B58&gt;=_slice!$H$7-0.000000001,$B58&lt;=_slice!$I$7+0.000000001,IF(01_因子設定!$B$20="Box-Behnken",T$39^2+$B58^2+_slice!$H$8&lt;=2+0.000000001,TRUE())),IF(01_因子設定!$B$13="最大化",(_slice!T83-04_回帰ANOVA!$K$19*04_回帰ANOVA!$K$14*SQRT(1+_slice!T108))-01_因子設定!$B$14,IF(01_因子設定!$B$13="最小化",01_因子設定!$B$15-(_slice!T83+04_回帰ANOVA!$K$19*04_回帰ANOVA!$K$14*SQRT(1+_slice!T108)),MIN((_slice!T83-04_回帰ANOVA!$K$19*04_回帰ANOVA!$K$14*SQRT(1+_slice!T108))-01_因子設定!$B$14,01_因子設定!$B$15-(_slice!T83+04_回帰ANOVA!$K$19*04_回帰ANOVA!$K$14*SQRT(1+_slice!T108))))),"外")</f>
        <v>-2.44110558889459</v>
      </c>
      <c r="U58" s="50" t="n">
        <f aca="false">IF(AND(_slice!$H$5=1,U$39&gt;=_slice!$H$6-0.000000001,U$39&lt;=_slice!$I$6+0.000000001,$B58&gt;=_slice!$H$7-0.000000001,$B58&lt;=_slice!$I$7+0.000000001,IF(01_因子設定!$B$20="Box-Behnken",U$39^2+$B58^2+_slice!$H$8&lt;=2+0.000000001,TRUE())),IF(01_因子設定!$B$13="最大化",(_slice!U83-04_回帰ANOVA!$K$19*04_回帰ANOVA!$K$14*SQRT(1+_slice!U108))-01_因子設定!$B$14,IF(01_因子設定!$B$13="最小化",01_因子設定!$B$15-(_slice!U83+04_回帰ANOVA!$K$19*04_回帰ANOVA!$K$14*SQRT(1+_slice!U108)),MIN((_slice!U83-04_回帰ANOVA!$K$19*04_回帰ANOVA!$K$14*SQRT(1+_slice!U108))-01_因子設定!$B$14,01_因子設定!$B$15-(_slice!U83+04_回帰ANOVA!$K$19*04_回帰ANOVA!$K$14*SQRT(1+_slice!U108))))),"外")</f>
        <v>-2.70908140619703</v>
      </c>
      <c r="V58" s="50" t="n">
        <f aca="false">IF(AND(_slice!$H$5=1,V$39&gt;=_slice!$H$6-0.000000001,V$39&lt;=_slice!$I$6+0.000000001,$B58&gt;=_slice!$H$7-0.000000001,$B58&lt;=_slice!$I$7+0.000000001,IF(01_因子設定!$B$20="Box-Behnken",V$39^2+$B58^2+_slice!$H$8&lt;=2+0.000000001,TRUE())),IF(01_因子設定!$B$13="最大化",(_slice!V83-04_回帰ANOVA!$K$19*04_回帰ANOVA!$K$14*SQRT(1+_slice!V108))-01_因子設定!$B$14,IF(01_因子設定!$B$13="最小化",01_因子設定!$B$15-(_slice!V83+04_回帰ANOVA!$K$19*04_回帰ANOVA!$K$14*SQRT(1+_slice!V108)),MIN((_slice!V83-04_回帰ANOVA!$K$19*04_回帰ANOVA!$K$14*SQRT(1+_slice!V108))-01_因子設定!$B$14,01_因子設定!$B$15-(_slice!V83+04_回帰ANOVA!$K$19*04_回帰ANOVA!$K$14*SQRT(1+_slice!V108))))),"外")</f>
        <v>-3.04655069473065</v>
      </c>
      <c r="W58" s="50" t="n">
        <f aca="false">IF(AND(_slice!$H$5=1,W$39&gt;=_slice!$H$6-0.000000001,W$39&lt;=_slice!$I$6+0.000000001,$B58&gt;=_slice!$H$7-0.000000001,$B58&lt;=_slice!$I$7+0.000000001,IF(01_因子設定!$B$20="Box-Behnken",W$39^2+$B58^2+_slice!$H$8&lt;=2+0.000000001,TRUE())),IF(01_因子設定!$B$13="最大化",(_slice!W83-04_回帰ANOVA!$K$19*04_回帰ANOVA!$K$14*SQRT(1+_slice!W108))-01_因子設定!$B$14,IF(01_因子設定!$B$13="最小化",01_因子設定!$B$15-(_slice!W83+04_回帰ANOVA!$K$19*04_回帰ANOVA!$K$14*SQRT(1+_slice!W108)),MIN((_slice!W83-04_回帰ANOVA!$K$19*04_回帰ANOVA!$K$14*SQRT(1+_slice!W108))-01_因子設定!$B$14,01_因子設定!$B$15-(_slice!W83+04_回帰ANOVA!$K$19*04_回帰ANOVA!$K$14*SQRT(1+_slice!W108))))),"外")</f>
        <v>-3.45633837045187</v>
      </c>
    </row>
    <row r="59" customFormat="false" ht="15" hidden="false" customHeight="false" outlineLevel="0" collapsed="false">
      <c r="A59" s="49" t="n">
        <f aca="false">INDEX(01_因子設定!$G$5:$G$6,$C$5)+B59*INDEX(01_因子設定!$H$5:$H$6,$C$5)</f>
        <v>22</v>
      </c>
      <c r="B59" s="49" t="n">
        <v>-0.8</v>
      </c>
      <c r="C59" s="50" t="n">
        <f aca="false">IF(AND(_slice!$H$5=1,C$39&gt;=_slice!$H$6-0.000000001,C$39&lt;=_slice!$I$6+0.000000001,$B59&gt;=_slice!$H$7-0.000000001,$B59&lt;=_slice!$I$7+0.000000001,IF(01_因子設定!$B$20="Box-Behnken",C$39^2+$B59^2+_slice!$H$8&lt;=2+0.000000001,TRUE())),IF(01_因子設定!$B$13="最大化",(_slice!C84-04_回帰ANOVA!$K$19*04_回帰ANOVA!$K$14*SQRT(1+_slice!C109))-01_因子設定!$B$14,IF(01_因子設定!$B$13="最小化",01_因子設定!$B$15-(_slice!C84+04_回帰ANOVA!$K$19*04_回帰ANOVA!$K$14*SQRT(1+_slice!C109)),MIN((_slice!C84-04_回帰ANOVA!$K$19*04_回帰ANOVA!$K$14*SQRT(1+_slice!C109))-01_因子設定!$B$14,01_因子設定!$B$15-(_slice!C84+04_回帰ANOVA!$K$19*04_回帰ANOVA!$K$14*SQRT(1+_slice!C109))))),"外")</f>
        <v>-7.38642343192358</v>
      </c>
      <c r="D59" s="50" t="n">
        <f aca="false">IF(AND(_slice!$H$5=1,D$39&gt;=_slice!$H$6-0.000000001,D$39&lt;=_slice!$I$6+0.000000001,$B59&gt;=_slice!$H$7-0.000000001,$B59&lt;=_slice!$I$7+0.000000001,IF(01_因子設定!$B$20="Box-Behnken",D$39^2+$B59^2+_slice!$H$8&lt;=2+0.000000001,TRUE())),IF(01_因子設定!$B$13="最大化",(_slice!D84-04_回帰ANOVA!$K$19*04_回帰ANOVA!$K$14*SQRT(1+_slice!D109))-01_因子設定!$B$14,IF(01_因子設定!$B$13="最小化",01_因子設定!$B$15-(_slice!D84+04_回帰ANOVA!$K$19*04_回帰ANOVA!$K$14*SQRT(1+_slice!D109)),MIN((_slice!D84-04_回帰ANOVA!$K$19*04_回帰ANOVA!$K$14*SQRT(1+_slice!D109))-01_因子設定!$B$14,01_因子設定!$B$15-(_slice!D84+04_回帰ANOVA!$K$19*04_回帰ANOVA!$K$14*SQRT(1+_slice!D109))))),"外")</f>
        <v>-6.63353086085025</v>
      </c>
      <c r="E59" s="50" t="n">
        <f aca="false">IF(AND(_slice!$H$5=1,E$39&gt;=_slice!$H$6-0.000000001,E$39&lt;=_slice!$I$6+0.000000001,$B59&gt;=_slice!$H$7-0.000000001,$B59&lt;=_slice!$I$7+0.000000001,IF(01_因子設定!$B$20="Box-Behnken",E$39^2+$B59^2+_slice!$H$8&lt;=2+0.000000001,TRUE())),IF(01_因子設定!$B$13="最大化",(_slice!E84-04_回帰ANOVA!$K$19*04_回帰ANOVA!$K$14*SQRT(1+_slice!E109))-01_因子設定!$B$14,IF(01_因子設定!$B$13="最小化",01_因子設定!$B$15-(_slice!E84+04_回帰ANOVA!$K$19*04_回帰ANOVA!$K$14*SQRT(1+_slice!E109)),MIN((_slice!E84-04_回帰ANOVA!$K$19*04_回帰ANOVA!$K$14*SQRT(1+_slice!E109))-01_因子設定!$B$14,01_因子設定!$B$15-(_slice!E84+04_回帰ANOVA!$K$19*04_回帰ANOVA!$K$14*SQRT(1+_slice!E109))))),"外")</f>
        <v>-5.95269398254919</v>
      </c>
      <c r="F59" s="50" t="n">
        <f aca="false">IF(AND(_slice!$H$5=1,F$39&gt;=_slice!$H$6-0.000000001,F$39&lt;=_slice!$I$6+0.000000001,$B59&gt;=_slice!$H$7-0.000000001,$B59&lt;=_slice!$I$7+0.000000001,IF(01_因子設定!$B$20="Box-Behnken",F$39^2+$B59^2+_slice!$H$8&lt;=2+0.000000001,TRUE())),IF(01_因子設定!$B$13="最大化",(_slice!F84-04_回帰ANOVA!$K$19*04_回帰ANOVA!$K$14*SQRT(1+_slice!F109))-01_因子設定!$B$14,IF(01_因子設定!$B$13="最小化",01_因子設定!$B$15-(_slice!F84+04_回帰ANOVA!$K$19*04_回帰ANOVA!$K$14*SQRT(1+_slice!F109)),MIN((_slice!F84-04_回帰ANOVA!$K$19*04_回帰ANOVA!$K$14*SQRT(1+_slice!F109))-01_因子設定!$B$14,01_因子設定!$B$15-(_slice!F84+04_回帰ANOVA!$K$19*04_回帰ANOVA!$K$14*SQRT(1+_slice!F109))))),"外")</f>
        <v>-5.34108140619704</v>
      </c>
      <c r="G59" s="50" t="n">
        <f aca="false">IF(AND(_slice!$H$5=1,G$39&gt;=_slice!$H$6-0.000000001,G$39&lt;=_slice!$I$6+0.000000001,$B59&gt;=_slice!$H$7-0.000000001,$B59&lt;=_slice!$I$7+0.000000001,IF(01_因子設定!$B$20="Box-Behnken",G$39^2+$B59^2+_slice!$H$8&lt;=2+0.000000001,TRUE())),IF(01_因子設定!$B$13="最大化",(_slice!G84-04_回帰ANOVA!$K$19*04_回帰ANOVA!$K$14*SQRT(1+_slice!G109))-01_因子設定!$B$14,IF(01_因子設定!$B$13="最小化",01_因子設定!$B$15-(_slice!G84+04_回帰ANOVA!$K$19*04_回帰ANOVA!$K$14*SQRT(1+_slice!G109)),MIN((_slice!G84-04_回帰ANOVA!$K$19*04_回帰ANOVA!$K$14*SQRT(1+_slice!G109))-01_因子設定!$B$14,01_因子設定!$B$15-(_slice!G84+04_回帰ANOVA!$K$19*04_回帰ANOVA!$K$14*SQRT(1+_slice!G109))))),"外")</f>
        <v>-4.79569772143174</v>
      </c>
      <c r="H59" s="50" t="n">
        <f aca="false">IF(AND(_slice!$H$5=1,H$39&gt;=_slice!$H$6-0.000000001,H$39&lt;=_slice!$I$6+0.000000001,$B59&gt;=_slice!$H$7-0.000000001,$B59&lt;=_slice!$I$7+0.000000001,IF(01_因子設定!$B$20="Box-Behnken",H$39^2+$B59^2+_slice!$H$8&lt;=2+0.000000001,TRUE())),IF(01_因子設定!$B$13="最大化",(_slice!H84-04_回帰ANOVA!$K$19*04_回帰ANOVA!$K$14*SQRT(1+_slice!H109))-01_因子設定!$B$14,IF(01_因子設定!$B$13="最小化",01_因子設定!$B$15-(_slice!H84+04_回帰ANOVA!$K$19*04_回帰ANOVA!$K$14*SQRT(1+_slice!H109)),MIN((_slice!H84-04_回帰ANOVA!$K$19*04_回帰ANOVA!$K$14*SQRT(1+_slice!H109))-01_因子設定!$B$14,01_因子設定!$B$15-(_slice!H84+04_回帰ANOVA!$K$19*04_回帰ANOVA!$K$14*SQRT(1+_slice!H109))))),"外")</f>
        <v>-4.31361484772546</v>
      </c>
      <c r="I59" s="50" t="n">
        <f aca="false">IF(AND(_slice!$H$5=1,I$39&gt;=_slice!$H$6-0.000000001,I$39&lt;=_slice!$I$6+0.000000001,$B59&gt;=_slice!$H$7-0.000000001,$B59&lt;=_slice!$I$7+0.000000001,IF(01_因子設定!$B$20="Box-Behnken",I$39^2+$B59^2+_slice!$H$8&lt;=2+0.000000001,TRUE())),IF(01_因子設定!$B$13="最大化",(_slice!I84-04_回帰ANOVA!$K$19*04_回帰ANOVA!$K$14*SQRT(1+_slice!I109))-01_因子設定!$B$14,IF(01_因子設定!$B$13="最小化",01_因子設定!$B$15-(_slice!I84+04_回帰ANOVA!$K$19*04_回帰ANOVA!$K$14*SQRT(1+_slice!I109)),MIN((_slice!I84-04_回帰ANOVA!$K$19*04_回帰ANOVA!$K$14*SQRT(1+_slice!I109))-01_因子設定!$B$14,01_因子設定!$B$15-(_slice!I84+04_回帰ANOVA!$K$19*04_回帰ANOVA!$K$14*SQRT(1+_slice!I109))))),"外")</f>
        <v>-3.89216487751732</v>
      </c>
      <c r="J59" s="50" t="n">
        <f aca="false">IF(AND(_slice!$H$5=1,J$39&gt;=_slice!$H$6-0.000000001,J$39&lt;=_slice!$I$6+0.000000001,$B59&gt;=_slice!$H$7-0.000000001,$B59&lt;=_slice!$I$7+0.000000001,IF(01_因子設定!$B$20="Box-Behnken",J$39^2+$B59^2+_slice!$H$8&lt;=2+0.000000001,TRUE())),IF(01_因子設定!$B$13="最大化",(_slice!J84-04_回帰ANOVA!$K$19*04_回帰ANOVA!$K$14*SQRT(1+_slice!J109))-01_因子設定!$B$14,IF(01_因子設定!$B$13="最小化",01_因子設定!$B$15-(_slice!J84+04_回帰ANOVA!$K$19*04_回帰ANOVA!$K$14*SQRT(1+_slice!J109)),MIN((_slice!J84-04_回帰ANOVA!$K$19*04_回帰ANOVA!$K$14*SQRT(1+_slice!J109))-01_因子設定!$B$14,01_因子設定!$B$15-(_slice!J84+04_回帰ANOVA!$K$19*04_回帰ANOVA!$K$14*SQRT(1+_slice!J109))))),"外")</f>
        <v>-3.52907436866734</v>
      </c>
      <c r="K59" s="50" t="n">
        <f aca="false">IF(AND(_slice!$H$5=1,K$39&gt;=_slice!$H$6-0.000000001,K$39&lt;=_slice!$I$6+0.000000001,$B59&gt;=_slice!$H$7-0.000000001,$B59&lt;=_slice!$I$7+0.000000001,IF(01_因子設定!$B$20="Box-Behnken",K$39^2+$B59^2+_slice!$H$8&lt;=2+0.000000001,TRUE())),IF(01_因子設定!$B$13="最大化",(_slice!K84-04_回帰ANOVA!$K$19*04_回帰ANOVA!$K$14*SQRT(1+_slice!K109))-01_因子設定!$B$14,IF(01_因子設定!$B$13="最小化",01_因子設定!$B$15-(_slice!K84+04_回帰ANOVA!$K$19*04_回帰ANOVA!$K$14*SQRT(1+_slice!K109)),MIN((_slice!K84-04_回帰ANOVA!$K$19*04_回帰ANOVA!$K$14*SQRT(1+_slice!K109))-01_因子設定!$B$14,01_因子設定!$B$15-(_slice!K84+04_回帰ANOVA!$K$19*04_回帰ANOVA!$K$14*SQRT(1+_slice!K109))))),"外")</f>
        <v>-3.22254189647977</v>
      </c>
      <c r="L59" s="50" t="n">
        <f aca="false">IF(AND(_slice!$H$5=1,L$39&gt;=_slice!$H$6-0.000000001,L$39&lt;=_slice!$I$6+0.000000001,$B59&gt;=_slice!$H$7-0.000000001,$B59&lt;=_slice!$I$7+0.000000001,IF(01_因子設定!$B$20="Box-Behnken",L$39^2+$B59^2+_slice!$H$8&lt;=2+0.000000001,TRUE())),IF(01_因子設定!$B$13="最大化",(_slice!L84-04_回帰ANOVA!$K$19*04_回帰ANOVA!$K$14*SQRT(1+_slice!L109))-01_因子設定!$B$14,IF(01_因子設定!$B$13="最小化",01_因子設定!$B$15-(_slice!L84+04_回帰ANOVA!$K$19*04_回帰ANOVA!$K$14*SQRT(1+_slice!L109)),MIN((_slice!L84-04_回帰ANOVA!$K$19*04_回帰ANOVA!$K$14*SQRT(1+_slice!L109))-01_因子設定!$B$14,01_因子設定!$B$15-(_slice!L84+04_回帰ANOVA!$K$19*04_回帰ANOVA!$K$14*SQRT(1+_slice!L109))))),"外")</f>
        <v>-2.97127330498289</v>
      </c>
      <c r="M59" s="50" t="n">
        <f aca="false">IF(AND(_slice!$H$5=1,M$39&gt;=_slice!$H$6-0.000000001,M$39&lt;=_slice!$I$6+0.000000001,$B59&gt;=_slice!$H$7-0.000000001,$B59&lt;=_slice!$I$7+0.000000001,IF(01_因子設定!$B$20="Box-Behnken",M$39^2+$B59^2+_slice!$H$8&lt;=2+0.000000001,TRUE())),IF(01_因子設定!$B$13="最大化",(_slice!M84-04_回帰ANOVA!$K$19*04_回帰ANOVA!$K$14*SQRT(1+_slice!M109))-01_因子設定!$B$14,IF(01_因子設定!$B$13="最小化",01_因子設定!$B$15-(_slice!M84+04_回帰ANOVA!$K$19*04_回帰ANOVA!$K$14*SQRT(1+_slice!M109)),MIN((_slice!M84-04_回帰ANOVA!$K$19*04_回帰ANOVA!$K$14*SQRT(1+_slice!M109))-01_因子設定!$B$14,01_因子設定!$B$15-(_slice!M84+04_回帰ANOVA!$K$19*04_回帰ANOVA!$K$14*SQRT(1+_slice!M109))))),"外")</f>
        <v>-2.77449216217828</v>
      </c>
      <c r="N59" s="50" t="n">
        <f aca="false">IF(AND(_slice!$H$5=1,N$39&gt;=_slice!$H$6-0.000000001,N$39&lt;=_slice!$I$6+0.000000001,$B59&gt;=_slice!$H$7-0.000000001,$B59&lt;=_slice!$I$7+0.000000001,IF(01_因子設定!$B$20="Box-Behnken",N$39^2+$B59^2+_slice!$H$8&lt;=2+0.000000001,TRUE())),IF(01_因子設定!$B$13="最大化",(_slice!N84-04_回帰ANOVA!$K$19*04_回帰ANOVA!$K$14*SQRT(1+_slice!N109))-01_因子設定!$B$14,IF(01_因子設定!$B$13="最小化",01_因子設定!$B$15-(_slice!N84+04_回帰ANOVA!$K$19*04_回帰ANOVA!$K$14*SQRT(1+_slice!N109)),MIN((_slice!N84-04_回帰ANOVA!$K$19*04_回帰ANOVA!$K$14*SQRT(1+_slice!N109))-01_因子設定!$B$14,01_因子設定!$B$15-(_slice!N84+04_回帰ANOVA!$K$19*04_回帰ANOVA!$K$14*SQRT(1+_slice!N109))))),"外")</f>
        <v>-2.63193997164956</v>
      </c>
      <c r="O59" s="50" t="n">
        <f aca="false">IF(AND(_slice!$H$5=1,O$39&gt;=_slice!$H$6-0.000000001,O$39&lt;=_slice!$I$6+0.000000001,$B59&gt;=_slice!$H$7-0.000000001,$B59&lt;=_slice!$I$7+0.000000001,IF(01_因子設定!$B$20="Box-Behnken",O$39^2+$B59^2+_slice!$H$8&lt;=2+0.000000001,TRUE())),IF(01_因子設定!$B$13="最大化",(_slice!O84-04_回帰ANOVA!$K$19*04_回帰ANOVA!$K$14*SQRT(1+_slice!O109))-01_因子設定!$B$14,IF(01_因子設定!$B$13="最小化",01_因子設定!$B$15-(_slice!O84+04_回帰ANOVA!$K$19*04_回帰ANOVA!$K$14*SQRT(1+_slice!O109)),MIN((_slice!O84-04_回帰ANOVA!$K$19*04_回帰ANOVA!$K$14*SQRT(1+_slice!O109))-01_因子設定!$B$14,01_因子設定!$B$15-(_slice!O84+04_回帰ANOVA!$K$19*04_回帰ANOVA!$K$14*SQRT(1+_slice!O109))))),"外")</f>
        <v>-2.54387522981311</v>
      </c>
      <c r="P59" s="50" t="n">
        <f aca="false">IF(AND(_slice!$H$5=1,P$39&gt;=_slice!$H$6-0.000000001,P$39&lt;=_slice!$I$6+0.000000001,$B59&gt;=_slice!$H$7-0.000000001,$B59&lt;=_slice!$I$7+0.000000001,IF(01_因子設定!$B$20="Box-Behnken",P$39^2+$B59^2+_slice!$H$8&lt;=2+0.000000001,TRUE())),IF(01_因子設定!$B$13="最大化",(_slice!P84-04_回帰ANOVA!$K$19*04_回帰ANOVA!$K$14*SQRT(1+_slice!P109))-01_因子設定!$B$14,IF(01_因子設定!$B$13="最小化",01_因子設定!$B$15-(_slice!P84+04_回帰ANOVA!$K$19*04_回帰ANOVA!$K$14*SQRT(1+_slice!P109)),MIN((_slice!P84-04_回帰ANOVA!$K$19*04_回帰ANOVA!$K$14*SQRT(1+_slice!P109))-01_因子設定!$B$14,01_因子設定!$B$15-(_slice!P84+04_回帰ANOVA!$K$19*04_回帰ANOVA!$K$14*SQRT(1+_slice!P109))))),"外")</f>
        <v>-2.51107436866734</v>
      </c>
      <c r="Q59" s="50" t="n">
        <f aca="false">IF(AND(_slice!$H$5=1,Q$39&gt;=_slice!$H$6-0.000000001,Q$39&lt;=_slice!$I$6+0.000000001,$B59&gt;=_slice!$H$7-0.000000001,$B59&lt;=_slice!$I$7+0.000000001,IF(01_因子設定!$B$20="Box-Behnken",Q$39^2+$B59^2+_slice!$H$8&lt;=2+0.000000001,TRUE())),IF(01_因子設定!$B$13="最大化",(_slice!Q84-04_回帰ANOVA!$K$19*04_回帰ANOVA!$K$14*SQRT(1+_slice!Q109))-01_因子設定!$B$14,IF(01_因子設定!$B$13="最小化",01_因子設定!$B$15-(_slice!Q84+04_回帰ANOVA!$K$19*04_回帰ANOVA!$K$14*SQRT(1+_slice!Q109)),MIN((_slice!Q84-04_回帰ANOVA!$K$19*04_回帰ANOVA!$K$14*SQRT(1+_slice!Q109))-01_因子設定!$B$14,01_因子設定!$B$15-(_slice!Q84+04_回帰ANOVA!$K$19*04_回帰ANOVA!$K$14*SQRT(1+_slice!Q109))))),"外")</f>
        <v>-2.53483154418399</v>
      </c>
      <c r="R59" s="50" t="n">
        <f aca="false">IF(AND(_slice!$H$5=1,R$39&gt;=_slice!$H$6-0.000000001,R$39&lt;=_slice!$I$6+0.000000001,$B59&gt;=_slice!$H$7-0.000000001,$B59&lt;=_slice!$I$7+0.000000001,IF(01_因子設定!$B$20="Box-Behnken",R$39^2+$B59^2+_slice!$H$8&lt;=2+0.000000001,TRUE())),IF(01_因子設定!$B$13="最大化",(_slice!R84-04_回帰ANOVA!$K$19*04_回帰ANOVA!$K$14*SQRT(1+_slice!R109))-01_因子設定!$B$14,IF(01_因子設定!$B$13="最小化",01_因子設定!$B$15-(_slice!R84+04_回帰ANOVA!$K$19*04_回帰ANOVA!$K$14*SQRT(1+_slice!R109)),MIN((_slice!R84-04_回帰ANOVA!$K$19*04_回帰ANOVA!$K$14*SQRT(1+_slice!R109))-01_因子設定!$B$14,01_因子設定!$B$15-(_slice!R84+04_回帰ANOVA!$K$19*04_回帰ANOVA!$K$14*SQRT(1+_slice!R109))))),"外")</f>
        <v>-2.61694818105879</v>
      </c>
      <c r="S59" s="50" t="n">
        <f aca="false">IF(AND(_slice!$H$5=1,S$39&gt;=_slice!$H$6-0.000000001,S$39&lt;=_slice!$I$6+0.000000001,$B59&gt;=_slice!$H$7-0.000000001,$B59&lt;=_slice!$I$7+0.000000001,IF(01_因子設定!$B$20="Box-Behnken",S$39^2+$B59^2+_slice!$H$8&lt;=2+0.000000001,TRUE())),IF(01_因子設定!$B$13="最大化",(_slice!S84-04_回帰ANOVA!$K$19*04_回帰ANOVA!$K$14*SQRT(1+_slice!S109))-01_因子設定!$B$14,IF(01_因子設定!$B$13="最小化",01_因子設定!$B$15-(_slice!S84+04_回帰ANOVA!$K$19*04_回帰ANOVA!$K$14*SQRT(1+_slice!S109)),MIN((_slice!S84-04_回帰ANOVA!$K$19*04_回帰ANOVA!$K$14*SQRT(1+_slice!S109))-01_因子設定!$B$14,01_因子設定!$B$15-(_slice!S84+04_回帰ANOVA!$K$19*04_回帰ANOVA!$K$14*SQRT(1+_slice!S109))))),"外")</f>
        <v>-2.75969772143174</v>
      </c>
      <c r="T59" s="50" t="n">
        <f aca="false">IF(AND(_slice!$H$5=1,T$39&gt;=_slice!$H$6-0.000000001,T$39&lt;=_slice!$I$6+0.000000001,$B59&gt;=_slice!$H$7-0.000000001,$B59&lt;=_slice!$I$7+0.000000001,IF(01_因子設定!$B$20="Box-Behnken",T$39^2+$B59^2+_slice!$H$8&lt;=2+0.000000001,TRUE())),IF(01_因子設定!$B$13="最大化",(_slice!T84-04_回帰ANOVA!$K$19*04_回帰ANOVA!$K$14*SQRT(1+_slice!T109))-01_因子設定!$B$14,IF(01_因子設定!$B$13="最小化",01_因子設定!$B$15-(_slice!T84+04_回帰ANOVA!$K$19*04_回帰ANOVA!$K$14*SQRT(1+_slice!T109)),MIN((_slice!T84-04_回帰ANOVA!$K$19*04_回帰ANOVA!$K$14*SQRT(1+_slice!T109))-01_因子設定!$B$14,01_因子設定!$B$15-(_slice!T84+04_回帰ANOVA!$K$19*04_回帰ANOVA!$K$14*SQRT(1+_slice!T109))))),"外")</f>
        <v>-2.9657480728637</v>
      </c>
      <c r="U59" s="50" t="n">
        <f aca="false">IF(AND(_slice!$H$5=1,U$39&gt;=_slice!$H$6-0.000000001,U$39&lt;=_slice!$I$6+0.000000001,$B59&gt;=_slice!$H$7-0.000000001,$B59&lt;=_slice!$I$7+0.000000001,IF(01_因子設定!$B$20="Box-Behnken",U$39^2+$B59^2+_slice!$H$8&lt;=2+0.000000001,TRUE())),IF(01_因子設定!$B$13="最大化",(_slice!U84-04_回帰ANOVA!$K$19*04_回帰ANOVA!$K$14*SQRT(1+_slice!U109))-01_因子設定!$B$14,IF(01_因子設定!$B$13="最小化",01_因子設定!$B$15-(_slice!U84+04_回帰ANOVA!$K$19*04_回帰ANOVA!$K$14*SQRT(1+_slice!U109)),MIN((_slice!U84-04_回帰ANOVA!$K$19*04_回帰ANOVA!$K$14*SQRT(1+_slice!U109))-01_因子設定!$B$14,01_因子設定!$B$15-(_slice!U84+04_回帰ANOVA!$K$19*04_回帰ANOVA!$K$14*SQRT(1+_slice!U109))))),"外")</f>
        <v>-3.23802731588252</v>
      </c>
      <c r="V59" s="50" t="n">
        <f aca="false">IF(AND(_slice!$H$5=1,V$39&gt;=_slice!$H$6-0.000000001,V$39&lt;=_slice!$I$6+0.000000001,$B59&gt;=_slice!$H$7-0.000000001,$B59&lt;=_slice!$I$7+0.000000001,IF(01_因子設定!$B$20="Box-Behnken",V$39^2+$B59^2+_slice!$H$8&lt;=2+0.000000001,TRUE())),IF(01_因子設定!$B$13="最大化",(_slice!V84-04_回帰ANOVA!$K$19*04_回帰ANOVA!$K$14*SQRT(1+_slice!V109))-01_因子設定!$B$14,IF(01_因子設定!$B$13="最小化",01_因子設定!$B$15-(_slice!V84+04_回帰ANOVA!$K$19*04_回帰ANOVA!$K$14*SQRT(1+_slice!V109)),MIN((_slice!V84-04_回帰ANOVA!$K$19*04_回帰ANOVA!$K$14*SQRT(1+_slice!V109))-01_因子設定!$B$14,01_因子設定!$B$15-(_slice!V84+04_回帰ANOVA!$K$19*04_回帰ANOVA!$K$14*SQRT(1+_slice!V109))))),"外")</f>
        <v>-3.57953086085025</v>
      </c>
      <c r="W59" s="50" t="n">
        <f aca="false">IF(AND(_slice!$H$5=1,W$39&gt;=_slice!$H$6-0.000000001,W$39&lt;=_slice!$I$6+0.000000001,$B59&gt;=_slice!$H$7-0.000000001,$B59&lt;=_slice!$I$7+0.000000001,IF(01_因子設定!$B$20="Box-Behnken",W$39^2+$B59^2+_slice!$H$8&lt;=2+0.000000001,TRUE())),IF(01_因子設定!$B$13="最大化",(_slice!W84-04_回帰ANOVA!$K$19*04_回帰ANOVA!$K$14*SQRT(1+_slice!W109))-01_因子設定!$B$14,IF(01_因子設定!$B$13="最小化",01_因子設定!$B$15-(_slice!W84+04_回帰ANOVA!$K$19*04_回帰ANOVA!$K$14*SQRT(1+_slice!W109)),MIN((_slice!W84-04_回帰ANOVA!$K$19*04_回帰ANOVA!$K$14*SQRT(1+_slice!W109))-01_因子設定!$B$14,01_因子設定!$B$15-(_slice!W84+04_回帰ANOVA!$K$19*04_回帰ANOVA!$K$14*SQRT(1+_slice!W109))))),"外")</f>
        <v>-3.99309009859025</v>
      </c>
    </row>
    <row r="60" customFormat="false" ht="15" hidden="false" customHeight="false" outlineLevel="0" collapsed="false">
      <c r="A60" s="49" t="n">
        <f aca="false">INDEX(01_因子設定!$G$5:$G$6,$C$5)+B60*INDEX(01_因子設定!$H$5:$H$6,$C$5)</f>
        <v>21</v>
      </c>
      <c r="B60" s="49" t="n">
        <v>-0.9</v>
      </c>
      <c r="C60" s="50" t="n">
        <f aca="false">IF(AND(_slice!$H$5=1,C$39&gt;=_slice!$H$6-0.000000001,C$39&lt;=_slice!$I$6+0.000000001,$B60&gt;=_slice!$H$7-0.000000001,$B60&lt;=_slice!$I$7+0.000000001,IF(01_因子設定!$B$20="Box-Behnken",C$39^2+$B60^2+_slice!$H$8&lt;=2+0.000000001,TRUE())),IF(01_因子設定!$B$13="最大化",(_slice!C85-04_回帰ANOVA!$K$19*04_回帰ANOVA!$K$14*SQRT(1+_slice!C110))-01_因子設定!$B$14,IF(01_因子設定!$B$13="最小化",01_因子設定!$B$15-(_slice!C85+04_回帰ANOVA!$K$19*04_回帰ANOVA!$K$14*SQRT(1+_slice!C110)),MIN((_slice!C85-04_回帰ANOVA!$K$19*04_回帰ANOVA!$K$14*SQRT(1+_slice!C110))-01_因子設定!$B$14,01_因子設定!$B$15-(_slice!C85+04_回帰ANOVA!$K$19*04_回帰ANOVA!$K$14*SQRT(1+_slice!C110))))),"外")</f>
        <v>-7.86253935390549</v>
      </c>
      <c r="D60" s="50" t="n">
        <f aca="false">IF(AND(_slice!$H$5=1,D$39&gt;=_slice!$H$6-0.000000001,D$39&lt;=_slice!$I$6+0.000000001,$B60&gt;=_slice!$H$7-0.000000001,$B60&lt;=_slice!$I$7+0.000000001,IF(01_因子設定!$B$20="Box-Behnken",D$39^2+$B60^2+_slice!$H$8&lt;=2+0.000000001,TRUE())),IF(01_因子設定!$B$13="最大化",(_slice!D85-04_回帰ANOVA!$K$19*04_回帰ANOVA!$K$14*SQRT(1+_slice!D110))-01_因子設定!$B$14,IF(01_因子設定!$B$13="最小化",01_因子設定!$B$15-(_slice!D85+04_回帰ANOVA!$K$19*04_回帰ANOVA!$K$14*SQRT(1+_slice!D110)),MIN((_slice!D85-04_回帰ANOVA!$K$19*04_回帰ANOVA!$K$14*SQRT(1+_slice!D110))-01_因子設定!$B$14,01_因子設定!$B$15-(_slice!D85+04_回帰ANOVA!$K$19*04_回帰ANOVA!$K$14*SQRT(1+_slice!D110))))),"外")</f>
        <v>-7.11686102817442</v>
      </c>
      <c r="E60" s="50" t="n">
        <f aca="false">IF(AND(_slice!$H$5=1,E$39&gt;=_slice!$H$6-0.000000001,E$39&lt;=_slice!$I$6+0.000000001,$B60&gt;=_slice!$H$7-0.000000001,$B60&lt;=_slice!$I$7+0.000000001,IF(01_因子設定!$B$20="Box-Behnken",E$39^2+$B60^2+_slice!$H$8&lt;=2+0.000000001,TRUE())),IF(01_因子設定!$B$13="最大化",(_slice!E85-04_回帰ANOVA!$K$19*04_回帰ANOVA!$K$14*SQRT(1+_slice!E110))-01_因子設定!$B$14,IF(01_因子設定!$B$13="最小化",01_因子設定!$B$15-(_slice!E85+04_回帰ANOVA!$K$19*04_回帰ANOVA!$K$14*SQRT(1+_slice!E110)),MIN((_slice!E85-04_回帰ANOVA!$K$19*04_回帰ANOVA!$K$14*SQRT(1+_slice!E110))-01_因子設定!$B$14,01_因子設定!$B$15-(_slice!E85+04_回帰ANOVA!$K$19*04_回帰ANOVA!$K$14*SQRT(1+_slice!E110))))),"外")</f>
        <v>-6.44286419418358</v>
      </c>
      <c r="F60" s="50" t="n">
        <f aca="false">IF(AND(_slice!$H$5=1,F$39&gt;=_slice!$H$6-0.000000001,F$39&lt;=_slice!$I$6+0.000000001,$B60&gt;=_slice!$H$7-0.000000001,$B60&lt;=_slice!$I$7+0.000000001,IF(01_因子設定!$B$20="Box-Behnken",F$39^2+$B60^2+_slice!$H$8&lt;=2+0.000000001,TRUE())),IF(01_因子設定!$B$13="最大化",(_slice!F85-04_回帰ANOVA!$K$19*04_回帰ANOVA!$K$14*SQRT(1+_slice!F110))-01_因子設定!$B$14,IF(01_因子設定!$B$13="最小化",01_因子設定!$B$15-(_slice!F85+04_回帰ANOVA!$K$19*04_回帰ANOVA!$K$14*SQRT(1+_slice!F110)),MIN((_slice!F85-04_回帰ANOVA!$K$19*04_回帰ANOVA!$K$14*SQRT(1+_slice!F110))-01_因子設定!$B$14,01_因子設定!$B$15-(_slice!F85+04_回帰ANOVA!$K$19*04_回帰ANOVA!$K$14*SQRT(1+_slice!F110))))),"外")</f>
        <v>-5.83771736139731</v>
      </c>
      <c r="G60" s="50" t="n">
        <f aca="false">IF(AND(_slice!$H$5=1,G$39&gt;=_slice!$H$6-0.000000001,G$39&lt;=_slice!$I$6+0.000000001,$B60&gt;=_slice!$H$7-0.000000001,$B60&lt;=_slice!$I$7+0.000000001,IF(01_因子設定!$B$20="Box-Behnken",G$39^2+$B60^2+_slice!$H$8&lt;=2+0.000000001,TRUE())),IF(01_因子設定!$B$13="最大化",(_slice!G85-04_回帰ANOVA!$K$19*04_回帰ANOVA!$K$14*SQRT(1+_slice!G110))-01_因子設定!$B$14,IF(01_因子設定!$B$13="最小化",01_因子設定!$B$15-(_slice!G85+04_回帰ANOVA!$K$19*04_回帰ANOVA!$K$14*SQRT(1+_slice!G110)),MIN((_slice!G85-04_回帰ANOVA!$K$19*04_回帰ANOVA!$K$14*SQRT(1+_slice!G110))-01_因子設定!$B$14,01_因子設定!$B$15-(_slice!G85+04_回帰ANOVA!$K$19*04_回帰ANOVA!$K$14*SQRT(1+_slice!G110))))),"外")</f>
        <v>-5.29845954397305</v>
      </c>
      <c r="H60" s="50" t="n">
        <f aca="false">IF(AND(_slice!$H$5=1,H$39&gt;=_slice!$H$6-0.000000001,H$39&lt;=_slice!$I$6+0.000000001,$B60&gt;=_slice!$H$7-0.000000001,$B60&lt;=_slice!$I$7+0.000000001,IF(01_因子設定!$B$20="Box-Behnken",H$39^2+$B60^2+_slice!$H$8&lt;=2+0.000000001,TRUE())),IF(01_因子設定!$B$13="最大化",(_slice!H85-04_回帰ANOVA!$K$19*04_回帰ANOVA!$K$14*SQRT(1+_slice!H110))-01_因子設定!$B$14,IF(01_因子設定!$B$13="最小化",01_因子設定!$B$15-(_slice!H85+04_回帰ANOVA!$K$19*04_回帰ANOVA!$K$14*SQRT(1+_slice!H110)),MIN((_slice!H85-04_回帰ANOVA!$K$19*04_回帰ANOVA!$K$14*SQRT(1+_slice!H110))-01_因子設定!$B$14,01_因子設定!$B$15-(_slice!H85+04_回帰ANOVA!$K$19*04_回帰ANOVA!$K$14*SQRT(1+_slice!H110))))),"外")</f>
        <v>-4.82221943676169</v>
      </c>
      <c r="I60" s="50" t="n">
        <f aca="false">IF(AND(_slice!$H$5=1,I$39&gt;=_slice!$H$6-0.000000001,I$39&lt;=_slice!$I$6+0.000000001,$B60&gt;=_slice!$H$7-0.000000001,$B60&lt;=_slice!$I$7+0.000000001,IF(01_因子設定!$B$20="Box-Behnken",I$39^2+$B60^2+_slice!$H$8&lt;=2+0.000000001,TRUE())),IF(01_因子設定!$B$13="最大化",(_slice!I85-04_回帰ANOVA!$K$19*04_回帰ANOVA!$K$14*SQRT(1+_slice!I110))-01_因子設定!$B$14,IF(01_因子設定!$B$13="最小化",01_因子設定!$B$15-(_slice!I85+04_回帰ANOVA!$K$19*04_回帰ANOVA!$K$14*SQRT(1+_slice!I110)),MIN((_slice!I85-04_回帰ANOVA!$K$19*04_回帰ANOVA!$K$14*SQRT(1+_slice!I110))-01_因子設定!$B$14,01_因子設定!$B$15-(_slice!I85+04_回帰ANOVA!$K$19*04_回帰ANOVA!$K$14*SQRT(1+_slice!I110))))),"外")</f>
        <v>-4.40639457291419</v>
      </c>
      <c r="J60" s="50" t="n">
        <f aca="false">IF(AND(_slice!$H$5=1,J$39&gt;=_slice!$H$6-0.000000001,J$39&lt;=_slice!$I$6+0.000000001,$B60&gt;=_slice!$H$7-0.000000001,$B60&lt;=_slice!$I$7+0.000000001,IF(01_因子設定!$B$20="Box-Behnken",J$39^2+$B60^2+_slice!$H$8&lt;=2+0.000000001,TRUE())),IF(01_因子設定!$B$13="最大化",(_slice!J85-04_回帰ANOVA!$K$19*04_回帰ANOVA!$K$14*SQRT(1+_slice!J110))-01_因子設定!$B$14,IF(01_因子設定!$B$13="最小化",01_因子設定!$B$15-(_slice!J85+04_回帰ANOVA!$K$19*04_回帰ANOVA!$K$14*SQRT(1+_slice!J110)),MIN((_slice!J85-04_回帰ANOVA!$K$19*04_回帰ANOVA!$K$14*SQRT(1+_slice!J110))-01_因子設定!$B$14,01_因子設定!$B$15-(_slice!J85+04_回帰ANOVA!$K$19*04_回帰ANOVA!$K$14*SQRT(1+_slice!J110))))),"外")</f>
        <v>-4.04877432799995</v>
      </c>
      <c r="K60" s="50" t="n">
        <f aca="false">IF(AND(_slice!$H$5=1,K$39&gt;=_slice!$H$6-0.000000001,K$39&lt;=_slice!$I$6+0.000000001,$B60&gt;=_slice!$H$7-0.000000001,$B60&lt;=_slice!$I$7+0.000000001,IF(01_因子設定!$B$20="Box-Behnken",K$39^2+$B60^2+_slice!$H$8&lt;=2+0.000000001,TRUE())),IF(01_因子設定!$B$13="最大化",(_slice!K85-04_回帰ANOVA!$K$19*04_回帰ANOVA!$K$14*SQRT(1+_slice!K110))-01_因子設定!$B$14,IF(01_因子設定!$B$13="最小化",01_因子設定!$B$15-(_slice!K85+04_回帰ANOVA!$K$19*04_回帰ANOVA!$K$14*SQRT(1+_slice!K110)),MIN((_slice!K85-04_回帰ANOVA!$K$19*04_回帰ANOVA!$K$14*SQRT(1+_slice!K110))-01_因子設定!$B$14,01_因子設定!$B$15-(_slice!K85+04_回帰ANOVA!$K$19*04_回帰ANOVA!$K$14*SQRT(1+_slice!K110))))),"外")</f>
        <v>-3.74761009639462</v>
      </c>
      <c r="L60" s="50" t="n">
        <f aca="false">IF(AND(_slice!$H$5=1,L$39&gt;=_slice!$H$6-0.000000001,L$39&lt;=_slice!$I$6+0.000000001,$B60&gt;=_slice!$H$7-0.000000001,$B60&lt;=_slice!$I$7+0.000000001,IF(01_因子設定!$B$20="Box-Behnken",L$39^2+$B60^2+_slice!$H$8&lt;=2+0.000000001,TRUE())),IF(01_因子設定!$B$13="最大化",(_slice!L85-04_回帰ANOVA!$K$19*04_回帰ANOVA!$K$14*SQRT(1+_slice!L110))-01_因子設定!$B$14,IF(01_因子設定!$B$13="最小化",01_因子設定!$B$15-(_slice!L85+04_回帰ANOVA!$K$19*04_回帰ANOVA!$K$14*SQRT(1+_slice!L110)),MIN((_slice!L85-04_回帰ANOVA!$K$19*04_回帰ANOVA!$K$14*SQRT(1+_slice!L110))-01_因子設定!$B$14,01_因子設定!$B$15-(_slice!L85+04_回帰ANOVA!$K$19*04_回帰ANOVA!$K$14*SQRT(1+_slice!L110))))),"外")</f>
        <v>-3.50164669919533</v>
      </c>
      <c r="M60" s="50" t="n">
        <f aca="false">IF(AND(_slice!$H$5=1,M$39&gt;=_slice!$H$6-0.000000001,M$39&lt;=_slice!$I$6+0.000000001,$B60&gt;=_slice!$H$7-0.000000001,$B60&lt;=_slice!$I$7+0.000000001,IF(01_因子設定!$B$20="Box-Behnken",M$39^2+$B60^2+_slice!$H$8&lt;=2+0.000000001,TRUE())),IF(01_因子設定!$B$13="最大化",(_slice!M85-04_回帰ANOVA!$K$19*04_回帰ANOVA!$K$14*SQRT(1+_slice!M110))-01_因子設定!$B$14,IF(01_因子設定!$B$13="最小化",01_因子設定!$B$15-(_slice!M85+04_回帰ANOVA!$K$19*04_回帰ANOVA!$K$14*SQRT(1+_slice!M110)),MIN((_slice!M85-04_回帰ANOVA!$K$19*04_回帰ANOVA!$K$14*SQRT(1+_slice!M110))-01_因子設定!$B$14,01_因子設定!$B$15-(_slice!M85+04_回帰ANOVA!$K$19*04_回帰ANOVA!$K$14*SQRT(1+_slice!M110))))),"外")</f>
        <v>-3.31013132579808</v>
      </c>
      <c r="N60" s="50" t="n">
        <f aca="false">IF(AND(_slice!$H$5=1,N$39&gt;=_slice!$H$6-0.000000001,N$39&lt;=_slice!$I$6+0.000000001,$B60&gt;=_slice!$H$7-0.000000001,$B60&lt;=_slice!$I$7+0.000000001,IF(01_因子設定!$B$20="Box-Behnken",N$39^2+$B60^2+_slice!$H$8&lt;=2+0.000000001,TRUE())),IF(01_因子設定!$B$13="最大化",(_slice!N85-04_回帰ANOVA!$K$19*04_回帰ANOVA!$K$14*SQRT(1+_slice!N110))-01_因子設定!$B$14,IF(01_因子設定!$B$13="最小化",01_因子設定!$B$15-(_slice!N85+04_回帰ANOVA!$K$19*04_回帰ANOVA!$K$14*SQRT(1+_slice!N110)),MIN((_slice!N85-04_回帰ANOVA!$K$19*04_回帰ANOVA!$K$14*SQRT(1+_slice!N110))-01_因子設定!$B$14,01_因子設定!$B$15-(_slice!N85+04_回帰ANOVA!$K$19*04_回帰ANOVA!$K$14*SQRT(1+_slice!N110))))),"外")</f>
        <v>-3.172813365862</v>
      </c>
      <c r="O60" s="50" t="n">
        <f aca="false">IF(AND(_slice!$H$5=1,O$39&gt;=_slice!$H$6-0.000000001,O$39&lt;=_slice!$I$6+0.000000001,$B60&gt;=_slice!$H$7-0.000000001,$B60&lt;=_slice!$I$7+0.000000001,IF(01_因子設定!$B$20="Box-Behnken",O$39^2+$B60^2+_slice!$H$8&lt;=2+0.000000001,TRUE())),IF(01_因子設定!$B$13="最大化",(_slice!O85-04_回帰ANOVA!$K$19*04_回帰ANOVA!$K$14*SQRT(1+_slice!O110))-01_因子設定!$B$14,IF(01_因子設定!$B$13="最小化",01_因子設定!$B$15-(_slice!O85+04_回帰ANOVA!$K$19*04_回帰ANOVA!$K$14*SQRT(1+_slice!O110)),MIN((_slice!O85-04_回帰ANOVA!$K$19*04_回帰ANOVA!$K$14*SQRT(1+_slice!O110))-01_因子設定!$B$14,01_因子設定!$B$15-(_slice!O85+04_回帰ANOVA!$K$19*04_回帰ANOVA!$K$14*SQRT(1+_slice!O110))))),"外")</f>
        <v>-3.08994342972795</v>
      </c>
      <c r="P60" s="50" t="n">
        <f aca="false">IF(AND(_slice!$H$5=1,P$39&gt;=_slice!$H$6-0.000000001,P$39&lt;=_slice!$I$6+0.000000001,$B60&gt;=_slice!$H$7-0.000000001,$B60&lt;=_slice!$I$7+0.000000001,IF(01_因子設定!$B$20="Box-Behnken",P$39^2+$B60^2+_slice!$H$8&lt;=2+0.000000001,TRUE())),IF(01_因子設定!$B$13="最大化",(_slice!P85-04_回帰ANOVA!$K$19*04_回帰ANOVA!$K$14*SQRT(1+_slice!P110))-01_因子設定!$B$14,IF(01_因子設定!$B$13="最小化",01_因子設定!$B$15-(_slice!P85+04_回帰ANOVA!$K$19*04_回帰ANOVA!$K$14*SQRT(1+_slice!P110)),MIN((_slice!P85-04_回帰ANOVA!$K$19*04_回帰ANOVA!$K$14*SQRT(1+_slice!P110))-01_因子設定!$B$14,01_因子設定!$B$15-(_slice!P85+04_回帰ANOVA!$K$19*04_回帰ANOVA!$K$14*SQRT(1+_slice!P110))))),"外")</f>
        <v>-3.06227432799996</v>
      </c>
      <c r="Q60" s="50" t="n">
        <f aca="false">IF(AND(_slice!$H$5=1,Q$39&gt;=_slice!$H$6-0.000000001,Q$39&lt;=_slice!$I$6+0.000000001,$B60&gt;=_slice!$H$7-0.000000001,$B60&lt;=_slice!$I$7+0.000000001,IF(01_因子設定!$B$20="Box-Behnken",Q$39^2+$B60^2+_slice!$H$8&lt;=2+0.000000001,TRUE())),IF(01_因子設定!$B$13="最大化",(_slice!Q85-04_回帰ANOVA!$K$19*04_回帰ANOVA!$K$14*SQRT(1+_slice!Q110))-01_因子設定!$B$14,IF(01_因子設定!$B$13="最小化",01_因子設定!$B$15-(_slice!Q85+04_回帰ANOVA!$K$19*04_回帰ANOVA!$K$14*SQRT(1+_slice!Q110)),MIN((_slice!Q85-04_回帰ANOVA!$K$19*04_回帰ANOVA!$K$14*SQRT(1+_slice!Q110))-01_因子設定!$B$14,01_因子設定!$B$15-(_slice!Q85+04_回帰ANOVA!$K$19*04_回帰ANOVA!$K$14*SQRT(1+_slice!Q110))))),"外")</f>
        <v>-3.09106123958086</v>
      </c>
      <c r="R60" s="50" t="n">
        <f aca="false">IF(AND(_slice!$H$5=1,R$39&gt;=_slice!$H$6-0.000000001,R$39&lt;=_slice!$I$6+0.000000001,$B60&gt;=_slice!$H$7-0.000000001,$B60&lt;=_slice!$I$7+0.000000001,IF(01_因子設定!$B$20="Box-Behnken",R$39^2+$B60^2+_slice!$H$8&lt;=2+0.000000001,TRUE())),IF(01_因子設定!$B$13="最大化",(_slice!R85-04_回帰ANOVA!$K$19*04_回帰ANOVA!$K$14*SQRT(1+_slice!R110))-01_因子設定!$B$14,IF(01_因子設定!$B$13="最小化",01_因子設定!$B$15-(_slice!R85+04_回帰ANOVA!$K$19*04_回帰ANOVA!$K$14*SQRT(1+_slice!R110)),MIN((_slice!R85-04_回帰ANOVA!$K$19*04_回帰ANOVA!$K$14*SQRT(1+_slice!R110))-01_因子設定!$B$14,01_因子設定!$B$15-(_slice!R85+04_回帰ANOVA!$K$19*04_回帰ANOVA!$K$14*SQRT(1+_slice!R110))))),"外")</f>
        <v>-3.17805277009501</v>
      </c>
      <c r="S60" s="50" t="n">
        <f aca="false">IF(AND(_slice!$H$5=1,S$39&gt;=_slice!$H$6-0.000000001,S$39&lt;=_slice!$I$6+0.000000001,$B60&gt;=_slice!$H$7-0.000000001,$B60&lt;=_slice!$I$7+0.000000001,IF(01_因子設定!$B$20="Box-Behnken",S$39^2+$B60^2+_slice!$H$8&lt;=2+0.000000001,TRUE())),IF(01_因子設定!$B$13="最大化",(_slice!S85-04_回帰ANOVA!$K$19*04_回帰ANOVA!$K$14*SQRT(1+_slice!S110))-01_因子設定!$B$14,IF(01_因子設定!$B$13="最小化",01_因子設定!$B$15-(_slice!S85+04_回帰ANOVA!$K$19*04_回帰ANOVA!$K$14*SQRT(1+_slice!S110)),MIN((_slice!S85-04_回帰ANOVA!$K$19*04_回帰ANOVA!$K$14*SQRT(1+_slice!S110))-01_因子設定!$B$14,01_因子設定!$B$15-(_slice!S85+04_回帰ANOVA!$K$19*04_回帰ANOVA!$K$14*SQRT(1+_slice!S110))))),"外")</f>
        <v>-3.32545954397304</v>
      </c>
      <c r="T60" s="50" t="n">
        <f aca="false">IF(AND(_slice!$H$5=1,T$39&gt;=_slice!$H$6-0.000000001,T$39&lt;=_slice!$I$6+0.000000001,$B60&gt;=_slice!$H$7-0.000000001,$B60&lt;=_slice!$I$7+0.000000001,IF(01_因子設定!$B$20="Box-Behnken",T$39^2+$B60^2+_slice!$H$8&lt;=2+0.000000001,TRUE())),IF(01_因子設定!$B$13="最大化",(_slice!T85-04_回帰ANOVA!$K$19*04_回帰ANOVA!$K$14*SQRT(1+_slice!T110))-01_因子設定!$B$14,IF(01_因子設定!$B$13="最小化",01_因子設定!$B$15-(_slice!T85+04_回帰ANOVA!$K$19*04_回帰ANOVA!$K$14*SQRT(1+_slice!T110)),MIN((_slice!T85-04_回帰ANOVA!$K$19*04_回帰ANOVA!$K$14*SQRT(1+_slice!T110))-01_因子設定!$B$14,01_因子設定!$B$15-(_slice!T85+04_回帰ANOVA!$K$19*04_回帰ANOVA!$K$14*SQRT(1+_slice!T110))))),"外")</f>
        <v>-3.53588402806398</v>
      </c>
      <c r="U60" s="50" t="n">
        <f aca="false">IF(AND(_slice!$H$5=1,U$39&gt;=_slice!$H$6-0.000000001,U$39&lt;=_slice!$I$6+0.000000001,$B60&gt;=_slice!$H$7-0.000000001,$B60&lt;=_slice!$I$7+0.000000001,IF(01_因子設定!$B$20="Box-Behnken",U$39^2+$B60^2+_slice!$H$8&lt;=2+0.000000001,TRUE())),IF(01_因子設定!$B$13="最大化",(_slice!U85-04_回帰ANOVA!$K$19*04_回帰ANOVA!$K$14*SQRT(1+_slice!U110))-01_因子設定!$B$14,IF(01_因子設定!$B$13="最小化",01_因子設定!$B$15-(_slice!U85+04_回帰ANOVA!$K$19*04_回帰ANOVA!$K$14*SQRT(1+_slice!U110)),MIN((_slice!U85-04_回帰ANOVA!$K$19*04_回帰ANOVA!$K$14*SQRT(1+_slice!U110))-01_因子設定!$B$14,01_因子設定!$B$15-(_slice!U85+04_回帰ANOVA!$K$19*04_回帰ANOVA!$K$14*SQRT(1+_slice!U110))))),"外")</f>
        <v>-3.81219752751691</v>
      </c>
      <c r="V60" s="50" t="n">
        <f aca="false">IF(AND(_slice!$H$5=1,V$39&gt;=_slice!$H$6-0.000000001,V$39&lt;=_slice!$I$6+0.000000001,$B60&gt;=_slice!$H$7-0.000000001,$B60&lt;=_slice!$I$7+0.000000001,IF(01_因子設定!$B$20="Box-Behnken",V$39^2+$B60^2+_slice!$H$8&lt;=2+0.000000001,TRUE())),IF(01_因子設定!$B$13="最大化",(_slice!V85-04_回帰ANOVA!$K$19*04_回帰ANOVA!$K$14*SQRT(1+_slice!V110))-01_因子設定!$B$14,IF(01_因子設定!$B$13="最小化",01_因子設定!$B$15-(_slice!V85+04_回帰ANOVA!$K$19*04_回帰ANOVA!$K$14*SQRT(1+_slice!V110)),MIN((_slice!V85-04_回帰ANOVA!$K$19*04_回帰ANOVA!$K$14*SQRT(1+_slice!V110))-01_因子設定!$B$14,01_因子設定!$B$15-(_slice!V85+04_回帰ANOVA!$K$19*04_回帰ANOVA!$K$14*SQRT(1+_slice!V110))))),"外")</f>
        <v>-4.15736102817441</v>
      </c>
      <c r="W60" s="50" t="n">
        <f aca="false">IF(AND(_slice!$H$5=1,W$39&gt;=_slice!$H$6-0.000000001,W$39&lt;=_slice!$I$6+0.000000001,$B60&gt;=_slice!$H$7-0.000000001,$B60&lt;=_slice!$I$7+0.000000001,IF(01_因子設定!$B$20="Box-Behnken",W$39^2+$B60^2+_slice!$H$8&lt;=2+0.000000001,TRUE())),IF(01_因子設定!$B$13="最大化",(_slice!W85-04_回帰ANOVA!$K$19*04_回帰ANOVA!$K$14*SQRT(1+_slice!W110))-01_因子設定!$B$14,IF(01_因子設定!$B$13="最小化",01_因子設定!$B$15-(_slice!W85+04_回帰ANOVA!$K$19*04_回帰ANOVA!$K$14*SQRT(1+_slice!W110)),MIN((_slice!W85-04_回帰ANOVA!$K$19*04_回帰ANOVA!$K$14*SQRT(1+_slice!W110))-01_因子設定!$B$14,01_因子設定!$B$15-(_slice!W85+04_回帰ANOVA!$K$19*04_回帰ANOVA!$K$14*SQRT(1+_slice!W110))))),"外")</f>
        <v>-4.57420602057215</v>
      </c>
    </row>
    <row r="61" customFormat="false" ht="15" hidden="false" customHeight="false" outlineLevel="0" collapsed="false">
      <c r="A61" s="49" t="n">
        <f aca="false">INDEX(01_因子設定!$G$5:$G$6,$C$5)+B61*INDEX(01_因子設定!$H$5:$H$6,$C$5)</f>
        <v>20</v>
      </c>
      <c r="B61" s="49" t="n">
        <v>-1</v>
      </c>
      <c r="C61" s="50" t="n">
        <f aca="false">IF(AND(_slice!$H$5=1,C$39&gt;=_slice!$H$6-0.000000001,C$39&lt;=_slice!$I$6+0.000000001,$B61&gt;=_slice!$H$7-0.000000001,$B61&lt;=_slice!$I$7+0.000000001,IF(01_因子設定!$B$20="Box-Behnken",C$39^2+$B61^2+_slice!$H$8&lt;=2+0.000000001,TRUE())),IF(01_因子設定!$B$13="最大化",(_slice!C86-04_回帰ANOVA!$K$19*04_回帰ANOVA!$K$14*SQRT(1+_slice!C111))-01_因子設定!$B$14,IF(01_因子設定!$B$13="最小化",01_因子設定!$B$15-(_slice!C86+04_回帰ANOVA!$K$19*04_回帰ANOVA!$K$14*SQRT(1+_slice!C111)),MIN((_slice!C86-04_回帰ANOVA!$K$19*04_回帰ANOVA!$K$14*SQRT(1+_slice!C111))-01_因子設定!$B$14,01_因子設定!$B$15-(_slice!C86+04_回帰ANOVA!$K$19*04_回帰ANOVA!$K$14*SQRT(1+_slice!C111))))),"外")</f>
        <v>-8.38583962400028</v>
      </c>
      <c r="D61" s="50" t="n">
        <f aca="false">IF(AND(_slice!$H$5=1,D$39&gt;=_slice!$H$6-0.000000001,D$39&lt;=_slice!$I$6+0.000000001,$B61&gt;=_slice!$H$7-0.000000001,$B61&lt;=_slice!$I$7+0.000000001,IF(01_因子設定!$B$20="Box-Behnken",D$39^2+$B61^2+_slice!$H$8&lt;=2+0.000000001,TRUE())),IF(01_因子設定!$B$13="最大化",(_slice!D86-04_回帰ANOVA!$K$19*04_回帰ANOVA!$K$14*SQRT(1+_slice!D111))-01_因子設定!$B$14,IF(01_因子設定!$B$13="最小化",01_因子設定!$B$15-(_slice!D86+04_回帰ANOVA!$K$19*04_回帰ANOVA!$K$14*SQRT(1+_slice!D111)),MIN((_slice!D86-04_回帰ANOVA!$K$19*04_回帰ANOVA!$K$14*SQRT(1+_slice!D111))-01_因子設定!$B$14,01_因子設定!$B$15-(_slice!D86+04_回帰ANOVA!$K$19*04_回帰ANOVA!$K$14*SQRT(1+_slice!D111))))),"外")</f>
        <v>-7.64787268723882</v>
      </c>
      <c r="E61" s="50" t="n">
        <f aca="false">IF(AND(_slice!$H$5=1,E$39&gt;=_slice!$H$6-0.000000001,E$39&lt;=_slice!$I$6+0.000000001,$B61&gt;=_slice!$H$7-0.000000001,$B61&lt;=_slice!$I$7+0.000000001,IF(01_因子設定!$B$20="Box-Behnken",E$39^2+$B61^2+_slice!$H$8&lt;=2+0.000000001,TRUE())),IF(01_因子設定!$B$13="最大化",(_slice!E86-04_回帰ANOVA!$K$19*04_回帰ANOVA!$K$14*SQRT(1+_slice!E111))-01_因子設定!$B$14,IF(01_因子設定!$B$13="最小化",01_因子設定!$B$15-(_slice!E86+04_回帰ANOVA!$K$19*04_回帰ANOVA!$K$14*SQRT(1+_slice!E111)),MIN((_slice!E86-04_回帰ANOVA!$K$19*04_回帰ANOVA!$K$14*SQRT(1+_slice!E111))-01_因子設定!$B$14,01_因子設定!$B$15-(_slice!E86+04_回帰ANOVA!$K$19*04_回帰ANOVA!$K$14*SQRT(1+_slice!E111))))),"外")</f>
        <v>-6.98109009859024</v>
      </c>
      <c r="F61" s="50" t="n">
        <f aca="false">IF(AND(_slice!$H$5=1,F$39&gt;=_slice!$H$6-0.000000001,F$39&lt;=_slice!$I$6+0.000000001,$B61&gt;=_slice!$H$7-0.000000001,$B61&lt;=_slice!$I$7+0.000000001,IF(01_因子設定!$B$20="Box-Behnken",F$39^2+$B61^2+_slice!$H$8&lt;=2+0.000000001,TRUE())),IF(01_因子設定!$B$13="最大化",(_slice!F86-04_回帰ANOVA!$K$19*04_回帰ANOVA!$K$14*SQRT(1+_slice!F111))-01_因子設定!$B$14,IF(01_因子設定!$B$13="最小化",01_因子設定!$B$15-(_slice!F86+04_回帰ANOVA!$K$19*04_回帰ANOVA!$K$14*SQRT(1+_slice!F111)),MIN((_slice!F86-04_回帰ANOVA!$K$19*04_回帰ANOVA!$K$14*SQRT(1+_slice!F111))-01_因子設定!$B$14,01_因子設定!$B$15-(_slice!F86+04_回帰ANOVA!$K$19*04_回帰ANOVA!$K$14*SQRT(1+_slice!F111))))),"外")</f>
        <v>-6.3826717037852</v>
      </c>
      <c r="G61" s="50" t="n">
        <f aca="false">IF(AND(_slice!$H$5=1,G$39&gt;=_slice!$H$6-0.000000001,G$39&lt;=_slice!$I$6+0.000000001,$B61&gt;=_slice!$H$7-0.000000001,$B61&lt;=_slice!$I$7+0.000000001,IF(01_因子設定!$B$20="Box-Behnken",G$39^2+$B61^2+_slice!$H$8&lt;=2+0.000000001,TRUE())),IF(01_因子設定!$B$13="最大化",(_slice!G86-04_回帰ANOVA!$K$19*04_回帰ANOVA!$K$14*SQRT(1+_slice!G111))-01_因子設定!$B$14,IF(01_因子設定!$B$13="最小化",01_因子設定!$B$15-(_slice!G86+04_回帰ANOVA!$K$19*04_回帰ANOVA!$K$14*SQRT(1+_slice!G111)),MIN((_slice!G86-04_回帰ANOVA!$K$19*04_回帰ANOVA!$K$14*SQRT(1+_slice!G111))-01_因子設定!$B$14,01_因子設定!$B$15-(_slice!G86+04_回帰ANOVA!$K$19*04_回帰ANOVA!$K$14*SQRT(1+_slice!G111))))),"外")</f>
        <v>-5.84970951620551</v>
      </c>
      <c r="H61" s="50" t="n">
        <f aca="false">IF(AND(_slice!$H$5=1,H$39&gt;=_slice!$H$6-0.000000001,H$39&lt;=_slice!$I$6+0.000000001,$B61&gt;=_slice!$H$7-0.000000001,$B61&lt;=_slice!$I$7+0.000000001,IF(01_因子設定!$B$20="Box-Behnken",H$39^2+$B61^2+_slice!$H$8&lt;=2+0.000000001,TRUE())),IF(01_因子設定!$B$13="最大化",(_slice!H86-04_回帰ANOVA!$K$19*04_回帰ANOVA!$K$14*SQRT(1+_slice!H111))-01_因子設定!$B$14,IF(01_因子設定!$B$13="最小化",01_因子設定!$B$15-(_slice!H86+04_回帰ANOVA!$K$19*04_回帰ANOVA!$K$14*SQRT(1+_slice!H111)),MIN((_slice!H86-04_回帰ANOVA!$K$19*04_回帰ANOVA!$K$14*SQRT(1+_slice!H111))-01_因子設定!$B$14,01_因子設定!$B$15-(_slice!H86+04_回帰ANOVA!$K$19*04_回帰ANOVA!$K$14*SQRT(1+_slice!H111))))),"外")</f>
        <v>-5.37941068388891</v>
      </c>
      <c r="I61" s="50" t="n">
        <f aca="false">IF(AND(_slice!$H$5=1,I$39&gt;=_slice!$H$6-0.000000001,I$39&lt;=_slice!$I$6+0.000000001,$B61&gt;=_slice!$H$7-0.000000001,$B61&lt;=_slice!$I$7+0.000000001,IF(01_因子設定!$B$20="Box-Behnken",I$39^2+$B61^2+_slice!$H$8&lt;=2+0.000000001,TRUE())),IF(01_因子設定!$B$13="最大化",(_slice!I86-04_回帰ANOVA!$K$19*04_回帰ANOVA!$K$14*SQRT(1+_slice!I111))-01_因子設定!$B$14,IF(01_因子設定!$B$13="最小化",01_因子設定!$B$15-(_slice!I86+04_回帰ANOVA!$K$19*04_回帰ANOVA!$K$14*SQRT(1+_slice!I111)),MIN((_slice!I86-04_回帰ANOVA!$K$19*04_回帰ANOVA!$K$14*SQRT(1+_slice!I111))-01_因子設定!$B$14,01_因子設定!$B$15-(_slice!I86+04_回帰ANOVA!$K$19*04_回帰ANOVA!$K$14*SQRT(1+_slice!I111))))),"外")</f>
        <v>-4.96925958762783</v>
      </c>
      <c r="J61" s="50" t="n">
        <f aca="false">IF(AND(_slice!$H$5=1,J$39&gt;=_slice!$H$6-0.000000001,J$39&lt;=_slice!$I$6+0.000000001,$B61&gt;=_slice!$H$7-0.000000001,$B61&lt;=_slice!$I$7+0.000000001,IF(01_因子設定!$B$20="Box-Behnken",J$39^2+$B61^2+_slice!$H$8&lt;=2+0.000000001,TRUE())),IF(01_因子設定!$B$13="最大化",(_slice!J86-04_回帰ANOVA!$K$19*04_回帰ANOVA!$K$14*SQRT(1+_slice!J111))-01_因子設定!$B$14,IF(01_因子設定!$B$13="最小化",01_因子設定!$B$15-(_slice!J86+04_回帰ANOVA!$K$19*04_回帰ANOVA!$K$14*SQRT(1+_slice!J111)),MIN((_slice!J86-04_回帰ANOVA!$K$19*04_回帰ANOVA!$K$14*SQRT(1+_slice!J111))-01_因子設定!$B$14,01_因子設定!$B$15-(_slice!J86+04_回帰ANOVA!$K$19*04_回帰ANOVA!$K$14*SQRT(1+_slice!J111))))),"外")</f>
        <v>-4.61712729064283</v>
      </c>
      <c r="K61" s="50" t="n">
        <f aca="false">IF(AND(_slice!$H$5=1,K$39&gt;=_slice!$H$6-0.000000001,K$39&lt;=_slice!$I$6+0.000000001,$B61&gt;=_slice!$H$7-0.000000001,$B61&lt;=_slice!$I$7+0.000000001,IF(01_因子設定!$B$20="Box-Behnken",K$39^2+$B61^2+_slice!$H$8&lt;=2+0.000000001,TRUE())),IF(01_因子設定!$B$13="最大化",(_slice!K86-04_回帰ANOVA!$K$19*04_回帰ANOVA!$K$14*SQRT(1+_slice!K111))-01_因子設定!$B$14,IF(01_因子設定!$B$13="最小化",01_因子設定!$B$15-(_slice!K86+04_回帰ANOVA!$K$19*04_回帰ANOVA!$K$14*SQRT(1+_slice!K111)),MIN((_slice!K86-04_回帰ANOVA!$K$19*04_回帰ANOVA!$K$14*SQRT(1+_slice!K111))-01_因子設定!$B$14,01_因子設定!$B$15-(_slice!K86+04_回帰ANOVA!$K$19*04_回帰ANOVA!$K$14*SQRT(1+_slice!K111))))),"外")</f>
        <v>-4.32133310977835</v>
      </c>
      <c r="L61" s="50" t="n">
        <f aca="false">IF(AND(_slice!$H$5=1,L$39&gt;=_slice!$H$6-0.000000001,L$39&lt;=_slice!$I$6+0.000000001,$B61&gt;=_slice!$H$7-0.000000001,$B61&lt;=_slice!$I$7+0.000000001,IF(01_因子設定!$B$20="Box-Behnken",L$39^2+$B61^2+_slice!$H$8&lt;=2+0.000000001,TRUE())),IF(01_因子設定!$B$13="最大化",(_slice!L86-04_回帰ANOVA!$K$19*04_回帰ANOVA!$K$14*SQRT(1+_slice!L111))-01_因子設定!$B$14,IF(01_因子設定!$B$13="最小化",01_因子設定!$B$15-(_slice!L86+04_回帰ANOVA!$K$19*04_回帰ANOVA!$K$14*SQRT(1+_slice!L111)),MIN((_slice!L86-04_回帰ANOVA!$K$19*04_回帰ANOVA!$K$14*SQRT(1+_slice!L111))-01_因子設定!$B$14,01_因子設定!$B$15-(_slice!L86+04_回帰ANOVA!$K$19*04_回帰ANOVA!$K$14*SQRT(1+_slice!L111))))),"外")</f>
        <v>-4.08067168078543</v>
      </c>
      <c r="M61" s="50" t="n">
        <f aca="false">IF(AND(_slice!$H$5=1,M$39&gt;=_slice!$H$6-0.000000001,M$39&lt;=_slice!$I$6+0.000000001,$B61&gt;=_slice!$H$7-0.000000001,$B61&lt;=_slice!$I$7+0.000000001,IF(01_因子設定!$B$20="Box-Behnken",M$39^2+$B61^2+_slice!$H$8&lt;=2+0.000000001,TRUE())),IF(01_因子設定!$B$13="最大化",(_slice!M86-04_回帰ANOVA!$K$19*04_回帰ANOVA!$K$14*SQRT(1+_slice!M111))-01_因子設定!$B$14,IF(01_因子設定!$B$13="最小化",01_因子設定!$B$15-(_slice!M86+04_回帰ANOVA!$K$19*04_回帰ANOVA!$K$14*SQRT(1+_slice!M111)),MIN((_slice!M86-04_回帰ANOVA!$K$19*04_回帰ANOVA!$K$14*SQRT(1+_slice!M111))-01_因子設定!$B$14,01_因子設定!$B$15-(_slice!M86+04_回帰ANOVA!$K$19*04_回帰ANOVA!$K$14*SQRT(1+_slice!M111))))),"外")</f>
        <v>-3.8944202858001</v>
      </c>
      <c r="N61" s="50" t="n">
        <f aca="false">IF(AND(_slice!$H$5=1,N$39&gt;=_slice!$H$6-0.000000001,N$39&lt;=_slice!$I$6+0.000000001,$B61&gt;=_slice!$H$7-0.000000001,$B61&lt;=_slice!$I$7+0.000000001,IF(01_因子設定!$B$20="Box-Behnken",N$39^2+$B61^2+_slice!$H$8&lt;=2+0.000000001,TRUE())),IF(01_因子設定!$B$13="最大化",(_slice!N86-04_回帰ANOVA!$K$19*04_回帰ANOVA!$K$14*SQRT(1+_slice!N111))-01_因子設定!$B$14,IF(01_因子設定!$B$13="最小化",01_因子設定!$B$15-(_slice!N86+04_回帰ANOVA!$K$19*04_回帰ANOVA!$K$14*SQRT(1+_slice!N111)),MIN((_slice!N86-04_回帰ANOVA!$K$19*04_回帰ANOVA!$K$14*SQRT(1+_slice!N111))-01_因子設定!$B$14,01_因子設定!$B$15-(_slice!N86+04_回帰ANOVA!$K$19*04_回帰ANOVA!$K$14*SQRT(1+_slice!N111))))),"外")</f>
        <v>-3.7623383474521</v>
      </c>
      <c r="O61" s="50" t="n">
        <f aca="false">IF(AND(_slice!$H$5=1,O$39&gt;=_slice!$H$6-0.000000001,O$39&lt;=_slice!$I$6+0.000000001,$B61&gt;=_slice!$H$7-0.000000001,$B61&lt;=_slice!$I$7+0.000000001,IF(01_因子設定!$B$20="Box-Behnken",O$39^2+$B61^2+_slice!$H$8&lt;=2+0.000000001,TRUE())),IF(01_因子設定!$B$13="最大化",(_slice!O86-04_回帰ANOVA!$K$19*04_回帰ANOVA!$K$14*SQRT(1+_slice!O111))-01_因子設定!$B$14,IF(01_因子設定!$B$13="最小化",01_因子設定!$B$15-(_slice!O86+04_回帰ANOVA!$K$19*04_回帰ANOVA!$K$14*SQRT(1+_slice!O111)),MIN((_slice!O86-04_回帰ANOVA!$K$19*04_回帰ANOVA!$K$14*SQRT(1+_slice!O111))-01_因子設定!$B$14,01_因子設定!$B$15-(_slice!O86+04_回帰ANOVA!$K$19*04_回帰ANOVA!$K$14*SQRT(1+_slice!O111))))),"外")</f>
        <v>-3.68466644311168</v>
      </c>
      <c r="P61" s="50" t="n">
        <f aca="false">IF(AND(_slice!$H$5=1,P$39&gt;=_slice!$H$6-0.000000001,P$39&lt;=_slice!$I$6+0.000000001,$B61&gt;=_slice!$H$7-0.000000001,$B61&lt;=_slice!$I$7+0.000000001,IF(01_因子設定!$B$20="Box-Behnken",P$39^2+$B61^2+_slice!$H$8&lt;=2+0.000000001,TRUE())),IF(01_因子設定!$B$13="最大化",(_slice!P86-04_回帰ANOVA!$K$19*04_回帰ANOVA!$K$14*SQRT(1+_slice!P111))-01_因子設定!$B$14,IF(01_因子設定!$B$13="最小化",01_因子設定!$B$15-(_slice!P86+04_回帰ANOVA!$K$19*04_回帰ANOVA!$K$14*SQRT(1+_slice!P111)),MIN((_slice!P86-04_回帰ANOVA!$K$19*04_回帰ANOVA!$K$14*SQRT(1+_slice!P111))-01_因子設定!$B$14,01_因子設定!$B$15-(_slice!P86+04_回帰ANOVA!$K$19*04_回帰ANOVA!$K$14*SQRT(1+_slice!P111))))),"外")</f>
        <v>-3.66212729064284</v>
      </c>
      <c r="Q61" s="50" t="n">
        <f aca="false">IF(AND(_slice!$H$5=1,Q$39&gt;=_slice!$H$6-0.000000001,Q$39&lt;=_slice!$I$6+0.000000001,$B61&gt;=_slice!$H$7-0.000000001,$B61&lt;=_slice!$I$7+0.000000001,IF(01_因子設定!$B$20="Box-Behnken",Q$39^2+$B61^2+_slice!$H$8&lt;=2+0.000000001,TRUE())),IF(01_因子設定!$B$13="最大化",(_slice!Q86-04_回帰ANOVA!$K$19*04_回帰ANOVA!$K$14*SQRT(1+_slice!Q111))-01_因子設定!$B$14,IF(01_因子設定!$B$13="最小化",01_因子設定!$B$15-(_slice!Q86+04_回帰ANOVA!$K$19*04_回帰ANOVA!$K$14*SQRT(1+_slice!Q111)),MIN((_slice!Q86-04_回帰ANOVA!$K$19*04_回帰ANOVA!$K$14*SQRT(1+_slice!Q111))-01_因子設定!$B$14,01_因子設定!$B$15-(_slice!Q86+04_回帰ANOVA!$K$19*04_回帰ANOVA!$K$14*SQRT(1+_slice!Q111))))),"外")</f>
        <v>-3.69592625429451</v>
      </c>
      <c r="R61" s="50" t="n">
        <f aca="false">IF(AND(_slice!$H$5=1,R$39&gt;=_slice!$H$6-0.000000001,R$39&lt;=_slice!$I$6+0.000000001,$B61&gt;=_slice!$H$7-0.000000001,$B61&lt;=_slice!$I$7+0.000000001,IF(01_因子設定!$B$20="Box-Behnken",R$39^2+$B61^2+_slice!$H$8&lt;=2+0.000000001,TRUE())),IF(01_因子設定!$B$13="最大化",(_slice!R86-04_回帰ANOVA!$K$19*04_回帰ANOVA!$K$14*SQRT(1+_slice!R111))-01_因子設定!$B$14,IF(01_因子設定!$B$13="最小化",01_因子設定!$B$15-(_slice!R86+04_回帰ANOVA!$K$19*04_回帰ANOVA!$K$14*SQRT(1+_slice!R111)),MIN((_slice!R86-04_回帰ANOVA!$K$19*04_回帰ANOVA!$K$14*SQRT(1+_slice!R111))-01_因子設定!$B$14,01_因子設定!$B$15-(_slice!R86+04_回帰ANOVA!$K$19*04_回帰ANOVA!$K$14*SQRT(1+_slice!R111))))),"外")</f>
        <v>-3.78774401722224</v>
      </c>
      <c r="S61" s="50" t="n">
        <f aca="false">IF(AND(_slice!$H$5=1,S$39&gt;=_slice!$H$6-0.000000001,S$39&lt;=_slice!$I$6+0.000000001,$B61&gt;=_slice!$H$7-0.000000001,$B61&lt;=_slice!$I$7+0.000000001,IF(01_因子設定!$B$20="Box-Behnken",S$39^2+$B61^2+_slice!$H$8&lt;=2+0.000000001,TRUE())),IF(01_因子設定!$B$13="最大化",(_slice!S86-04_回帰ANOVA!$K$19*04_回帰ANOVA!$K$14*SQRT(1+_slice!S111))-01_因子設定!$B$14,IF(01_因子設定!$B$13="最小化",01_因子設定!$B$15-(_slice!S86+04_回帰ANOVA!$K$19*04_回帰ANOVA!$K$14*SQRT(1+_slice!S111)),MIN((_slice!S86-04_回帰ANOVA!$K$19*04_回帰ANOVA!$K$14*SQRT(1+_slice!S111))-01_因子設定!$B$14,01_因子設定!$B$15-(_slice!S86+04_回帰ANOVA!$K$19*04_回帰ANOVA!$K$14*SQRT(1+_slice!S111))))),"外")</f>
        <v>-3.9397095162055</v>
      </c>
      <c r="T61" s="50" t="n">
        <f aca="false">IF(AND(_slice!$H$5=1,T$39&gt;=_slice!$H$6-0.000000001,T$39&lt;=_slice!$I$6+0.000000001,$B61&gt;=_slice!$H$7-0.000000001,$B61&lt;=_slice!$I$7+0.000000001,IF(01_因子設定!$B$20="Box-Behnken",T$39^2+$B61^2+_slice!$H$8&lt;=2+0.000000001,TRUE())),IF(01_因子設定!$B$13="最大化",(_slice!T86-04_回帰ANOVA!$K$19*04_回帰ANOVA!$K$14*SQRT(1+_slice!T111))-01_因子設定!$B$14,IF(01_因子設定!$B$13="最小化",01_因子設定!$B$15-(_slice!T86+04_回帰ANOVA!$K$19*04_回帰ANOVA!$K$14*SQRT(1+_slice!T111)),MIN((_slice!T86-04_回帰ANOVA!$K$19*04_回帰ANOVA!$K$14*SQRT(1+_slice!T111))-01_因子設定!$B$14,01_因子設定!$B$15-(_slice!T86+04_回帰ANOVA!$K$19*04_回帰ANOVA!$K$14*SQRT(1+_slice!T111))))),"外")</f>
        <v>-4.15433837045186</v>
      </c>
      <c r="U61" s="50" t="n">
        <f aca="false">IF(AND(_slice!$H$5=1,U$39&gt;=_slice!$H$6-0.000000001,U$39&lt;=_slice!$I$6+0.000000001,$B61&gt;=_slice!$H$7-0.000000001,$B61&lt;=_slice!$I$7+0.000000001,IF(01_因子設定!$B$20="Box-Behnken",U$39^2+$B61^2+_slice!$H$8&lt;=2+0.000000001,TRUE())),IF(01_因子設定!$B$13="最大化",(_slice!U86-04_回帰ANOVA!$K$19*04_回帰ANOVA!$K$14*SQRT(1+_slice!U111))-01_因子設定!$B$14,IF(01_因子設定!$B$13="最小化",01_因子設定!$B$15-(_slice!U86+04_回帰ANOVA!$K$19*04_回帰ANOVA!$K$14*SQRT(1+_slice!U111)),MIN((_slice!U86-04_回帰ANOVA!$K$19*04_回帰ANOVA!$K$14*SQRT(1+_slice!U111))-01_因子設定!$B$14,01_因子設定!$B$15-(_slice!U86+04_回帰ANOVA!$K$19*04_回帰ANOVA!$K$14*SQRT(1+_slice!U111))))),"外")</f>
        <v>-4.43442343192358</v>
      </c>
      <c r="V61" s="50" t="n">
        <f aca="false">IF(AND(_slice!$H$5=1,V$39&gt;=_slice!$H$6-0.000000001,V$39&lt;=_slice!$I$6+0.000000001,$B61&gt;=_slice!$H$7-0.000000001,$B61&lt;=_slice!$I$7+0.000000001,IF(01_因子設定!$B$20="Box-Behnken",V$39^2+$B61^2+_slice!$H$8&lt;=2+0.000000001,TRUE())),IF(01_因子設定!$B$13="最大化",(_slice!V86-04_回帰ANOVA!$K$19*04_回帰ANOVA!$K$14*SQRT(1+_slice!V111))-01_因子設定!$B$14,IF(01_因子設定!$B$13="最小化",01_因子設定!$B$15-(_slice!V86+04_回帰ANOVA!$K$19*04_回帰ANOVA!$K$14*SQRT(1+_slice!V111)),MIN((_slice!V86-04_回帰ANOVA!$K$19*04_回帰ANOVA!$K$14*SQRT(1+_slice!V111))-01_因子設定!$B$14,01_因子設定!$B$15-(_slice!V86+04_回帰ANOVA!$K$19*04_回帰ANOVA!$K$14*SQRT(1+_slice!V111))))),"外")</f>
        <v>-4.78287268723881</v>
      </c>
      <c r="W61" s="50" t="n">
        <f aca="false">IF(AND(_slice!$H$5=1,W$39&gt;=_slice!$H$6-0.000000001,W$39&lt;=_slice!$I$6+0.000000001,$B61&gt;=_slice!$H$7-0.000000001,$B61&lt;=_slice!$I$7+0.000000001,IF(01_因子設定!$B$20="Box-Behnken",W$39^2+$B61^2+_slice!$H$8&lt;=2+0.000000001,TRUE())),IF(01_因子設定!$B$13="最大化",(_slice!W86-04_回帰ANOVA!$K$19*04_回帰ANOVA!$K$14*SQRT(1+_slice!W111))-01_因子設定!$B$14,IF(01_因子設定!$B$13="最小化",01_因子設定!$B$15-(_slice!W86+04_回帰ANOVA!$K$19*04_回帰ANOVA!$K$14*SQRT(1+_slice!W111)),MIN((_slice!W86-04_回帰ANOVA!$K$19*04_回帰ANOVA!$K$14*SQRT(1+_slice!W111))-01_因子設定!$B$14,01_因子設定!$B$15-(_slice!W86+04_回帰ANOVA!$K$19*04_回帰ANOVA!$K$14*SQRT(1+_slice!W111))))),"外")</f>
        <v>-5.20250629066695</v>
      </c>
    </row>
    <row r="63" customFormat="false" ht="15" hidden="false" customHeight="false" outlineLevel="0" collapsed="false">
      <c r="A63" s="38" t="s">
        <v>242</v>
      </c>
    </row>
    <row r="64" customFormat="false" ht="44" hidden="false" customHeight="false" outlineLevel="0" collapsed="false">
      <c r="A64" s="10" t="s">
        <v>97</v>
      </c>
      <c r="B64" s="10" t="s">
        <v>243</v>
      </c>
      <c r="C64" s="10" t="s">
        <v>244</v>
      </c>
      <c r="D64" s="10" t="s">
        <v>245</v>
      </c>
      <c r="E64" s="10" t="s">
        <v>246</v>
      </c>
      <c r="F64" s="10" t="s">
        <v>247</v>
      </c>
      <c r="G64" s="10" t="s">
        <v>52</v>
      </c>
    </row>
    <row r="65" customFormat="false" ht="15" hidden="false" customHeight="false" outlineLevel="0" collapsed="false">
      <c r="A65" s="26" t="str">
        <f aca="false">01_因子設定!B5</f>
        <v>炉温</v>
      </c>
      <c r="B65" s="15" t="n">
        <f aca="false">07_最適化!$B$6</f>
        <v>0.45</v>
      </c>
      <c r="C65" s="15" t="n">
        <f aca="false">IF(SUMIFS(_win!$Q$5:$Q$86,_win!$A$5:$A$86,1,_win!$B$5:$B$86,"&gt;"&amp;(B65-0.0001),_win!$B$5:$B$86,"&lt;"&amp;(B65+0.0001))=0,"該当なし",IF(COUNTIFS(_win!$A$5:$A$86,1,_win!$B$5:$B$86,"&lt;="&amp;(B65+0.0001),_win!$Q$5:$Q$86,0)=0,-1,ROUND(_xlfn.MAXIFS(_win!$B$5:$B$86,_win!$A$5:$A$86,1,_win!$B$5:$B$86,"&lt;="&amp;(B65+0.0001),_win!$Q$5:$Q$86,0)+0.05,4)))</f>
        <v>-0.25</v>
      </c>
      <c r="D65" s="15" t="n">
        <f aca="false">IF(SUMIFS(_win!$Q$5:$Q$86,_win!$A$5:$A$86,1,_win!$B$5:$B$86,"&gt;"&amp;(B65-0.0001),_win!$B$5:$B$86,"&lt;"&amp;(B65+0.0001))=0,"該当なし",IF(COUNTIFS(_win!$A$5:$A$86,1,_win!$B$5:$B$86,"&gt;="&amp;(B65-0.0001),_win!$Q$5:$Q$86,0)=0,1,ROUND(_xlfn.MINIFS(_win!$B$5:$B$86,_win!$A$5:$A$86,1,_win!$B$5:$B$86,"&gt;="&amp;(B65-0.0001),_win!$Q$5:$Q$86,0)-0.05,4)))</f>
        <v>1</v>
      </c>
      <c r="E65" s="41" t="n">
        <f aca="false">IF(ISNUMBER(C65),01_因子設定!G5+C65*01_因子設定!H5,"")</f>
        <v>62.5</v>
      </c>
      <c r="F65" s="41" t="n">
        <f aca="false">IF(ISNUMBER(D65),01_因子設定!G5+D65*01_因子設定!H5,"")</f>
        <v>75</v>
      </c>
      <c r="G65" s="24" t="str">
        <f aca="false">01_因子設定!D5</f>
        <v>℃</v>
      </c>
    </row>
    <row r="66" customFormat="false" ht="15" hidden="false" customHeight="false" outlineLevel="0" collapsed="false">
      <c r="A66" s="26" t="str">
        <f aca="false">01_因子設定!B6</f>
        <v>乾燥時間</v>
      </c>
      <c r="B66" s="15" t="n">
        <f aca="false">07_最適化!$B$7</f>
        <v>0.7</v>
      </c>
      <c r="C66" s="15" t="n">
        <f aca="false">IF(SUMIFS(_win!$Q$5:$Q$86,_win!$A$5:$A$86,2,_win!$B$5:$B$86,"&gt;"&amp;(B66-0.0001),_win!$B$5:$B$86,"&lt;"&amp;(B66+0.0001))=0,"該当なし",IF(COUNTIFS(_win!$A$5:$A$86,2,_win!$B$5:$B$86,"&lt;="&amp;(B66+0.0001),_win!$Q$5:$Q$86,0)=0,-1,ROUND(_xlfn.MAXIFS(_win!$B$5:$B$86,_win!$A$5:$A$86,2,_win!$B$5:$B$86,"&lt;="&amp;(B66+0.0001),_win!$Q$5:$Q$86,0)+0.05,4)))</f>
        <v>-0.15</v>
      </c>
      <c r="D66" s="15" t="n">
        <f aca="false">IF(SUMIFS(_win!$Q$5:$Q$86,_win!$A$5:$A$86,2,_win!$B$5:$B$86,"&gt;"&amp;(B66-0.0001),_win!$B$5:$B$86,"&lt;"&amp;(B66+0.0001))=0,"該当なし",IF(COUNTIFS(_win!$A$5:$A$86,2,_win!$B$5:$B$86,"&gt;="&amp;(B66-0.0001),_win!$Q$5:$Q$86,0)=0,1,ROUND(_xlfn.MINIFS(_win!$B$5:$B$86,_win!$A$5:$A$86,2,_win!$B$5:$B$86,"&gt;="&amp;(B66-0.0001),_win!$Q$5:$Q$86,0)-0.05,4)))</f>
        <v>1</v>
      </c>
      <c r="E66" s="41" t="n">
        <f aca="false">IF(ISNUMBER(C66),01_因子設定!G6+C66*01_因子設定!H6,"")</f>
        <v>28.5</v>
      </c>
      <c r="F66" s="41" t="n">
        <f aca="false">IF(ISNUMBER(D66),01_因子設定!G6+D66*01_因子設定!H6,"")</f>
        <v>40</v>
      </c>
      <c r="G66" s="24" t="str">
        <f aca="false">01_因子設定!D6</f>
        <v>min</v>
      </c>
    </row>
    <row r="67" customFormat="false" ht="15" hidden="false" customHeight="false" outlineLevel="0" collapsed="false">
      <c r="A67" s="51" t="s">
        <v>248</v>
      </c>
    </row>
    <row r="70" customFormat="false" ht="15" hidden="false" customHeight="false" outlineLevel="0" collapsed="false">
      <c r="A70" s="17" t="s">
        <v>249</v>
      </c>
    </row>
    <row r="71" customFormat="false" ht="44" hidden="false" customHeight="false" outlineLevel="0" collapsed="false">
      <c r="A71" s="10" t="s">
        <v>97</v>
      </c>
      <c r="B71" s="10"/>
      <c r="C71" s="10" t="s">
        <v>246</v>
      </c>
      <c r="D71" s="10" t="s">
        <v>247</v>
      </c>
      <c r="E71" s="10" t="s">
        <v>52</v>
      </c>
    </row>
    <row r="72" customFormat="false" ht="15" hidden="false" customHeight="false" outlineLevel="0" collapsed="false">
      <c r="A72" s="26" t="str">
        <f aca="false">01_因子設定!B5</f>
        <v>炉温</v>
      </c>
      <c r="C72" s="45" t="n">
        <f aca="false">IF(ISNUMBER(E65),E65,01_因子設定!G5)</f>
        <v>62.5</v>
      </c>
      <c r="D72" s="45" t="n">
        <f aca="false">IF(ISNUMBER(F65),F65,01_因子設定!G5)</f>
        <v>75</v>
      </c>
      <c r="E72" s="24" t="str">
        <f aca="false">01_因子設定!D5</f>
        <v>℃</v>
      </c>
      <c r="F72" s="19" t="s">
        <v>250</v>
      </c>
    </row>
    <row r="73" customFormat="false" ht="15" hidden="false" customHeight="false" outlineLevel="0" collapsed="false">
      <c r="A73" s="26" t="str">
        <f aca="false">01_因子設定!B6</f>
        <v>乾燥時間</v>
      </c>
      <c r="C73" s="45" t="n">
        <f aca="false">IF(ISNUMBER(E66),E66,01_因子設定!G6)</f>
        <v>28.5</v>
      </c>
      <c r="D73" s="45" t="n">
        <f aca="false">IF(ISNUMBER(F66),F66,01_因子設定!G6)</f>
        <v>40</v>
      </c>
      <c r="E73" s="24" t="str">
        <f aca="false">01_因子設定!D6</f>
        <v>min</v>
      </c>
    </row>
    <row r="75" customFormat="false" ht="15" hidden="false" customHeight="false" outlineLevel="0" collapsed="false">
      <c r="A75" s="18" t="s">
        <v>251</v>
      </c>
      <c r="C75" s="24" t="n">
        <f aca="false">COUNT(_win!R91:R99)</f>
        <v>9</v>
      </c>
    </row>
    <row r="76" customFormat="false" ht="15" hidden="false" customHeight="false" outlineLevel="0" collapsed="false">
      <c r="A76" s="18" t="s">
        <v>252</v>
      </c>
      <c r="C76" s="24" t="n">
        <f aca="false">COUNTIF(_win!Q91:Q99,FALSE())</f>
        <v>0</v>
      </c>
    </row>
    <row r="77" customFormat="false" ht="15" hidden="false" customHeight="false" outlineLevel="0" collapsed="false">
      <c r="A77" s="18" t="s">
        <v>253</v>
      </c>
      <c r="C77" s="24" t="n">
        <f aca="false">COUNTIF(_win!R91:R99,"&lt;0")</f>
        <v>3</v>
      </c>
    </row>
    <row r="78" customFormat="false" ht="15" hidden="false" customHeight="false" outlineLevel="0" collapsed="false">
      <c r="A78" s="18" t="s">
        <v>254</v>
      </c>
      <c r="C78" s="15" t="n">
        <f aca="false">MIN(_win!R91:R99)</f>
        <v>-1.17800062566995</v>
      </c>
    </row>
    <row r="79" customFormat="false" ht="15" hidden="false" customHeight="false" outlineLevel="0" collapsed="false">
      <c r="A79" s="18" t="s">
        <v>255</v>
      </c>
      <c r="C79" s="15" t="n">
        <f aca="false">INDEX(_win!C91:C99,MATCH(MIN(_win!R91:R99),_win!R91:R99,0))</f>
        <v>75</v>
      </c>
      <c r="D79" s="15" t="n">
        <f aca="false">INDEX(_win!D91:D99,MATCH(MIN(_win!R91:R99),_win!R91:R99,0))</f>
        <v>28.5</v>
      </c>
    </row>
    <row r="80" customFormat="false" ht="25.35" hidden="false" customHeight="false" outlineLevel="0" collapsed="false">
      <c r="C80" s="52" t="str">
        <f aca="false">01_因子設定!B5</f>
        <v>炉温</v>
      </c>
      <c r="D80" s="52" t="str">
        <f aca="false">01_因子設定!B6</f>
        <v>乾燥時間</v>
      </c>
    </row>
    <row r="81" customFormat="false" ht="15" hidden="false" customHeight="false" outlineLevel="0" collapsed="false">
      <c r="A81" s="18" t="s">
        <v>100</v>
      </c>
      <c r="C81" s="25" t="str">
        <f aca="false">IF(C76&gt;0,"× 安全限界・領域外の条件を含む → 窓を狭める",IF(C77=0,"○ 提案窓の全組合せで、予測限界でも規格を満たす","× "&amp;C77&amp;"点で規格外のおそれ → 最悪の組合せの方向を狭める"))</f>
        <v>× 3点で規格外のおそれ → 最悪の組合せの方向を狭める</v>
      </c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</row>
  </sheetData>
  <mergeCells count="1">
    <mergeCell ref="C81:P81"/>
  </mergeCells>
  <conditionalFormatting sqref="C15:W35">
    <cfRule type="colorScale" priority="2">
      <colorScale>
        <cfvo type="min" val="0"/>
        <cfvo type="percentile" val="50"/>
        <cfvo type="max" val="0"/>
        <color rgb="FF5B9BD5"/>
        <color rgb="FFFFFFFF"/>
        <color rgb="FFF4B183"/>
      </colorScale>
    </cfRule>
  </conditionalFormatting>
  <conditionalFormatting sqref="C41:W61">
    <cfRule type="expression" priority="3" aboveAverage="0" equalAverage="0" bottom="0" percent="0" rank="0" text="" dxfId="4">
      <formula>ISTEXT(C41)</formula>
    </cfRule>
    <cfRule type="cellIs" priority="4" operator="greaterThanOrEqual" aboveAverage="0" equalAverage="0" bottom="0" percent="0" rank="0" text="" dxfId="5">
      <formula>0</formula>
    </cfRule>
    <cfRule type="cellIs" priority="5" operator="lessThan" aboveAverage="0" equalAverage="0" bottom="0" percent="0" rank="0" text="" dxfId="0">
      <formula>0</formula>
    </cfRule>
  </conditionalFormatting>
  <dataValidations count="2">
    <dataValidation allowBlank="false" errorStyle="stop" operator="between" showDropDown="false" showErrorMessage="false" showInputMessage="false" sqref="B4:B5" type="list">
      <formula1>"X1,X2"</formula1>
      <formula2>0</formula2>
    </dataValidation>
    <dataValidation allowBlank="false" errorStyle="stop" operator="between" showDropDown="false" showErrorMessage="false" showInputMessage="false" sqref="B6" type="list">
      <formula1>"ロバスト最適点,点予測最適点,手入力"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8"/>
    <pageSetUpPr fitToPage="false"/>
  </sheetPr>
  <dimension ref="A1:U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3" min="2" style="0" width="12"/>
    <col collapsed="false" customWidth="true" hidden="false" outlineLevel="0" max="5" min="4" style="0" width="10"/>
    <col collapsed="false" customWidth="true" hidden="false" outlineLevel="0" max="7" min="6" style="0" width="14"/>
    <col collapsed="false" customWidth="true" hidden="false" outlineLevel="0" max="8" min="8" style="0" width="30"/>
    <col collapsed="false" customWidth="true" hidden="false" outlineLevel="0" max="9" min="9" style="0" width="10"/>
  </cols>
  <sheetData>
    <row r="1" customFormat="false" ht="21.6" hidden="false" customHeight="false" outlineLevel="0" collapsed="false">
      <c r="A1" s="8" t="s">
        <v>256</v>
      </c>
    </row>
    <row r="2" customFormat="false" ht="15" hidden="false" customHeight="false" outlineLevel="0" collapsed="false">
      <c r="A2" s="2" t="s">
        <v>257</v>
      </c>
    </row>
    <row r="4" customFormat="false" ht="29.85" hidden="false" customHeight="false" outlineLevel="0" collapsed="false">
      <c r="A4" s="9" t="s">
        <v>49</v>
      </c>
      <c r="B4" s="10" t="str">
        <f aca="false">01_因子設定!B5&amp;"["&amp;01_因子設定!D5&amp;"]"</f>
        <v>炉温[℃]</v>
      </c>
      <c r="C4" s="10" t="str">
        <f aca="false">01_因子設定!B6&amp;"["&amp;01_因子設定!D6&amp;"]"</f>
        <v>乾燥時間[min]</v>
      </c>
      <c r="D4" s="9" t="s">
        <v>180</v>
      </c>
      <c r="E4" s="10" t="s">
        <v>220</v>
      </c>
      <c r="F4" s="10" t="s">
        <v>258</v>
      </c>
      <c r="G4" s="10" t="s">
        <v>259</v>
      </c>
      <c r="H4" s="10" t="s">
        <v>260</v>
      </c>
      <c r="I4" s="10" t="s">
        <v>261</v>
      </c>
      <c r="L4" s="9" t="s">
        <v>262</v>
      </c>
      <c r="M4" s="9" t="s">
        <v>263</v>
      </c>
      <c r="N4" s="10"/>
      <c r="O4" s="10" t="s">
        <v>136</v>
      </c>
      <c r="P4" s="9" t="s">
        <v>64</v>
      </c>
      <c r="Q4" s="9" t="s">
        <v>69</v>
      </c>
      <c r="R4" s="9" t="s">
        <v>140</v>
      </c>
      <c r="S4" s="9" t="s">
        <v>142</v>
      </c>
      <c r="T4" s="9" t="s">
        <v>144</v>
      </c>
      <c r="U4" s="9" t="s">
        <v>225</v>
      </c>
    </row>
    <row r="5" customFormat="false" ht="15" hidden="false" customHeight="false" outlineLevel="0" collapsed="false">
      <c r="A5" s="11" t="n">
        <v>1</v>
      </c>
      <c r="B5" s="45" t="n">
        <f aca="false">07_最適化!$B$8</f>
        <v>69.5</v>
      </c>
      <c r="C5" s="45" t="n">
        <f aca="false">07_最適化!$B$9</f>
        <v>37</v>
      </c>
      <c r="D5" s="20"/>
      <c r="E5" s="15" t="n">
        <f aca="false">IF(B5="","",SUMPRODUCT(O5:T5,_XtX!$B$53:$G$53))</f>
        <v>49.4364482758621</v>
      </c>
      <c r="F5" s="15" t="n">
        <f aca="false">IF(B5="","",E5-04_回帰ANOVA!$K$23*04_回帰ANOVA!$K$14*SQRT(1+U5))</f>
        <v>47.5502131766407</v>
      </c>
      <c r="G5" s="15" t="n">
        <f aca="false">IF(B5="","",E5+04_回帰ANOVA!$K$23*04_回帰ANOVA!$K$14*SQRT(1+U5))</f>
        <v>51.3226833750834</v>
      </c>
      <c r="H5" s="26" t="str">
        <f aca="false">IF(OR(B5="",D5=""),"",IF(AND(D5&gt;=F5,D5&lt;=G5),"○ 予測区間内","× 区間外 → 原因調査・モデル再検討"))</f>
        <v/>
      </c>
      <c r="I5" s="26" t="str">
        <f aca="false">IF(D5="","",IF(OR(AND(01_因子設定!$B$14&lt;&gt;"",D5&lt;01_因子設定!$B$14),AND(01_因子設定!$B$15&lt;&gt;"",D5&gt;01_因子設定!$B$15)),"規格外","規格内"))</f>
        <v/>
      </c>
      <c r="L5" s="16" t="n">
        <f aca="false">IF(B5="","",(B5-01_因子設定!$G$5)/01_因子設定!$H$5)</f>
        <v>0.45</v>
      </c>
      <c r="M5" s="16" t="n">
        <f aca="false">IF(C5="","",(C5-01_因子設定!$G$6)/01_因子設定!$H$6)</f>
        <v>0.7</v>
      </c>
      <c r="O5" s="16" t="n">
        <f aca="false">IF($B5="",0,1)</f>
        <v>1</v>
      </c>
      <c r="P5" s="16" t="n">
        <f aca="false">IF($B5="",0,L5)</f>
        <v>0.45</v>
      </c>
      <c r="Q5" s="16" t="n">
        <f aca="false">IF($B5="",0,M5)</f>
        <v>0.7</v>
      </c>
      <c r="R5" s="16" t="n">
        <f aca="false">IF($B5="",0,L5*M5)</f>
        <v>0.315</v>
      </c>
      <c r="S5" s="16" t="n">
        <f aca="false">IF($B5="",0,L5*L5)</f>
        <v>0.2025</v>
      </c>
      <c r="T5" s="16" t="n">
        <f aca="false">IF($B5="",0,M5*M5)</f>
        <v>0.49</v>
      </c>
      <c r="U5" s="30" t="n">
        <f aca="false">SUMPRODUCT(MMULT(O5:T5,_XtX!$B$44:$G$49),O5:T5)</f>
        <v>0.243768283045977</v>
      </c>
    </row>
    <row r="6" customFormat="false" ht="15" hidden="false" customHeight="false" outlineLevel="0" collapsed="false">
      <c r="A6" s="11" t="n">
        <v>2</v>
      </c>
      <c r="B6" s="45"/>
      <c r="C6" s="45"/>
      <c r="D6" s="20"/>
      <c r="E6" s="15" t="str">
        <f aca="false">IF(B6="","",SUMPRODUCT(O6:T6,_XtX!$B$53:$G$53))</f>
        <v/>
      </c>
      <c r="F6" s="15" t="str">
        <f aca="false">IF(B6="","",E6-04_回帰ANOVA!$K$23*04_回帰ANOVA!$K$14*SQRT(1+U6))</f>
        <v/>
      </c>
      <c r="G6" s="15" t="str">
        <f aca="false">IF(B6="","",E6+04_回帰ANOVA!$K$23*04_回帰ANOVA!$K$14*SQRT(1+U6))</f>
        <v/>
      </c>
      <c r="H6" s="26" t="str">
        <f aca="false">IF(OR(B6="",D6=""),"",IF(AND(D6&gt;=F6,D6&lt;=G6),"○ 予測区間内","× 区間外 → 原因調査・モデル再検討"))</f>
        <v/>
      </c>
      <c r="I6" s="26" t="str">
        <f aca="false">IF(D6="","",IF(OR(AND(01_因子設定!$B$14&lt;&gt;"",D6&lt;01_因子設定!$B$14),AND(01_因子設定!$B$15&lt;&gt;"",D6&gt;01_因子設定!$B$15)),"規格外","規格内"))</f>
        <v/>
      </c>
      <c r="L6" s="16" t="str">
        <f aca="false">IF(B6="","",(B6-01_因子設定!$G$5)/01_因子設定!$H$5)</f>
        <v/>
      </c>
      <c r="M6" s="16" t="str">
        <f aca="false">IF(C6="","",(C6-01_因子設定!$G$6)/01_因子設定!$H$6)</f>
        <v/>
      </c>
      <c r="O6" s="16" t="n">
        <f aca="false">IF($B6="",0,1)</f>
        <v>0</v>
      </c>
      <c r="P6" s="16" t="n">
        <f aca="false">IF($B6="",0,L6)</f>
        <v>0</v>
      </c>
      <c r="Q6" s="16" t="n">
        <f aca="false">IF($B6="",0,M6)</f>
        <v>0</v>
      </c>
      <c r="R6" s="16" t="n">
        <f aca="false">IF($B6="",0,L6*M6)</f>
        <v>0</v>
      </c>
      <c r="S6" s="16" t="n">
        <f aca="false">IF($B6="",0,L6*L6)</f>
        <v>0</v>
      </c>
      <c r="T6" s="16" t="n">
        <f aca="false">IF($B6="",0,M6*M6)</f>
        <v>0</v>
      </c>
      <c r="U6" s="30" t="n">
        <f aca="false">SUMPRODUCT(MMULT(O6:T6,_XtX!$B$44:$G$49),O6:T6)</f>
        <v>0</v>
      </c>
    </row>
    <row r="7" customFormat="false" ht="15" hidden="false" customHeight="false" outlineLevel="0" collapsed="false">
      <c r="A7" s="11" t="n">
        <v>3</v>
      </c>
      <c r="B7" s="45"/>
      <c r="C7" s="45"/>
      <c r="D7" s="20"/>
      <c r="E7" s="15" t="str">
        <f aca="false">IF(B7="","",SUMPRODUCT(O7:T7,_XtX!$B$53:$G$53))</f>
        <v/>
      </c>
      <c r="F7" s="15" t="str">
        <f aca="false">IF(B7="","",E7-04_回帰ANOVA!$K$23*04_回帰ANOVA!$K$14*SQRT(1+U7))</f>
        <v/>
      </c>
      <c r="G7" s="15" t="str">
        <f aca="false">IF(B7="","",E7+04_回帰ANOVA!$K$23*04_回帰ANOVA!$K$14*SQRT(1+U7))</f>
        <v/>
      </c>
      <c r="H7" s="26" t="str">
        <f aca="false">IF(OR(B7="",D7=""),"",IF(AND(D7&gt;=F7,D7&lt;=G7),"○ 予測区間内","× 区間外 → 原因調査・モデル再検討"))</f>
        <v/>
      </c>
      <c r="I7" s="26" t="str">
        <f aca="false">IF(D7="","",IF(OR(AND(01_因子設定!$B$14&lt;&gt;"",D7&lt;01_因子設定!$B$14),AND(01_因子設定!$B$15&lt;&gt;"",D7&gt;01_因子設定!$B$15)),"規格外","規格内"))</f>
        <v/>
      </c>
      <c r="L7" s="16" t="str">
        <f aca="false">IF(B7="","",(B7-01_因子設定!$G$5)/01_因子設定!$H$5)</f>
        <v/>
      </c>
      <c r="M7" s="16" t="str">
        <f aca="false">IF(C7="","",(C7-01_因子設定!$G$6)/01_因子設定!$H$6)</f>
        <v/>
      </c>
      <c r="O7" s="16" t="n">
        <f aca="false">IF($B7="",0,1)</f>
        <v>0</v>
      </c>
      <c r="P7" s="16" t="n">
        <f aca="false">IF($B7="",0,L7)</f>
        <v>0</v>
      </c>
      <c r="Q7" s="16" t="n">
        <f aca="false">IF($B7="",0,M7)</f>
        <v>0</v>
      </c>
      <c r="R7" s="16" t="n">
        <f aca="false">IF($B7="",0,L7*M7)</f>
        <v>0</v>
      </c>
      <c r="S7" s="16" t="n">
        <f aca="false">IF($B7="",0,L7*L7)</f>
        <v>0</v>
      </c>
      <c r="T7" s="16" t="n">
        <f aca="false">IF($B7="",0,M7*M7)</f>
        <v>0</v>
      </c>
      <c r="U7" s="30" t="n">
        <f aca="false">SUMPRODUCT(MMULT(O7:T7,_XtX!$B$44:$G$49),O7:T7)</f>
        <v>0</v>
      </c>
    </row>
    <row r="8" customFormat="false" ht="15" hidden="false" customHeight="false" outlineLevel="0" collapsed="false">
      <c r="A8" s="11" t="n">
        <v>4</v>
      </c>
      <c r="B8" s="45"/>
      <c r="C8" s="45"/>
      <c r="D8" s="20"/>
      <c r="E8" s="15" t="str">
        <f aca="false">IF(B8="","",SUMPRODUCT(O8:T8,_XtX!$B$53:$G$53))</f>
        <v/>
      </c>
      <c r="F8" s="15" t="str">
        <f aca="false">IF(B8="","",E8-04_回帰ANOVA!$K$23*04_回帰ANOVA!$K$14*SQRT(1+U8))</f>
        <v/>
      </c>
      <c r="G8" s="15" t="str">
        <f aca="false">IF(B8="","",E8+04_回帰ANOVA!$K$23*04_回帰ANOVA!$K$14*SQRT(1+U8))</f>
        <v/>
      </c>
      <c r="H8" s="26" t="str">
        <f aca="false">IF(OR(B8="",D8=""),"",IF(AND(D8&gt;=F8,D8&lt;=G8),"○ 予測区間内","× 区間外 → 原因調査・モデル再検討"))</f>
        <v/>
      </c>
      <c r="I8" s="26" t="str">
        <f aca="false">IF(D8="","",IF(OR(AND(01_因子設定!$B$14&lt;&gt;"",D8&lt;01_因子設定!$B$14),AND(01_因子設定!$B$15&lt;&gt;"",D8&gt;01_因子設定!$B$15)),"規格外","規格内"))</f>
        <v/>
      </c>
      <c r="L8" s="16" t="str">
        <f aca="false">IF(B8="","",(B8-01_因子設定!$G$5)/01_因子設定!$H$5)</f>
        <v/>
      </c>
      <c r="M8" s="16" t="str">
        <f aca="false">IF(C8="","",(C8-01_因子設定!$G$6)/01_因子設定!$H$6)</f>
        <v/>
      </c>
      <c r="O8" s="16" t="n">
        <f aca="false">IF($B8="",0,1)</f>
        <v>0</v>
      </c>
      <c r="P8" s="16" t="n">
        <f aca="false">IF($B8="",0,L8)</f>
        <v>0</v>
      </c>
      <c r="Q8" s="16" t="n">
        <f aca="false">IF($B8="",0,M8)</f>
        <v>0</v>
      </c>
      <c r="R8" s="16" t="n">
        <f aca="false">IF($B8="",0,L8*M8)</f>
        <v>0</v>
      </c>
      <c r="S8" s="16" t="n">
        <f aca="false">IF($B8="",0,L8*L8)</f>
        <v>0</v>
      </c>
      <c r="T8" s="16" t="n">
        <f aca="false">IF($B8="",0,M8*M8)</f>
        <v>0</v>
      </c>
      <c r="U8" s="30" t="n">
        <f aca="false">SUMPRODUCT(MMULT(O8:T8,_XtX!$B$44:$G$49),O8:T8)</f>
        <v>0</v>
      </c>
    </row>
    <row r="9" customFormat="false" ht="15" hidden="false" customHeight="false" outlineLevel="0" collapsed="false">
      <c r="A9" s="11" t="n">
        <v>5</v>
      </c>
      <c r="B9" s="45"/>
      <c r="C9" s="45"/>
      <c r="D9" s="20"/>
      <c r="E9" s="15" t="str">
        <f aca="false">IF(B9="","",SUMPRODUCT(O9:T9,_XtX!$B$53:$G$53))</f>
        <v/>
      </c>
      <c r="F9" s="15" t="str">
        <f aca="false">IF(B9="","",E9-04_回帰ANOVA!$K$23*04_回帰ANOVA!$K$14*SQRT(1+U9))</f>
        <v/>
      </c>
      <c r="G9" s="15" t="str">
        <f aca="false">IF(B9="","",E9+04_回帰ANOVA!$K$23*04_回帰ANOVA!$K$14*SQRT(1+U9))</f>
        <v/>
      </c>
      <c r="H9" s="26" t="str">
        <f aca="false">IF(OR(B9="",D9=""),"",IF(AND(D9&gt;=F9,D9&lt;=G9),"○ 予測区間内","× 区間外 → 原因調査・モデル再検討"))</f>
        <v/>
      </c>
      <c r="I9" s="26" t="str">
        <f aca="false">IF(D9="","",IF(OR(AND(01_因子設定!$B$14&lt;&gt;"",D9&lt;01_因子設定!$B$14),AND(01_因子設定!$B$15&lt;&gt;"",D9&gt;01_因子設定!$B$15)),"規格外","規格内"))</f>
        <v/>
      </c>
      <c r="L9" s="16" t="str">
        <f aca="false">IF(B9="","",(B9-01_因子設定!$G$5)/01_因子設定!$H$5)</f>
        <v/>
      </c>
      <c r="M9" s="16" t="str">
        <f aca="false">IF(C9="","",(C9-01_因子設定!$G$6)/01_因子設定!$H$6)</f>
        <v/>
      </c>
      <c r="O9" s="16" t="n">
        <f aca="false">IF($B9="",0,1)</f>
        <v>0</v>
      </c>
      <c r="P9" s="16" t="n">
        <f aca="false">IF($B9="",0,L9)</f>
        <v>0</v>
      </c>
      <c r="Q9" s="16" t="n">
        <f aca="false">IF($B9="",0,M9)</f>
        <v>0</v>
      </c>
      <c r="R9" s="16" t="n">
        <f aca="false">IF($B9="",0,L9*M9)</f>
        <v>0</v>
      </c>
      <c r="S9" s="16" t="n">
        <f aca="false">IF($B9="",0,L9*L9)</f>
        <v>0</v>
      </c>
      <c r="T9" s="16" t="n">
        <f aca="false">IF($B9="",0,M9*M9)</f>
        <v>0</v>
      </c>
      <c r="U9" s="30" t="n">
        <f aca="false">SUMPRODUCT(MMULT(O9:T9,_XtX!$B$44:$G$49),O9:T9)</f>
        <v>0</v>
      </c>
    </row>
    <row r="11" customFormat="false" ht="15" hidden="false" customHeight="false" outlineLevel="0" collapsed="false">
      <c r="A11" s="19" t="s">
        <v>264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6A6A6"/>
    <pageSetUpPr fitToPage="false"/>
  </sheetPr>
  <dimension ref="A1:L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7.35" hidden="false" customHeight="false" outlineLevel="0" collapsed="false">
      <c r="A1" s="1" t="s">
        <v>265</v>
      </c>
    </row>
    <row r="3" customFormat="false" ht="15" hidden="false" customHeight="false" outlineLevel="0" collapsed="false">
      <c r="A3" s="17" t="s">
        <v>266</v>
      </c>
      <c r="B3" s="24" t="n">
        <f aca="false">INDEX(04_回帰ANOVA!$B$6:$B$11,1)</f>
        <v>1</v>
      </c>
      <c r="C3" s="24" t="n">
        <f aca="false">INDEX(04_回帰ANOVA!$B$6:$B$11,2)</f>
        <v>1</v>
      </c>
      <c r="D3" s="24" t="n">
        <f aca="false">INDEX(04_回帰ANOVA!$B$6:$B$11,3)</f>
        <v>1</v>
      </c>
      <c r="E3" s="24" t="n">
        <f aca="false">INDEX(04_回帰ANOVA!$B$6:$B$11,4)</f>
        <v>1</v>
      </c>
      <c r="F3" s="24" t="n">
        <f aca="false">INDEX(04_回帰ANOVA!$B$6:$B$11,5)</f>
        <v>1</v>
      </c>
      <c r="G3" s="24" t="n">
        <f aca="false">INDEX(04_回帰ANOVA!$B$6:$B$11,6)</f>
        <v>1</v>
      </c>
    </row>
    <row r="4" customFormat="false" ht="15" hidden="false" customHeight="false" outlineLevel="0" collapsed="false">
      <c r="A4" s="10" t="s">
        <v>106</v>
      </c>
      <c r="B4" s="10" t="s">
        <v>136</v>
      </c>
      <c r="C4" s="9" t="s">
        <v>64</v>
      </c>
      <c r="D4" s="9" t="s">
        <v>69</v>
      </c>
      <c r="E4" s="9" t="s">
        <v>140</v>
      </c>
      <c r="F4" s="9" t="s">
        <v>142</v>
      </c>
      <c r="G4" s="9" t="s">
        <v>144</v>
      </c>
      <c r="H4" s="9" t="s">
        <v>267</v>
      </c>
      <c r="I4" s="10"/>
      <c r="J4" s="10" t="s">
        <v>183</v>
      </c>
      <c r="K4" s="10" t="s">
        <v>181</v>
      </c>
      <c r="L4" s="10" t="s">
        <v>165</v>
      </c>
    </row>
    <row r="5" customFormat="false" ht="15" hidden="false" customHeight="false" outlineLevel="0" collapsed="false">
      <c r="A5" s="24" t="n">
        <f aca="false">02_実験計画!C5</f>
        <v>1</v>
      </c>
      <c r="B5" s="16" t="n">
        <f aca="false">$A5</f>
        <v>1</v>
      </c>
      <c r="C5" s="16" t="n">
        <f aca="false">02_実験計画!D5</f>
        <v>-1</v>
      </c>
      <c r="D5" s="16" t="n">
        <f aca="false">02_実験計画!E5</f>
        <v>-1</v>
      </c>
      <c r="E5" s="16" t="n">
        <f aca="false">02_実験計画!D5*02_実験計画!E5</f>
        <v>1</v>
      </c>
      <c r="F5" s="16" t="n">
        <f aca="false">02_実験計画!D5*02_実験計画!D5</f>
        <v>1</v>
      </c>
      <c r="G5" s="16" t="n">
        <f aca="false">02_実験計画!E5*02_実験計画!E5</f>
        <v>1</v>
      </c>
      <c r="H5" s="15" t="n">
        <f aca="false">02_実験計画!L5*A5</f>
        <v>40</v>
      </c>
      <c r="J5" s="30" t="n">
        <f aca="false">IF(A5=1,SUMPRODUCT(MMULT(B5:G5,$B$44:$G$49),B5:G5),0)</f>
        <v>0.790229885057471</v>
      </c>
      <c r="K5" s="16" t="n">
        <f aca="false">IF(A5=1,SUMPRODUCT(B5:G5,$B$53:$G$53),0)</f>
        <v>39.9272988505747</v>
      </c>
      <c r="L5" s="16" t="n">
        <f aca="false">IF(A5=1,H5-K5,0)</f>
        <v>0.0727011494253063</v>
      </c>
    </row>
    <row r="6" customFormat="false" ht="15" hidden="false" customHeight="false" outlineLevel="0" collapsed="false">
      <c r="A6" s="24" t="n">
        <f aca="false">02_実験計画!C6</f>
        <v>1</v>
      </c>
      <c r="B6" s="16" t="n">
        <f aca="false">$A6</f>
        <v>1</v>
      </c>
      <c r="C6" s="16" t="n">
        <f aca="false">02_実験計画!D6</f>
        <v>1</v>
      </c>
      <c r="D6" s="16" t="n">
        <f aca="false">02_実験計画!E6</f>
        <v>-1</v>
      </c>
      <c r="E6" s="16" t="n">
        <f aca="false">02_実験計画!D6*02_実験計画!E6</f>
        <v>-1</v>
      </c>
      <c r="F6" s="16" t="n">
        <f aca="false">02_実験計画!D6*02_実験計画!D6</f>
        <v>1</v>
      </c>
      <c r="G6" s="16" t="n">
        <f aca="false">02_実験計画!E6*02_実験計画!E6</f>
        <v>1</v>
      </c>
      <c r="H6" s="15" t="n">
        <f aca="false">02_実験計画!L6*A6</f>
        <v>43.2</v>
      </c>
      <c r="J6" s="30" t="n">
        <f aca="false">IF(A6=1,SUMPRODUCT(MMULT(B6:G6,$B$44:$G$49),B6:G6),0)</f>
        <v>0.790229885057471</v>
      </c>
      <c r="K6" s="16" t="n">
        <f aca="false">IF(A6=1,SUMPRODUCT(B6:G6,$B$53:$G$53),0)</f>
        <v>43.110632183908</v>
      </c>
      <c r="L6" s="16" t="n">
        <f aca="false">IF(A6=1,H6-K6,0)</f>
        <v>0.089367816091972</v>
      </c>
    </row>
    <row r="7" customFormat="false" ht="15" hidden="false" customHeight="false" outlineLevel="0" collapsed="false">
      <c r="A7" s="24" t="n">
        <f aca="false">02_実験計画!C7</f>
        <v>1</v>
      </c>
      <c r="B7" s="16" t="n">
        <f aca="false">$A7</f>
        <v>1</v>
      </c>
      <c r="C7" s="16" t="n">
        <f aca="false">02_実験計画!D7</f>
        <v>-1</v>
      </c>
      <c r="D7" s="16" t="n">
        <f aca="false">02_実験計画!E7</f>
        <v>1</v>
      </c>
      <c r="E7" s="16" t="n">
        <f aca="false">02_実験計画!D7*02_実験計画!E7</f>
        <v>-1</v>
      </c>
      <c r="F7" s="16" t="n">
        <f aca="false">02_実験計画!D7*02_実験計画!D7</f>
        <v>1</v>
      </c>
      <c r="G7" s="16" t="n">
        <f aca="false">02_実験計画!E7*02_実験計画!E7</f>
        <v>1</v>
      </c>
      <c r="H7" s="15" t="n">
        <f aca="false">02_実験計画!L7*A7</f>
        <v>43.5</v>
      </c>
      <c r="J7" s="30" t="n">
        <f aca="false">IF(A7=1,SUMPRODUCT(MMULT(B7:G7,$B$44:$G$49),B7:G7),0)</f>
        <v>0.790229885057471</v>
      </c>
      <c r="K7" s="16" t="n">
        <f aca="false">IF(A7=1,SUMPRODUCT(B7:G7,$B$53:$G$53),0)</f>
        <v>43.3772988505747</v>
      </c>
      <c r="L7" s="16" t="n">
        <f aca="false">IF(A7=1,H7-K7,0)</f>
        <v>0.122701149425303</v>
      </c>
    </row>
    <row r="8" customFormat="false" ht="15" hidden="false" customHeight="false" outlineLevel="0" collapsed="false">
      <c r="A8" s="24" t="n">
        <f aca="false">02_実験計画!C8</f>
        <v>1</v>
      </c>
      <c r="B8" s="16" t="n">
        <f aca="false">$A8</f>
        <v>1</v>
      </c>
      <c r="C8" s="16" t="n">
        <f aca="false">02_実験計画!D8</f>
        <v>1</v>
      </c>
      <c r="D8" s="16" t="n">
        <f aca="false">02_実験計画!E8</f>
        <v>1</v>
      </c>
      <c r="E8" s="16" t="n">
        <f aca="false">02_実験計画!D8*02_実験計画!E8</f>
        <v>1</v>
      </c>
      <c r="F8" s="16" t="n">
        <f aca="false">02_実験計画!D8*02_実験計画!D8</f>
        <v>1</v>
      </c>
      <c r="G8" s="16" t="n">
        <f aca="false">02_実験計画!E8*02_実験計画!E8</f>
        <v>1</v>
      </c>
      <c r="H8" s="15" t="n">
        <f aca="false">02_実験計画!L8*A8</f>
        <v>48.8</v>
      </c>
      <c r="J8" s="30" t="n">
        <f aca="false">IF(A8=1,SUMPRODUCT(MMULT(B8:G8,$B$44:$G$49),B8:G8),0)</f>
        <v>0.790229885057471</v>
      </c>
      <c r="K8" s="16" t="n">
        <f aca="false">IF(A8=1,SUMPRODUCT(B8:G8,$B$53:$G$53),0)</f>
        <v>48.660632183908</v>
      </c>
      <c r="L8" s="16" t="n">
        <f aca="false">IF(A8=1,H8-K8,0)</f>
        <v>0.139367816091969</v>
      </c>
    </row>
    <row r="9" customFormat="false" ht="15" hidden="false" customHeight="false" outlineLevel="0" collapsed="false">
      <c r="A9" s="24" t="n">
        <f aca="false">02_実験計画!C9</f>
        <v>1</v>
      </c>
      <c r="B9" s="16" t="n">
        <f aca="false">$A9</f>
        <v>1</v>
      </c>
      <c r="C9" s="16" t="n">
        <f aca="false">02_実験計画!D9</f>
        <v>-1</v>
      </c>
      <c r="D9" s="16" t="n">
        <f aca="false">02_実験計画!E9</f>
        <v>0</v>
      </c>
      <c r="E9" s="16" t="n">
        <f aca="false">02_実験計画!D9*02_実験計画!E9</f>
        <v>-0</v>
      </c>
      <c r="F9" s="16" t="n">
        <f aca="false">02_実験計画!D9*02_実験計画!D9</f>
        <v>1</v>
      </c>
      <c r="G9" s="16" t="n">
        <f aca="false">02_実験計画!E9*02_実験計画!E9</f>
        <v>0</v>
      </c>
      <c r="H9" s="15" t="n">
        <f aca="false">02_実験計画!L9*A9</f>
        <v>43</v>
      </c>
      <c r="J9" s="30" t="n">
        <f aca="false">IF(A9=1,SUMPRODUCT(MMULT(B9:G9,$B$44:$G$49),B9:G9),0)</f>
        <v>0.494252873563218</v>
      </c>
      <c r="K9" s="16" t="n">
        <f aca="false">IF(A9=1,SUMPRODUCT(B9:G9,$B$53:$G$53),0)</f>
        <v>43.1954022988506</v>
      </c>
      <c r="L9" s="16" t="n">
        <f aca="false">IF(A9=1,H9-K9,0)</f>
        <v>-0.195402298850553</v>
      </c>
    </row>
    <row r="10" customFormat="false" ht="15" hidden="false" customHeight="false" outlineLevel="0" collapsed="false">
      <c r="A10" s="24" t="n">
        <f aca="false">02_実験計画!C10</f>
        <v>1</v>
      </c>
      <c r="B10" s="16" t="n">
        <f aca="false">$A10</f>
        <v>1</v>
      </c>
      <c r="C10" s="16" t="n">
        <f aca="false">02_実験計画!D10</f>
        <v>1</v>
      </c>
      <c r="D10" s="16" t="n">
        <f aca="false">02_実験計画!E10</f>
        <v>0</v>
      </c>
      <c r="E10" s="16" t="n">
        <f aca="false">02_実験計画!D10*02_実験計画!E10</f>
        <v>0</v>
      </c>
      <c r="F10" s="16" t="n">
        <f aca="false">02_実験計画!D10*02_実験計画!D10</f>
        <v>1</v>
      </c>
      <c r="G10" s="16" t="n">
        <f aca="false">02_実験計画!E10*02_実験計画!E10</f>
        <v>0</v>
      </c>
      <c r="H10" s="15" t="n">
        <f aca="false">02_実験計画!L10*A10</f>
        <v>47.2</v>
      </c>
      <c r="J10" s="30" t="n">
        <f aca="false">IF(A10=1,SUMPRODUCT(MMULT(B10:G10,$B$44:$G$49),B10:G10),0)</f>
        <v>0.494252873563218</v>
      </c>
      <c r="K10" s="16" t="n">
        <f aca="false">IF(A10=1,SUMPRODUCT(B10:G10,$B$53:$G$53),0)</f>
        <v>47.4287356321839</v>
      </c>
      <c r="L10" s="16" t="n">
        <f aca="false">IF(A10=1,H10-K10,0)</f>
        <v>-0.228735632183884</v>
      </c>
    </row>
    <row r="11" customFormat="false" ht="15" hidden="false" customHeight="false" outlineLevel="0" collapsed="false">
      <c r="A11" s="24" t="n">
        <f aca="false">02_実験計画!C11</f>
        <v>1</v>
      </c>
      <c r="B11" s="16" t="n">
        <f aca="false">$A11</f>
        <v>1</v>
      </c>
      <c r="C11" s="16" t="n">
        <f aca="false">02_実験計画!D11</f>
        <v>0</v>
      </c>
      <c r="D11" s="16" t="n">
        <f aca="false">02_実験計画!E11</f>
        <v>-1</v>
      </c>
      <c r="E11" s="16" t="n">
        <f aca="false">02_実験計画!D11*02_実験計画!E11</f>
        <v>-0</v>
      </c>
      <c r="F11" s="16" t="n">
        <f aca="false">02_実験計画!D11*02_実験計画!D11</f>
        <v>0</v>
      </c>
      <c r="G11" s="16" t="n">
        <f aca="false">02_実験計画!E11*02_実験計画!E11</f>
        <v>1</v>
      </c>
      <c r="H11" s="15" t="n">
        <f aca="false">02_実験計画!L11*A11</f>
        <v>44.1</v>
      </c>
      <c r="J11" s="30" t="n">
        <f aca="false">IF(A11=1,SUMPRODUCT(MMULT(B11:G11,$B$44:$G$49),B11:G11),0)</f>
        <v>0.494252873563218</v>
      </c>
      <c r="K11" s="16" t="n">
        <f aca="false">IF(A11=1,SUMPRODUCT(B11:G11,$B$53:$G$53),0)</f>
        <v>44.2620689655172</v>
      </c>
      <c r="L11" s="16" t="n">
        <f aca="false">IF(A11=1,H11-K11,0)</f>
        <v>-0.162068965517243</v>
      </c>
    </row>
    <row r="12" customFormat="false" ht="15" hidden="false" customHeight="false" outlineLevel="0" collapsed="false">
      <c r="A12" s="24" t="n">
        <f aca="false">02_実験計画!C12</f>
        <v>1</v>
      </c>
      <c r="B12" s="16" t="n">
        <f aca="false">$A12</f>
        <v>1</v>
      </c>
      <c r="C12" s="16" t="n">
        <f aca="false">02_実験計画!D12</f>
        <v>0</v>
      </c>
      <c r="D12" s="16" t="n">
        <f aca="false">02_実験計画!E12</f>
        <v>1</v>
      </c>
      <c r="E12" s="16" t="n">
        <f aca="false">02_実験計画!D12*02_実験計画!E12</f>
        <v>0</v>
      </c>
      <c r="F12" s="16" t="n">
        <f aca="false">02_実験計画!D12*02_実験計画!D12</f>
        <v>0</v>
      </c>
      <c r="G12" s="16" t="n">
        <f aca="false">02_実験計画!E12*02_実験計画!E12</f>
        <v>1</v>
      </c>
      <c r="H12" s="15" t="n">
        <f aca="false">02_実験計画!L12*A12</f>
        <v>48.5</v>
      </c>
      <c r="J12" s="30" t="n">
        <f aca="false">IF(A12=1,SUMPRODUCT(MMULT(B12:G12,$B$44:$G$49),B12:G12),0)</f>
        <v>0.494252873563218</v>
      </c>
      <c r="K12" s="16" t="n">
        <f aca="false">IF(A12=1,SUMPRODUCT(B12:G12,$B$53:$G$53),0)</f>
        <v>48.7620689655172</v>
      </c>
      <c r="L12" s="16" t="n">
        <f aca="false">IF(A12=1,H12-K12,0)</f>
        <v>-0.262068965517244</v>
      </c>
    </row>
    <row r="13" customFormat="false" ht="15" hidden="false" customHeight="false" outlineLevel="0" collapsed="false">
      <c r="A13" s="24" t="n">
        <f aca="false">02_実験計画!C13</f>
        <v>1</v>
      </c>
      <c r="B13" s="16" t="n">
        <f aca="false">$A13</f>
        <v>1</v>
      </c>
      <c r="C13" s="16" t="n">
        <f aca="false">02_実験計画!D13</f>
        <v>0</v>
      </c>
      <c r="D13" s="16" t="n">
        <f aca="false">02_実験計画!E13</f>
        <v>0</v>
      </c>
      <c r="E13" s="16" t="n">
        <f aca="false">02_実験計画!D13*02_実験計画!E13</f>
        <v>0</v>
      </c>
      <c r="F13" s="16" t="n">
        <f aca="false">02_実験計画!D13*02_実験計画!D13</f>
        <v>0</v>
      </c>
      <c r="G13" s="16" t="n">
        <f aca="false">02_実験計画!E13*02_実験計画!E13</f>
        <v>0</v>
      </c>
      <c r="H13" s="15" t="n">
        <f aca="false">02_実験計画!L13*A13</f>
        <v>48.5</v>
      </c>
      <c r="J13" s="30" t="n">
        <f aca="false">IF(A13=1,SUMPRODUCT(MMULT(B13:G13,$B$44:$G$49),B13:G13),0)</f>
        <v>0.172413793103448</v>
      </c>
      <c r="K13" s="16" t="n">
        <f aca="false">IF(A13=1,SUMPRODUCT(B13:G13,$B$53:$G$53),0)</f>
        <v>48.0551724137931</v>
      </c>
      <c r="L13" s="16" t="n">
        <f aca="false">IF(A13=1,H13-K13,0)</f>
        <v>0.444827586206898</v>
      </c>
    </row>
    <row r="14" customFormat="false" ht="15" hidden="false" customHeight="false" outlineLevel="0" collapsed="false">
      <c r="A14" s="24" t="n">
        <f aca="false">02_実験計画!C14</f>
        <v>1</v>
      </c>
      <c r="B14" s="16" t="n">
        <f aca="false">$A14</f>
        <v>1</v>
      </c>
      <c r="C14" s="16" t="n">
        <f aca="false">02_実験計画!D14</f>
        <v>0</v>
      </c>
      <c r="D14" s="16" t="n">
        <f aca="false">02_実験計画!E14</f>
        <v>0</v>
      </c>
      <c r="E14" s="16" t="n">
        <f aca="false">02_実験計画!D14*02_実験計画!E14</f>
        <v>0</v>
      </c>
      <c r="F14" s="16" t="n">
        <f aca="false">02_実験計画!D14*02_実験計画!D14</f>
        <v>0</v>
      </c>
      <c r="G14" s="16" t="n">
        <f aca="false">02_実験計画!E14*02_実験計画!E14</f>
        <v>0</v>
      </c>
      <c r="H14" s="15" t="n">
        <f aca="false">02_実験計画!L14*A14</f>
        <v>46.7</v>
      </c>
      <c r="J14" s="30" t="n">
        <f aca="false">IF(A14=1,SUMPRODUCT(MMULT(B14:G14,$B$44:$G$49),B14:G14),0)</f>
        <v>0.172413793103448</v>
      </c>
      <c r="K14" s="16" t="n">
        <f aca="false">IF(A14=1,SUMPRODUCT(B14:G14,$B$53:$G$53),0)</f>
        <v>48.0551724137931</v>
      </c>
      <c r="L14" s="16" t="n">
        <f aca="false">IF(A14=1,H14-K14,0)</f>
        <v>-1.3551724137931</v>
      </c>
    </row>
    <row r="15" customFormat="false" ht="15" hidden="false" customHeight="false" outlineLevel="0" collapsed="false">
      <c r="A15" s="24" t="n">
        <f aca="false">02_実験計画!C15</f>
        <v>1</v>
      </c>
      <c r="B15" s="16" t="n">
        <f aca="false">$A15</f>
        <v>1</v>
      </c>
      <c r="C15" s="16" t="n">
        <f aca="false">02_実験計画!D15</f>
        <v>0</v>
      </c>
      <c r="D15" s="16" t="n">
        <f aca="false">02_実験計画!E15</f>
        <v>0</v>
      </c>
      <c r="E15" s="16" t="n">
        <f aca="false">02_実験計画!D15*02_実験計画!E15</f>
        <v>0</v>
      </c>
      <c r="F15" s="16" t="n">
        <f aca="false">02_実験計画!D15*02_実験計画!D15</f>
        <v>0</v>
      </c>
      <c r="G15" s="16" t="n">
        <f aca="false">02_実験計画!E15*02_実験計画!E15</f>
        <v>0</v>
      </c>
      <c r="H15" s="15" t="n">
        <f aca="false">02_実験計画!L15*A15</f>
        <v>49.1</v>
      </c>
      <c r="J15" s="30" t="n">
        <f aca="false">IF(A15=1,SUMPRODUCT(MMULT(B15:G15,$B$44:$G$49),B15:G15),0)</f>
        <v>0.172413793103448</v>
      </c>
      <c r="K15" s="16" t="n">
        <f aca="false">IF(A15=1,SUMPRODUCT(B15:G15,$B$53:$G$53),0)</f>
        <v>48.0551724137931</v>
      </c>
      <c r="L15" s="16" t="n">
        <f aca="false">IF(A15=1,H15-K15,0)</f>
        <v>1.0448275862069</v>
      </c>
    </row>
    <row r="16" customFormat="false" ht="15" hidden="false" customHeight="false" outlineLevel="0" collapsed="false">
      <c r="A16" s="24" t="n">
        <f aca="false">02_実験計画!C16</f>
        <v>1</v>
      </c>
      <c r="B16" s="16" t="n">
        <f aca="false">$A16</f>
        <v>1</v>
      </c>
      <c r="C16" s="16" t="n">
        <f aca="false">02_実験計画!D16</f>
        <v>0</v>
      </c>
      <c r="D16" s="16" t="n">
        <f aca="false">02_実験計画!E16</f>
        <v>0</v>
      </c>
      <c r="E16" s="16" t="n">
        <f aca="false">02_実験計画!D16*02_実験計画!E16</f>
        <v>0</v>
      </c>
      <c r="F16" s="16" t="n">
        <f aca="false">02_実験計画!D16*02_実験計画!D16</f>
        <v>0</v>
      </c>
      <c r="G16" s="16" t="n">
        <f aca="false">02_実験計画!E16*02_実験計画!E16</f>
        <v>0</v>
      </c>
      <c r="H16" s="15" t="n">
        <f aca="false">02_実験計画!L16*A16</f>
        <v>47.9</v>
      </c>
      <c r="J16" s="30" t="n">
        <f aca="false">IF(A16=1,SUMPRODUCT(MMULT(B16:G16,$B$44:$G$49),B16:G16),0)</f>
        <v>0.172413793103448</v>
      </c>
      <c r="K16" s="16" t="n">
        <f aca="false">IF(A16=1,SUMPRODUCT(B16:G16,$B$53:$G$53),0)</f>
        <v>48.0551724137931</v>
      </c>
      <c r="L16" s="16" t="n">
        <f aca="false">IF(A16=1,H16-K16,0)</f>
        <v>-0.155172413793103</v>
      </c>
    </row>
    <row r="17" customFormat="false" ht="15" hidden="false" customHeight="false" outlineLevel="0" collapsed="false">
      <c r="A17" s="24" t="n">
        <f aca="false">02_実験計画!C17</f>
        <v>1</v>
      </c>
      <c r="B17" s="16" t="n">
        <f aca="false">$A17</f>
        <v>1</v>
      </c>
      <c r="C17" s="16" t="n">
        <f aca="false">02_実験計画!D17</f>
        <v>0</v>
      </c>
      <c r="D17" s="16" t="n">
        <f aca="false">02_実験計画!E17</f>
        <v>0</v>
      </c>
      <c r="E17" s="16" t="n">
        <f aca="false">02_実験計画!D17*02_実験計画!E17</f>
        <v>0</v>
      </c>
      <c r="F17" s="16" t="n">
        <f aca="false">02_実験計画!D17*02_実験計画!D17</f>
        <v>0</v>
      </c>
      <c r="G17" s="16" t="n">
        <f aca="false">02_実験計画!E17*02_実験計画!E17</f>
        <v>0</v>
      </c>
      <c r="H17" s="15" t="n">
        <f aca="false">02_実験計画!L17*A17</f>
        <v>48.5</v>
      </c>
      <c r="J17" s="30" t="n">
        <f aca="false">IF(A17=1,SUMPRODUCT(MMULT(B17:G17,$B$44:$G$49),B17:G17),0)</f>
        <v>0.172413793103448</v>
      </c>
      <c r="K17" s="16" t="n">
        <f aca="false">IF(A17=1,SUMPRODUCT(B17:G17,$B$53:$G$53),0)</f>
        <v>48.0551724137931</v>
      </c>
      <c r="L17" s="16" t="n">
        <f aca="false">IF(A17=1,H17-K17,0)</f>
        <v>0.444827586206898</v>
      </c>
    </row>
    <row r="18" customFormat="false" ht="15" hidden="false" customHeight="false" outlineLevel="0" collapsed="false">
      <c r="A18" s="24" t="n">
        <f aca="false">02_実験計画!C18</f>
        <v>0</v>
      </c>
      <c r="B18" s="16" t="n">
        <f aca="false">$A18</f>
        <v>0</v>
      </c>
      <c r="C18" s="16" t="n">
        <f aca="false">02_実験計画!D18</f>
        <v>0</v>
      </c>
      <c r="D18" s="16" t="n">
        <f aca="false">02_実験計画!E18</f>
        <v>0</v>
      </c>
      <c r="E18" s="16" t="n">
        <f aca="false">02_実験計画!D18*02_実験計画!E18</f>
        <v>0</v>
      </c>
      <c r="F18" s="16" t="n">
        <f aca="false">02_実験計画!D18*02_実験計画!D18</f>
        <v>0</v>
      </c>
      <c r="G18" s="16" t="n">
        <f aca="false">02_実験計画!E18*02_実験計画!E18</f>
        <v>0</v>
      </c>
      <c r="H18" s="15" t="n">
        <f aca="false">02_実験計画!L18*A18</f>
        <v>0</v>
      </c>
      <c r="J18" s="30" t="n">
        <f aca="false">IF(A18=1,SUMPRODUCT(MMULT(B18:G18,$B$44:$G$49),B18:G18),0)</f>
        <v>0</v>
      </c>
      <c r="K18" s="16" t="n">
        <f aca="false">IF(A18=1,SUMPRODUCT(B18:G18,$B$53:$G$53),0)</f>
        <v>0</v>
      </c>
      <c r="L18" s="16" t="n">
        <f aca="false">IF(A18=1,H18-K18,0)</f>
        <v>0</v>
      </c>
    </row>
    <row r="19" customFormat="false" ht="15" hidden="false" customHeight="false" outlineLevel="0" collapsed="false">
      <c r="A19" s="24" t="n">
        <f aca="false">02_実験計画!C19</f>
        <v>0</v>
      </c>
      <c r="B19" s="16" t="n">
        <f aca="false">$A19</f>
        <v>0</v>
      </c>
      <c r="C19" s="16" t="n">
        <f aca="false">02_実験計画!D19</f>
        <v>0</v>
      </c>
      <c r="D19" s="16" t="n">
        <f aca="false">02_実験計画!E19</f>
        <v>0</v>
      </c>
      <c r="E19" s="16" t="n">
        <f aca="false">02_実験計画!D19*02_実験計画!E19</f>
        <v>0</v>
      </c>
      <c r="F19" s="16" t="n">
        <f aca="false">02_実験計画!D19*02_実験計画!D19</f>
        <v>0</v>
      </c>
      <c r="G19" s="16" t="n">
        <f aca="false">02_実験計画!E19*02_実験計画!E19</f>
        <v>0</v>
      </c>
      <c r="H19" s="15" t="n">
        <f aca="false">02_実験計画!L19*A19</f>
        <v>0</v>
      </c>
      <c r="J19" s="30" t="n">
        <f aca="false">IF(A19=1,SUMPRODUCT(MMULT(B19:G19,$B$44:$G$49),B19:G19),0)</f>
        <v>0</v>
      </c>
      <c r="K19" s="16" t="n">
        <f aca="false">IF(A19=1,SUMPRODUCT(B19:G19,$B$53:$G$53),0)</f>
        <v>0</v>
      </c>
      <c r="L19" s="16" t="n">
        <f aca="false">IF(A19=1,H19-K19,0)</f>
        <v>0</v>
      </c>
    </row>
    <row r="20" customFormat="false" ht="15" hidden="false" customHeight="false" outlineLevel="0" collapsed="false">
      <c r="A20" s="24" t="n">
        <f aca="false">02_実験計画!C20</f>
        <v>0</v>
      </c>
      <c r="B20" s="16" t="n">
        <f aca="false">$A20</f>
        <v>0</v>
      </c>
      <c r="C20" s="16" t="n">
        <f aca="false">02_実験計画!D20</f>
        <v>0</v>
      </c>
      <c r="D20" s="16" t="n">
        <f aca="false">02_実験計画!E20</f>
        <v>0</v>
      </c>
      <c r="E20" s="16" t="n">
        <f aca="false">02_実験計画!D20*02_実験計画!E20</f>
        <v>0</v>
      </c>
      <c r="F20" s="16" t="n">
        <f aca="false">02_実験計画!D20*02_実験計画!D20</f>
        <v>0</v>
      </c>
      <c r="G20" s="16" t="n">
        <f aca="false">02_実験計画!E20*02_実験計画!E20</f>
        <v>0</v>
      </c>
      <c r="H20" s="15" t="n">
        <f aca="false">02_実験計画!L20*A20</f>
        <v>0</v>
      </c>
      <c r="J20" s="30" t="n">
        <f aca="false">IF(A20=1,SUMPRODUCT(MMULT(B20:G20,$B$44:$G$49),B20:G20),0)</f>
        <v>0</v>
      </c>
      <c r="K20" s="16" t="n">
        <f aca="false">IF(A20=1,SUMPRODUCT(B20:G20,$B$53:$G$53),0)</f>
        <v>0</v>
      </c>
      <c r="L20" s="16" t="n">
        <f aca="false">IF(A20=1,H20-K20,0)</f>
        <v>0</v>
      </c>
    </row>
    <row r="21" customFormat="false" ht="15" hidden="false" customHeight="false" outlineLevel="0" collapsed="false">
      <c r="A21" s="24" t="n">
        <f aca="false">02_実験計画!C21</f>
        <v>0</v>
      </c>
      <c r="B21" s="16" t="n">
        <f aca="false">$A21</f>
        <v>0</v>
      </c>
      <c r="C21" s="16" t="n">
        <f aca="false">02_実験計画!D21</f>
        <v>0</v>
      </c>
      <c r="D21" s="16" t="n">
        <f aca="false">02_実験計画!E21</f>
        <v>0</v>
      </c>
      <c r="E21" s="16" t="n">
        <f aca="false">02_実験計画!D21*02_実験計画!E21</f>
        <v>0</v>
      </c>
      <c r="F21" s="16" t="n">
        <f aca="false">02_実験計画!D21*02_実験計画!D21</f>
        <v>0</v>
      </c>
      <c r="G21" s="16" t="n">
        <f aca="false">02_実験計画!E21*02_実験計画!E21</f>
        <v>0</v>
      </c>
      <c r="H21" s="15" t="n">
        <f aca="false">02_実験計画!L21*A21</f>
        <v>0</v>
      </c>
      <c r="J21" s="30" t="n">
        <f aca="false">IF(A21=1,SUMPRODUCT(MMULT(B21:G21,$B$44:$G$49),B21:G21),0)</f>
        <v>0</v>
      </c>
      <c r="K21" s="16" t="n">
        <f aca="false">IF(A21=1,SUMPRODUCT(B21:G21,$B$53:$G$53),0)</f>
        <v>0</v>
      </c>
      <c r="L21" s="16" t="n">
        <f aca="false">IF(A21=1,H21-K21,0)</f>
        <v>0</v>
      </c>
    </row>
    <row r="22" customFormat="false" ht="15" hidden="false" customHeight="false" outlineLevel="0" collapsed="false">
      <c r="A22" s="24" t="n">
        <f aca="false">02_実験計画!C22</f>
        <v>0</v>
      </c>
      <c r="B22" s="16" t="n">
        <f aca="false">$A22</f>
        <v>0</v>
      </c>
      <c r="C22" s="16" t="n">
        <f aca="false">02_実験計画!D22</f>
        <v>0</v>
      </c>
      <c r="D22" s="16" t="n">
        <f aca="false">02_実験計画!E22</f>
        <v>0</v>
      </c>
      <c r="E22" s="16" t="n">
        <f aca="false">02_実験計画!D22*02_実験計画!E22</f>
        <v>0</v>
      </c>
      <c r="F22" s="16" t="n">
        <f aca="false">02_実験計画!D22*02_実験計画!D22</f>
        <v>0</v>
      </c>
      <c r="G22" s="16" t="n">
        <f aca="false">02_実験計画!E22*02_実験計画!E22</f>
        <v>0</v>
      </c>
      <c r="H22" s="15" t="n">
        <f aca="false">02_実験計画!L22*A22</f>
        <v>0</v>
      </c>
      <c r="J22" s="30" t="n">
        <f aca="false">IF(A22=1,SUMPRODUCT(MMULT(B22:G22,$B$44:$G$49),B22:G22),0)</f>
        <v>0</v>
      </c>
      <c r="K22" s="16" t="n">
        <f aca="false">IF(A22=1,SUMPRODUCT(B22:G22,$B$53:$G$53),0)</f>
        <v>0</v>
      </c>
      <c r="L22" s="16" t="n">
        <f aca="false">IF(A22=1,H22-K22,0)</f>
        <v>0</v>
      </c>
    </row>
    <row r="25" customFormat="false" ht="15" hidden="false" customHeight="false" outlineLevel="0" collapsed="false">
      <c r="A25" s="38" t="s">
        <v>268</v>
      </c>
      <c r="I25" s="38" t="s">
        <v>269</v>
      </c>
    </row>
    <row r="26" customFormat="false" ht="15" hidden="false" customHeight="false" outlineLevel="0" collapsed="false">
      <c r="B26" s="15" t="n">
        <f aca="false">IF(AND(B$3=1,B$3=1),SUMPRODUCT(B$5:B$22,B$5:B$22),1)</f>
        <v>13</v>
      </c>
      <c r="C26" s="15" t="n">
        <f aca="false">IF(AND(B$3=1,C$3=1),SUMPRODUCT(B$5:B$22,C$5:C$22),0)</f>
        <v>0</v>
      </c>
      <c r="D26" s="15" t="n">
        <f aca="false">IF(AND(B$3=1,D$3=1),SUMPRODUCT(B$5:B$22,D$5:D$22),0)</f>
        <v>0</v>
      </c>
      <c r="E26" s="15" t="n">
        <f aca="false">IF(AND(B$3=1,E$3=1),SUMPRODUCT(B$5:B$22,E$5:E$22),0)</f>
        <v>0</v>
      </c>
      <c r="F26" s="15" t="n">
        <f aca="false">IF(AND(B$3=1,F$3=1),SUMPRODUCT(B$5:B$22,F$5:F$22),0)</f>
        <v>6</v>
      </c>
      <c r="G26" s="15" t="n">
        <f aca="false">IF(AND(B$3=1,G$3=1),SUMPRODUCT(B$5:B$22,G$5:G$22),0)</f>
        <v>6</v>
      </c>
      <c r="I26" s="16" t="n">
        <f aca="false">IF(B$3=1,SUMPRODUCT(B$5:B$22,$H$5:$H$22),0)</f>
        <v>599</v>
      </c>
    </row>
    <row r="27" customFormat="false" ht="15" hidden="false" customHeight="false" outlineLevel="0" collapsed="false">
      <c r="B27" s="15" t="n">
        <f aca="false">IF(AND(C$3=1,B$3=1),SUMPRODUCT(C$5:C$22,B$5:B$22),0)</f>
        <v>0</v>
      </c>
      <c r="C27" s="15" t="n">
        <f aca="false">IF(AND(C$3=1,C$3=1),SUMPRODUCT(C$5:C$22,C$5:C$22),1)</f>
        <v>6</v>
      </c>
      <c r="D27" s="15" t="n">
        <f aca="false">IF(AND(C$3=1,D$3=1),SUMPRODUCT(C$5:C$22,D$5:D$22),0)</f>
        <v>0</v>
      </c>
      <c r="E27" s="15" t="n">
        <f aca="false">IF(AND(C$3=1,E$3=1),SUMPRODUCT(C$5:C$22,E$5:E$22),0)</f>
        <v>0</v>
      </c>
      <c r="F27" s="15" t="n">
        <f aca="false">IF(AND(C$3=1,F$3=1),SUMPRODUCT(C$5:C$22,F$5:F$22),0)</f>
        <v>0</v>
      </c>
      <c r="G27" s="15" t="n">
        <f aca="false">IF(AND(C$3=1,G$3=1),SUMPRODUCT(C$5:C$22,G$5:G$22),0)</f>
        <v>0</v>
      </c>
      <c r="I27" s="16" t="n">
        <f aca="false">IF(C$3=1,SUMPRODUCT(C$5:C$22,$H$5:$H$22),0)</f>
        <v>12.7</v>
      </c>
    </row>
    <row r="28" customFormat="false" ht="15" hidden="false" customHeight="false" outlineLevel="0" collapsed="false">
      <c r="B28" s="15" t="n">
        <f aca="false">IF(AND(D$3=1,B$3=1),SUMPRODUCT(D$5:D$22,B$5:B$22),0)</f>
        <v>0</v>
      </c>
      <c r="C28" s="15" t="n">
        <f aca="false">IF(AND(D$3=1,C$3=1),SUMPRODUCT(D$5:D$22,C$5:C$22),0)</f>
        <v>0</v>
      </c>
      <c r="D28" s="15" t="n">
        <f aca="false">IF(AND(D$3=1,D$3=1),SUMPRODUCT(D$5:D$22,D$5:D$22),1)</f>
        <v>6</v>
      </c>
      <c r="E28" s="15" t="n">
        <f aca="false">IF(AND(D$3=1,E$3=1),SUMPRODUCT(D$5:D$22,E$5:E$22),0)</f>
        <v>0</v>
      </c>
      <c r="F28" s="15" t="n">
        <f aca="false">IF(AND(D$3=1,F$3=1),SUMPRODUCT(D$5:D$22,F$5:F$22),0)</f>
        <v>0</v>
      </c>
      <c r="G28" s="15" t="n">
        <f aca="false">IF(AND(D$3=1,G$3=1),SUMPRODUCT(D$5:D$22,G$5:G$22),0)</f>
        <v>0</v>
      </c>
      <c r="I28" s="16" t="n">
        <f aca="false">IF(D$3=1,SUMPRODUCT(D$5:D$22,$H$5:$H$22),0)</f>
        <v>13.5</v>
      </c>
    </row>
    <row r="29" customFormat="false" ht="15" hidden="false" customHeight="false" outlineLevel="0" collapsed="false">
      <c r="B29" s="15" t="n">
        <f aca="false">IF(AND(E$3=1,B$3=1),SUMPRODUCT(E$5:E$22,B$5:B$22),0)</f>
        <v>0</v>
      </c>
      <c r="C29" s="15" t="n">
        <f aca="false">IF(AND(E$3=1,C$3=1),SUMPRODUCT(E$5:E$22,C$5:C$22),0)</f>
        <v>0</v>
      </c>
      <c r="D29" s="15" t="n">
        <f aca="false">IF(AND(E$3=1,D$3=1),SUMPRODUCT(E$5:E$22,D$5:D$22),0)</f>
        <v>0</v>
      </c>
      <c r="E29" s="15" t="n">
        <f aca="false">IF(AND(E$3=1,E$3=1),SUMPRODUCT(E$5:E$22,E$5:E$22),1)</f>
        <v>4</v>
      </c>
      <c r="F29" s="15" t="n">
        <f aca="false">IF(AND(E$3=1,F$3=1),SUMPRODUCT(E$5:E$22,F$5:F$22),0)</f>
        <v>0</v>
      </c>
      <c r="G29" s="15" t="n">
        <f aca="false">IF(AND(E$3=1,G$3=1),SUMPRODUCT(E$5:E$22,G$5:G$22),0)</f>
        <v>0</v>
      </c>
      <c r="I29" s="16" t="n">
        <f aca="false">IF(E$3=1,SUMPRODUCT(E$5:E$22,$H$5:$H$22),0)</f>
        <v>2.09999999999999</v>
      </c>
    </row>
    <row r="30" customFormat="false" ht="15" hidden="false" customHeight="false" outlineLevel="0" collapsed="false">
      <c r="B30" s="15" t="n">
        <f aca="false">IF(AND(F$3=1,B$3=1),SUMPRODUCT(F$5:F$22,B$5:B$22),0)</f>
        <v>6</v>
      </c>
      <c r="C30" s="15" t="n">
        <f aca="false">IF(AND(F$3=1,C$3=1),SUMPRODUCT(F$5:F$22,C$5:C$22),0)</f>
        <v>0</v>
      </c>
      <c r="D30" s="15" t="n">
        <f aca="false">IF(AND(F$3=1,D$3=1),SUMPRODUCT(F$5:F$22,D$5:D$22),0)</f>
        <v>0</v>
      </c>
      <c r="E30" s="15" t="n">
        <f aca="false">IF(AND(F$3=1,E$3=1),SUMPRODUCT(F$5:F$22,E$5:E$22),0)</f>
        <v>0</v>
      </c>
      <c r="F30" s="15" t="n">
        <f aca="false">IF(AND(F$3=1,F$3=1),SUMPRODUCT(F$5:F$22,F$5:F$22),1)</f>
        <v>6</v>
      </c>
      <c r="G30" s="15" t="n">
        <f aca="false">IF(AND(F$3=1,G$3=1),SUMPRODUCT(F$5:F$22,G$5:G$22),0)</f>
        <v>4</v>
      </c>
      <c r="I30" s="16" t="n">
        <f aca="false">IF(F$3=1,SUMPRODUCT(F$5:F$22,$H$5:$H$22),0)</f>
        <v>265.7</v>
      </c>
    </row>
    <row r="31" customFormat="false" ht="15" hidden="false" customHeight="false" outlineLevel="0" collapsed="false">
      <c r="B31" s="15" t="n">
        <f aca="false">IF(AND(G$3=1,B$3=1),SUMPRODUCT(G$5:G$22,B$5:B$22),0)</f>
        <v>6</v>
      </c>
      <c r="C31" s="15" t="n">
        <f aca="false">IF(AND(G$3=1,C$3=1),SUMPRODUCT(G$5:G$22,C$5:C$22),0)</f>
        <v>0</v>
      </c>
      <c r="D31" s="15" t="n">
        <f aca="false">IF(AND(G$3=1,D$3=1),SUMPRODUCT(G$5:G$22,D$5:D$22),0)</f>
        <v>0</v>
      </c>
      <c r="E31" s="15" t="n">
        <f aca="false">IF(AND(G$3=1,E$3=1),SUMPRODUCT(G$5:G$22,E$5:E$22),0)</f>
        <v>0</v>
      </c>
      <c r="F31" s="15" t="n">
        <f aca="false">IF(AND(G$3=1,F$3=1),SUMPRODUCT(G$5:G$22,F$5:F$22),0)</f>
        <v>4</v>
      </c>
      <c r="G31" s="15" t="n">
        <f aca="false">IF(AND(G$3=1,G$3=1),SUMPRODUCT(G$5:G$22,G$5:G$22),1)</f>
        <v>6</v>
      </c>
      <c r="I31" s="16" t="n">
        <f aca="false">IF(G$3=1,SUMPRODUCT(G$5:G$22,$H$5:$H$22),0)</f>
        <v>268.1</v>
      </c>
    </row>
    <row r="34" customFormat="false" ht="15" hidden="false" customHeight="false" outlineLevel="0" collapsed="false">
      <c r="A34" s="38" t="s">
        <v>270</v>
      </c>
      <c r="I34" s="17" t="s">
        <v>271</v>
      </c>
    </row>
    <row r="35" customFormat="false" ht="15" hidden="false" customHeight="false" outlineLevel="0" collapsed="false">
      <c r="B35" s="53" t="n">
        <f aca="false">INDEX(MINVERSE($B$26:$G$31),1,1)</f>
        <v>0.172413793103448</v>
      </c>
      <c r="C35" s="53" t="n">
        <f aca="false">INDEX(MINVERSE($B$26:$G$31),1,2)</f>
        <v>0</v>
      </c>
      <c r="D35" s="53" t="n">
        <f aca="false">INDEX(MINVERSE($B$26:$G$31),1,3)</f>
        <v>0</v>
      </c>
      <c r="E35" s="53" t="n">
        <f aca="false">INDEX(MINVERSE($B$26:$G$31),1,4)</f>
        <v>0</v>
      </c>
      <c r="F35" s="53" t="n">
        <f aca="false">INDEX(MINVERSE($B$26:$G$31),1,5)</f>
        <v>-0.103448275862069</v>
      </c>
      <c r="G35" s="53" t="n">
        <f aca="false">INDEX(MINVERSE($B$26:$G$31),1,6)</f>
        <v>-0.103448275862069</v>
      </c>
      <c r="I35" s="53" t="n">
        <f aca="false">INDEX(MMULT($B$35:$G$40,$I$26:$I$31),1,1)</f>
        <v>48.0551724137931</v>
      </c>
    </row>
    <row r="36" customFormat="false" ht="15" hidden="false" customHeight="false" outlineLevel="0" collapsed="false">
      <c r="B36" s="53" t="n">
        <f aca="false">INDEX(MINVERSE($B$26:$G$31),2,1)</f>
        <v>0</v>
      </c>
      <c r="C36" s="53" t="n">
        <f aca="false">INDEX(MINVERSE($B$26:$G$31),2,2)</f>
        <v>0.166666666666667</v>
      </c>
      <c r="D36" s="53" t="n">
        <f aca="false">INDEX(MINVERSE($B$26:$G$31),2,3)</f>
        <v>0</v>
      </c>
      <c r="E36" s="53" t="n">
        <f aca="false">INDEX(MINVERSE($B$26:$G$31),2,4)</f>
        <v>0</v>
      </c>
      <c r="F36" s="53" t="n">
        <f aca="false">INDEX(MINVERSE($B$26:$G$31),2,5)</f>
        <v>0</v>
      </c>
      <c r="G36" s="53" t="n">
        <f aca="false">INDEX(MINVERSE($B$26:$G$31),2,6)</f>
        <v>0</v>
      </c>
      <c r="I36" s="53" t="n">
        <f aca="false">INDEX(MMULT($B$35:$G$40,$I$26:$I$31),2,1)</f>
        <v>2.11666666666667</v>
      </c>
    </row>
    <row r="37" customFormat="false" ht="15" hidden="false" customHeight="false" outlineLevel="0" collapsed="false">
      <c r="B37" s="53" t="n">
        <f aca="false">INDEX(MINVERSE($B$26:$G$31),3,1)</f>
        <v>0</v>
      </c>
      <c r="C37" s="53" t="n">
        <f aca="false">INDEX(MINVERSE($B$26:$G$31),3,2)</f>
        <v>0</v>
      </c>
      <c r="D37" s="53" t="n">
        <f aca="false">INDEX(MINVERSE($B$26:$G$31),3,3)</f>
        <v>0.166666666666667</v>
      </c>
      <c r="E37" s="53" t="n">
        <f aca="false">INDEX(MINVERSE($B$26:$G$31),3,4)</f>
        <v>0</v>
      </c>
      <c r="F37" s="53" t="n">
        <f aca="false">INDEX(MINVERSE($B$26:$G$31),3,5)</f>
        <v>0</v>
      </c>
      <c r="G37" s="53" t="n">
        <f aca="false">INDEX(MINVERSE($B$26:$G$31),3,6)</f>
        <v>0</v>
      </c>
      <c r="I37" s="53" t="n">
        <f aca="false">INDEX(MMULT($B$35:$G$40,$I$26:$I$31),3,1)</f>
        <v>2.25</v>
      </c>
    </row>
    <row r="38" customFormat="false" ht="15" hidden="false" customHeight="false" outlineLevel="0" collapsed="false">
      <c r="B38" s="53" t="n">
        <f aca="false">INDEX(MINVERSE($B$26:$G$31),4,1)</f>
        <v>0</v>
      </c>
      <c r="C38" s="53" t="n">
        <f aca="false">INDEX(MINVERSE($B$26:$G$31),4,2)</f>
        <v>0</v>
      </c>
      <c r="D38" s="53" t="n">
        <f aca="false">INDEX(MINVERSE($B$26:$G$31),4,3)</f>
        <v>0</v>
      </c>
      <c r="E38" s="53" t="n">
        <f aca="false">INDEX(MINVERSE($B$26:$G$31),4,4)</f>
        <v>0.25</v>
      </c>
      <c r="F38" s="53" t="n">
        <f aca="false">INDEX(MINVERSE($B$26:$G$31),4,5)</f>
        <v>0</v>
      </c>
      <c r="G38" s="53" t="n">
        <f aca="false">INDEX(MINVERSE($B$26:$G$31),4,6)</f>
        <v>0</v>
      </c>
      <c r="I38" s="53" t="n">
        <f aca="false">INDEX(MMULT($B$35:$G$40,$I$26:$I$31),4,1)</f>
        <v>0.524999999999999</v>
      </c>
    </row>
    <row r="39" customFormat="false" ht="15" hidden="false" customHeight="false" outlineLevel="0" collapsed="false">
      <c r="B39" s="53" t="n">
        <f aca="false">INDEX(MINVERSE($B$26:$G$31),5,1)</f>
        <v>-0.103448275862069</v>
      </c>
      <c r="C39" s="53" t="n">
        <f aca="false">INDEX(MINVERSE($B$26:$G$31),5,2)</f>
        <v>0</v>
      </c>
      <c r="D39" s="53" t="n">
        <f aca="false">INDEX(MINVERSE($B$26:$G$31),5,3)</f>
        <v>0</v>
      </c>
      <c r="E39" s="53" t="n">
        <f aca="false">INDEX(MINVERSE($B$26:$G$31),5,4)</f>
        <v>0</v>
      </c>
      <c r="F39" s="53" t="n">
        <f aca="false">INDEX(MINVERSE($B$26:$G$31),5,5)</f>
        <v>0.362068965517241</v>
      </c>
      <c r="G39" s="53" t="n">
        <f aca="false">INDEX(MINVERSE($B$26:$G$31),5,6)</f>
        <v>-0.137931034482759</v>
      </c>
      <c r="I39" s="53" t="n">
        <f aca="false">INDEX(MMULT($B$35:$G$40,$I$26:$I$31),5,1)</f>
        <v>-2.74310344827588</v>
      </c>
    </row>
    <row r="40" customFormat="false" ht="15" hidden="false" customHeight="false" outlineLevel="0" collapsed="false">
      <c r="B40" s="53" t="n">
        <f aca="false">INDEX(MINVERSE($B$26:$G$31),6,1)</f>
        <v>-0.103448275862069</v>
      </c>
      <c r="C40" s="53" t="n">
        <f aca="false">INDEX(MINVERSE($B$26:$G$31),6,2)</f>
        <v>0</v>
      </c>
      <c r="D40" s="53" t="n">
        <f aca="false">INDEX(MINVERSE($B$26:$G$31),6,3)</f>
        <v>0</v>
      </c>
      <c r="E40" s="53" t="n">
        <f aca="false">INDEX(MINVERSE($B$26:$G$31),6,4)</f>
        <v>0</v>
      </c>
      <c r="F40" s="53" t="n">
        <f aca="false">INDEX(MINVERSE($B$26:$G$31),6,5)</f>
        <v>-0.137931034482759</v>
      </c>
      <c r="G40" s="53" t="n">
        <f aca="false">INDEX(MINVERSE($B$26:$G$31),6,6)</f>
        <v>0.362068965517241</v>
      </c>
      <c r="I40" s="53" t="n">
        <f aca="false">INDEX(MMULT($B$35:$G$40,$I$26:$I$31),6,1)</f>
        <v>-1.54310344827586</v>
      </c>
    </row>
    <row r="43" customFormat="false" ht="15" hidden="false" customHeight="false" outlineLevel="0" collapsed="false">
      <c r="A43" s="38" t="s">
        <v>272</v>
      </c>
    </row>
    <row r="44" customFormat="false" ht="15" hidden="false" customHeight="false" outlineLevel="0" collapsed="false">
      <c r="B44" s="53" t="n">
        <f aca="false">IF(AND(B$3=1,B$3=1),B35,0)</f>
        <v>0.172413793103448</v>
      </c>
      <c r="C44" s="53" t="n">
        <f aca="false">IF(AND(B$3=1,C$3=1),C35,0)</f>
        <v>0</v>
      </c>
      <c r="D44" s="53" t="n">
        <f aca="false">IF(AND(B$3=1,D$3=1),D35,0)</f>
        <v>0</v>
      </c>
      <c r="E44" s="53" t="n">
        <f aca="false">IF(AND(B$3=1,E$3=1),E35,0)</f>
        <v>0</v>
      </c>
      <c r="F44" s="53" t="n">
        <f aca="false">IF(AND(B$3=1,F$3=1),F35,0)</f>
        <v>-0.103448275862069</v>
      </c>
      <c r="G44" s="53" t="n">
        <f aca="false">IF(AND(B$3=1,G$3=1),G35,0)</f>
        <v>-0.103448275862069</v>
      </c>
    </row>
    <row r="45" customFormat="false" ht="15" hidden="false" customHeight="false" outlineLevel="0" collapsed="false">
      <c r="B45" s="53" t="n">
        <f aca="false">IF(AND(C$3=1,B$3=1),B36,0)</f>
        <v>0</v>
      </c>
      <c r="C45" s="53" t="n">
        <f aca="false">IF(AND(C$3=1,C$3=1),C36,0)</f>
        <v>0.166666666666667</v>
      </c>
      <c r="D45" s="53" t="n">
        <f aca="false">IF(AND(C$3=1,D$3=1),D36,0)</f>
        <v>0</v>
      </c>
      <c r="E45" s="53" t="n">
        <f aca="false">IF(AND(C$3=1,E$3=1),E36,0)</f>
        <v>0</v>
      </c>
      <c r="F45" s="53" t="n">
        <f aca="false">IF(AND(C$3=1,F$3=1),F36,0)</f>
        <v>0</v>
      </c>
      <c r="G45" s="53" t="n">
        <f aca="false">IF(AND(C$3=1,G$3=1),G36,0)</f>
        <v>0</v>
      </c>
    </row>
    <row r="46" customFormat="false" ht="15" hidden="false" customHeight="false" outlineLevel="0" collapsed="false">
      <c r="B46" s="53" t="n">
        <f aca="false">IF(AND(D$3=1,B$3=1),B37,0)</f>
        <v>0</v>
      </c>
      <c r="C46" s="53" t="n">
        <f aca="false">IF(AND(D$3=1,C$3=1),C37,0)</f>
        <v>0</v>
      </c>
      <c r="D46" s="53" t="n">
        <f aca="false">IF(AND(D$3=1,D$3=1),D37,0)</f>
        <v>0.166666666666667</v>
      </c>
      <c r="E46" s="53" t="n">
        <f aca="false">IF(AND(D$3=1,E$3=1),E37,0)</f>
        <v>0</v>
      </c>
      <c r="F46" s="53" t="n">
        <f aca="false">IF(AND(D$3=1,F$3=1),F37,0)</f>
        <v>0</v>
      </c>
      <c r="G46" s="53" t="n">
        <f aca="false">IF(AND(D$3=1,G$3=1),G37,0)</f>
        <v>0</v>
      </c>
    </row>
    <row r="47" customFormat="false" ht="15" hidden="false" customHeight="false" outlineLevel="0" collapsed="false">
      <c r="B47" s="53" t="n">
        <f aca="false">IF(AND(E$3=1,B$3=1),B38,0)</f>
        <v>0</v>
      </c>
      <c r="C47" s="53" t="n">
        <f aca="false">IF(AND(E$3=1,C$3=1),C38,0)</f>
        <v>0</v>
      </c>
      <c r="D47" s="53" t="n">
        <f aca="false">IF(AND(E$3=1,D$3=1),D38,0)</f>
        <v>0</v>
      </c>
      <c r="E47" s="53" t="n">
        <f aca="false">IF(AND(E$3=1,E$3=1),E38,0)</f>
        <v>0.25</v>
      </c>
      <c r="F47" s="53" t="n">
        <f aca="false">IF(AND(E$3=1,F$3=1),F38,0)</f>
        <v>0</v>
      </c>
      <c r="G47" s="53" t="n">
        <f aca="false">IF(AND(E$3=1,G$3=1),G38,0)</f>
        <v>0</v>
      </c>
    </row>
    <row r="48" customFormat="false" ht="15" hidden="false" customHeight="false" outlineLevel="0" collapsed="false">
      <c r="B48" s="53" t="n">
        <f aca="false">IF(AND(F$3=1,B$3=1),B39,0)</f>
        <v>-0.103448275862069</v>
      </c>
      <c r="C48" s="53" t="n">
        <f aca="false">IF(AND(F$3=1,C$3=1),C39,0)</f>
        <v>0</v>
      </c>
      <c r="D48" s="53" t="n">
        <f aca="false">IF(AND(F$3=1,D$3=1),D39,0)</f>
        <v>0</v>
      </c>
      <c r="E48" s="53" t="n">
        <f aca="false">IF(AND(F$3=1,E$3=1),E39,0)</f>
        <v>0</v>
      </c>
      <c r="F48" s="53" t="n">
        <f aca="false">IF(AND(F$3=1,F$3=1),F39,0)</f>
        <v>0.362068965517241</v>
      </c>
      <c r="G48" s="53" t="n">
        <f aca="false">IF(AND(F$3=1,G$3=1),G39,0)</f>
        <v>-0.137931034482759</v>
      </c>
    </row>
    <row r="49" customFormat="false" ht="15" hidden="false" customHeight="false" outlineLevel="0" collapsed="false">
      <c r="B49" s="53" t="n">
        <f aca="false">IF(AND(G$3=1,B$3=1),B40,0)</f>
        <v>-0.103448275862069</v>
      </c>
      <c r="C49" s="53" t="n">
        <f aca="false">IF(AND(G$3=1,C$3=1),C40,0)</f>
        <v>0</v>
      </c>
      <c r="D49" s="53" t="n">
        <f aca="false">IF(AND(G$3=1,D$3=1),D40,0)</f>
        <v>0</v>
      </c>
      <c r="E49" s="53" t="n">
        <f aca="false">IF(AND(G$3=1,E$3=1),E40,0)</f>
        <v>0</v>
      </c>
      <c r="F49" s="53" t="n">
        <f aca="false">IF(AND(G$3=1,F$3=1),F40,0)</f>
        <v>-0.137931034482759</v>
      </c>
      <c r="G49" s="53" t="n">
        <f aca="false">IF(AND(G$3=1,G$3=1),G40,0)</f>
        <v>0.362068965517241</v>
      </c>
    </row>
    <row r="52" customFormat="false" ht="15" hidden="false" customHeight="false" outlineLevel="0" collapsed="false">
      <c r="A52" s="17" t="s">
        <v>273</v>
      </c>
    </row>
    <row r="53" customFormat="false" ht="15" hidden="false" customHeight="false" outlineLevel="0" collapsed="false">
      <c r="B53" s="53" t="n">
        <f aca="false">INDEX($I$35:$I$40,1)</f>
        <v>48.0551724137931</v>
      </c>
      <c r="C53" s="53" t="n">
        <f aca="false">INDEX($I$35:$I$40,2)</f>
        <v>2.11666666666667</v>
      </c>
      <c r="D53" s="53" t="n">
        <f aca="false">INDEX($I$35:$I$40,3)</f>
        <v>2.25</v>
      </c>
      <c r="E53" s="53" t="n">
        <f aca="false">INDEX($I$35:$I$40,4)</f>
        <v>0.524999999999999</v>
      </c>
      <c r="F53" s="53" t="n">
        <f aca="false">INDEX($I$35:$I$40,5)</f>
        <v>-2.74310344827588</v>
      </c>
      <c r="G53" s="53" t="n">
        <f aca="false">INDEX($I$35:$I$40,6)</f>
        <v>-1.54310344827586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6A6A6"/>
    <pageSetUpPr fitToPage="false"/>
  </sheetPr>
  <dimension ref="A1:T168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21.6" hidden="false" customHeight="false" outlineLevel="0" collapsed="false">
      <c r="A1" s="1" t="s">
        <v>274</v>
      </c>
    </row>
    <row r="4" customFormat="false" ht="29.85" hidden="false" customHeight="false" outlineLevel="0" collapsed="false">
      <c r="A4" s="9" t="s">
        <v>275</v>
      </c>
      <c r="B4" s="9" t="s">
        <v>276</v>
      </c>
      <c r="C4" s="9" t="s">
        <v>64</v>
      </c>
      <c r="D4" s="9" t="s">
        <v>69</v>
      </c>
      <c r="E4" s="10" t="s">
        <v>136</v>
      </c>
      <c r="F4" s="9" t="s">
        <v>64</v>
      </c>
      <c r="G4" s="9" t="s">
        <v>69</v>
      </c>
      <c r="H4" s="9" t="s">
        <v>140</v>
      </c>
      <c r="I4" s="9" t="s">
        <v>142</v>
      </c>
      <c r="J4" s="9" t="s">
        <v>144</v>
      </c>
      <c r="K4" s="10" t="s">
        <v>220</v>
      </c>
      <c r="L4" s="9" t="s">
        <v>225</v>
      </c>
      <c r="M4" s="10" t="s">
        <v>56</v>
      </c>
      <c r="N4" s="10" t="s">
        <v>215</v>
      </c>
      <c r="O4" s="10" t="s">
        <v>216</v>
      </c>
      <c r="P4" s="10" t="s">
        <v>277</v>
      </c>
      <c r="Q4" s="10" t="s">
        <v>221</v>
      </c>
      <c r="R4" s="10" t="s">
        <v>278</v>
      </c>
      <c r="S4" s="10" t="s">
        <v>279</v>
      </c>
      <c r="T4" s="10" t="s">
        <v>280</v>
      </c>
    </row>
    <row r="5" customFormat="false" ht="15" hidden="false" customHeight="false" outlineLevel="0" collapsed="false">
      <c r="A5" s="0" t="n">
        <v>0</v>
      </c>
      <c r="B5" s="0" t="n">
        <v>0</v>
      </c>
      <c r="C5" s="0" t="n">
        <f aca="false">-1+A5*0.05</f>
        <v>-1</v>
      </c>
      <c r="D5" s="0" t="n">
        <f aca="false">-1+B5*0.05</f>
        <v>-1</v>
      </c>
      <c r="E5" s="0" t="n">
        <f aca="false">1</f>
        <v>1</v>
      </c>
      <c r="F5" s="0" t="n">
        <f aca="false">C5</f>
        <v>-1</v>
      </c>
      <c r="G5" s="0" t="n">
        <f aca="false">D5</f>
        <v>-1</v>
      </c>
      <c r="H5" s="0" t="n">
        <f aca="false">C5*D5</f>
        <v>1</v>
      </c>
      <c r="I5" s="0" t="n">
        <f aca="false">C5*C5</f>
        <v>1</v>
      </c>
      <c r="J5" s="0" t="n">
        <f aca="false">D5*D5</f>
        <v>1</v>
      </c>
      <c r="K5" s="0" t="n">
        <f aca="false">SUMPRODUCT(E5:J5,_XtX!$B$53:$G$53)</f>
        <v>39.9272988505747</v>
      </c>
      <c r="L5" s="0" t="n">
        <f aca="false">SUMPRODUCT(MMULT(E5:J5,_XtX!$B$44:$G$49),E5:J5)</f>
        <v>0.790229885057471</v>
      </c>
      <c r="M5" s="0" t="n">
        <f aca="false">04_回帰ANOVA!$K$19*04_回帰ANOVA!$K$14*SQRT(1+L5)</f>
        <v>1.81313847457497</v>
      </c>
      <c r="N5" s="0" t="n">
        <f aca="false">K5-M5</f>
        <v>38.1141603759997</v>
      </c>
      <c r="O5" s="0" t="n">
        <f aca="false">K5+M5</f>
        <v>41.7404373251497</v>
      </c>
      <c r="P5" s="54" t="b">
        <f aca="false">AND(C5&gt;=01_因子設定!$L$5-0.000000001,C5&lt;=01_因子設定!$M$5+0.000000001,D5&gt;=01_因子設定!$L$6-0.000000001,D5&lt;=01_因子設定!$M$6+0.000000001,IF(01_因子設定!$B$20="Box-Behnken",C5^2+D5^2&lt;=2+0.000000001,TRUE()))</f>
        <v>1</v>
      </c>
      <c r="Q5" s="55" t="n">
        <f aca="false">IF(P5,IF(01_因子設定!$B$13="最大化",N5-01_因子設定!$B$14,IF(01_因子設定!$B$13="最小化",01_因子設定!$B$15-O5,MIN(N5-01_因子設定!$B$14,01_因子設定!$B$15-O5))),-1E+030)</f>
        <v>-8.38583962400028</v>
      </c>
      <c r="R5" s="55" t="n">
        <f aca="false">IF(P5,IF(01_因子設定!$B$13="最大化",K5,IF(01_因子設定!$B$13="最小化",-K5,-ABS(K5-01_因子設定!$B$16))),-1E+030)</f>
        <v>39.9272988505747</v>
      </c>
      <c r="S5" s="55" t="n">
        <f aca="false">Q5+ROW()*0.000000001</f>
        <v>-8.38583961900028</v>
      </c>
      <c r="T5" s="55" t="n">
        <f aca="false">R5+ROW()*0.000000001</f>
        <v>39.9272988555747</v>
      </c>
    </row>
    <row r="6" customFormat="false" ht="15" hidden="false" customHeight="false" outlineLevel="0" collapsed="false">
      <c r="A6" s="0" t="n">
        <v>0</v>
      </c>
      <c r="B6" s="0" t="n">
        <v>1</v>
      </c>
      <c r="C6" s="0" t="n">
        <f aca="false">-1+A6*0.05</f>
        <v>-1</v>
      </c>
      <c r="D6" s="0" t="n">
        <f aca="false">-1+B6*0.05</f>
        <v>-0.95</v>
      </c>
      <c r="E6" s="0" t="n">
        <f aca="false">1</f>
        <v>1</v>
      </c>
      <c r="F6" s="0" t="n">
        <f aca="false">C6</f>
        <v>-1</v>
      </c>
      <c r="G6" s="0" t="n">
        <f aca="false">D6</f>
        <v>-0.95</v>
      </c>
      <c r="H6" s="0" t="n">
        <f aca="false">C6*D6</f>
        <v>0.95</v>
      </c>
      <c r="I6" s="0" t="n">
        <f aca="false">C6*C6</f>
        <v>1</v>
      </c>
      <c r="J6" s="0" t="n">
        <f aca="false">D6*D6</f>
        <v>0.9025</v>
      </c>
      <c r="K6" s="0" t="n">
        <f aca="false">SUMPRODUCT(E6:J6,_XtX!$B$53:$G$53)</f>
        <v>40.1640014367816</v>
      </c>
      <c r="L6" s="0" t="n">
        <f aca="false">SUMPRODUCT(MMULT(E6:J6,_XtX!$B$44:$G$49),E6:J6)</f>
        <v>0.729512320402299</v>
      </c>
      <c r="M6" s="0" t="n">
        <f aca="false">04_回帰ANOVA!$K$19*04_回帰ANOVA!$K$14*SQRT(1+L6)</f>
        <v>1.78212598387095</v>
      </c>
      <c r="N6" s="0" t="n">
        <f aca="false">K6-M6</f>
        <v>38.3818754529106</v>
      </c>
      <c r="O6" s="0" t="n">
        <f aca="false">K6+M6</f>
        <v>41.9461274206525</v>
      </c>
      <c r="P6" s="54" t="b">
        <f aca="false">AND(C6&gt;=01_因子設定!$L$5-0.000000001,C6&lt;=01_因子設定!$M$5+0.000000001,D6&gt;=01_因子設定!$L$6-0.000000001,D6&lt;=01_因子設定!$M$6+0.000000001,IF(01_因子設定!$B$20="Box-Behnken",C6^2+D6^2&lt;=2+0.000000001,TRUE()))</f>
        <v>1</v>
      </c>
      <c r="Q6" s="55" t="n">
        <f aca="false">IF(P6,IF(01_因子設定!$B$13="最大化",N6-01_因子設定!$B$14,IF(01_因子設定!$B$13="最小化",01_因子設定!$B$15-O6,MIN(N6-01_因子設定!$B$14,01_因子設定!$B$15-O6))),-1E+030)</f>
        <v>-8.11812454708936</v>
      </c>
      <c r="R6" s="55" t="n">
        <f aca="false">IF(P6,IF(01_因子設定!$B$13="最大化",K6,IF(01_因子設定!$B$13="最小化",-K6,-ABS(K6-01_因子設定!$B$16))),-1E+030)</f>
        <v>40.1640014367816</v>
      </c>
      <c r="S6" s="55" t="n">
        <f aca="false">Q6+ROW()*0.000000001</f>
        <v>-8.11812454108936</v>
      </c>
      <c r="T6" s="55" t="n">
        <f aca="false">R6+ROW()*0.000000001</f>
        <v>40.1640014427816</v>
      </c>
    </row>
    <row r="7" customFormat="false" ht="15" hidden="false" customHeight="false" outlineLevel="0" collapsed="false">
      <c r="A7" s="0" t="n">
        <v>0</v>
      </c>
      <c r="B7" s="0" t="n">
        <v>2</v>
      </c>
      <c r="C7" s="0" t="n">
        <f aca="false">-1+A7*0.05</f>
        <v>-1</v>
      </c>
      <c r="D7" s="0" t="n">
        <f aca="false">-1+B7*0.05</f>
        <v>-0.9</v>
      </c>
      <c r="E7" s="0" t="n">
        <f aca="false">1</f>
        <v>1</v>
      </c>
      <c r="F7" s="0" t="n">
        <f aca="false">C7</f>
        <v>-1</v>
      </c>
      <c r="G7" s="0" t="n">
        <f aca="false">D7</f>
        <v>-0.9</v>
      </c>
      <c r="H7" s="0" t="n">
        <f aca="false">C7*D7</f>
        <v>0.9</v>
      </c>
      <c r="I7" s="0" t="n">
        <f aca="false">C7*C7</f>
        <v>1</v>
      </c>
      <c r="J7" s="0" t="n">
        <f aca="false">D7*D7</f>
        <v>0.81</v>
      </c>
      <c r="K7" s="0" t="n">
        <f aca="false">SUMPRODUCT(E7:J7,_XtX!$B$53:$G$53)</f>
        <v>40.3929885057471</v>
      </c>
      <c r="L7" s="0" t="n">
        <f aca="false">SUMPRODUCT(MMULT(E7:J7,_XtX!$B$44:$G$49),E7:J7)</f>
        <v>0.67827183908046</v>
      </c>
      <c r="M7" s="0" t="n">
        <f aca="false">04_回帰ANOVA!$K$19*04_回帰ANOVA!$K$14*SQRT(1+L7)</f>
        <v>1.7555278596526</v>
      </c>
      <c r="N7" s="0" t="n">
        <f aca="false">K7-M7</f>
        <v>38.6374606460945</v>
      </c>
      <c r="O7" s="0" t="n">
        <f aca="false">K7+M7</f>
        <v>42.1485163653997</v>
      </c>
      <c r="P7" s="54" t="b">
        <f aca="false">AND(C7&gt;=01_因子設定!$L$5-0.000000001,C7&lt;=01_因子設定!$M$5+0.000000001,D7&gt;=01_因子設定!$L$6-0.000000001,D7&lt;=01_因子設定!$M$6+0.000000001,IF(01_因子設定!$B$20="Box-Behnken",C7^2+D7^2&lt;=2+0.000000001,TRUE()))</f>
        <v>1</v>
      </c>
      <c r="Q7" s="55" t="n">
        <f aca="false">IF(P7,IF(01_因子設定!$B$13="最大化",N7-01_因子設定!$B$14,IF(01_因子設定!$B$13="最小化",01_因子設定!$B$15-O7,MIN(N7-01_因子設定!$B$14,01_因子設定!$B$15-O7))),-1E+030)</f>
        <v>-7.86253935390549</v>
      </c>
      <c r="R7" s="55" t="n">
        <f aca="false">IF(P7,IF(01_因子設定!$B$13="最大化",K7,IF(01_因子設定!$B$13="最小化",-K7,-ABS(K7-01_因子設定!$B$16))),-1E+030)</f>
        <v>40.3929885057471</v>
      </c>
      <c r="S7" s="55" t="n">
        <f aca="false">Q7+ROW()*0.000000001</f>
        <v>-7.86253934690549</v>
      </c>
      <c r="T7" s="55" t="n">
        <f aca="false">R7+ROW()*0.000000001</f>
        <v>40.3929885127471</v>
      </c>
    </row>
    <row r="8" customFormat="false" ht="15" hidden="false" customHeight="false" outlineLevel="0" collapsed="false">
      <c r="A8" s="0" t="n">
        <v>0</v>
      </c>
      <c r="B8" s="0" t="n">
        <v>3</v>
      </c>
      <c r="C8" s="0" t="n">
        <f aca="false">-1+A8*0.05</f>
        <v>-1</v>
      </c>
      <c r="D8" s="0" t="n">
        <f aca="false">-1+B8*0.05</f>
        <v>-0.85</v>
      </c>
      <c r="E8" s="0" t="n">
        <f aca="false">1</f>
        <v>1</v>
      </c>
      <c r="F8" s="0" t="n">
        <f aca="false">C8</f>
        <v>-1</v>
      </c>
      <c r="G8" s="0" t="n">
        <f aca="false">D8</f>
        <v>-0.85</v>
      </c>
      <c r="H8" s="0" t="n">
        <f aca="false">C8*D8</f>
        <v>0.85</v>
      </c>
      <c r="I8" s="0" t="n">
        <f aca="false">C8*C8</f>
        <v>1</v>
      </c>
      <c r="J8" s="0" t="n">
        <f aca="false">D8*D8</f>
        <v>0.7225</v>
      </c>
      <c r="K8" s="0" t="n">
        <f aca="false">SUMPRODUCT(E8:J8,_XtX!$B$53:$G$53)</f>
        <v>40.6142600574713</v>
      </c>
      <c r="L8" s="0" t="n">
        <f aca="false">SUMPRODUCT(MMULT(E8:J8,_XtX!$B$44:$G$49),E8:J8)</f>
        <v>0.635503699712644</v>
      </c>
      <c r="M8" s="0" t="n">
        <f aca="false">04_回帰ANOVA!$K$19*04_回帰ANOVA!$K$14*SQRT(1+L8)</f>
        <v>1.73301506394813</v>
      </c>
      <c r="N8" s="0" t="n">
        <f aca="false">K8-M8</f>
        <v>38.8812449935231</v>
      </c>
      <c r="O8" s="0" t="n">
        <f aca="false">K8+M8</f>
        <v>42.3472751214194</v>
      </c>
      <c r="P8" s="54" t="b">
        <f aca="false">AND(C8&gt;=01_因子設定!$L$5-0.000000001,C8&lt;=01_因子設定!$M$5+0.000000001,D8&gt;=01_因子設定!$L$6-0.000000001,D8&lt;=01_因子設定!$M$6+0.000000001,IF(01_因子設定!$B$20="Box-Behnken",C8^2+D8^2&lt;=2+0.000000001,TRUE()))</f>
        <v>1</v>
      </c>
      <c r="Q8" s="55" t="n">
        <f aca="false">IF(P8,IF(01_因子設定!$B$13="最大化",N8-01_因子設定!$B$14,IF(01_因子設定!$B$13="最小化",01_因子設定!$B$15-O8,MIN(N8-01_因子設定!$B$14,01_因子設定!$B$15-O8))),-1E+030)</f>
        <v>-7.61875500647688</v>
      </c>
      <c r="R8" s="55" t="n">
        <f aca="false">IF(P8,IF(01_因子設定!$B$13="最大化",K8,IF(01_因子設定!$B$13="最小化",-K8,-ABS(K8-01_因子設定!$B$16))),-1E+030)</f>
        <v>40.6142600574713</v>
      </c>
      <c r="S8" s="55" t="n">
        <f aca="false">Q8+ROW()*0.000000001</f>
        <v>-7.61875499847688</v>
      </c>
      <c r="T8" s="55" t="n">
        <f aca="false">R8+ROW()*0.000000001</f>
        <v>40.6142600654713</v>
      </c>
    </row>
    <row r="9" customFormat="false" ht="15" hidden="false" customHeight="false" outlineLevel="0" collapsed="false">
      <c r="A9" s="0" t="n">
        <v>0</v>
      </c>
      <c r="B9" s="0" t="n">
        <v>4</v>
      </c>
      <c r="C9" s="0" t="n">
        <f aca="false">-1+A9*0.05</f>
        <v>-1</v>
      </c>
      <c r="D9" s="0" t="n">
        <f aca="false">-1+B9*0.05</f>
        <v>-0.8</v>
      </c>
      <c r="E9" s="0" t="n">
        <f aca="false">1</f>
        <v>1</v>
      </c>
      <c r="F9" s="0" t="n">
        <f aca="false">C9</f>
        <v>-1</v>
      </c>
      <c r="G9" s="0" t="n">
        <f aca="false">D9</f>
        <v>-0.8</v>
      </c>
      <c r="H9" s="0" t="n">
        <f aca="false">C9*D9</f>
        <v>0.8</v>
      </c>
      <c r="I9" s="0" t="n">
        <f aca="false">C9*C9</f>
        <v>1</v>
      </c>
      <c r="J9" s="0" t="n">
        <f aca="false">D9*D9</f>
        <v>0.64</v>
      </c>
      <c r="K9" s="0" t="n">
        <f aca="false">SUMPRODUCT(E9:J9,_XtX!$B$53:$G$53)</f>
        <v>40.827816091954</v>
      </c>
      <c r="L9" s="0" t="n">
        <f aca="false">SUMPRODUCT(MMULT(E9:J9,_XtX!$B$44:$G$49),E9:J9)</f>
        <v>0.600257471264368</v>
      </c>
      <c r="M9" s="0" t="n">
        <f aca="false">04_回帰ANOVA!$K$19*04_回帰ANOVA!$K$14*SQRT(1+L9)</f>
        <v>1.71423952387759</v>
      </c>
      <c r="N9" s="0" t="n">
        <f aca="false">K9-M9</f>
        <v>39.1135765680764</v>
      </c>
      <c r="O9" s="0" t="n">
        <f aca="false">K9+M9</f>
        <v>42.5420556158316</v>
      </c>
      <c r="P9" s="54" t="b">
        <f aca="false">AND(C9&gt;=01_因子設定!$L$5-0.000000001,C9&lt;=01_因子設定!$M$5+0.000000001,D9&gt;=01_因子設定!$L$6-0.000000001,D9&lt;=01_因子設定!$M$6+0.000000001,IF(01_因子設定!$B$20="Box-Behnken",C9^2+D9^2&lt;=2+0.000000001,TRUE()))</f>
        <v>1</v>
      </c>
      <c r="Q9" s="55" t="n">
        <f aca="false">IF(P9,IF(01_因子設定!$B$13="最大化",N9-01_因子設定!$B$14,IF(01_因子設定!$B$13="最小化",01_因子設定!$B$15-O9,MIN(N9-01_因子設定!$B$14,01_因子設定!$B$15-O9))),-1E+030)</f>
        <v>-7.38642343192358</v>
      </c>
      <c r="R9" s="55" t="n">
        <f aca="false">IF(P9,IF(01_因子設定!$B$13="最大化",K9,IF(01_因子設定!$B$13="最小化",-K9,-ABS(K9-01_因子設定!$B$16))),-1E+030)</f>
        <v>40.827816091954</v>
      </c>
      <c r="S9" s="55" t="n">
        <f aca="false">Q9+ROW()*0.000000001</f>
        <v>-7.38642342292358</v>
      </c>
      <c r="T9" s="55" t="n">
        <f aca="false">R9+ROW()*0.000000001</f>
        <v>40.827816100954</v>
      </c>
    </row>
    <row r="10" customFormat="false" ht="15" hidden="false" customHeight="false" outlineLevel="0" collapsed="false">
      <c r="A10" s="0" t="n">
        <v>0</v>
      </c>
      <c r="B10" s="0" t="n">
        <v>5</v>
      </c>
      <c r="C10" s="0" t="n">
        <f aca="false">-1+A10*0.05</f>
        <v>-1</v>
      </c>
      <c r="D10" s="0" t="n">
        <f aca="false">-1+B10*0.05</f>
        <v>-0.75</v>
      </c>
      <c r="E10" s="0" t="n">
        <f aca="false">1</f>
        <v>1</v>
      </c>
      <c r="F10" s="0" t="n">
        <f aca="false">C10</f>
        <v>-1</v>
      </c>
      <c r="G10" s="0" t="n">
        <f aca="false">D10</f>
        <v>-0.75</v>
      </c>
      <c r="H10" s="0" t="n">
        <f aca="false">C10*D10</f>
        <v>0.75</v>
      </c>
      <c r="I10" s="0" t="n">
        <f aca="false">C10*C10</f>
        <v>1</v>
      </c>
      <c r="J10" s="0" t="n">
        <f aca="false">D10*D10</f>
        <v>0.5625</v>
      </c>
      <c r="K10" s="0" t="n">
        <f aca="false">SUMPRODUCT(E10:J10,_XtX!$B$53:$G$53)</f>
        <v>41.0336566091954</v>
      </c>
      <c r="L10" s="0" t="n">
        <f aca="false">SUMPRODUCT(MMULT(E10:J10,_XtX!$B$44:$G$49),E10:J10)</f>
        <v>0.571637033045977</v>
      </c>
      <c r="M10" s="0" t="n">
        <f aca="false">04_回帰ANOVA!$K$19*04_回帰ANOVA!$K$14*SQRT(1+L10)</f>
        <v>1.69884086471256</v>
      </c>
      <c r="N10" s="0" t="n">
        <f aca="false">K10-M10</f>
        <v>39.3348157444828</v>
      </c>
      <c r="O10" s="0" t="n">
        <f aca="false">K10+M10</f>
        <v>42.732497473908</v>
      </c>
      <c r="P10" s="54" t="b">
        <f aca="false">AND(C10&gt;=01_因子設定!$L$5-0.000000001,C10&lt;=01_因子設定!$M$5+0.000000001,D10&gt;=01_因子設定!$L$6-0.000000001,D10&lt;=01_因子設定!$M$6+0.000000001,IF(01_因子設定!$B$20="Box-Behnken",C10^2+D10^2&lt;=2+0.000000001,TRUE()))</f>
        <v>1</v>
      </c>
      <c r="Q10" s="55" t="n">
        <f aca="false">IF(P10,IF(01_因子設定!$B$13="最大化",N10-01_因子設定!$B$14,IF(01_因子設定!$B$13="最小化",01_因子設定!$B$15-O10,MIN(N10-01_因子設定!$B$14,01_因子設定!$B$15-O10))),-1E+030)</f>
        <v>-7.16518425551718</v>
      </c>
      <c r="R10" s="55" t="n">
        <f aca="false">IF(P10,IF(01_因子設定!$B$13="最大化",K10,IF(01_因子設定!$B$13="最小化",-K10,-ABS(K10-01_因子設定!$B$16))),-1E+030)</f>
        <v>41.0336566091954</v>
      </c>
      <c r="S10" s="55" t="n">
        <f aca="false">Q10+ROW()*0.000000001</f>
        <v>-7.16518424551718</v>
      </c>
      <c r="T10" s="55" t="n">
        <f aca="false">R10+ROW()*0.000000001</f>
        <v>41.0336566191954</v>
      </c>
    </row>
    <row r="11" customFormat="false" ht="15" hidden="false" customHeight="false" outlineLevel="0" collapsed="false">
      <c r="A11" s="0" t="n">
        <v>0</v>
      </c>
      <c r="B11" s="0" t="n">
        <v>6</v>
      </c>
      <c r="C11" s="0" t="n">
        <f aca="false">-1+A11*0.05</f>
        <v>-1</v>
      </c>
      <c r="D11" s="0" t="n">
        <f aca="false">-1+B11*0.05</f>
        <v>-0.7</v>
      </c>
      <c r="E11" s="0" t="n">
        <f aca="false">1</f>
        <v>1</v>
      </c>
      <c r="F11" s="0" t="n">
        <f aca="false">C11</f>
        <v>-1</v>
      </c>
      <c r="G11" s="0" t="n">
        <f aca="false">D11</f>
        <v>-0.7</v>
      </c>
      <c r="H11" s="0" t="n">
        <f aca="false">C11*D11</f>
        <v>0.7</v>
      </c>
      <c r="I11" s="0" t="n">
        <f aca="false">C11*C11</f>
        <v>1</v>
      </c>
      <c r="J11" s="0" t="n">
        <f aca="false">D11*D11</f>
        <v>0.49</v>
      </c>
      <c r="K11" s="0" t="n">
        <f aca="false">SUMPRODUCT(E11:J11,_XtX!$B$53:$G$53)</f>
        <v>41.2317816091954</v>
      </c>
      <c r="L11" s="0" t="n">
        <f aca="false">SUMPRODUCT(MMULT(E11:J11,_XtX!$B$44:$G$49),E11:J11)</f>
        <v>0.548800574712644</v>
      </c>
      <c r="M11" s="0" t="n">
        <f aca="false">04_回帰ANOVA!$K$19*04_回帰ANOVA!$K$14*SQRT(1+L11)</f>
        <v>1.68645331298059</v>
      </c>
      <c r="N11" s="0" t="n">
        <f aca="false">K11-M11</f>
        <v>39.5453282962148</v>
      </c>
      <c r="O11" s="0" t="n">
        <f aca="false">K11+M11</f>
        <v>42.918234922176</v>
      </c>
      <c r="P11" s="54" t="b">
        <f aca="false">AND(C11&gt;=01_因子設定!$L$5-0.000000001,C11&lt;=01_因子設定!$M$5+0.000000001,D11&gt;=01_因子設定!$L$6-0.000000001,D11&lt;=01_因子設定!$M$6+0.000000001,IF(01_因子設定!$B$20="Box-Behnken",C11^2+D11^2&lt;=2+0.000000001,TRUE()))</f>
        <v>1</v>
      </c>
      <c r="Q11" s="55" t="n">
        <f aca="false">IF(P11,IF(01_因子設定!$B$13="最大化",N11-01_因子設定!$B$14,IF(01_因子設定!$B$13="最小化",01_因子設定!$B$15-O11,MIN(N11-01_因子設定!$B$14,01_因子設定!$B$15-O11))),-1E+030)</f>
        <v>-6.95467170378521</v>
      </c>
      <c r="R11" s="55" t="n">
        <f aca="false">IF(P11,IF(01_因子設定!$B$13="最大化",K11,IF(01_因子設定!$B$13="最小化",-K11,-ABS(K11-01_因子設定!$B$16))),-1E+030)</f>
        <v>41.2317816091954</v>
      </c>
      <c r="S11" s="55" t="n">
        <f aca="false">Q11+ROW()*0.000000001</f>
        <v>-6.95467169278521</v>
      </c>
      <c r="T11" s="55" t="n">
        <f aca="false">R11+ROW()*0.000000001</f>
        <v>41.2317816201954</v>
      </c>
    </row>
    <row r="12" customFormat="false" ht="15" hidden="false" customHeight="false" outlineLevel="0" collapsed="false">
      <c r="A12" s="0" t="n">
        <v>0</v>
      </c>
      <c r="B12" s="0" t="n">
        <v>7</v>
      </c>
      <c r="C12" s="0" t="n">
        <f aca="false">-1+A12*0.05</f>
        <v>-1</v>
      </c>
      <c r="D12" s="0" t="n">
        <f aca="false">-1+B12*0.05</f>
        <v>-0.65</v>
      </c>
      <c r="E12" s="0" t="n">
        <f aca="false">1</f>
        <v>1</v>
      </c>
      <c r="F12" s="0" t="n">
        <f aca="false">C12</f>
        <v>-1</v>
      </c>
      <c r="G12" s="0" t="n">
        <f aca="false">D12</f>
        <v>-0.65</v>
      </c>
      <c r="H12" s="0" t="n">
        <f aca="false">C12*D12</f>
        <v>0.65</v>
      </c>
      <c r="I12" s="0" t="n">
        <f aca="false">C12*C12</f>
        <v>1</v>
      </c>
      <c r="J12" s="0" t="n">
        <f aca="false">D12*D12</f>
        <v>0.4225</v>
      </c>
      <c r="K12" s="0" t="n">
        <f aca="false">SUMPRODUCT(E12:J12,_XtX!$B$53:$G$53)</f>
        <v>41.422191091954</v>
      </c>
      <c r="L12" s="0" t="n">
        <f aca="false">SUMPRODUCT(MMULT(E12:J12,_XtX!$B$44:$G$49),E12:J12)</f>
        <v>0.530960596264368</v>
      </c>
      <c r="M12" s="0" t="n">
        <f aca="false">04_回帰ANOVA!$K$19*04_回帰ANOVA!$K$14*SQRT(1+L12)</f>
        <v>1.6767124103567</v>
      </c>
      <c r="N12" s="0" t="n">
        <f aca="false">K12-M12</f>
        <v>39.7454786815973</v>
      </c>
      <c r="O12" s="0" t="n">
        <f aca="false">K12+M12</f>
        <v>43.0989035023107</v>
      </c>
      <c r="P12" s="54" t="b">
        <f aca="false">AND(C12&gt;=01_因子設定!$L$5-0.000000001,C12&lt;=01_因子設定!$M$5+0.000000001,D12&gt;=01_因子設定!$L$6-0.000000001,D12&lt;=01_因子設定!$M$6+0.000000001,IF(01_因子設定!$B$20="Box-Behnken",C12^2+D12^2&lt;=2+0.000000001,TRUE()))</f>
        <v>1</v>
      </c>
      <c r="Q12" s="55" t="n">
        <f aca="false">IF(P12,IF(01_因子設定!$B$13="最大化",N12-01_因子設定!$B$14,IF(01_因子設定!$B$13="最小化",01_因子設定!$B$15-O12,MIN(N12-01_因子設定!$B$14,01_因子設定!$B$15-O12))),-1E+030)</f>
        <v>-6.7545213184027</v>
      </c>
      <c r="R12" s="55" t="n">
        <f aca="false">IF(P12,IF(01_因子設定!$B$13="最大化",K12,IF(01_因子設定!$B$13="最小化",-K12,-ABS(K12-01_因子設定!$B$16))),-1E+030)</f>
        <v>41.422191091954</v>
      </c>
      <c r="S12" s="55" t="n">
        <f aca="false">Q12+ROW()*0.000000001</f>
        <v>-6.7545213064027</v>
      </c>
      <c r="T12" s="55" t="n">
        <f aca="false">R12+ROW()*0.000000001</f>
        <v>41.422191103954</v>
      </c>
    </row>
    <row r="13" customFormat="false" ht="15" hidden="false" customHeight="false" outlineLevel="0" collapsed="false">
      <c r="A13" s="0" t="n">
        <v>0</v>
      </c>
      <c r="B13" s="0" t="n">
        <v>8</v>
      </c>
      <c r="C13" s="0" t="n">
        <f aca="false">-1+A13*0.05</f>
        <v>-1</v>
      </c>
      <c r="D13" s="0" t="n">
        <f aca="false">-1+B13*0.05</f>
        <v>-0.6</v>
      </c>
      <c r="E13" s="0" t="n">
        <f aca="false">1</f>
        <v>1</v>
      </c>
      <c r="F13" s="0" t="n">
        <f aca="false">C13</f>
        <v>-1</v>
      </c>
      <c r="G13" s="0" t="n">
        <f aca="false">D13</f>
        <v>-0.6</v>
      </c>
      <c r="H13" s="0" t="n">
        <f aca="false">C13*D13</f>
        <v>0.6</v>
      </c>
      <c r="I13" s="0" t="n">
        <f aca="false">C13*C13</f>
        <v>1</v>
      </c>
      <c r="J13" s="0" t="n">
        <f aca="false">D13*D13</f>
        <v>0.36</v>
      </c>
      <c r="K13" s="0" t="n">
        <f aca="false">SUMPRODUCT(E13:J13,_XtX!$B$53:$G$53)</f>
        <v>41.6048850574712</v>
      </c>
      <c r="L13" s="0" t="n">
        <f aca="false">SUMPRODUCT(MMULT(E13:J13,_XtX!$B$44:$G$49),E13:J13)</f>
        <v>0.517383908045977</v>
      </c>
      <c r="M13" s="0" t="n">
        <f aca="false">04_回帰ANOVA!$K$19*04_回帰ANOVA!$K$14*SQRT(1+L13)</f>
        <v>1.66926124034343</v>
      </c>
      <c r="N13" s="0" t="n">
        <f aca="false">K13-M13</f>
        <v>39.9356238171278</v>
      </c>
      <c r="O13" s="0" t="n">
        <f aca="false">K13+M13</f>
        <v>43.2741462978147</v>
      </c>
      <c r="P13" s="54" t="b">
        <f aca="false">AND(C13&gt;=01_因子設定!$L$5-0.000000001,C13&lt;=01_因子設定!$M$5+0.000000001,D13&gt;=01_因子設定!$L$6-0.000000001,D13&lt;=01_因子設定!$M$6+0.000000001,IF(01_因子設定!$B$20="Box-Behnken",C13^2+D13^2&lt;=2+0.000000001,TRUE()))</f>
        <v>1</v>
      </c>
      <c r="Q13" s="55" t="n">
        <f aca="false">IF(P13,IF(01_因子設定!$B$13="最大化",N13-01_因子設定!$B$14,IF(01_因子設定!$B$13="最小化",01_因子設定!$B$15-O13,MIN(N13-01_因子設定!$B$14,01_因子設定!$B$15-O13))),-1E+030)</f>
        <v>-6.56437618287219</v>
      </c>
      <c r="R13" s="55" t="n">
        <f aca="false">IF(P13,IF(01_因子設定!$B$13="最大化",K13,IF(01_因子設定!$B$13="最小化",-K13,-ABS(K13-01_因子設定!$B$16))),-1E+030)</f>
        <v>41.6048850574712</v>
      </c>
      <c r="S13" s="55" t="n">
        <f aca="false">Q13+ROW()*0.000000001</f>
        <v>-6.56437616987219</v>
      </c>
      <c r="T13" s="55" t="n">
        <f aca="false">R13+ROW()*0.000000001</f>
        <v>41.6048850704712</v>
      </c>
    </row>
    <row r="14" customFormat="false" ht="15" hidden="false" customHeight="false" outlineLevel="0" collapsed="false">
      <c r="A14" s="0" t="n">
        <v>0</v>
      </c>
      <c r="B14" s="0" t="n">
        <v>9</v>
      </c>
      <c r="C14" s="0" t="n">
        <f aca="false">-1+A14*0.05</f>
        <v>-1</v>
      </c>
      <c r="D14" s="0" t="n">
        <f aca="false">-1+B14*0.05</f>
        <v>-0.55</v>
      </c>
      <c r="E14" s="0" t="n">
        <f aca="false">1</f>
        <v>1</v>
      </c>
      <c r="F14" s="0" t="n">
        <f aca="false">C14</f>
        <v>-1</v>
      </c>
      <c r="G14" s="0" t="n">
        <f aca="false">D14</f>
        <v>-0.55</v>
      </c>
      <c r="H14" s="0" t="n">
        <f aca="false">C14*D14</f>
        <v>0.55</v>
      </c>
      <c r="I14" s="0" t="n">
        <f aca="false">C14*C14</f>
        <v>1</v>
      </c>
      <c r="J14" s="0" t="n">
        <f aca="false">D14*D14</f>
        <v>0.3025</v>
      </c>
      <c r="K14" s="0" t="n">
        <f aca="false">SUMPRODUCT(E14:J14,_XtX!$B$53:$G$53)</f>
        <v>41.7798635057471</v>
      </c>
      <c r="L14" s="0" t="n">
        <f aca="false">SUMPRODUCT(MMULT(E14:J14,_XtX!$B$44:$G$49),E14:J14)</f>
        <v>0.507391630747127</v>
      </c>
      <c r="M14" s="0" t="n">
        <f aca="false">04_回帰ANOVA!$K$19*04_回帰ANOVA!$K$14*SQRT(1+L14)</f>
        <v>1.66375595202306</v>
      </c>
      <c r="N14" s="0" t="n">
        <f aca="false">K14-M14</f>
        <v>40.1161075537241</v>
      </c>
      <c r="O14" s="0" t="n">
        <f aca="false">K14+M14</f>
        <v>43.4436194577702</v>
      </c>
      <c r="P14" s="54" t="b">
        <f aca="false">AND(C14&gt;=01_因子設定!$L$5-0.000000001,C14&lt;=01_因子設定!$M$5+0.000000001,D14&gt;=01_因子設定!$L$6-0.000000001,D14&lt;=01_因子設定!$M$6+0.000000001,IF(01_因子設定!$B$20="Box-Behnken",C14^2+D14^2&lt;=2+0.000000001,TRUE()))</f>
        <v>1</v>
      </c>
      <c r="Q14" s="55" t="n">
        <f aca="false">IF(P14,IF(01_因子設定!$B$13="最大化",N14-01_因子設定!$B$14,IF(01_因子設定!$B$13="最小化",01_因子設定!$B$15-O14,MIN(N14-01_因子設定!$B$14,01_因子設定!$B$15-O14))),-1E+030)</f>
        <v>-6.38389244627594</v>
      </c>
      <c r="R14" s="55" t="n">
        <f aca="false">IF(P14,IF(01_因子設定!$B$13="最大化",K14,IF(01_因子設定!$B$13="最小化",-K14,-ABS(K14-01_因子設定!$B$16))),-1E+030)</f>
        <v>41.7798635057471</v>
      </c>
      <c r="S14" s="55" t="n">
        <f aca="false">Q14+ROW()*0.000000001</f>
        <v>-6.38389243227594</v>
      </c>
      <c r="T14" s="55" t="n">
        <f aca="false">R14+ROW()*0.000000001</f>
        <v>41.7798635197471</v>
      </c>
    </row>
    <row r="15" customFormat="false" ht="15" hidden="false" customHeight="false" outlineLevel="0" collapsed="false">
      <c r="A15" s="0" t="n">
        <v>0</v>
      </c>
      <c r="B15" s="0" t="n">
        <v>10</v>
      </c>
      <c r="C15" s="0" t="n">
        <f aca="false">-1+A15*0.05</f>
        <v>-1</v>
      </c>
      <c r="D15" s="0" t="n">
        <f aca="false">-1+B15*0.05</f>
        <v>-0.5</v>
      </c>
      <c r="E15" s="0" t="n">
        <f aca="false">1</f>
        <v>1</v>
      </c>
      <c r="F15" s="0" t="n">
        <f aca="false">C15</f>
        <v>-1</v>
      </c>
      <c r="G15" s="0" t="n">
        <f aca="false">D15</f>
        <v>-0.5</v>
      </c>
      <c r="H15" s="0" t="n">
        <f aca="false">C15*D15</f>
        <v>0.5</v>
      </c>
      <c r="I15" s="0" t="n">
        <f aca="false">C15*C15</f>
        <v>1</v>
      </c>
      <c r="J15" s="0" t="n">
        <f aca="false">D15*D15</f>
        <v>0.25</v>
      </c>
      <c r="K15" s="0" t="n">
        <f aca="false">SUMPRODUCT(E15:J15,_XtX!$B$53:$G$53)</f>
        <v>41.9471264367816</v>
      </c>
      <c r="L15" s="0" t="n">
        <f aca="false">SUMPRODUCT(MMULT(E15:J15,_XtX!$B$44:$G$49),E15:J15)</f>
        <v>0.500359195402299</v>
      </c>
      <c r="M15" s="0" t="n">
        <f aca="false">04_回帰ANOVA!$K$19*04_回帰ANOVA!$K$14*SQRT(1+L15)</f>
        <v>1.65987045400384</v>
      </c>
      <c r="N15" s="0" t="n">
        <f aca="false">K15-M15</f>
        <v>40.2872559827777</v>
      </c>
      <c r="O15" s="0" t="n">
        <f aca="false">K15+M15</f>
        <v>43.6069968907854</v>
      </c>
      <c r="P15" s="54" t="b">
        <f aca="false">AND(C15&gt;=01_因子設定!$L$5-0.000000001,C15&lt;=01_因子設定!$M$5+0.000000001,D15&gt;=01_因子設定!$L$6-0.000000001,D15&lt;=01_因子設定!$M$6+0.000000001,IF(01_因子設定!$B$20="Box-Behnken",C15^2+D15^2&lt;=2+0.000000001,TRUE()))</f>
        <v>1</v>
      </c>
      <c r="Q15" s="55" t="n">
        <f aca="false">IF(P15,IF(01_因子設定!$B$13="最大化",N15-01_因子設定!$B$14,IF(01_因子設定!$B$13="最小化",01_因子設定!$B$15-O15,MIN(N15-01_因子設定!$B$14,01_因子設定!$B$15-O15))),-1E+030)</f>
        <v>-6.21274401722226</v>
      </c>
      <c r="R15" s="55" t="n">
        <f aca="false">IF(P15,IF(01_因子設定!$B$13="最大化",K15,IF(01_因子設定!$B$13="最小化",-K15,-ABS(K15-01_因子設定!$B$16))),-1E+030)</f>
        <v>41.9471264367816</v>
      </c>
      <c r="S15" s="55" t="n">
        <f aca="false">Q15+ROW()*0.000000001</f>
        <v>-6.21274400222226</v>
      </c>
      <c r="T15" s="55" t="n">
        <f aca="false">R15+ROW()*0.000000001</f>
        <v>41.9471264517816</v>
      </c>
    </row>
    <row r="16" customFormat="false" ht="15" hidden="false" customHeight="false" outlineLevel="0" collapsed="false">
      <c r="A16" s="0" t="n">
        <v>0</v>
      </c>
      <c r="B16" s="0" t="n">
        <v>11</v>
      </c>
      <c r="C16" s="0" t="n">
        <f aca="false">-1+A16*0.05</f>
        <v>-1</v>
      </c>
      <c r="D16" s="0" t="n">
        <f aca="false">-1+B16*0.05</f>
        <v>-0.45</v>
      </c>
      <c r="E16" s="0" t="n">
        <f aca="false">1</f>
        <v>1</v>
      </c>
      <c r="F16" s="0" t="n">
        <f aca="false">C16</f>
        <v>-1</v>
      </c>
      <c r="G16" s="0" t="n">
        <f aca="false">D16</f>
        <v>-0.45</v>
      </c>
      <c r="H16" s="0" t="n">
        <f aca="false">C16*D16</f>
        <v>0.45</v>
      </c>
      <c r="I16" s="0" t="n">
        <f aca="false">C16*C16</f>
        <v>1</v>
      </c>
      <c r="J16" s="0" t="n">
        <f aca="false">D16*D16</f>
        <v>0.2025</v>
      </c>
      <c r="K16" s="0" t="n">
        <f aca="false">SUMPRODUCT(E16:J16,_XtX!$B$53:$G$53)</f>
        <v>42.1066738505747</v>
      </c>
      <c r="L16" s="0" t="n">
        <f aca="false">SUMPRODUCT(MMULT(E16:J16,_XtX!$B$44:$G$49),E16:J16)</f>
        <v>0.495716343390805</v>
      </c>
      <c r="M16" s="0" t="n">
        <f aca="false">04_回帰ANOVA!$K$19*04_回帰ANOVA!$K$14*SQRT(1+L16)</f>
        <v>1.65730023478681</v>
      </c>
      <c r="N16" s="0" t="n">
        <f aca="false">K16-M16</f>
        <v>40.4493736157879</v>
      </c>
      <c r="O16" s="0" t="n">
        <f aca="false">K16+M16</f>
        <v>43.7639740853615</v>
      </c>
      <c r="P16" s="54" t="b">
        <f aca="false">AND(C16&gt;=01_因子設定!$L$5-0.000000001,C16&lt;=01_因子設定!$M$5+0.000000001,D16&gt;=01_因子設定!$L$6-0.000000001,D16&lt;=01_因子設定!$M$6+0.000000001,IF(01_因子設定!$B$20="Box-Behnken",C16^2+D16^2&lt;=2+0.000000001,TRUE()))</f>
        <v>1</v>
      </c>
      <c r="Q16" s="55" t="n">
        <f aca="false">IF(P16,IF(01_因子設定!$B$13="最大化",N16-01_因子設定!$B$14,IF(01_因子設定!$B$13="最小化",01_因子設定!$B$15-O16,MIN(N16-01_因子設定!$B$14,01_因子設定!$B$15-O16))),-1E+030)</f>
        <v>-6.05062638421212</v>
      </c>
      <c r="R16" s="55" t="n">
        <f aca="false">IF(P16,IF(01_因子設定!$B$13="最大化",K16,IF(01_因子設定!$B$13="最小化",-K16,-ABS(K16-01_因子設定!$B$16))),-1E+030)</f>
        <v>42.1066738505747</v>
      </c>
      <c r="S16" s="55" t="n">
        <f aca="false">Q16+ROW()*0.000000001</f>
        <v>-6.05062636821212</v>
      </c>
      <c r="T16" s="55" t="n">
        <f aca="false">R16+ROW()*0.000000001</f>
        <v>42.1066738665747</v>
      </c>
    </row>
    <row r="17" customFormat="false" ht="15" hidden="false" customHeight="false" outlineLevel="0" collapsed="false">
      <c r="A17" s="0" t="n">
        <v>0</v>
      </c>
      <c r="B17" s="0" t="n">
        <v>12</v>
      </c>
      <c r="C17" s="0" t="n">
        <f aca="false">-1+A17*0.05</f>
        <v>-1</v>
      </c>
      <c r="D17" s="0" t="n">
        <f aca="false">-1+B17*0.05</f>
        <v>-0.4</v>
      </c>
      <c r="E17" s="0" t="n">
        <f aca="false">1</f>
        <v>1</v>
      </c>
      <c r="F17" s="0" t="n">
        <f aca="false">C17</f>
        <v>-1</v>
      </c>
      <c r="G17" s="0" t="n">
        <f aca="false">D17</f>
        <v>-0.4</v>
      </c>
      <c r="H17" s="0" t="n">
        <f aca="false">C17*D17</f>
        <v>0.4</v>
      </c>
      <c r="I17" s="0" t="n">
        <f aca="false">C17*C17</f>
        <v>1</v>
      </c>
      <c r="J17" s="0" t="n">
        <f aca="false">D17*D17</f>
        <v>0.16</v>
      </c>
      <c r="K17" s="0" t="n">
        <f aca="false">SUMPRODUCT(E17:J17,_XtX!$B$53:$G$53)</f>
        <v>42.2585057471264</v>
      </c>
      <c r="L17" s="0" t="n">
        <f aca="false">SUMPRODUCT(MMULT(E17:J17,_XtX!$B$44:$G$49),E17:J17)</f>
        <v>0.492947126436782</v>
      </c>
      <c r="M17" s="0" t="n">
        <f aca="false">04_回帰ANOVA!$K$19*04_回帰ANOVA!$K$14*SQRT(1+L17)</f>
        <v>1.65576533475427</v>
      </c>
      <c r="N17" s="0" t="n">
        <f aca="false">K17-M17</f>
        <v>40.6027404123721</v>
      </c>
      <c r="O17" s="0" t="n">
        <f aca="false">K17+M17</f>
        <v>43.9142710818807</v>
      </c>
      <c r="P17" s="54" t="b">
        <f aca="false">AND(C17&gt;=01_因子設定!$L$5-0.000000001,C17&lt;=01_因子設定!$M$5+0.000000001,D17&gt;=01_因子設定!$L$6-0.000000001,D17&lt;=01_因子設定!$M$6+0.000000001,IF(01_因子設定!$B$20="Box-Behnken",C17^2+D17^2&lt;=2+0.000000001,TRUE()))</f>
        <v>1</v>
      </c>
      <c r="Q17" s="55" t="n">
        <f aca="false">IF(P17,IF(01_因子設定!$B$13="最大化",N17-01_因子設定!$B$14,IF(01_因子設定!$B$13="最小化",01_因子設定!$B$15-O17,MIN(N17-01_因子設定!$B$14,01_因子設定!$B$15-O17))),-1E+030)</f>
        <v>-5.89725958762786</v>
      </c>
      <c r="R17" s="55" t="n">
        <f aca="false">IF(P17,IF(01_因子設定!$B$13="最大化",K17,IF(01_因子設定!$B$13="最小化",-K17,-ABS(K17-01_因子設定!$B$16))),-1E+030)</f>
        <v>42.2585057471264</v>
      </c>
      <c r="S17" s="55" t="n">
        <f aca="false">Q17+ROW()*0.000000001</f>
        <v>-5.89725957062786</v>
      </c>
      <c r="T17" s="55" t="n">
        <f aca="false">R17+ROW()*0.000000001</f>
        <v>42.2585057641264</v>
      </c>
    </row>
    <row r="18" customFormat="false" ht="15" hidden="false" customHeight="false" outlineLevel="0" collapsed="false">
      <c r="A18" s="0" t="n">
        <v>0</v>
      </c>
      <c r="B18" s="0" t="n">
        <v>13</v>
      </c>
      <c r="C18" s="0" t="n">
        <f aca="false">-1+A18*0.05</f>
        <v>-1</v>
      </c>
      <c r="D18" s="0" t="n">
        <f aca="false">-1+B18*0.05</f>
        <v>-0.35</v>
      </c>
      <c r="E18" s="0" t="n">
        <f aca="false">1</f>
        <v>1</v>
      </c>
      <c r="F18" s="0" t="n">
        <f aca="false">C18</f>
        <v>-1</v>
      </c>
      <c r="G18" s="0" t="n">
        <f aca="false">D18</f>
        <v>-0.35</v>
      </c>
      <c r="H18" s="0" t="n">
        <f aca="false">C18*D18</f>
        <v>0.35</v>
      </c>
      <c r="I18" s="0" t="n">
        <f aca="false">C18*C18</f>
        <v>1</v>
      </c>
      <c r="J18" s="0" t="n">
        <f aca="false">D18*D18</f>
        <v>0.1225</v>
      </c>
      <c r="K18" s="0" t="n">
        <f aca="false">SUMPRODUCT(E18:J18,_XtX!$B$53:$G$53)</f>
        <v>42.4026221264368</v>
      </c>
      <c r="L18" s="0" t="n">
        <f aca="false">SUMPRODUCT(MMULT(E18:J18,_XtX!$B$44:$G$49),E18:J18)</f>
        <v>0.491589906609195</v>
      </c>
      <c r="M18" s="0" t="n">
        <f aca="false">04_回帰ANOVA!$K$19*04_回帰ANOVA!$K$14*SQRT(1+L18)</f>
        <v>1.65501254570079</v>
      </c>
      <c r="N18" s="0" t="n">
        <f aca="false">K18-M18</f>
        <v>40.747609580736</v>
      </c>
      <c r="O18" s="0" t="n">
        <f aca="false">K18+M18</f>
        <v>44.0576346721375</v>
      </c>
      <c r="P18" s="54" t="b">
        <f aca="false">AND(C18&gt;=01_因子設定!$L$5-0.000000001,C18&lt;=01_因子設定!$M$5+0.000000001,D18&gt;=01_因子設定!$L$6-0.000000001,D18&lt;=01_因子設定!$M$6+0.000000001,IF(01_因子設定!$B$20="Box-Behnken",C18^2+D18^2&lt;=2+0.000000001,TRUE()))</f>
        <v>1</v>
      </c>
      <c r="Q18" s="55" t="n">
        <f aca="false">IF(P18,IF(01_因子設定!$B$13="最大化",N18-01_因子設定!$B$14,IF(01_因子設定!$B$13="最小化",01_因子設定!$B$15-O18,MIN(N18-01_因子設定!$B$14,01_因子設定!$B$15-O18))),-1E+030)</f>
        <v>-5.75239041926402</v>
      </c>
      <c r="R18" s="55" t="n">
        <f aca="false">IF(P18,IF(01_因子設定!$B$13="最大化",K18,IF(01_因子設定!$B$13="最小化",-K18,-ABS(K18-01_因子設定!$B$16))),-1E+030)</f>
        <v>42.4026221264368</v>
      </c>
      <c r="S18" s="55" t="n">
        <f aca="false">Q18+ROW()*0.000000001</f>
        <v>-5.75239040126403</v>
      </c>
      <c r="T18" s="55" t="n">
        <f aca="false">R18+ROW()*0.000000001</f>
        <v>42.4026221444368</v>
      </c>
    </row>
    <row r="19" customFormat="false" ht="15" hidden="false" customHeight="false" outlineLevel="0" collapsed="false">
      <c r="A19" s="0" t="n">
        <v>0</v>
      </c>
      <c r="B19" s="0" t="n">
        <v>14</v>
      </c>
      <c r="C19" s="0" t="n">
        <f aca="false">-1+A19*0.05</f>
        <v>-1</v>
      </c>
      <c r="D19" s="0" t="n">
        <f aca="false">-1+B19*0.05</f>
        <v>-0.3</v>
      </c>
      <c r="E19" s="0" t="n">
        <f aca="false">1</f>
        <v>1</v>
      </c>
      <c r="F19" s="0" t="n">
        <f aca="false">C19</f>
        <v>-1</v>
      </c>
      <c r="G19" s="0" t="n">
        <f aca="false">D19</f>
        <v>-0.3</v>
      </c>
      <c r="H19" s="0" t="n">
        <f aca="false">C19*D19</f>
        <v>0.3</v>
      </c>
      <c r="I19" s="0" t="n">
        <f aca="false">C19*C19</f>
        <v>1</v>
      </c>
      <c r="J19" s="0" t="n">
        <f aca="false">D19*D19</f>
        <v>0.09</v>
      </c>
      <c r="K19" s="0" t="n">
        <f aca="false">SUMPRODUCT(E19:J19,_XtX!$B$53:$G$53)</f>
        <v>42.5390229885057</v>
      </c>
      <c r="L19" s="0" t="n">
        <f aca="false">SUMPRODUCT(MMULT(E19:J19,_XtX!$B$44:$G$49),E19:J19)</f>
        <v>0.491237356321839</v>
      </c>
      <c r="M19" s="0" t="n">
        <f aca="false">04_回帰ANOVA!$K$19*04_回帰ANOVA!$K$14*SQRT(1+L19)</f>
        <v>1.65481694581525</v>
      </c>
      <c r="N19" s="0" t="n">
        <f aca="false">K19-M19</f>
        <v>40.8842060426905</v>
      </c>
      <c r="O19" s="0" t="n">
        <f aca="false">K19+M19</f>
        <v>44.193839934321</v>
      </c>
      <c r="P19" s="54" t="b">
        <f aca="false">AND(C19&gt;=01_因子設定!$L$5-0.000000001,C19&lt;=01_因子設定!$M$5+0.000000001,D19&gt;=01_因子設定!$L$6-0.000000001,D19&lt;=01_因子設定!$M$6+0.000000001,IF(01_因子設定!$B$20="Box-Behnken",C19^2+D19^2&lt;=2+0.000000001,TRUE()))</f>
        <v>1</v>
      </c>
      <c r="Q19" s="55" t="n">
        <f aca="false">IF(P19,IF(01_因子設定!$B$13="最大化",N19-01_因子設定!$B$14,IF(01_因子設定!$B$13="最小化",01_因子設定!$B$15-O19,MIN(N19-01_因子設定!$B$14,01_因子設定!$B$15-O19))),-1E+030)</f>
        <v>-5.61579395730952</v>
      </c>
      <c r="R19" s="55" t="n">
        <f aca="false">IF(P19,IF(01_因子設定!$B$13="最大化",K19,IF(01_因子設定!$B$13="最小化",-K19,-ABS(K19-01_因子設定!$B$16))),-1E+030)</f>
        <v>42.5390229885057</v>
      </c>
      <c r="S19" s="55" t="n">
        <f aca="false">Q19+ROW()*0.000000001</f>
        <v>-5.61579393830952</v>
      </c>
      <c r="T19" s="55" t="n">
        <f aca="false">R19+ROW()*0.000000001</f>
        <v>42.5390230075057</v>
      </c>
    </row>
    <row r="20" customFormat="false" ht="15" hidden="false" customHeight="false" outlineLevel="0" collapsed="false">
      <c r="A20" s="0" t="n">
        <v>0</v>
      </c>
      <c r="B20" s="0" t="n">
        <v>15</v>
      </c>
      <c r="C20" s="0" t="n">
        <f aca="false">-1+A20*0.05</f>
        <v>-1</v>
      </c>
      <c r="D20" s="0" t="n">
        <f aca="false">-1+B20*0.05</f>
        <v>-0.25</v>
      </c>
      <c r="E20" s="0" t="n">
        <f aca="false">1</f>
        <v>1</v>
      </c>
      <c r="F20" s="0" t="n">
        <f aca="false">C20</f>
        <v>-1</v>
      </c>
      <c r="G20" s="0" t="n">
        <f aca="false">D20</f>
        <v>-0.25</v>
      </c>
      <c r="H20" s="0" t="n">
        <f aca="false">C20*D20</f>
        <v>0.25</v>
      </c>
      <c r="I20" s="0" t="n">
        <f aca="false">C20*C20</f>
        <v>1</v>
      </c>
      <c r="J20" s="0" t="n">
        <f aca="false">D20*D20</f>
        <v>0.0625</v>
      </c>
      <c r="K20" s="0" t="n">
        <f aca="false">SUMPRODUCT(E20:J20,_XtX!$B$53:$G$53)</f>
        <v>42.6677083333333</v>
      </c>
      <c r="L20" s="0" t="n">
        <f aca="false">SUMPRODUCT(MMULT(E20:J20,_XtX!$B$44:$G$49),E20:J20)</f>
        <v>0.491536458333333</v>
      </c>
      <c r="M20" s="0" t="n">
        <f aca="false">04_回帰ANOVA!$K$19*04_回帰ANOVA!$K$14*SQRT(1+L20)</f>
        <v>1.65498289332813</v>
      </c>
      <c r="N20" s="0" t="n">
        <f aca="false">K20-M20</f>
        <v>41.0127254400052</v>
      </c>
      <c r="O20" s="0" t="n">
        <f aca="false">K20+M20</f>
        <v>44.3226912266614</v>
      </c>
      <c r="P20" s="54" t="b">
        <f aca="false">AND(C20&gt;=01_因子設定!$L$5-0.000000001,C20&lt;=01_因子設定!$M$5+0.000000001,D20&gt;=01_因子設定!$L$6-0.000000001,D20&lt;=01_因子設定!$M$6+0.000000001,IF(01_因子設定!$B$20="Box-Behnken",C20^2+D20^2&lt;=2+0.000000001,TRUE()))</f>
        <v>1</v>
      </c>
      <c r="Q20" s="55" t="n">
        <f aca="false">IF(P20,IF(01_因子設定!$B$13="最大化",N20-01_因子設定!$B$14,IF(01_因子設定!$B$13="最小化",01_因子設定!$B$15-O20,MIN(N20-01_因子設定!$B$14,01_因子設定!$B$15-O20))),-1E+030)</f>
        <v>-5.48727455999482</v>
      </c>
      <c r="R20" s="55" t="n">
        <f aca="false">IF(P20,IF(01_因子設定!$B$13="最大化",K20,IF(01_因子設定!$B$13="最小化",-K20,-ABS(K20-01_因子設定!$B$16))),-1E+030)</f>
        <v>42.6677083333333</v>
      </c>
      <c r="S20" s="55" t="n">
        <f aca="false">Q20+ROW()*0.000000001</f>
        <v>-5.48727453999482</v>
      </c>
      <c r="T20" s="55" t="n">
        <f aca="false">R20+ROW()*0.000000001</f>
        <v>42.6677083533333</v>
      </c>
    </row>
    <row r="21" customFormat="false" ht="15" hidden="false" customHeight="false" outlineLevel="0" collapsed="false">
      <c r="A21" s="0" t="n">
        <v>0</v>
      </c>
      <c r="B21" s="0" t="n">
        <v>16</v>
      </c>
      <c r="C21" s="0" t="n">
        <f aca="false">-1+A21*0.05</f>
        <v>-1</v>
      </c>
      <c r="D21" s="0" t="n">
        <f aca="false">-1+B21*0.05</f>
        <v>-0.2</v>
      </c>
      <c r="E21" s="0" t="n">
        <f aca="false">1</f>
        <v>1</v>
      </c>
      <c r="F21" s="0" t="n">
        <f aca="false">C21</f>
        <v>-1</v>
      </c>
      <c r="G21" s="0" t="n">
        <f aca="false">D21</f>
        <v>-0.2</v>
      </c>
      <c r="H21" s="0" t="n">
        <f aca="false">C21*D21</f>
        <v>0.2</v>
      </c>
      <c r="I21" s="0" t="n">
        <f aca="false">C21*C21</f>
        <v>1</v>
      </c>
      <c r="J21" s="0" t="n">
        <f aca="false">D21*D21</f>
        <v>0.04</v>
      </c>
      <c r="K21" s="0" t="n">
        <f aca="false">SUMPRODUCT(E21:J21,_XtX!$B$53:$G$53)</f>
        <v>42.7886781609195</v>
      </c>
      <c r="L21" s="0" t="n">
        <f aca="false">SUMPRODUCT(MMULT(E21:J21,_XtX!$B$44:$G$49),E21:J21)</f>
        <v>0.492188505747126</v>
      </c>
      <c r="M21" s="0" t="n">
        <f aca="false">04_回帰ANOVA!$K$19*04_回帰ANOVA!$K$14*SQRT(1+L21)</f>
        <v>1.65534460403123</v>
      </c>
      <c r="N21" s="0" t="n">
        <f aca="false">K21-M21</f>
        <v>41.1333335568883</v>
      </c>
      <c r="O21" s="0" t="n">
        <f aca="false">K21+M21</f>
        <v>44.4440227649507</v>
      </c>
      <c r="P21" s="54" t="b">
        <f aca="false">AND(C21&gt;=01_因子設定!$L$5-0.000000001,C21&lt;=01_因子設定!$M$5+0.000000001,D21&gt;=01_因子設定!$L$6-0.000000001,D21&lt;=01_因子設定!$M$6+0.000000001,IF(01_因子設定!$B$20="Box-Behnken",C21^2+D21^2&lt;=2+0.000000001,TRUE()))</f>
        <v>1</v>
      </c>
      <c r="Q21" s="55" t="n">
        <f aca="false">IF(P21,IF(01_因子設定!$B$13="最大化",N21-01_因子設定!$B$14,IF(01_因子設定!$B$13="最小化",01_因子設定!$B$15-O21,MIN(N21-01_因子設定!$B$14,01_因子設定!$B$15-O21))),-1E+030)</f>
        <v>-5.36666644311171</v>
      </c>
      <c r="R21" s="55" t="n">
        <f aca="false">IF(P21,IF(01_因子設定!$B$13="最大化",K21,IF(01_因子設定!$B$13="最小化",-K21,-ABS(K21-01_因子設定!$B$16))),-1E+030)</f>
        <v>42.7886781609195</v>
      </c>
      <c r="S21" s="55" t="n">
        <f aca="false">Q21+ROW()*0.000000001</f>
        <v>-5.36666642211171</v>
      </c>
      <c r="T21" s="55" t="n">
        <f aca="false">R21+ROW()*0.000000001</f>
        <v>42.7886781819195</v>
      </c>
    </row>
    <row r="22" customFormat="false" ht="15" hidden="false" customHeight="false" outlineLevel="0" collapsed="false">
      <c r="A22" s="0" t="n">
        <v>0</v>
      </c>
      <c r="B22" s="0" t="n">
        <v>17</v>
      </c>
      <c r="C22" s="0" t="n">
        <f aca="false">-1+A22*0.05</f>
        <v>-1</v>
      </c>
      <c r="D22" s="0" t="n">
        <f aca="false">-1+B22*0.05</f>
        <v>-0.15</v>
      </c>
      <c r="E22" s="0" t="n">
        <f aca="false">1</f>
        <v>1</v>
      </c>
      <c r="F22" s="0" t="n">
        <f aca="false">C22</f>
        <v>-1</v>
      </c>
      <c r="G22" s="0" t="n">
        <f aca="false">D22</f>
        <v>-0.15</v>
      </c>
      <c r="H22" s="0" t="n">
        <f aca="false">C22*D22</f>
        <v>0.15</v>
      </c>
      <c r="I22" s="0" t="n">
        <f aca="false">C22*C22</f>
        <v>1</v>
      </c>
      <c r="J22" s="0" t="n">
        <f aca="false">D22*D22</f>
        <v>0.0225</v>
      </c>
      <c r="K22" s="0" t="n">
        <f aca="false">SUMPRODUCT(E22:J22,_XtX!$B$53:$G$53)</f>
        <v>42.9019324712643</v>
      </c>
      <c r="L22" s="0" t="n">
        <f aca="false">SUMPRODUCT(MMULT(E22:J22,_XtX!$B$44:$G$49),E22:J22)</f>
        <v>0.492949102011494</v>
      </c>
      <c r="M22" s="0" t="n">
        <f aca="false">04_回帰ANOVA!$K$19*04_回帰ANOVA!$K$14*SQRT(1+L22)</f>
        <v>1.65576643026763</v>
      </c>
      <c r="N22" s="0" t="n">
        <f aca="false">K22-M22</f>
        <v>41.2461660409967</v>
      </c>
      <c r="O22" s="0" t="n">
        <f aca="false">K22+M22</f>
        <v>44.557698901532</v>
      </c>
      <c r="P22" s="54" t="b">
        <f aca="false">AND(C22&gt;=01_因子設定!$L$5-0.000000001,C22&lt;=01_因子設定!$M$5+0.000000001,D22&gt;=01_因子設定!$L$6-0.000000001,D22&lt;=01_因子設定!$M$6+0.000000001,IF(01_因子設定!$B$20="Box-Behnken",C22^2+D22^2&lt;=2+0.000000001,TRUE()))</f>
        <v>1</v>
      </c>
      <c r="Q22" s="55" t="n">
        <f aca="false">IF(P22,IF(01_因子設定!$B$13="最大化",N22-01_因子設定!$B$14,IF(01_因子設定!$B$13="最小化",01_因子設定!$B$15-O22,MIN(N22-01_因子設定!$B$14,01_因子設定!$B$15-O22))),-1E+030)</f>
        <v>-5.25383395900329</v>
      </c>
      <c r="R22" s="55" t="n">
        <f aca="false">IF(P22,IF(01_因子設定!$B$13="最大化",K22,IF(01_因子設定!$B$13="最小化",-K22,-ABS(K22-01_因子設定!$B$16))),-1E+030)</f>
        <v>42.9019324712643</v>
      </c>
      <c r="S22" s="55" t="n">
        <f aca="false">Q22+ROW()*0.000000001</f>
        <v>-5.25383393700329</v>
      </c>
      <c r="T22" s="55" t="n">
        <f aca="false">R22+ROW()*0.000000001</f>
        <v>42.9019324932644</v>
      </c>
    </row>
    <row r="23" customFormat="false" ht="15" hidden="false" customHeight="false" outlineLevel="0" collapsed="false">
      <c r="A23" s="0" t="n">
        <v>0</v>
      </c>
      <c r="B23" s="0" t="n">
        <v>18</v>
      </c>
      <c r="C23" s="0" t="n">
        <f aca="false">-1+A23*0.05</f>
        <v>-1</v>
      </c>
      <c r="D23" s="0" t="n">
        <f aca="false">-1+B23*0.05</f>
        <v>-0.1</v>
      </c>
      <c r="E23" s="0" t="n">
        <f aca="false">1</f>
        <v>1</v>
      </c>
      <c r="F23" s="0" t="n">
        <f aca="false">C23</f>
        <v>-1</v>
      </c>
      <c r="G23" s="0" t="n">
        <f aca="false">D23</f>
        <v>-0.1</v>
      </c>
      <c r="H23" s="0" t="n">
        <f aca="false">C23*D23</f>
        <v>0.1</v>
      </c>
      <c r="I23" s="0" t="n">
        <f aca="false">C23*C23</f>
        <v>1</v>
      </c>
      <c r="J23" s="0" t="n">
        <f aca="false">D23*D23</f>
        <v>0.01</v>
      </c>
      <c r="K23" s="0" t="n">
        <f aca="false">SUMPRODUCT(E23:J23,_XtX!$B$53:$G$53)</f>
        <v>43.0074712643678</v>
      </c>
      <c r="L23" s="0" t="n">
        <f aca="false">SUMPRODUCT(MMULT(E23:J23,_XtX!$B$44:$G$49),E23:J23)</f>
        <v>0.49362816091954</v>
      </c>
      <c r="M23" s="0" t="n">
        <f aca="false">04_回帰ANOVA!$K$19*04_回帰ANOVA!$K$14*SQRT(1+L23)</f>
        <v>1.65614294515325</v>
      </c>
      <c r="N23" s="0" t="n">
        <f aca="false">K23-M23</f>
        <v>41.3513283192145</v>
      </c>
      <c r="O23" s="0" t="n">
        <f aca="false">K23+M23</f>
        <v>44.663614209521</v>
      </c>
      <c r="P23" s="54" t="b">
        <f aca="false">AND(C23&gt;=01_因子設定!$L$5-0.000000001,C23&lt;=01_因子設定!$M$5+0.000000001,D23&gt;=01_因子設定!$L$6-0.000000001,D23&lt;=01_因子設定!$M$6+0.000000001,IF(01_因子設定!$B$20="Box-Behnken",C23^2+D23^2&lt;=2+0.000000001,TRUE()))</f>
        <v>1</v>
      </c>
      <c r="Q23" s="55" t="n">
        <f aca="false">IF(P23,IF(01_因子設定!$B$13="最大化",N23-01_因子設定!$B$14,IF(01_因子設定!$B$13="最小化",01_因子設定!$B$15-O23,MIN(N23-01_因子設定!$B$14,01_因子設定!$B$15-O23))),-1E+030)</f>
        <v>-5.14867168078546</v>
      </c>
      <c r="R23" s="55" t="n">
        <f aca="false">IF(P23,IF(01_因子設定!$B$13="最大化",K23,IF(01_因子設定!$B$13="最小化",-K23,-ABS(K23-01_因子設定!$B$16))),-1E+030)</f>
        <v>43.0074712643678</v>
      </c>
      <c r="S23" s="55" t="n">
        <f aca="false">Q23+ROW()*0.000000001</f>
        <v>-5.14867165778546</v>
      </c>
      <c r="T23" s="55" t="n">
        <f aca="false">R23+ROW()*0.000000001</f>
        <v>43.0074712873678</v>
      </c>
    </row>
    <row r="24" customFormat="false" ht="15" hidden="false" customHeight="false" outlineLevel="0" collapsed="false">
      <c r="A24" s="0" t="n">
        <v>0</v>
      </c>
      <c r="B24" s="0" t="n">
        <v>19</v>
      </c>
      <c r="C24" s="0" t="n">
        <f aca="false">-1+A24*0.05</f>
        <v>-1</v>
      </c>
      <c r="D24" s="0" t="n">
        <f aca="false">-1+B24*0.05</f>
        <v>-0.0499999999999999</v>
      </c>
      <c r="E24" s="0" t="n">
        <f aca="false">1</f>
        <v>1</v>
      </c>
      <c r="F24" s="0" t="n">
        <f aca="false">C24</f>
        <v>-1</v>
      </c>
      <c r="G24" s="0" t="n">
        <f aca="false">D24</f>
        <v>-0.0499999999999999</v>
      </c>
      <c r="H24" s="0" t="n">
        <f aca="false">C24*D24</f>
        <v>0.0499999999999999</v>
      </c>
      <c r="I24" s="0" t="n">
        <f aca="false">C24*C24</f>
        <v>1</v>
      </c>
      <c r="J24" s="0" t="n">
        <f aca="false">D24*D24</f>
        <v>0.00249999999999999</v>
      </c>
      <c r="K24" s="0" t="n">
        <f aca="false">SUMPRODUCT(E24:J24,_XtX!$B$53:$G$53)</f>
        <v>43.1052945402299</v>
      </c>
      <c r="L24" s="0" t="n">
        <f aca="false">SUMPRODUCT(MMULT(E24:J24,_XtX!$B$44:$G$49),E24:J24)</f>
        <v>0.494089906609195</v>
      </c>
      <c r="M24" s="0" t="n">
        <f aca="false">04_回帰ANOVA!$K$19*04_回帰ANOVA!$K$14*SQRT(1+L24)</f>
        <v>1.6563989184248</v>
      </c>
      <c r="N24" s="0" t="n">
        <f aca="false">K24-M24</f>
        <v>41.4488956218051</v>
      </c>
      <c r="O24" s="0" t="n">
        <f aca="false">K24+M24</f>
        <v>44.7616934586547</v>
      </c>
      <c r="P24" s="54" t="b">
        <f aca="false">AND(C24&gt;=01_因子設定!$L$5-0.000000001,C24&lt;=01_因子設定!$M$5+0.000000001,D24&gt;=01_因子設定!$L$6-0.000000001,D24&lt;=01_因子設定!$M$6+0.000000001,IF(01_因子設定!$B$20="Box-Behnken",C24^2+D24^2&lt;=2+0.000000001,TRUE()))</f>
        <v>1</v>
      </c>
      <c r="Q24" s="55" t="n">
        <f aca="false">IF(P24,IF(01_因子設定!$B$13="最大化",N24-01_因子設定!$B$14,IF(01_因子設定!$B$13="最小化",01_因子設定!$B$15-O24,MIN(N24-01_因子設定!$B$14,01_因子設定!$B$15-O24))),-1E+030)</f>
        <v>-5.05110437819494</v>
      </c>
      <c r="R24" s="55" t="n">
        <f aca="false">IF(P24,IF(01_因子設定!$B$13="最大化",K24,IF(01_因子設定!$B$13="最小化",-K24,-ABS(K24-01_因子設定!$B$16))),-1E+030)</f>
        <v>43.1052945402299</v>
      </c>
      <c r="S24" s="55" t="n">
        <f aca="false">Q24+ROW()*0.000000001</f>
        <v>-5.05110435419494</v>
      </c>
      <c r="T24" s="55" t="n">
        <f aca="false">R24+ROW()*0.000000001</f>
        <v>43.1052945642299</v>
      </c>
    </row>
    <row r="25" customFormat="false" ht="15" hidden="false" customHeight="false" outlineLevel="0" collapsed="false">
      <c r="A25" s="0" t="n">
        <v>0</v>
      </c>
      <c r="B25" s="0" t="n">
        <v>20</v>
      </c>
      <c r="C25" s="0" t="n">
        <f aca="false">-1+A25*0.05</f>
        <v>-1</v>
      </c>
      <c r="D25" s="0" t="n">
        <f aca="false">-1+B25*0.05</f>
        <v>0</v>
      </c>
      <c r="E25" s="0" t="n">
        <f aca="false">1</f>
        <v>1</v>
      </c>
      <c r="F25" s="0" t="n">
        <f aca="false">C25</f>
        <v>-1</v>
      </c>
      <c r="G25" s="0" t="n">
        <f aca="false">D25</f>
        <v>0</v>
      </c>
      <c r="H25" s="0" t="n">
        <f aca="false">C25*D25</f>
        <v>-0</v>
      </c>
      <c r="I25" s="0" t="n">
        <f aca="false">C25*C25</f>
        <v>1</v>
      </c>
      <c r="J25" s="0" t="n">
        <f aca="false">D25*D25</f>
        <v>0</v>
      </c>
      <c r="K25" s="0" t="n">
        <f aca="false">SUMPRODUCT(E25:J25,_XtX!$B$53:$G$53)</f>
        <v>43.1954022988506</v>
      </c>
      <c r="L25" s="0" t="n">
        <f aca="false">SUMPRODUCT(MMULT(E25:J25,_XtX!$B$44:$G$49),E25:J25)</f>
        <v>0.494252873563218</v>
      </c>
      <c r="M25" s="0" t="n">
        <f aca="false">04_回帰ANOVA!$K$19*04_回帰ANOVA!$K$14*SQRT(1+L25)</f>
        <v>1.65648925131734</v>
      </c>
      <c r="N25" s="0" t="n">
        <f aca="false">K25-M25</f>
        <v>41.5389130475332</v>
      </c>
      <c r="O25" s="0" t="n">
        <f aca="false">K25+M25</f>
        <v>44.8518915501679</v>
      </c>
      <c r="P25" s="54" t="b">
        <f aca="false">AND(C25&gt;=01_因子設定!$L$5-0.000000001,C25&lt;=01_因子設定!$M$5+0.000000001,D25&gt;=01_因子設定!$L$6-0.000000001,D25&lt;=01_因子設定!$M$6+0.000000001,IF(01_因子設定!$B$20="Box-Behnken",C25^2+D25^2&lt;=2+0.000000001,TRUE()))</f>
        <v>1</v>
      </c>
      <c r="Q25" s="55" t="n">
        <f aca="false">IF(P25,IF(01_因子設定!$B$13="最大化",N25-01_因子設定!$B$14,IF(01_因子設定!$B$13="最小化",01_因子設定!$B$15-O25,MIN(N25-01_因子設定!$B$14,01_因子設定!$B$15-O25))),-1E+030)</f>
        <v>-4.96108695246679</v>
      </c>
      <c r="R25" s="55" t="n">
        <f aca="false">IF(P25,IF(01_因子設定!$B$13="最大化",K25,IF(01_因子設定!$B$13="最小化",-K25,-ABS(K25-01_因子設定!$B$16))),-1E+030)</f>
        <v>43.1954022988506</v>
      </c>
      <c r="S25" s="55" t="n">
        <f aca="false">Q25+ROW()*0.000000001</f>
        <v>-4.96108692746679</v>
      </c>
      <c r="T25" s="55" t="n">
        <f aca="false">R25+ROW()*0.000000001</f>
        <v>43.1954023238506</v>
      </c>
    </row>
    <row r="26" customFormat="false" ht="15" hidden="false" customHeight="false" outlineLevel="0" collapsed="false">
      <c r="A26" s="0" t="n">
        <v>0</v>
      </c>
      <c r="B26" s="0" t="n">
        <v>21</v>
      </c>
      <c r="C26" s="0" t="n">
        <f aca="false">-1+A26*0.05</f>
        <v>-1</v>
      </c>
      <c r="D26" s="0" t="n">
        <f aca="false">-1+B26*0.05</f>
        <v>0.05</v>
      </c>
      <c r="E26" s="0" t="n">
        <f aca="false">1</f>
        <v>1</v>
      </c>
      <c r="F26" s="0" t="n">
        <f aca="false">C26</f>
        <v>-1</v>
      </c>
      <c r="G26" s="0" t="n">
        <f aca="false">D26</f>
        <v>0.05</v>
      </c>
      <c r="H26" s="0" t="n">
        <f aca="false">C26*D26</f>
        <v>-0.05</v>
      </c>
      <c r="I26" s="0" t="n">
        <f aca="false">C26*C26</f>
        <v>1</v>
      </c>
      <c r="J26" s="0" t="n">
        <f aca="false">D26*D26</f>
        <v>0.0025</v>
      </c>
      <c r="K26" s="0" t="n">
        <f aca="false">SUMPRODUCT(E26:J26,_XtX!$B$53:$G$53)</f>
        <v>43.2777945402299</v>
      </c>
      <c r="L26" s="0" t="n">
        <f aca="false">SUMPRODUCT(MMULT(E26:J26,_XtX!$B$44:$G$49),E26:J26)</f>
        <v>0.494089906609195</v>
      </c>
      <c r="M26" s="0" t="n">
        <f aca="false">04_回帰ANOVA!$K$19*04_回帰ANOVA!$K$14*SQRT(1+L26)</f>
        <v>1.6563989184248</v>
      </c>
      <c r="N26" s="0" t="n">
        <f aca="false">K26-M26</f>
        <v>41.6213956218051</v>
      </c>
      <c r="O26" s="0" t="n">
        <f aca="false">K26+M26</f>
        <v>44.9341934586547</v>
      </c>
      <c r="P26" s="54" t="b">
        <f aca="false">AND(C26&gt;=01_因子設定!$L$5-0.000000001,C26&lt;=01_因子設定!$M$5+0.000000001,D26&gt;=01_因子設定!$L$6-0.000000001,D26&lt;=01_因子設定!$M$6+0.000000001,IF(01_因子設定!$B$20="Box-Behnken",C26^2+D26^2&lt;=2+0.000000001,TRUE()))</f>
        <v>1</v>
      </c>
      <c r="Q26" s="55" t="n">
        <f aca="false">IF(P26,IF(01_因子設定!$B$13="最大化",N26-01_因子設定!$B$14,IF(01_因子設定!$B$13="最小化",01_因子設定!$B$15-O26,MIN(N26-01_因子設定!$B$14,01_因子設定!$B$15-O26))),-1E+030)</f>
        <v>-4.87860437819494</v>
      </c>
      <c r="R26" s="55" t="n">
        <f aca="false">IF(P26,IF(01_因子設定!$B$13="最大化",K26,IF(01_因子設定!$B$13="最小化",-K26,-ABS(K26-01_因子設定!$B$16))),-1E+030)</f>
        <v>43.2777945402299</v>
      </c>
      <c r="S26" s="55" t="n">
        <f aca="false">Q26+ROW()*0.000000001</f>
        <v>-4.87860435219494</v>
      </c>
      <c r="T26" s="55" t="n">
        <f aca="false">R26+ROW()*0.000000001</f>
        <v>43.2777945662299</v>
      </c>
    </row>
    <row r="27" customFormat="false" ht="15" hidden="false" customHeight="false" outlineLevel="0" collapsed="false">
      <c r="A27" s="0" t="n">
        <v>0</v>
      </c>
      <c r="B27" s="0" t="n">
        <v>22</v>
      </c>
      <c r="C27" s="0" t="n">
        <f aca="false">-1+A27*0.05</f>
        <v>-1</v>
      </c>
      <c r="D27" s="0" t="n">
        <f aca="false">-1+B27*0.05</f>
        <v>0.1</v>
      </c>
      <c r="E27" s="0" t="n">
        <f aca="false">1</f>
        <v>1</v>
      </c>
      <c r="F27" s="0" t="n">
        <f aca="false">C27</f>
        <v>-1</v>
      </c>
      <c r="G27" s="0" t="n">
        <f aca="false">D27</f>
        <v>0.1</v>
      </c>
      <c r="H27" s="0" t="n">
        <f aca="false">C27*D27</f>
        <v>-0.1</v>
      </c>
      <c r="I27" s="0" t="n">
        <f aca="false">C27*C27</f>
        <v>1</v>
      </c>
      <c r="J27" s="0" t="n">
        <f aca="false">D27*D27</f>
        <v>0.01</v>
      </c>
      <c r="K27" s="0" t="n">
        <f aca="false">SUMPRODUCT(E27:J27,_XtX!$B$53:$G$53)</f>
        <v>43.3524712643678</v>
      </c>
      <c r="L27" s="0" t="n">
        <f aca="false">SUMPRODUCT(MMULT(E27:J27,_XtX!$B$44:$G$49),E27:J27)</f>
        <v>0.49362816091954</v>
      </c>
      <c r="M27" s="0" t="n">
        <f aca="false">04_回帰ANOVA!$K$19*04_回帰ANOVA!$K$14*SQRT(1+L27)</f>
        <v>1.65614294515325</v>
      </c>
      <c r="N27" s="0" t="n">
        <f aca="false">K27-M27</f>
        <v>41.6963283192145</v>
      </c>
      <c r="O27" s="0" t="n">
        <f aca="false">K27+M27</f>
        <v>45.008614209521</v>
      </c>
      <c r="P27" s="54" t="b">
        <f aca="false">AND(C27&gt;=01_因子設定!$L$5-0.000000001,C27&lt;=01_因子設定!$M$5+0.000000001,D27&gt;=01_因子設定!$L$6-0.000000001,D27&lt;=01_因子設定!$M$6+0.000000001,IF(01_因子設定!$B$20="Box-Behnken",C27^2+D27^2&lt;=2+0.000000001,TRUE()))</f>
        <v>1</v>
      </c>
      <c r="Q27" s="55" t="n">
        <f aca="false">IF(P27,IF(01_因子設定!$B$13="最大化",N27-01_因子設定!$B$14,IF(01_因子設定!$B$13="最小化",01_因子設定!$B$15-O27,MIN(N27-01_因子設定!$B$14,01_因子設定!$B$15-O27))),-1E+030)</f>
        <v>-4.80367168078546</v>
      </c>
      <c r="R27" s="55" t="n">
        <f aca="false">IF(P27,IF(01_因子設定!$B$13="最大化",K27,IF(01_因子設定!$B$13="最小化",-K27,-ABS(K27-01_因子設定!$B$16))),-1E+030)</f>
        <v>43.3524712643678</v>
      </c>
      <c r="S27" s="55" t="n">
        <f aca="false">Q27+ROW()*0.000000001</f>
        <v>-4.80367165378546</v>
      </c>
      <c r="T27" s="55" t="n">
        <f aca="false">R27+ROW()*0.000000001</f>
        <v>43.3524712913678</v>
      </c>
    </row>
    <row r="28" customFormat="false" ht="15" hidden="false" customHeight="false" outlineLevel="0" collapsed="false">
      <c r="A28" s="0" t="n">
        <v>0</v>
      </c>
      <c r="B28" s="0" t="n">
        <v>23</v>
      </c>
      <c r="C28" s="0" t="n">
        <f aca="false">-1+A28*0.05</f>
        <v>-1</v>
      </c>
      <c r="D28" s="0" t="n">
        <f aca="false">-1+B28*0.05</f>
        <v>0.15</v>
      </c>
      <c r="E28" s="0" t="n">
        <f aca="false">1</f>
        <v>1</v>
      </c>
      <c r="F28" s="0" t="n">
        <f aca="false">C28</f>
        <v>-1</v>
      </c>
      <c r="G28" s="0" t="n">
        <f aca="false">D28</f>
        <v>0.15</v>
      </c>
      <c r="H28" s="0" t="n">
        <f aca="false">C28*D28</f>
        <v>-0.15</v>
      </c>
      <c r="I28" s="0" t="n">
        <f aca="false">C28*C28</f>
        <v>1</v>
      </c>
      <c r="J28" s="0" t="n">
        <f aca="false">D28*D28</f>
        <v>0.0225</v>
      </c>
      <c r="K28" s="0" t="n">
        <f aca="false">SUMPRODUCT(E28:J28,_XtX!$B$53:$G$53)</f>
        <v>43.4194324712643</v>
      </c>
      <c r="L28" s="0" t="n">
        <f aca="false">SUMPRODUCT(MMULT(E28:J28,_XtX!$B$44:$G$49),E28:J28)</f>
        <v>0.492949102011494</v>
      </c>
      <c r="M28" s="0" t="n">
        <f aca="false">04_回帰ANOVA!$K$19*04_回帰ANOVA!$K$14*SQRT(1+L28)</f>
        <v>1.65576643026763</v>
      </c>
      <c r="N28" s="0" t="n">
        <f aca="false">K28-M28</f>
        <v>41.7636660409967</v>
      </c>
      <c r="O28" s="0" t="n">
        <f aca="false">K28+M28</f>
        <v>45.075198901532</v>
      </c>
      <c r="P28" s="54" t="b">
        <f aca="false">AND(C28&gt;=01_因子設定!$L$5-0.000000001,C28&lt;=01_因子設定!$M$5+0.000000001,D28&gt;=01_因子設定!$L$6-0.000000001,D28&lt;=01_因子設定!$M$6+0.000000001,IF(01_因子設定!$B$20="Box-Behnken",C28^2+D28^2&lt;=2+0.000000001,TRUE()))</f>
        <v>1</v>
      </c>
      <c r="Q28" s="55" t="n">
        <f aca="false">IF(P28,IF(01_因子設定!$B$13="最大化",N28-01_因子設定!$B$14,IF(01_因子設定!$B$13="最小化",01_因子設定!$B$15-O28,MIN(N28-01_因子設定!$B$14,01_因子設定!$B$15-O28))),-1E+030)</f>
        <v>-4.73633395900329</v>
      </c>
      <c r="R28" s="55" t="n">
        <f aca="false">IF(P28,IF(01_因子設定!$B$13="最大化",K28,IF(01_因子設定!$B$13="最小化",-K28,-ABS(K28-01_因子設定!$B$16))),-1E+030)</f>
        <v>43.4194324712643</v>
      </c>
      <c r="S28" s="55" t="n">
        <f aca="false">Q28+ROW()*0.000000001</f>
        <v>-4.73633393100329</v>
      </c>
      <c r="T28" s="55" t="n">
        <f aca="false">R28+ROW()*0.000000001</f>
        <v>43.4194324992643</v>
      </c>
    </row>
    <row r="29" customFormat="false" ht="15" hidden="false" customHeight="false" outlineLevel="0" collapsed="false">
      <c r="A29" s="0" t="n">
        <v>0</v>
      </c>
      <c r="B29" s="0" t="n">
        <v>24</v>
      </c>
      <c r="C29" s="0" t="n">
        <f aca="false">-1+A29*0.05</f>
        <v>-1</v>
      </c>
      <c r="D29" s="0" t="n">
        <f aca="false">-1+B29*0.05</f>
        <v>0.2</v>
      </c>
      <c r="E29" s="0" t="n">
        <f aca="false">1</f>
        <v>1</v>
      </c>
      <c r="F29" s="0" t="n">
        <f aca="false">C29</f>
        <v>-1</v>
      </c>
      <c r="G29" s="0" t="n">
        <f aca="false">D29</f>
        <v>0.2</v>
      </c>
      <c r="H29" s="0" t="n">
        <f aca="false">C29*D29</f>
        <v>-0.2</v>
      </c>
      <c r="I29" s="0" t="n">
        <f aca="false">C29*C29</f>
        <v>1</v>
      </c>
      <c r="J29" s="0" t="n">
        <f aca="false">D29*D29</f>
        <v>0.0400000000000001</v>
      </c>
      <c r="K29" s="0" t="n">
        <f aca="false">SUMPRODUCT(E29:J29,_XtX!$B$53:$G$53)</f>
        <v>43.4786781609195</v>
      </c>
      <c r="L29" s="0" t="n">
        <f aca="false">SUMPRODUCT(MMULT(E29:J29,_XtX!$B$44:$G$49),E29:J29)</f>
        <v>0.492188505747126</v>
      </c>
      <c r="M29" s="0" t="n">
        <f aca="false">04_回帰ANOVA!$K$19*04_回帰ANOVA!$K$14*SQRT(1+L29)</f>
        <v>1.65534460403123</v>
      </c>
      <c r="N29" s="0" t="n">
        <f aca="false">K29-M29</f>
        <v>41.8233335568883</v>
      </c>
      <c r="O29" s="0" t="n">
        <f aca="false">K29+M29</f>
        <v>45.1340227649508</v>
      </c>
      <c r="P29" s="54" t="b">
        <f aca="false">AND(C29&gt;=01_因子設定!$L$5-0.000000001,C29&lt;=01_因子設定!$M$5+0.000000001,D29&gt;=01_因子設定!$L$6-0.000000001,D29&lt;=01_因子設定!$M$6+0.000000001,IF(01_因子設定!$B$20="Box-Behnken",C29^2+D29^2&lt;=2+0.000000001,TRUE()))</f>
        <v>1</v>
      </c>
      <c r="Q29" s="55" t="n">
        <f aca="false">IF(P29,IF(01_因子設定!$B$13="最大化",N29-01_因子設定!$B$14,IF(01_因子設定!$B$13="最小化",01_因子設定!$B$15-O29,MIN(N29-01_因子設定!$B$14,01_因子設定!$B$15-O29))),-1E+030)</f>
        <v>-4.67666644311171</v>
      </c>
      <c r="R29" s="55" t="n">
        <f aca="false">IF(P29,IF(01_因子設定!$B$13="最大化",K29,IF(01_因子設定!$B$13="最小化",-K29,-ABS(K29-01_因子設定!$B$16))),-1E+030)</f>
        <v>43.4786781609195</v>
      </c>
      <c r="S29" s="55" t="n">
        <f aca="false">Q29+ROW()*0.000000001</f>
        <v>-4.67666641411171</v>
      </c>
      <c r="T29" s="55" t="n">
        <f aca="false">R29+ROW()*0.000000001</f>
        <v>43.4786781899195</v>
      </c>
    </row>
    <row r="30" customFormat="false" ht="15" hidden="false" customHeight="false" outlineLevel="0" collapsed="false">
      <c r="A30" s="0" t="n">
        <v>0</v>
      </c>
      <c r="B30" s="0" t="n">
        <v>25</v>
      </c>
      <c r="C30" s="0" t="n">
        <f aca="false">-1+A30*0.05</f>
        <v>-1</v>
      </c>
      <c r="D30" s="0" t="n">
        <f aca="false">-1+B30*0.05</f>
        <v>0.25</v>
      </c>
      <c r="E30" s="0" t="n">
        <f aca="false">1</f>
        <v>1</v>
      </c>
      <c r="F30" s="0" t="n">
        <f aca="false">C30</f>
        <v>-1</v>
      </c>
      <c r="G30" s="0" t="n">
        <f aca="false">D30</f>
        <v>0.25</v>
      </c>
      <c r="H30" s="0" t="n">
        <f aca="false">C30*D30</f>
        <v>-0.25</v>
      </c>
      <c r="I30" s="0" t="n">
        <f aca="false">C30*C30</f>
        <v>1</v>
      </c>
      <c r="J30" s="0" t="n">
        <f aca="false">D30*D30</f>
        <v>0.0625</v>
      </c>
      <c r="K30" s="0" t="n">
        <f aca="false">SUMPRODUCT(E30:J30,_XtX!$B$53:$G$53)</f>
        <v>43.5302083333333</v>
      </c>
      <c r="L30" s="0" t="n">
        <f aca="false">SUMPRODUCT(MMULT(E30:J30,_XtX!$B$44:$G$49),E30:J30)</f>
        <v>0.491536458333333</v>
      </c>
      <c r="M30" s="0" t="n">
        <f aca="false">04_回帰ANOVA!$K$19*04_回帰ANOVA!$K$14*SQRT(1+L30)</f>
        <v>1.65498289332813</v>
      </c>
      <c r="N30" s="0" t="n">
        <f aca="false">K30-M30</f>
        <v>41.8752254400052</v>
      </c>
      <c r="O30" s="0" t="n">
        <f aca="false">K30+M30</f>
        <v>45.1851912266614</v>
      </c>
      <c r="P30" s="54" t="b">
        <f aca="false">AND(C30&gt;=01_因子設定!$L$5-0.000000001,C30&lt;=01_因子設定!$M$5+0.000000001,D30&gt;=01_因子設定!$L$6-0.000000001,D30&lt;=01_因子設定!$M$6+0.000000001,IF(01_因子設定!$B$20="Box-Behnken",C30^2+D30^2&lt;=2+0.000000001,TRUE()))</f>
        <v>1</v>
      </c>
      <c r="Q30" s="55" t="n">
        <f aca="false">IF(P30,IF(01_因子設定!$B$13="最大化",N30-01_因子設定!$B$14,IF(01_因子設定!$B$13="最小化",01_因子設定!$B$15-O30,MIN(N30-01_因子設定!$B$14,01_因子設定!$B$15-O30))),-1E+030)</f>
        <v>-4.62477455999481</v>
      </c>
      <c r="R30" s="55" t="n">
        <f aca="false">IF(P30,IF(01_因子設定!$B$13="最大化",K30,IF(01_因子設定!$B$13="最小化",-K30,-ABS(K30-01_因子設定!$B$16))),-1E+030)</f>
        <v>43.5302083333333</v>
      </c>
      <c r="S30" s="55" t="n">
        <f aca="false">Q30+ROW()*0.000000001</f>
        <v>-4.62477452999481</v>
      </c>
      <c r="T30" s="55" t="n">
        <f aca="false">R30+ROW()*0.000000001</f>
        <v>43.5302083633333</v>
      </c>
    </row>
    <row r="31" customFormat="false" ht="15" hidden="false" customHeight="false" outlineLevel="0" collapsed="false">
      <c r="A31" s="0" t="n">
        <v>0</v>
      </c>
      <c r="B31" s="0" t="n">
        <v>26</v>
      </c>
      <c r="C31" s="0" t="n">
        <f aca="false">-1+A31*0.05</f>
        <v>-1</v>
      </c>
      <c r="D31" s="0" t="n">
        <f aca="false">-1+B31*0.05</f>
        <v>0.3</v>
      </c>
      <c r="E31" s="0" t="n">
        <f aca="false">1</f>
        <v>1</v>
      </c>
      <c r="F31" s="0" t="n">
        <f aca="false">C31</f>
        <v>-1</v>
      </c>
      <c r="G31" s="0" t="n">
        <f aca="false">D31</f>
        <v>0.3</v>
      </c>
      <c r="H31" s="0" t="n">
        <f aca="false">C31*D31</f>
        <v>-0.3</v>
      </c>
      <c r="I31" s="0" t="n">
        <f aca="false">C31*C31</f>
        <v>1</v>
      </c>
      <c r="J31" s="0" t="n">
        <f aca="false">D31*D31</f>
        <v>0.09</v>
      </c>
      <c r="K31" s="0" t="n">
        <f aca="false">SUMPRODUCT(E31:J31,_XtX!$B$53:$G$53)</f>
        <v>43.5740229885057</v>
      </c>
      <c r="L31" s="0" t="n">
        <f aca="false">SUMPRODUCT(MMULT(E31:J31,_XtX!$B$44:$G$49),E31:J31)</f>
        <v>0.491237356321839</v>
      </c>
      <c r="M31" s="0" t="n">
        <f aca="false">04_回帰ANOVA!$K$19*04_回帰ANOVA!$K$14*SQRT(1+L31)</f>
        <v>1.65481694581525</v>
      </c>
      <c r="N31" s="0" t="n">
        <f aca="false">K31-M31</f>
        <v>41.9192060426905</v>
      </c>
      <c r="O31" s="0" t="n">
        <f aca="false">K31+M31</f>
        <v>45.228839934321</v>
      </c>
      <c r="P31" s="54" t="b">
        <f aca="false">AND(C31&gt;=01_因子設定!$L$5-0.000000001,C31&lt;=01_因子設定!$M$5+0.000000001,D31&gt;=01_因子設定!$L$6-0.000000001,D31&lt;=01_因子設定!$M$6+0.000000001,IF(01_因子設定!$B$20="Box-Behnken",C31^2+D31^2&lt;=2+0.000000001,TRUE()))</f>
        <v>1</v>
      </c>
      <c r="Q31" s="55" t="n">
        <f aca="false">IF(P31,IF(01_因子設定!$B$13="最大化",N31-01_因子設定!$B$14,IF(01_因子設定!$B$13="最小化",01_因子設定!$B$15-O31,MIN(N31-01_因子設定!$B$14,01_因子設定!$B$15-O31))),-1E+030)</f>
        <v>-4.58079395730952</v>
      </c>
      <c r="R31" s="55" t="n">
        <f aca="false">IF(P31,IF(01_因子設定!$B$13="最大化",K31,IF(01_因子設定!$B$13="最小化",-K31,-ABS(K31-01_因子設定!$B$16))),-1E+030)</f>
        <v>43.5740229885057</v>
      </c>
      <c r="S31" s="55" t="n">
        <f aca="false">Q31+ROW()*0.000000001</f>
        <v>-4.58079392630952</v>
      </c>
      <c r="T31" s="55" t="n">
        <f aca="false">R31+ROW()*0.000000001</f>
        <v>43.5740230195057</v>
      </c>
    </row>
    <row r="32" customFormat="false" ht="15" hidden="false" customHeight="false" outlineLevel="0" collapsed="false">
      <c r="A32" s="0" t="n">
        <v>0</v>
      </c>
      <c r="B32" s="0" t="n">
        <v>27</v>
      </c>
      <c r="C32" s="0" t="n">
        <f aca="false">-1+A32*0.05</f>
        <v>-1</v>
      </c>
      <c r="D32" s="0" t="n">
        <f aca="false">-1+B32*0.05</f>
        <v>0.35</v>
      </c>
      <c r="E32" s="0" t="n">
        <f aca="false">1</f>
        <v>1</v>
      </c>
      <c r="F32" s="0" t="n">
        <f aca="false">C32</f>
        <v>-1</v>
      </c>
      <c r="G32" s="0" t="n">
        <f aca="false">D32</f>
        <v>0.35</v>
      </c>
      <c r="H32" s="0" t="n">
        <f aca="false">C32*D32</f>
        <v>-0.35</v>
      </c>
      <c r="I32" s="0" t="n">
        <f aca="false">C32*C32</f>
        <v>1</v>
      </c>
      <c r="J32" s="0" t="n">
        <f aca="false">D32*D32</f>
        <v>0.1225</v>
      </c>
      <c r="K32" s="0" t="n">
        <f aca="false">SUMPRODUCT(E32:J32,_XtX!$B$53:$G$53)</f>
        <v>43.6101221264368</v>
      </c>
      <c r="L32" s="0" t="n">
        <f aca="false">SUMPRODUCT(MMULT(E32:J32,_XtX!$B$44:$G$49),E32:J32)</f>
        <v>0.491589906609195</v>
      </c>
      <c r="M32" s="0" t="n">
        <f aca="false">04_回帰ANOVA!$K$19*04_回帰ANOVA!$K$14*SQRT(1+L32)</f>
        <v>1.65501254570079</v>
      </c>
      <c r="N32" s="0" t="n">
        <f aca="false">K32-M32</f>
        <v>41.955109580736</v>
      </c>
      <c r="O32" s="0" t="n">
        <f aca="false">K32+M32</f>
        <v>45.2651346721376</v>
      </c>
      <c r="P32" s="54" t="b">
        <f aca="false">AND(C32&gt;=01_因子設定!$L$5-0.000000001,C32&lt;=01_因子設定!$M$5+0.000000001,D32&gt;=01_因子設定!$L$6-0.000000001,D32&lt;=01_因子設定!$M$6+0.000000001,IF(01_因子設定!$B$20="Box-Behnken",C32^2+D32^2&lt;=2+0.000000001,TRUE()))</f>
        <v>1</v>
      </c>
      <c r="Q32" s="55" t="n">
        <f aca="false">IF(P32,IF(01_因子設定!$B$13="最大化",N32-01_因子設定!$B$14,IF(01_因子設定!$B$13="最小化",01_因子設定!$B$15-O32,MIN(N32-01_因子設定!$B$14,01_因子設定!$B$15-O32))),-1E+030)</f>
        <v>-4.54489041926402</v>
      </c>
      <c r="R32" s="55" t="n">
        <f aca="false">IF(P32,IF(01_因子設定!$B$13="最大化",K32,IF(01_因子設定!$B$13="最小化",-K32,-ABS(K32-01_因子設定!$B$16))),-1E+030)</f>
        <v>43.6101221264368</v>
      </c>
      <c r="S32" s="55" t="n">
        <f aca="false">Q32+ROW()*0.000000001</f>
        <v>-4.54489038726402</v>
      </c>
      <c r="T32" s="55" t="n">
        <f aca="false">R32+ROW()*0.000000001</f>
        <v>43.6101221584368</v>
      </c>
    </row>
    <row r="33" customFormat="false" ht="15" hidden="false" customHeight="false" outlineLevel="0" collapsed="false">
      <c r="A33" s="0" t="n">
        <v>0</v>
      </c>
      <c r="B33" s="0" t="n">
        <v>28</v>
      </c>
      <c r="C33" s="0" t="n">
        <f aca="false">-1+A33*0.05</f>
        <v>-1</v>
      </c>
      <c r="D33" s="0" t="n">
        <f aca="false">-1+B33*0.05</f>
        <v>0.4</v>
      </c>
      <c r="E33" s="0" t="n">
        <f aca="false">1</f>
        <v>1</v>
      </c>
      <c r="F33" s="0" t="n">
        <f aca="false">C33</f>
        <v>-1</v>
      </c>
      <c r="G33" s="0" t="n">
        <f aca="false">D33</f>
        <v>0.4</v>
      </c>
      <c r="H33" s="0" t="n">
        <f aca="false">C33*D33</f>
        <v>-0.4</v>
      </c>
      <c r="I33" s="0" t="n">
        <f aca="false">C33*C33</f>
        <v>1</v>
      </c>
      <c r="J33" s="0" t="n">
        <f aca="false">D33*D33</f>
        <v>0.16</v>
      </c>
      <c r="K33" s="0" t="n">
        <f aca="false">SUMPRODUCT(E33:J33,_XtX!$B$53:$G$53)</f>
        <v>43.6385057471264</v>
      </c>
      <c r="L33" s="0" t="n">
        <f aca="false">SUMPRODUCT(MMULT(E33:J33,_XtX!$B$44:$G$49),E33:J33)</f>
        <v>0.492947126436782</v>
      </c>
      <c r="M33" s="0" t="n">
        <f aca="false">04_回帰ANOVA!$K$19*04_回帰ANOVA!$K$14*SQRT(1+L33)</f>
        <v>1.65576533475427</v>
      </c>
      <c r="N33" s="0" t="n">
        <f aca="false">K33-M33</f>
        <v>41.9827404123721</v>
      </c>
      <c r="O33" s="0" t="n">
        <f aca="false">K33+M33</f>
        <v>45.2942710818807</v>
      </c>
      <c r="P33" s="54" t="b">
        <f aca="false">AND(C33&gt;=01_因子設定!$L$5-0.000000001,C33&lt;=01_因子設定!$M$5+0.000000001,D33&gt;=01_因子設定!$L$6-0.000000001,D33&lt;=01_因子設定!$M$6+0.000000001,IF(01_因子設定!$B$20="Box-Behnken",C33^2+D33^2&lt;=2+0.000000001,TRUE()))</f>
        <v>1</v>
      </c>
      <c r="Q33" s="55" t="n">
        <f aca="false">IF(P33,IF(01_因子設定!$B$13="最大化",N33-01_因子設定!$B$14,IF(01_因子設定!$B$13="最小化",01_因子設定!$B$15-O33,MIN(N33-01_因子設定!$B$14,01_因子設定!$B$15-O33))),-1E+030)</f>
        <v>-4.51725958762786</v>
      </c>
      <c r="R33" s="55" t="n">
        <f aca="false">IF(P33,IF(01_因子設定!$B$13="最大化",K33,IF(01_因子設定!$B$13="最小化",-K33,-ABS(K33-01_因子設定!$B$16))),-1E+030)</f>
        <v>43.6385057471264</v>
      </c>
      <c r="S33" s="55" t="n">
        <f aca="false">Q33+ROW()*0.000000001</f>
        <v>-4.51725955462786</v>
      </c>
      <c r="T33" s="55" t="n">
        <f aca="false">R33+ROW()*0.000000001</f>
        <v>43.6385057801264</v>
      </c>
    </row>
    <row r="34" customFormat="false" ht="15" hidden="false" customHeight="false" outlineLevel="0" collapsed="false">
      <c r="A34" s="0" t="n">
        <v>0</v>
      </c>
      <c r="B34" s="0" t="n">
        <v>29</v>
      </c>
      <c r="C34" s="0" t="n">
        <f aca="false">-1+A34*0.05</f>
        <v>-1</v>
      </c>
      <c r="D34" s="0" t="n">
        <f aca="false">-1+B34*0.05</f>
        <v>0.45</v>
      </c>
      <c r="E34" s="0" t="n">
        <f aca="false">1</f>
        <v>1</v>
      </c>
      <c r="F34" s="0" t="n">
        <f aca="false">C34</f>
        <v>-1</v>
      </c>
      <c r="G34" s="0" t="n">
        <f aca="false">D34</f>
        <v>0.45</v>
      </c>
      <c r="H34" s="0" t="n">
        <f aca="false">C34*D34</f>
        <v>-0.45</v>
      </c>
      <c r="I34" s="0" t="n">
        <f aca="false">C34*C34</f>
        <v>1</v>
      </c>
      <c r="J34" s="0" t="n">
        <f aca="false">D34*D34</f>
        <v>0.2025</v>
      </c>
      <c r="K34" s="0" t="n">
        <f aca="false">SUMPRODUCT(E34:J34,_XtX!$B$53:$G$53)</f>
        <v>43.6591738505747</v>
      </c>
      <c r="L34" s="0" t="n">
        <f aca="false">SUMPRODUCT(MMULT(E34:J34,_XtX!$B$44:$G$49),E34:J34)</f>
        <v>0.495716343390805</v>
      </c>
      <c r="M34" s="0" t="n">
        <f aca="false">04_回帰ANOVA!$K$19*04_回帰ANOVA!$K$14*SQRT(1+L34)</f>
        <v>1.65730023478681</v>
      </c>
      <c r="N34" s="0" t="n">
        <f aca="false">K34-M34</f>
        <v>42.0018736157879</v>
      </c>
      <c r="O34" s="0" t="n">
        <f aca="false">K34+M34</f>
        <v>45.3164740853615</v>
      </c>
      <c r="P34" s="54" t="b">
        <f aca="false">AND(C34&gt;=01_因子設定!$L$5-0.000000001,C34&lt;=01_因子設定!$M$5+0.000000001,D34&gt;=01_因子設定!$L$6-0.000000001,D34&lt;=01_因子設定!$M$6+0.000000001,IF(01_因子設定!$B$20="Box-Behnken",C34^2+D34^2&lt;=2+0.000000001,TRUE()))</f>
        <v>1</v>
      </c>
      <c r="Q34" s="55" t="n">
        <f aca="false">IF(P34,IF(01_因子設定!$B$13="最大化",N34-01_因子設定!$B$14,IF(01_因子設定!$B$13="最小化",01_因子設定!$B$15-O34,MIN(N34-01_因子設定!$B$14,01_因子設定!$B$15-O34))),-1E+030)</f>
        <v>-4.49812638421212</v>
      </c>
      <c r="R34" s="55" t="n">
        <f aca="false">IF(P34,IF(01_因子設定!$B$13="最大化",K34,IF(01_因子設定!$B$13="最小化",-K34,-ABS(K34-01_因子設定!$B$16))),-1E+030)</f>
        <v>43.6591738505747</v>
      </c>
      <c r="S34" s="55" t="n">
        <f aca="false">Q34+ROW()*0.000000001</f>
        <v>-4.49812635021212</v>
      </c>
      <c r="T34" s="55" t="n">
        <f aca="false">R34+ROW()*0.000000001</f>
        <v>43.6591738845747</v>
      </c>
    </row>
    <row r="35" customFormat="false" ht="15" hidden="false" customHeight="false" outlineLevel="0" collapsed="false">
      <c r="A35" s="0" t="n">
        <v>0</v>
      </c>
      <c r="B35" s="0" t="n">
        <v>30</v>
      </c>
      <c r="C35" s="0" t="n">
        <f aca="false">-1+A35*0.05</f>
        <v>-1</v>
      </c>
      <c r="D35" s="0" t="n">
        <f aca="false">-1+B35*0.05</f>
        <v>0.5</v>
      </c>
      <c r="E35" s="0" t="n">
        <f aca="false">1</f>
        <v>1</v>
      </c>
      <c r="F35" s="0" t="n">
        <f aca="false">C35</f>
        <v>-1</v>
      </c>
      <c r="G35" s="0" t="n">
        <f aca="false">D35</f>
        <v>0.5</v>
      </c>
      <c r="H35" s="0" t="n">
        <f aca="false">C35*D35</f>
        <v>-0.5</v>
      </c>
      <c r="I35" s="0" t="n">
        <f aca="false">C35*C35</f>
        <v>1</v>
      </c>
      <c r="J35" s="0" t="n">
        <f aca="false">D35*D35</f>
        <v>0.25</v>
      </c>
      <c r="K35" s="0" t="n">
        <f aca="false">SUMPRODUCT(E35:J35,_XtX!$B$53:$G$53)</f>
        <v>43.6721264367816</v>
      </c>
      <c r="L35" s="0" t="n">
        <f aca="false">SUMPRODUCT(MMULT(E35:J35,_XtX!$B$44:$G$49),E35:J35)</f>
        <v>0.500359195402299</v>
      </c>
      <c r="M35" s="0" t="n">
        <f aca="false">04_回帰ANOVA!$K$19*04_回帰ANOVA!$K$14*SQRT(1+L35)</f>
        <v>1.65987045400384</v>
      </c>
      <c r="N35" s="0" t="n">
        <f aca="false">K35-M35</f>
        <v>42.0122559827777</v>
      </c>
      <c r="O35" s="0" t="n">
        <f aca="false">K35+M35</f>
        <v>45.3319968907854</v>
      </c>
      <c r="P35" s="54" t="b">
        <f aca="false">AND(C35&gt;=01_因子設定!$L$5-0.000000001,C35&lt;=01_因子設定!$M$5+0.000000001,D35&gt;=01_因子設定!$L$6-0.000000001,D35&lt;=01_因子設定!$M$6+0.000000001,IF(01_因子設定!$B$20="Box-Behnken",C35^2+D35^2&lt;=2+0.000000001,TRUE()))</f>
        <v>1</v>
      </c>
      <c r="Q35" s="55" t="n">
        <f aca="false">IF(P35,IF(01_因子設定!$B$13="最大化",N35-01_因子設定!$B$14,IF(01_因子設定!$B$13="最小化",01_因子設定!$B$15-O35,MIN(N35-01_因子設定!$B$14,01_因子設定!$B$15-O35))),-1E+030)</f>
        <v>-4.48774401722226</v>
      </c>
      <c r="R35" s="55" t="n">
        <f aca="false">IF(P35,IF(01_因子設定!$B$13="最大化",K35,IF(01_因子設定!$B$13="最小化",-K35,-ABS(K35-01_因子設定!$B$16))),-1E+030)</f>
        <v>43.6721264367816</v>
      </c>
      <c r="S35" s="55" t="n">
        <f aca="false">Q35+ROW()*0.000000001</f>
        <v>-4.48774398222226</v>
      </c>
      <c r="T35" s="55" t="n">
        <f aca="false">R35+ROW()*0.000000001</f>
        <v>43.6721264717816</v>
      </c>
    </row>
    <row r="36" customFormat="false" ht="15" hidden="false" customHeight="false" outlineLevel="0" collapsed="false">
      <c r="A36" s="0" t="n">
        <v>0</v>
      </c>
      <c r="B36" s="0" t="n">
        <v>31</v>
      </c>
      <c r="C36" s="0" t="n">
        <f aca="false">-1+A36*0.05</f>
        <v>-1</v>
      </c>
      <c r="D36" s="0" t="n">
        <f aca="false">-1+B36*0.05</f>
        <v>0.55</v>
      </c>
      <c r="E36" s="0" t="n">
        <f aca="false">1</f>
        <v>1</v>
      </c>
      <c r="F36" s="0" t="n">
        <f aca="false">C36</f>
        <v>-1</v>
      </c>
      <c r="G36" s="0" t="n">
        <f aca="false">D36</f>
        <v>0.55</v>
      </c>
      <c r="H36" s="0" t="n">
        <f aca="false">C36*D36</f>
        <v>-0.55</v>
      </c>
      <c r="I36" s="0" t="n">
        <f aca="false">C36*C36</f>
        <v>1</v>
      </c>
      <c r="J36" s="0" t="n">
        <f aca="false">D36*D36</f>
        <v>0.3025</v>
      </c>
      <c r="K36" s="0" t="n">
        <f aca="false">SUMPRODUCT(E36:J36,_XtX!$B$53:$G$53)</f>
        <v>43.6773635057471</v>
      </c>
      <c r="L36" s="0" t="n">
        <f aca="false">SUMPRODUCT(MMULT(E36:J36,_XtX!$B$44:$G$49),E36:J36)</f>
        <v>0.507391630747127</v>
      </c>
      <c r="M36" s="0" t="n">
        <f aca="false">04_回帰ANOVA!$K$19*04_回帰ANOVA!$K$14*SQRT(1+L36)</f>
        <v>1.66375595202306</v>
      </c>
      <c r="N36" s="0" t="n">
        <f aca="false">K36-M36</f>
        <v>42.0136075537241</v>
      </c>
      <c r="O36" s="0" t="n">
        <f aca="false">K36+M36</f>
        <v>45.3411194577702</v>
      </c>
      <c r="P36" s="54" t="b">
        <f aca="false">AND(C36&gt;=01_因子設定!$L$5-0.000000001,C36&lt;=01_因子設定!$M$5+0.000000001,D36&gt;=01_因子設定!$L$6-0.000000001,D36&lt;=01_因子設定!$M$6+0.000000001,IF(01_因子設定!$B$20="Box-Behnken",C36^2+D36^2&lt;=2+0.000000001,TRUE()))</f>
        <v>1</v>
      </c>
      <c r="Q36" s="55" t="n">
        <f aca="false">IF(P36,IF(01_因子設定!$B$13="最大化",N36-01_因子設定!$B$14,IF(01_因子設定!$B$13="最小化",01_因子設定!$B$15-O36,MIN(N36-01_因子設定!$B$14,01_因子設定!$B$15-O36))),-1E+030)</f>
        <v>-4.48639244627595</v>
      </c>
      <c r="R36" s="55" t="n">
        <f aca="false">IF(P36,IF(01_因子設定!$B$13="最大化",K36,IF(01_因子設定!$B$13="最小化",-K36,-ABS(K36-01_因子設定!$B$16))),-1E+030)</f>
        <v>43.6773635057471</v>
      </c>
      <c r="S36" s="55" t="n">
        <f aca="false">Q36+ROW()*0.000000001</f>
        <v>-4.48639241027595</v>
      </c>
      <c r="T36" s="55" t="n">
        <f aca="false">R36+ROW()*0.000000001</f>
        <v>43.6773635417471</v>
      </c>
    </row>
    <row r="37" customFormat="false" ht="15" hidden="false" customHeight="false" outlineLevel="0" collapsed="false">
      <c r="A37" s="0" t="n">
        <v>0</v>
      </c>
      <c r="B37" s="0" t="n">
        <v>32</v>
      </c>
      <c r="C37" s="0" t="n">
        <f aca="false">-1+A37*0.05</f>
        <v>-1</v>
      </c>
      <c r="D37" s="0" t="n">
        <f aca="false">-1+B37*0.05</f>
        <v>0.6</v>
      </c>
      <c r="E37" s="0" t="n">
        <f aca="false">1</f>
        <v>1</v>
      </c>
      <c r="F37" s="0" t="n">
        <f aca="false">C37</f>
        <v>-1</v>
      </c>
      <c r="G37" s="0" t="n">
        <f aca="false">D37</f>
        <v>0.6</v>
      </c>
      <c r="H37" s="0" t="n">
        <f aca="false">C37*D37</f>
        <v>-0.6</v>
      </c>
      <c r="I37" s="0" t="n">
        <f aca="false">C37*C37</f>
        <v>1</v>
      </c>
      <c r="J37" s="0" t="n">
        <f aca="false">D37*D37</f>
        <v>0.36</v>
      </c>
      <c r="K37" s="0" t="n">
        <f aca="false">SUMPRODUCT(E37:J37,_XtX!$B$53:$G$53)</f>
        <v>43.6748850574712</v>
      </c>
      <c r="L37" s="0" t="n">
        <f aca="false">SUMPRODUCT(MMULT(E37:J37,_XtX!$B$44:$G$49),E37:J37)</f>
        <v>0.517383908045977</v>
      </c>
      <c r="M37" s="0" t="n">
        <f aca="false">04_回帰ANOVA!$K$19*04_回帰ANOVA!$K$14*SQRT(1+L37)</f>
        <v>1.66926124034343</v>
      </c>
      <c r="N37" s="0" t="n">
        <f aca="false">K37-M37</f>
        <v>42.0056238171278</v>
      </c>
      <c r="O37" s="0" t="n">
        <f aca="false">K37+M37</f>
        <v>45.3441462978147</v>
      </c>
      <c r="P37" s="54" t="b">
        <f aca="false">AND(C37&gt;=01_因子設定!$L$5-0.000000001,C37&lt;=01_因子設定!$M$5+0.000000001,D37&gt;=01_因子設定!$L$6-0.000000001,D37&lt;=01_因子設定!$M$6+0.000000001,IF(01_因子設定!$B$20="Box-Behnken",C37^2+D37^2&lt;=2+0.000000001,TRUE()))</f>
        <v>1</v>
      </c>
      <c r="Q37" s="55" t="n">
        <f aca="false">IF(P37,IF(01_因子設定!$B$13="最大化",N37-01_因子設定!$B$14,IF(01_因子設定!$B$13="最小化",01_因子設定!$B$15-O37,MIN(N37-01_因子設定!$B$14,01_因子設定!$B$15-O37))),-1E+030)</f>
        <v>-4.49437618287219</v>
      </c>
      <c r="R37" s="55" t="n">
        <f aca="false">IF(P37,IF(01_因子設定!$B$13="最大化",K37,IF(01_因子設定!$B$13="最小化",-K37,-ABS(K37-01_因子設定!$B$16))),-1E+030)</f>
        <v>43.6748850574712</v>
      </c>
      <c r="S37" s="55" t="n">
        <f aca="false">Q37+ROW()*0.000000001</f>
        <v>-4.49437614587219</v>
      </c>
      <c r="T37" s="55" t="n">
        <f aca="false">R37+ROW()*0.000000001</f>
        <v>43.6748850944712</v>
      </c>
    </row>
    <row r="38" customFormat="false" ht="15" hidden="false" customHeight="false" outlineLevel="0" collapsed="false">
      <c r="A38" s="0" t="n">
        <v>0</v>
      </c>
      <c r="B38" s="0" t="n">
        <v>33</v>
      </c>
      <c r="C38" s="0" t="n">
        <f aca="false">-1+A38*0.05</f>
        <v>-1</v>
      </c>
      <c r="D38" s="0" t="n">
        <f aca="false">-1+B38*0.05</f>
        <v>0.65</v>
      </c>
      <c r="E38" s="0" t="n">
        <f aca="false">1</f>
        <v>1</v>
      </c>
      <c r="F38" s="0" t="n">
        <f aca="false">C38</f>
        <v>-1</v>
      </c>
      <c r="G38" s="0" t="n">
        <f aca="false">D38</f>
        <v>0.65</v>
      </c>
      <c r="H38" s="0" t="n">
        <f aca="false">C38*D38</f>
        <v>-0.65</v>
      </c>
      <c r="I38" s="0" t="n">
        <f aca="false">C38*C38</f>
        <v>1</v>
      </c>
      <c r="J38" s="0" t="n">
        <f aca="false">D38*D38</f>
        <v>0.4225</v>
      </c>
      <c r="K38" s="0" t="n">
        <f aca="false">SUMPRODUCT(E38:J38,_XtX!$B$53:$G$53)</f>
        <v>43.664691091954</v>
      </c>
      <c r="L38" s="0" t="n">
        <f aca="false">SUMPRODUCT(MMULT(E38:J38,_XtX!$B$44:$G$49),E38:J38)</f>
        <v>0.530960596264368</v>
      </c>
      <c r="M38" s="0" t="n">
        <f aca="false">04_回帰ANOVA!$K$19*04_回帰ANOVA!$K$14*SQRT(1+L38)</f>
        <v>1.6767124103567</v>
      </c>
      <c r="N38" s="0" t="n">
        <f aca="false">K38-M38</f>
        <v>41.9879786815973</v>
      </c>
      <c r="O38" s="0" t="n">
        <f aca="false">K38+M38</f>
        <v>45.3414035023107</v>
      </c>
      <c r="P38" s="54" t="b">
        <f aca="false">AND(C38&gt;=01_因子設定!$L$5-0.000000001,C38&lt;=01_因子設定!$M$5+0.000000001,D38&gt;=01_因子設定!$L$6-0.000000001,D38&lt;=01_因子設定!$M$6+0.000000001,IF(01_因子設定!$B$20="Box-Behnken",C38^2+D38^2&lt;=2+0.000000001,TRUE()))</f>
        <v>1</v>
      </c>
      <c r="Q38" s="55" t="n">
        <f aca="false">IF(P38,IF(01_因子設定!$B$13="最大化",N38-01_因子設定!$B$14,IF(01_因子設定!$B$13="最小化",01_因子設定!$B$15-O38,MIN(N38-01_因子設定!$B$14,01_因子設定!$B$15-O38))),-1E+030)</f>
        <v>-4.5120213184027</v>
      </c>
      <c r="R38" s="55" t="n">
        <f aca="false">IF(P38,IF(01_因子設定!$B$13="最大化",K38,IF(01_因子設定!$B$13="最小化",-K38,-ABS(K38-01_因子設定!$B$16))),-1E+030)</f>
        <v>43.664691091954</v>
      </c>
      <c r="S38" s="55" t="n">
        <f aca="false">Q38+ROW()*0.000000001</f>
        <v>-4.5120212804027</v>
      </c>
      <c r="T38" s="55" t="n">
        <f aca="false">R38+ROW()*0.000000001</f>
        <v>43.664691129954</v>
      </c>
    </row>
    <row r="39" customFormat="false" ht="15" hidden="false" customHeight="false" outlineLevel="0" collapsed="false">
      <c r="A39" s="0" t="n">
        <v>0</v>
      </c>
      <c r="B39" s="0" t="n">
        <v>34</v>
      </c>
      <c r="C39" s="0" t="n">
        <f aca="false">-1+A39*0.05</f>
        <v>-1</v>
      </c>
      <c r="D39" s="0" t="n">
        <f aca="false">-1+B39*0.05</f>
        <v>0.7</v>
      </c>
      <c r="E39" s="0" t="n">
        <f aca="false">1</f>
        <v>1</v>
      </c>
      <c r="F39" s="0" t="n">
        <f aca="false">C39</f>
        <v>-1</v>
      </c>
      <c r="G39" s="0" t="n">
        <f aca="false">D39</f>
        <v>0.7</v>
      </c>
      <c r="H39" s="0" t="n">
        <f aca="false">C39*D39</f>
        <v>-0.7</v>
      </c>
      <c r="I39" s="0" t="n">
        <f aca="false">C39*C39</f>
        <v>1</v>
      </c>
      <c r="J39" s="0" t="n">
        <f aca="false">D39*D39</f>
        <v>0.49</v>
      </c>
      <c r="K39" s="0" t="n">
        <f aca="false">SUMPRODUCT(E39:J39,_XtX!$B$53:$G$53)</f>
        <v>43.6467816091954</v>
      </c>
      <c r="L39" s="0" t="n">
        <f aca="false">SUMPRODUCT(MMULT(E39:J39,_XtX!$B$44:$G$49),E39:J39)</f>
        <v>0.548800574712644</v>
      </c>
      <c r="M39" s="0" t="n">
        <f aca="false">04_回帰ANOVA!$K$19*04_回帰ANOVA!$K$14*SQRT(1+L39)</f>
        <v>1.68645331298059</v>
      </c>
      <c r="N39" s="0" t="n">
        <f aca="false">K39-M39</f>
        <v>41.9603282962148</v>
      </c>
      <c r="O39" s="0" t="n">
        <f aca="false">K39+M39</f>
        <v>45.333234922176</v>
      </c>
      <c r="P39" s="54" t="b">
        <f aca="false">AND(C39&gt;=01_因子設定!$L$5-0.000000001,C39&lt;=01_因子設定!$M$5+0.000000001,D39&gt;=01_因子設定!$L$6-0.000000001,D39&lt;=01_因子設定!$M$6+0.000000001,IF(01_因子設定!$B$20="Box-Behnken",C39^2+D39^2&lt;=2+0.000000001,TRUE()))</f>
        <v>1</v>
      </c>
      <c r="Q39" s="55" t="n">
        <f aca="false">IF(P39,IF(01_因子設定!$B$13="最大化",N39-01_因子設定!$B$14,IF(01_因子設定!$B$13="最小化",01_因子設定!$B$15-O39,MIN(N39-01_因子設定!$B$14,01_因子設定!$B$15-O39))),-1E+030)</f>
        <v>-4.53967170378521</v>
      </c>
      <c r="R39" s="55" t="n">
        <f aca="false">IF(P39,IF(01_因子設定!$B$13="最大化",K39,IF(01_因子設定!$B$13="最小化",-K39,-ABS(K39-01_因子設定!$B$16))),-1E+030)</f>
        <v>43.6467816091954</v>
      </c>
      <c r="S39" s="55" t="n">
        <f aca="false">Q39+ROW()*0.000000001</f>
        <v>-4.53967166478521</v>
      </c>
      <c r="T39" s="55" t="n">
        <f aca="false">R39+ROW()*0.000000001</f>
        <v>43.6467816481954</v>
      </c>
    </row>
    <row r="40" customFormat="false" ht="15" hidden="false" customHeight="false" outlineLevel="0" collapsed="false">
      <c r="A40" s="0" t="n">
        <v>0</v>
      </c>
      <c r="B40" s="0" t="n">
        <v>35</v>
      </c>
      <c r="C40" s="0" t="n">
        <f aca="false">-1+A40*0.05</f>
        <v>-1</v>
      </c>
      <c r="D40" s="0" t="n">
        <f aca="false">-1+B40*0.05</f>
        <v>0.75</v>
      </c>
      <c r="E40" s="0" t="n">
        <f aca="false">1</f>
        <v>1</v>
      </c>
      <c r="F40" s="0" t="n">
        <f aca="false">C40</f>
        <v>-1</v>
      </c>
      <c r="G40" s="0" t="n">
        <f aca="false">D40</f>
        <v>0.75</v>
      </c>
      <c r="H40" s="0" t="n">
        <f aca="false">C40*D40</f>
        <v>-0.75</v>
      </c>
      <c r="I40" s="0" t="n">
        <f aca="false">C40*C40</f>
        <v>1</v>
      </c>
      <c r="J40" s="0" t="n">
        <f aca="false">D40*D40</f>
        <v>0.5625</v>
      </c>
      <c r="K40" s="0" t="n">
        <f aca="false">SUMPRODUCT(E40:J40,_XtX!$B$53:$G$53)</f>
        <v>43.6211566091954</v>
      </c>
      <c r="L40" s="0" t="n">
        <f aca="false">SUMPRODUCT(MMULT(E40:J40,_XtX!$B$44:$G$49),E40:J40)</f>
        <v>0.571637033045977</v>
      </c>
      <c r="M40" s="0" t="n">
        <f aca="false">04_回帰ANOVA!$K$19*04_回帰ANOVA!$K$14*SQRT(1+L40)</f>
        <v>1.69884086471256</v>
      </c>
      <c r="N40" s="0" t="n">
        <f aca="false">K40-M40</f>
        <v>41.9223157444828</v>
      </c>
      <c r="O40" s="0" t="n">
        <f aca="false">K40+M40</f>
        <v>45.319997473908</v>
      </c>
      <c r="P40" s="54" t="b">
        <f aca="false">AND(C40&gt;=01_因子設定!$L$5-0.000000001,C40&lt;=01_因子設定!$M$5+0.000000001,D40&gt;=01_因子設定!$L$6-0.000000001,D40&lt;=01_因子設定!$M$6+0.000000001,IF(01_因子設定!$B$20="Box-Behnken",C40^2+D40^2&lt;=2+0.000000001,TRUE()))</f>
        <v>1</v>
      </c>
      <c r="Q40" s="55" t="n">
        <f aca="false">IF(P40,IF(01_因子設定!$B$13="最大化",N40-01_因子設定!$B$14,IF(01_因子設定!$B$13="最小化",01_因子設定!$B$15-O40,MIN(N40-01_因子設定!$B$14,01_因子設定!$B$15-O40))),-1E+030)</f>
        <v>-4.57768425551718</v>
      </c>
      <c r="R40" s="55" t="n">
        <f aca="false">IF(P40,IF(01_因子設定!$B$13="最大化",K40,IF(01_因子設定!$B$13="最小化",-K40,-ABS(K40-01_因子設定!$B$16))),-1E+030)</f>
        <v>43.6211566091954</v>
      </c>
      <c r="S40" s="55" t="n">
        <f aca="false">Q40+ROW()*0.000000001</f>
        <v>-4.57768421551718</v>
      </c>
      <c r="T40" s="55" t="n">
        <f aca="false">R40+ROW()*0.000000001</f>
        <v>43.6211566491954</v>
      </c>
    </row>
    <row r="41" customFormat="false" ht="15" hidden="false" customHeight="false" outlineLevel="0" collapsed="false">
      <c r="A41" s="0" t="n">
        <v>0</v>
      </c>
      <c r="B41" s="0" t="n">
        <v>36</v>
      </c>
      <c r="C41" s="0" t="n">
        <f aca="false">-1+A41*0.05</f>
        <v>-1</v>
      </c>
      <c r="D41" s="0" t="n">
        <f aca="false">-1+B41*0.05</f>
        <v>0.8</v>
      </c>
      <c r="E41" s="0" t="n">
        <f aca="false">1</f>
        <v>1</v>
      </c>
      <c r="F41" s="0" t="n">
        <f aca="false">C41</f>
        <v>-1</v>
      </c>
      <c r="G41" s="0" t="n">
        <f aca="false">D41</f>
        <v>0.8</v>
      </c>
      <c r="H41" s="0" t="n">
        <f aca="false">C41*D41</f>
        <v>-0.8</v>
      </c>
      <c r="I41" s="0" t="n">
        <f aca="false">C41*C41</f>
        <v>1</v>
      </c>
      <c r="J41" s="0" t="n">
        <f aca="false">D41*D41</f>
        <v>0.64</v>
      </c>
      <c r="K41" s="0" t="n">
        <f aca="false">SUMPRODUCT(E41:J41,_XtX!$B$53:$G$53)</f>
        <v>43.587816091954</v>
      </c>
      <c r="L41" s="0" t="n">
        <f aca="false">SUMPRODUCT(MMULT(E41:J41,_XtX!$B$44:$G$49),E41:J41)</f>
        <v>0.600257471264368</v>
      </c>
      <c r="M41" s="0" t="n">
        <f aca="false">04_回帰ANOVA!$K$19*04_回帰ANOVA!$K$14*SQRT(1+L41)</f>
        <v>1.71423952387759</v>
      </c>
      <c r="N41" s="0" t="n">
        <f aca="false">K41-M41</f>
        <v>41.8735765680764</v>
      </c>
      <c r="O41" s="0" t="n">
        <f aca="false">K41+M41</f>
        <v>45.3020556158316</v>
      </c>
      <c r="P41" s="54" t="b">
        <f aca="false">AND(C41&gt;=01_因子設定!$L$5-0.000000001,C41&lt;=01_因子設定!$M$5+0.000000001,D41&gt;=01_因子設定!$L$6-0.000000001,D41&lt;=01_因子設定!$M$6+0.000000001,IF(01_因子設定!$B$20="Box-Behnken",C41^2+D41^2&lt;=2+0.000000001,TRUE()))</f>
        <v>1</v>
      </c>
      <c r="Q41" s="55" t="n">
        <f aca="false">IF(P41,IF(01_因子設定!$B$13="最大化",N41-01_因子設定!$B$14,IF(01_因子設定!$B$13="最小化",01_因子設定!$B$15-O41,MIN(N41-01_因子設定!$B$14,01_因子設定!$B$15-O41))),-1E+030)</f>
        <v>-4.62642343192358</v>
      </c>
      <c r="R41" s="55" t="n">
        <f aca="false">IF(P41,IF(01_因子設定!$B$13="最大化",K41,IF(01_因子設定!$B$13="最小化",-K41,-ABS(K41-01_因子設定!$B$16))),-1E+030)</f>
        <v>43.587816091954</v>
      </c>
      <c r="S41" s="55" t="n">
        <f aca="false">Q41+ROW()*0.000000001</f>
        <v>-4.62642339092358</v>
      </c>
      <c r="T41" s="55" t="n">
        <f aca="false">R41+ROW()*0.000000001</f>
        <v>43.587816132954</v>
      </c>
    </row>
    <row r="42" customFormat="false" ht="15" hidden="false" customHeight="false" outlineLevel="0" collapsed="false">
      <c r="A42" s="0" t="n">
        <v>0</v>
      </c>
      <c r="B42" s="0" t="n">
        <v>37</v>
      </c>
      <c r="C42" s="0" t="n">
        <f aca="false">-1+A42*0.05</f>
        <v>-1</v>
      </c>
      <c r="D42" s="0" t="n">
        <f aca="false">-1+B42*0.05</f>
        <v>0.85</v>
      </c>
      <c r="E42" s="0" t="n">
        <f aca="false">1</f>
        <v>1</v>
      </c>
      <c r="F42" s="0" t="n">
        <f aca="false">C42</f>
        <v>-1</v>
      </c>
      <c r="G42" s="0" t="n">
        <f aca="false">D42</f>
        <v>0.85</v>
      </c>
      <c r="H42" s="0" t="n">
        <f aca="false">C42*D42</f>
        <v>-0.85</v>
      </c>
      <c r="I42" s="0" t="n">
        <f aca="false">C42*C42</f>
        <v>1</v>
      </c>
      <c r="J42" s="0" t="n">
        <f aca="false">D42*D42</f>
        <v>0.7225</v>
      </c>
      <c r="K42" s="0" t="n">
        <f aca="false">SUMPRODUCT(E42:J42,_XtX!$B$53:$G$53)</f>
        <v>43.5467600574712</v>
      </c>
      <c r="L42" s="0" t="n">
        <f aca="false">SUMPRODUCT(MMULT(E42:J42,_XtX!$B$44:$G$49),E42:J42)</f>
        <v>0.635503699712644</v>
      </c>
      <c r="M42" s="0" t="n">
        <f aca="false">04_回帰ANOVA!$K$19*04_回帰ANOVA!$K$14*SQRT(1+L42)</f>
        <v>1.73301506394813</v>
      </c>
      <c r="N42" s="0" t="n">
        <f aca="false">K42-M42</f>
        <v>41.8137449935231</v>
      </c>
      <c r="O42" s="0" t="n">
        <f aca="false">K42+M42</f>
        <v>45.2797751214194</v>
      </c>
      <c r="P42" s="54" t="b">
        <f aca="false">AND(C42&gt;=01_因子設定!$L$5-0.000000001,C42&lt;=01_因子設定!$M$5+0.000000001,D42&gt;=01_因子設定!$L$6-0.000000001,D42&lt;=01_因子設定!$M$6+0.000000001,IF(01_因子設定!$B$20="Box-Behnken",C42^2+D42^2&lt;=2+0.000000001,TRUE()))</f>
        <v>1</v>
      </c>
      <c r="Q42" s="55" t="n">
        <f aca="false">IF(P42,IF(01_因子設定!$B$13="最大化",N42-01_因子設定!$B$14,IF(01_因子設定!$B$13="最小化",01_因子設定!$B$15-O42,MIN(N42-01_因子設定!$B$14,01_因子設定!$B$15-O42))),-1E+030)</f>
        <v>-4.68625500647688</v>
      </c>
      <c r="R42" s="55" t="n">
        <f aca="false">IF(P42,IF(01_因子設定!$B$13="最大化",K42,IF(01_因子設定!$B$13="最小化",-K42,-ABS(K42-01_因子設定!$B$16))),-1E+030)</f>
        <v>43.5467600574712</v>
      </c>
      <c r="S42" s="55" t="n">
        <f aca="false">Q42+ROW()*0.000000001</f>
        <v>-4.68625496447688</v>
      </c>
      <c r="T42" s="55" t="n">
        <f aca="false">R42+ROW()*0.000000001</f>
        <v>43.5467600994713</v>
      </c>
    </row>
    <row r="43" customFormat="false" ht="15" hidden="false" customHeight="false" outlineLevel="0" collapsed="false">
      <c r="A43" s="0" t="n">
        <v>0</v>
      </c>
      <c r="B43" s="0" t="n">
        <v>38</v>
      </c>
      <c r="C43" s="0" t="n">
        <f aca="false">-1+A43*0.05</f>
        <v>-1</v>
      </c>
      <c r="D43" s="0" t="n">
        <f aca="false">-1+B43*0.05</f>
        <v>0.9</v>
      </c>
      <c r="E43" s="0" t="n">
        <f aca="false">1</f>
        <v>1</v>
      </c>
      <c r="F43" s="0" t="n">
        <f aca="false">C43</f>
        <v>-1</v>
      </c>
      <c r="G43" s="0" t="n">
        <f aca="false">D43</f>
        <v>0.9</v>
      </c>
      <c r="H43" s="0" t="n">
        <f aca="false">C43*D43</f>
        <v>-0.9</v>
      </c>
      <c r="I43" s="0" t="n">
        <f aca="false">C43*C43</f>
        <v>1</v>
      </c>
      <c r="J43" s="0" t="n">
        <f aca="false">D43*D43</f>
        <v>0.81</v>
      </c>
      <c r="K43" s="0" t="n">
        <f aca="false">SUMPRODUCT(E43:J43,_XtX!$B$53:$G$53)</f>
        <v>43.4979885057471</v>
      </c>
      <c r="L43" s="0" t="n">
        <f aca="false">SUMPRODUCT(MMULT(E43:J43,_XtX!$B$44:$G$49),E43:J43)</f>
        <v>0.67827183908046</v>
      </c>
      <c r="M43" s="0" t="n">
        <f aca="false">04_回帰ANOVA!$K$19*04_回帰ANOVA!$K$14*SQRT(1+L43)</f>
        <v>1.7555278596526</v>
      </c>
      <c r="N43" s="0" t="n">
        <f aca="false">K43-M43</f>
        <v>41.7424606460945</v>
      </c>
      <c r="O43" s="0" t="n">
        <f aca="false">K43+M43</f>
        <v>45.2535163653997</v>
      </c>
      <c r="P43" s="54" t="b">
        <f aca="false">AND(C43&gt;=01_因子設定!$L$5-0.000000001,C43&lt;=01_因子設定!$M$5+0.000000001,D43&gt;=01_因子設定!$L$6-0.000000001,D43&lt;=01_因子設定!$M$6+0.000000001,IF(01_因子設定!$B$20="Box-Behnken",C43^2+D43^2&lt;=2+0.000000001,TRUE()))</f>
        <v>1</v>
      </c>
      <c r="Q43" s="55" t="n">
        <f aca="false">IF(P43,IF(01_因子設定!$B$13="最大化",N43-01_因子設定!$B$14,IF(01_因子設定!$B$13="最小化",01_因子設定!$B$15-O43,MIN(N43-01_因子設定!$B$14,01_因子設定!$B$15-O43))),-1E+030)</f>
        <v>-4.75753935390549</v>
      </c>
      <c r="R43" s="55" t="n">
        <f aca="false">IF(P43,IF(01_因子設定!$B$13="最大化",K43,IF(01_因子設定!$B$13="最小化",-K43,-ABS(K43-01_因子設定!$B$16))),-1E+030)</f>
        <v>43.4979885057471</v>
      </c>
      <c r="S43" s="55" t="n">
        <f aca="false">Q43+ROW()*0.000000001</f>
        <v>-4.75753931090549</v>
      </c>
      <c r="T43" s="55" t="n">
        <f aca="false">R43+ROW()*0.000000001</f>
        <v>43.4979885487471</v>
      </c>
    </row>
    <row r="44" customFormat="false" ht="15" hidden="false" customHeight="false" outlineLevel="0" collapsed="false">
      <c r="A44" s="0" t="n">
        <v>0</v>
      </c>
      <c r="B44" s="0" t="n">
        <v>39</v>
      </c>
      <c r="C44" s="0" t="n">
        <f aca="false">-1+A44*0.05</f>
        <v>-1</v>
      </c>
      <c r="D44" s="0" t="n">
        <f aca="false">-1+B44*0.05</f>
        <v>0.95</v>
      </c>
      <c r="E44" s="0" t="n">
        <f aca="false">1</f>
        <v>1</v>
      </c>
      <c r="F44" s="0" t="n">
        <f aca="false">C44</f>
        <v>-1</v>
      </c>
      <c r="G44" s="0" t="n">
        <f aca="false">D44</f>
        <v>0.95</v>
      </c>
      <c r="H44" s="0" t="n">
        <f aca="false">C44*D44</f>
        <v>-0.95</v>
      </c>
      <c r="I44" s="0" t="n">
        <f aca="false">C44*C44</f>
        <v>1</v>
      </c>
      <c r="J44" s="0" t="n">
        <f aca="false">D44*D44</f>
        <v>0.9025</v>
      </c>
      <c r="K44" s="0" t="n">
        <f aca="false">SUMPRODUCT(E44:J44,_XtX!$B$53:$G$53)</f>
        <v>43.4415014367816</v>
      </c>
      <c r="L44" s="0" t="n">
        <f aca="false">SUMPRODUCT(MMULT(E44:J44,_XtX!$B$44:$G$49),E44:J44)</f>
        <v>0.729512320402299</v>
      </c>
      <c r="M44" s="0" t="n">
        <f aca="false">04_回帰ANOVA!$K$19*04_回帰ANOVA!$K$14*SQRT(1+L44)</f>
        <v>1.78212598387095</v>
      </c>
      <c r="N44" s="0" t="n">
        <f aca="false">K44-M44</f>
        <v>41.6593754529106</v>
      </c>
      <c r="O44" s="0" t="n">
        <f aca="false">K44+M44</f>
        <v>45.2236274206525</v>
      </c>
      <c r="P44" s="54" t="b">
        <f aca="false">AND(C44&gt;=01_因子設定!$L$5-0.000000001,C44&lt;=01_因子設定!$M$5+0.000000001,D44&gt;=01_因子設定!$L$6-0.000000001,D44&lt;=01_因子設定!$M$6+0.000000001,IF(01_因子設定!$B$20="Box-Behnken",C44^2+D44^2&lt;=2+0.000000001,TRUE()))</f>
        <v>1</v>
      </c>
      <c r="Q44" s="55" t="n">
        <f aca="false">IF(P44,IF(01_因子設定!$B$13="最大化",N44-01_因子設定!$B$14,IF(01_因子設定!$B$13="最小化",01_因子設定!$B$15-O44,MIN(N44-01_因子設定!$B$14,01_因子設定!$B$15-O44))),-1E+030)</f>
        <v>-4.84062454708936</v>
      </c>
      <c r="R44" s="55" t="n">
        <f aca="false">IF(P44,IF(01_因子設定!$B$13="最大化",K44,IF(01_因子設定!$B$13="最小化",-K44,-ABS(K44-01_因子設定!$B$16))),-1E+030)</f>
        <v>43.4415014367816</v>
      </c>
      <c r="S44" s="55" t="n">
        <f aca="false">Q44+ROW()*0.000000001</f>
        <v>-4.84062450308936</v>
      </c>
      <c r="T44" s="55" t="n">
        <f aca="false">R44+ROW()*0.000000001</f>
        <v>43.4415014807816</v>
      </c>
    </row>
    <row r="45" customFormat="false" ht="15" hidden="false" customHeight="false" outlineLevel="0" collapsed="false">
      <c r="A45" s="0" t="n">
        <v>0</v>
      </c>
      <c r="B45" s="0" t="n">
        <v>40</v>
      </c>
      <c r="C45" s="0" t="n">
        <f aca="false">-1+A45*0.05</f>
        <v>-1</v>
      </c>
      <c r="D45" s="0" t="n">
        <f aca="false">-1+B45*0.05</f>
        <v>1</v>
      </c>
      <c r="E45" s="0" t="n">
        <f aca="false">1</f>
        <v>1</v>
      </c>
      <c r="F45" s="0" t="n">
        <f aca="false">C45</f>
        <v>-1</v>
      </c>
      <c r="G45" s="0" t="n">
        <f aca="false">D45</f>
        <v>1</v>
      </c>
      <c r="H45" s="0" t="n">
        <f aca="false">C45*D45</f>
        <v>-1</v>
      </c>
      <c r="I45" s="0" t="n">
        <f aca="false">C45*C45</f>
        <v>1</v>
      </c>
      <c r="J45" s="0" t="n">
        <f aca="false">D45*D45</f>
        <v>1</v>
      </c>
      <c r="K45" s="0" t="n">
        <f aca="false">SUMPRODUCT(E45:J45,_XtX!$B$53:$G$53)</f>
        <v>43.3772988505747</v>
      </c>
      <c r="L45" s="0" t="n">
        <f aca="false">SUMPRODUCT(MMULT(E45:J45,_XtX!$B$44:$G$49),E45:J45)</f>
        <v>0.790229885057471</v>
      </c>
      <c r="M45" s="0" t="n">
        <f aca="false">04_回帰ANOVA!$K$19*04_回帰ANOVA!$K$14*SQRT(1+L45)</f>
        <v>1.81313847457497</v>
      </c>
      <c r="N45" s="0" t="n">
        <f aca="false">K45-M45</f>
        <v>41.5641603759997</v>
      </c>
      <c r="O45" s="0" t="n">
        <f aca="false">K45+M45</f>
        <v>45.1904373251497</v>
      </c>
      <c r="P45" s="54" t="b">
        <f aca="false">AND(C45&gt;=01_因子設定!$L$5-0.000000001,C45&lt;=01_因子設定!$M$5+0.000000001,D45&gt;=01_因子設定!$L$6-0.000000001,D45&lt;=01_因子設定!$M$6+0.000000001,IF(01_因子設定!$B$20="Box-Behnken",C45^2+D45^2&lt;=2+0.000000001,TRUE()))</f>
        <v>1</v>
      </c>
      <c r="Q45" s="55" t="n">
        <f aca="false">IF(P45,IF(01_因子設定!$B$13="最大化",N45-01_因子設定!$B$14,IF(01_因子設定!$B$13="最小化",01_因子設定!$B$15-O45,MIN(N45-01_因子設定!$B$14,01_因子設定!$B$15-O45))),-1E+030)</f>
        <v>-4.93583962400028</v>
      </c>
      <c r="R45" s="55" t="n">
        <f aca="false">IF(P45,IF(01_因子設定!$B$13="最大化",K45,IF(01_因子設定!$B$13="最小化",-K45,-ABS(K45-01_因子設定!$B$16))),-1E+030)</f>
        <v>43.3772988505747</v>
      </c>
      <c r="S45" s="55" t="n">
        <f aca="false">Q45+ROW()*0.000000001</f>
        <v>-4.93583957900028</v>
      </c>
      <c r="T45" s="55" t="n">
        <f aca="false">R45+ROW()*0.000000001</f>
        <v>43.3772988955747</v>
      </c>
    </row>
    <row r="46" customFormat="false" ht="15" hidden="false" customHeight="false" outlineLevel="0" collapsed="false">
      <c r="A46" s="0" t="n">
        <v>1</v>
      </c>
      <c r="B46" s="0" t="n">
        <v>0</v>
      </c>
      <c r="C46" s="0" t="n">
        <f aca="false">-1+A46*0.05</f>
        <v>-0.95</v>
      </c>
      <c r="D46" s="0" t="n">
        <f aca="false">-1+B46*0.05</f>
        <v>-1</v>
      </c>
      <c r="E46" s="0" t="n">
        <f aca="false">1</f>
        <v>1</v>
      </c>
      <c r="F46" s="0" t="n">
        <f aca="false">C46</f>
        <v>-0.95</v>
      </c>
      <c r="G46" s="0" t="n">
        <f aca="false">D46</f>
        <v>-1</v>
      </c>
      <c r="H46" s="0" t="n">
        <f aca="false">C46*D46</f>
        <v>0.95</v>
      </c>
      <c r="I46" s="0" t="n">
        <f aca="false">C46*C46</f>
        <v>0.9025</v>
      </c>
      <c r="J46" s="0" t="n">
        <f aca="false">D46*D46</f>
        <v>1</v>
      </c>
      <c r="K46" s="0" t="n">
        <f aca="false">SUMPRODUCT(E46:J46,_XtX!$B$53:$G$53)</f>
        <v>40.2743347701149</v>
      </c>
      <c r="L46" s="0" t="n">
        <f aca="false">SUMPRODUCT(MMULT(E46:J46,_XtX!$B$44:$G$49),E46:J46)</f>
        <v>0.729512320402299</v>
      </c>
      <c r="M46" s="0" t="n">
        <f aca="false">04_回帰ANOVA!$K$19*04_回帰ANOVA!$K$14*SQRT(1+L46)</f>
        <v>1.78212598387095</v>
      </c>
      <c r="N46" s="0" t="n">
        <f aca="false">K46-M46</f>
        <v>38.492208786244</v>
      </c>
      <c r="O46" s="0" t="n">
        <f aca="false">K46+M46</f>
        <v>42.0564607539859</v>
      </c>
      <c r="P46" s="54" t="b">
        <f aca="false">AND(C46&gt;=01_因子設定!$L$5-0.000000001,C46&lt;=01_因子設定!$M$5+0.000000001,D46&gt;=01_因子設定!$L$6-0.000000001,D46&lt;=01_因子設定!$M$6+0.000000001,IF(01_因子設定!$B$20="Box-Behnken",C46^2+D46^2&lt;=2+0.000000001,TRUE()))</f>
        <v>1</v>
      </c>
      <c r="Q46" s="55" t="n">
        <f aca="false">IF(P46,IF(01_因子設定!$B$13="最大化",N46-01_因子設定!$B$14,IF(01_因子設定!$B$13="最小化",01_因子設定!$B$15-O46,MIN(N46-01_因子設定!$B$14,01_因子設定!$B$15-O46))),-1E+030)</f>
        <v>-8.00779121375602</v>
      </c>
      <c r="R46" s="55" t="n">
        <f aca="false">IF(P46,IF(01_因子設定!$B$13="最大化",K46,IF(01_因子設定!$B$13="最小化",-K46,-ABS(K46-01_因子設定!$B$16))),-1E+030)</f>
        <v>40.2743347701149</v>
      </c>
      <c r="S46" s="55" t="n">
        <f aca="false">Q46+ROW()*0.000000001</f>
        <v>-8.00779116775602</v>
      </c>
      <c r="T46" s="55" t="n">
        <f aca="false">R46+ROW()*0.000000001</f>
        <v>40.2743348161149</v>
      </c>
    </row>
    <row r="47" customFormat="false" ht="15" hidden="false" customHeight="false" outlineLevel="0" collapsed="false">
      <c r="A47" s="0" t="n">
        <v>1</v>
      </c>
      <c r="B47" s="0" t="n">
        <v>1</v>
      </c>
      <c r="C47" s="0" t="n">
        <f aca="false">-1+A47*0.05</f>
        <v>-0.95</v>
      </c>
      <c r="D47" s="0" t="n">
        <f aca="false">-1+B47*0.05</f>
        <v>-0.95</v>
      </c>
      <c r="E47" s="0" t="n">
        <f aca="false">1</f>
        <v>1</v>
      </c>
      <c r="F47" s="0" t="n">
        <f aca="false">C47</f>
        <v>-0.95</v>
      </c>
      <c r="G47" s="0" t="n">
        <f aca="false">D47</f>
        <v>-0.95</v>
      </c>
      <c r="H47" s="0" t="n">
        <f aca="false">C47*D47</f>
        <v>0.9025</v>
      </c>
      <c r="I47" s="0" t="n">
        <f aca="false">C47*C47</f>
        <v>0.9025</v>
      </c>
      <c r="J47" s="0" t="n">
        <f aca="false">D47*D47</f>
        <v>0.9025</v>
      </c>
      <c r="K47" s="0" t="n">
        <f aca="false">SUMPRODUCT(E47:J47,_XtX!$B$53:$G$53)</f>
        <v>40.5123498563218</v>
      </c>
      <c r="L47" s="0" t="n">
        <f aca="false">SUMPRODUCT(MMULT(E47:J47,_XtX!$B$44:$G$49),E47:J47)</f>
        <v>0.668548904454023</v>
      </c>
      <c r="M47" s="0" t="n">
        <f aca="false">04_回帰ANOVA!$K$19*04_回帰ANOVA!$K$14*SQRT(1+L47)</f>
        <v>1.75043521736054</v>
      </c>
      <c r="N47" s="0" t="n">
        <f aca="false">K47-M47</f>
        <v>38.7619146389613</v>
      </c>
      <c r="O47" s="0" t="n">
        <f aca="false">K47+M47</f>
        <v>42.2627850736824</v>
      </c>
      <c r="P47" s="54" t="b">
        <f aca="false">AND(C47&gt;=01_因子設定!$L$5-0.000000001,C47&lt;=01_因子設定!$M$5+0.000000001,D47&gt;=01_因子設定!$L$6-0.000000001,D47&lt;=01_因子設定!$M$6+0.000000001,IF(01_因子設定!$B$20="Box-Behnken",C47^2+D47^2&lt;=2+0.000000001,TRUE()))</f>
        <v>1</v>
      </c>
      <c r="Q47" s="55" t="n">
        <f aca="false">IF(P47,IF(01_因子設定!$B$13="最大化",N47-01_因子設定!$B$14,IF(01_因子設定!$B$13="最小化",01_因子設定!$B$15-O47,MIN(N47-01_因子設定!$B$14,01_因子設定!$B$15-O47))),-1E+030)</f>
        <v>-7.73808536103871</v>
      </c>
      <c r="R47" s="55" t="n">
        <f aca="false">IF(P47,IF(01_因子設定!$B$13="最大化",K47,IF(01_因子設定!$B$13="最小化",-K47,-ABS(K47-01_因子設定!$B$16))),-1E+030)</f>
        <v>40.5123498563218</v>
      </c>
      <c r="S47" s="55" t="n">
        <f aca="false">Q47+ROW()*0.000000001</f>
        <v>-7.73808531403871</v>
      </c>
      <c r="T47" s="55" t="n">
        <f aca="false">R47+ROW()*0.000000001</f>
        <v>40.5123499033218</v>
      </c>
    </row>
    <row r="48" customFormat="false" ht="15" hidden="false" customHeight="false" outlineLevel="0" collapsed="false">
      <c r="A48" s="0" t="n">
        <v>1</v>
      </c>
      <c r="B48" s="0" t="n">
        <v>2</v>
      </c>
      <c r="C48" s="0" t="n">
        <f aca="false">-1+A48*0.05</f>
        <v>-0.95</v>
      </c>
      <c r="D48" s="0" t="n">
        <f aca="false">-1+B48*0.05</f>
        <v>-0.9</v>
      </c>
      <c r="E48" s="0" t="n">
        <f aca="false">1</f>
        <v>1</v>
      </c>
      <c r="F48" s="0" t="n">
        <f aca="false">C48</f>
        <v>-0.95</v>
      </c>
      <c r="G48" s="0" t="n">
        <f aca="false">D48</f>
        <v>-0.9</v>
      </c>
      <c r="H48" s="0" t="n">
        <f aca="false">C48*D48</f>
        <v>0.855</v>
      </c>
      <c r="I48" s="0" t="n">
        <f aca="false">C48*C48</f>
        <v>0.9025</v>
      </c>
      <c r="J48" s="0" t="n">
        <f aca="false">D48*D48</f>
        <v>0.81</v>
      </c>
      <c r="K48" s="0" t="n">
        <f aca="false">SUMPRODUCT(E48:J48,_XtX!$B$53:$G$53)</f>
        <v>40.7426494252873</v>
      </c>
      <c r="L48" s="0" t="n">
        <f aca="false">SUMPRODUCT(MMULT(E48:J48,_XtX!$B$44:$G$49),E48:J48)</f>
        <v>0.617075179597701</v>
      </c>
      <c r="M48" s="0" t="n">
        <f aca="false">04_回帰ANOVA!$K$19*04_回帰ANOVA!$K$14*SQRT(1+L48)</f>
        <v>1.72322377517336</v>
      </c>
      <c r="N48" s="0" t="n">
        <f aca="false">K48-M48</f>
        <v>39.019425650114</v>
      </c>
      <c r="O48" s="0" t="n">
        <f aca="false">K48+M48</f>
        <v>42.4658732004607</v>
      </c>
      <c r="P48" s="54" t="b">
        <f aca="false">AND(C48&gt;=01_因子設定!$L$5-0.000000001,C48&lt;=01_因子設定!$M$5+0.000000001,D48&gt;=01_因子設定!$L$6-0.000000001,D48&lt;=01_因子設定!$M$6+0.000000001,IF(01_因子設定!$B$20="Box-Behnken",C48^2+D48^2&lt;=2+0.000000001,TRUE()))</f>
        <v>1</v>
      </c>
      <c r="Q48" s="55" t="n">
        <f aca="false">IF(P48,IF(01_因子設定!$B$13="最大化",N48-01_因子設定!$B$14,IF(01_因子設定!$B$13="最小化",01_因子設定!$B$15-O48,MIN(N48-01_因子設定!$B$14,01_因子設定!$B$15-O48))),-1E+030)</f>
        <v>-7.48057434988603</v>
      </c>
      <c r="R48" s="55" t="n">
        <f aca="false">IF(P48,IF(01_因子設定!$B$13="最大化",K48,IF(01_因子設定!$B$13="最小化",-K48,-ABS(K48-01_因子設定!$B$16))),-1E+030)</f>
        <v>40.7426494252873</v>
      </c>
      <c r="S48" s="55" t="n">
        <f aca="false">Q48+ROW()*0.000000001</f>
        <v>-7.48057430188603</v>
      </c>
      <c r="T48" s="55" t="n">
        <f aca="false">R48+ROW()*0.000000001</f>
        <v>40.7426494732873</v>
      </c>
    </row>
    <row r="49" customFormat="false" ht="15" hidden="false" customHeight="false" outlineLevel="0" collapsed="false">
      <c r="A49" s="0" t="n">
        <v>1</v>
      </c>
      <c r="B49" s="0" t="n">
        <v>3</v>
      </c>
      <c r="C49" s="0" t="n">
        <f aca="false">-1+A49*0.05</f>
        <v>-0.95</v>
      </c>
      <c r="D49" s="0" t="n">
        <f aca="false">-1+B49*0.05</f>
        <v>-0.85</v>
      </c>
      <c r="E49" s="0" t="n">
        <f aca="false">1</f>
        <v>1</v>
      </c>
      <c r="F49" s="0" t="n">
        <f aca="false">C49</f>
        <v>-0.95</v>
      </c>
      <c r="G49" s="0" t="n">
        <f aca="false">D49</f>
        <v>-0.85</v>
      </c>
      <c r="H49" s="0" t="n">
        <f aca="false">C49*D49</f>
        <v>0.8075</v>
      </c>
      <c r="I49" s="0" t="n">
        <f aca="false">C49*C49</f>
        <v>0.9025</v>
      </c>
      <c r="J49" s="0" t="n">
        <f aca="false">D49*D49</f>
        <v>0.7225</v>
      </c>
      <c r="K49" s="0" t="n">
        <f aca="false">SUMPRODUCT(E49:J49,_XtX!$B$53:$G$53)</f>
        <v>40.9652334770115</v>
      </c>
      <c r="L49" s="0" t="n">
        <f aca="false">SUMPRODUCT(MMULT(E49:J49,_XtX!$B$44:$G$49),E49:J49)</f>
        <v>0.574086404454023</v>
      </c>
      <c r="M49" s="0" t="n">
        <f aca="false">04_回帰ANOVA!$K$19*04_回帰ANOVA!$K$14*SQRT(1+L49)</f>
        <v>1.7001641576124</v>
      </c>
      <c r="N49" s="0" t="n">
        <f aca="false">K49-M49</f>
        <v>39.2650693193991</v>
      </c>
      <c r="O49" s="0" t="n">
        <f aca="false">K49+M49</f>
        <v>42.6653976346239</v>
      </c>
      <c r="P49" s="54" t="b">
        <f aca="false">AND(C49&gt;=01_因子設定!$L$5-0.000000001,C49&lt;=01_因子設定!$M$5+0.000000001,D49&gt;=01_因子設定!$L$6-0.000000001,D49&lt;=01_因子設定!$M$6+0.000000001,IF(01_因子設定!$B$20="Box-Behnken",C49^2+D49^2&lt;=2+0.000000001,TRUE()))</f>
        <v>1</v>
      </c>
      <c r="Q49" s="55" t="n">
        <f aca="false">IF(P49,IF(01_因子設定!$B$13="最大化",N49-01_因子設定!$B$14,IF(01_因子設定!$B$13="最小化",01_因子設定!$B$15-O49,MIN(N49-01_因子設定!$B$14,01_因子設定!$B$15-O49))),-1E+030)</f>
        <v>-7.23493068060091</v>
      </c>
      <c r="R49" s="55" t="n">
        <f aca="false">IF(P49,IF(01_因子設定!$B$13="最大化",K49,IF(01_因子設定!$B$13="最小化",-K49,-ABS(K49-01_因子設定!$B$16))),-1E+030)</f>
        <v>40.9652334770115</v>
      </c>
      <c r="S49" s="55" t="n">
        <f aca="false">Q49+ROW()*0.000000001</f>
        <v>-7.23493063160091</v>
      </c>
      <c r="T49" s="55" t="n">
        <f aca="false">R49+ROW()*0.000000001</f>
        <v>40.9652335260115</v>
      </c>
    </row>
    <row r="50" customFormat="false" ht="15" hidden="false" customHeight="false" outlineLevel="0" collapsed="false">
      <c r="A50" s="0" t="n">
        <v>1</v>
      </c>
      <c r="B50" s="0" t="n">
        <v>4</v>
      </c>
      <c r="C50" s="0" t="n">
        <f aca="false">-1+A50*0.05</f>
        <v>-0.95</v>
      </c>
      <c r="D50" s="0" t="n">
        <f aca="false">-1+B50*0.05</f>
        <v>-0.8</v>
      </c>
      <c r="E50" s="0" t="n">
        <f aca="false">1</f>
        <v>1</v>
      </c>
      <c r="F50" s="0" t="n">
        <f aca="false">C50</f>
        <v>-0.95</v>
      </c>
      <c r="G50" s="0" t="n">
        <f aca="false">D50</f>
        <v>-0.8</v>
      </c>
      <c r="H50" s="0" t="n">
        <f aca="false">C50*D50</f>
        <v>0.76</v>
      </c>
      <c r="I50" s="0" t="n">
        <f aca="false">C50*C50</f>
        <v>0.9025</v>
      </c>
      <c r="J50" s="0" t="n">
        <f aca="false">D50*D50</f>
        <v>0.64</v>
      </c>
      <c r="K50" s="0" t="n">
        <f aca="false">SUMPRODUCT(E50:J50,_XtX!$B$53:$G$53)</f>
        <v>41.1801020114942</v>
      </c>
      <c r="L50" s="0" t="n">
        <f aca="false">SUMPRODUCT(MMULT(E50:J50,_XtX!$B$44:$G$49),E50:J50)</f>
        <v>0.538632147988506</v>
      </c>
      <c r="M50" s="0" t="n">
        <f aca="false">04_回帰ANOVA!$K$19*04_回帰ANOVA!$K$14*SQRT(1+L50)</f>
        <v>1.68090811348192</v>
      </c>
      <c r="N50" s="0" t="n">
        <f aca="false">K50-M50</f>
        <v>39.4991938980123</v>
      </c>
      <c r="O50" s="0" t="n">
        <f aca="false">K50+M50</f>
        <v>42.8610101249762</v>
      </c>
      <c r="P50" s="54" t="b">
        <f aca="false">AND(C50&gt;=01_因子設定!$L$5-0.000000001,C50&lt;=01_因子設定!$M$5+0.000000001,D50&gt;=01_因子設定!$L$6-0.000000001,D50&lt;=01_因子設定!$M$6+0.000000001,IF(01_因子設定!$B$20="Box-Behnken",C50^2+D50^2&lt;=2+0.000000001,TRUE()))</f>
        <v>1</v>
      </c>
      <c r="Q50" s="55" t="n">
        <f aca="false">IF(P50,IF(01_因子設定!$B$13="最大化",N50-01_因子設定!$B$14,IF(01_因子設定!$B$13="最小化",01_因子設定!$B$15-O50,MIN(N50-01_因子設定!$B$14,01_因子設定!$B$15-O50))),-1E+030)</f>
        <v>-7.00080610198769</v>
      </c>
      <c r="R50" s="55" t="n">
        <f aca="false">IF(P50,IF(01_因子設定!$B$13="最大化",K50,IF(01_因子設定!$B$13="最小化",-K50,-ABS(K50-01_因子設定!$B$16))),-1E+030)</f>
        <v>41.1801020114942</v>
      </c>
      <c r="S50" s="55" t="n">
        <f aca="false">Q50+ROW()*0.000000001</f>
        <v>-7.00080605198769</v>
      </c>
      <c r="T50" s="55" t="n">
        <f aca="false">R50+ROW()*0.000000001</f>
        <v>41.1801020614942</v>
      </c>
    </row>
    <row r="51" customFormat="false" ht="15" hidden="false" customHeight="false" outlineLevel="0" collapsed="false">
      <c r="A51" s="0" t="n">
        <v>1</v>
      </c>
      <c r="B51" s="0" t="n">
        <v>5</v>
      </c>
      <c r="C51" s="0" t="n">
        <f aca="false">-1+A51*0.05</f>
        <v>-0.95</v>
      </c>
      <c r="D51" s="0" t="n">
        <f aca="false">-1+B51*0.05</f>
        <v>-0.75</v>
      </c>
      <c r="E51" s="0" t="n">
        <f aca="false">1</f>
        <v>1</v>
      </c>
      <c r="F51" s="0" t="n">
        <f aca="false">C51</f>
        <v>-0.95</v>
      </c>
      <c r="G51" s="0" t="n">
        <f aca="false">D51</f>
        <v>-0.75</v>
      </c>
      <c r="H51" s="0" t="n">
        <f aca="false">C51*D51</f>
        <v>0.7125</v>
      </c>
      <c r="I51" s="0" t="n">
        <f aca="false">C51*C51</f>
        <v>0.9025</v>
      </c>
      <c r="J51" s="0" t="n">
        <f aca="false">D51*D51</f>
        <v>0.5625</v>
      </c>
      <c r="K51" s="0" t="n">
        <f aca="false">SUMPRODUCT(E51:J51,_XtX!$B$53:$G$53)</f>
        <v>41.3872550287356</v>
      </c>
      <c r="L51" s="0" t="n">
        <f aca="false">SUMPRODUCT(MMULT(E51:J51,_XtX!$B$44:$G$49),E51:J51)</f>
        <v>0.509816289511494</v>
      </c>
      <c r="M51" s="0" t="n">
        <f aca="false">04_回帰ANOVA!$K$19*04_回帰ANOVA!$K$14*SQRT(1+L51)</f>
        <v>1.66509350076304</v>
      </c>
      <c r="N51" s="0" t="n">
        <f aca="false">K51-M51</f>
        <v>39.7221615279726</v>
      </c>
      <c r="O51" s="0" t="n">
        <f aca="false">K51+M51</f>
        <v>43.0523485294987</v>
      </c>
      <c r="P51" s="54" t="b">
        <f aca="false">AND(C51&gt;=01_因子設定!$L$5-0.000000001,C51&lt;=01_因子設定!$M$5+0.000000001,D51&gt;=01_因子設定!$L$6-0.000000001,D51&lt;=01_因子設定!$M$6+0.000000001,IF(01_因子設定!$B$20="Box-Behnken",C51^2+D51^2&lt;=2+0.000000001,TRUE()))</f>
        <v>1</v>
      </c>
      <c r="Q51" s="55" t="n">
        <f aca="false">IF(P51,IF(01_因子設定!$B$13="最大化",N51-01_因子設定!$B$14,IF(01_因子設定!$B$13="最小化",01_因子設定!$B$15-O51,MIN(N51-01_因子設定!$B$14,01_因子設定!$B$15-O51))),-1E+030)</f>
        <v>-6.77783847202743</v>
      </c>
      <c r="R51" s="55" t="n">
        <f aca="false">IF(P51,IF(01_因子設定!$B$13="最大化",K51,IF(01_因子設定!$B$13="最小化",-K51,-ABS(K51-01_因子設定!$B$16))),-1E+030)</f>
        <v>41.3872550287356</v>
      </c>
      <c r="S51" s="55" t="n">
        <f aca="false">Q51+ROW()*0.000000001</f>
        <v>-6.77783842102743</v>
      </c>
      <c r="T51" s="55" t="n">
        <f aca="false">R51+ROW()*0.000000001</f>
        <v>41.3872550797356</v>
      </c>
    </row>
    <row r="52" customFormat="false" ht="15" hidden="false" customHeight="false" outlineLevel="0" collapsed="false">
      <c r="A52" s="0" t="n">
        <v>1</v>
      </c>
      <c r="B52" s="0" t="n">
        <v>6</v>
      </c>
      <c r="C52" s="0" t="n">
        <f aca="false">-1+A52*0.05</f>
        <v>-0.95</v>
      </c>
      <c r="D52" s="0" t="n">
        <f aca="false">-1+B52*0.05</f>
        <v>-0.7</v>
      </c>
      <c r="E52" s="0" t="n">
        <f aca="false">1</f>
        <v>1</v>
      </c>
      <c r="F52" s="0" t="n">
        <f aca="false">C52</f>
        <v>-0.95</v>
      </c>
      <c r="G52" s="0" t="n">
        <f aca="false">D52</f>
        <v>-0.7</v>
      </c>
      <c r="H52" s="0" t="n">
        <f aca="false">C52*D52</f>
        <v>0.665</v>
      </c>
      <c r="I52" s="0" t="n">
        <f aca="false">C52*C52</f>
        <v>0.9025</v>
      </c>
      <c r="J52" s="0" t="n">
        <f aca="false">D52*D52</f>
        <v>0.49</v>
      </c>
      <c r="K52" s="0" t="n">
        <f aca="false">SUMPRODUCT(E52:J52,_XtX!$B$53:$G$53)</f>
        <v>41.5866925287356</v>
      </c>
      <c r="L52" s="0" t="n">
        <f aca="false">SUMPRODUCT(MMULT(E52:J52,_XtX!$B$44:$G$49),E52:J52)</f>
        <v>0.486797018678161</v>
      </c>
      <c r="M52" s="0" t="n">
        <f aca="false">04_回帰ANOVA!$K$19*04_回帰ANOVA!$K$14*SQRT(1+L52)</f>
        <v>1.65235140136234</v>
      </c>
      <c r="N52" s="0" t="n">
        <f aca="false">K52-M52</f>
        <v>39.9343411273733</v>
      </c>
      <c r="O52" s="0" t="n">
        <f aca="false">K52+M52</f>
        <v>43.239043930098</v>
      </c>
      <c r="P52" s="54" t="b">
        <f aca="false">AND(C52&gt;=01_因子設定!$L$5-0.000000001,C52&lt;=01_因子設定!$M$5+0.000000001,D52&gt;=01_因子設定!$L$6-0.000000001,D52&lt;=01_因子設定!$M$6+0.000000001,IF(01_因子設定!$B$20="Box-Behnken",C52^2+D52^2&lt;=2+0.000000001,TRUE()))</f>
        <v>1</v>
      </c>
      <c r="Q52" s="55" t="n">
        <f aca="false">IF(P52,IF(01_因子設定!$B$13="最大化",N52-01_因子設定!$B$14,IF(01_因子設定!$B$13="最小化",01_因子設定!$B$15-O52,MIN(N52-01_因子設定!$B$14,01_因子設定!$B$15-O52))),-1E+030)</f>
        <v>-6.56565887262673</v>
      </c>
      <c r="R52" s="55" t="n">
        <f aca="false">IF(P52,IF(01_因子設定!$B$13="最大化",K52,IF(01_因子設定!$B$13="最小化",-K52,-ABS(K52-01_因子設定!$B$16))),-1E+030)</f>
        <v>41.5866925287356</v>
      </c>
      <c r="S52" s="55" t="n">
        <f aca="false">Q52+ROW()*0.000000001</f>
        <v>-6.56565882062673</v>
      </c>
      <c r="T52" s="55" t="n">
        <f aca="false">R52+ROW()*0.000000001</f>
        <v>41.5866925807356</v>
      </c>
    </row>
    <row r="53" customFormat="false" ht="15" hidden="false" customHeight="false" outlineLevel="0" collapsed="false">
      <c r="A53" s="0" t="n">
        <v>1</v>
      </c>
      <c r="B53" s="0" t="n">
        <v>7</v>
      </c>
      <c r="C53" s="0" t="n">
        <f aca="false">-1+A53*0.05</f>
        <v>-0.95</v>
      </c>
      <c r="D53" s="0" t="n">
        <f aca="false">-1+B53*0.05</f>
        <v>-0.65</v>
      </c>
      <c r="E53" s="0" t="n">
        <f aca="false">1</f>
        <v>1</v>
      </c>
      <c r="F53" s="0" t="n">
        <f aca="false">C53</f>
        <v>-0.95</v>
      </c>
      <c r="G53" s="0" t="n">
        <f aca="false">D53</f>
        <v>-0.65</v>
      </c>
      <c r="H53" s="0" t="n">
        <f aca="false">C53*D53</f>
        <v>0.6175</v>
      </c>
      <c r="I53" s="0" t="n">
        <f aca="false">C53*C53</f>
        <v>0.9025</v>
      </c>
      <c r="J53" s="0" t="n">
        <f aca="false">D53*D53</f>
        <v>0.4225</v>
      </c>
      <c r="K53" s="0" t="n">
        <f aca="false">SUMPRODUCT(E53:J53,_XtX!$B$53:$G$53)</f>
        <v>41.7784145114942</v>
      </c>
      <c r="L53" s="0" t="n">
        <f aca="false">SUMPRODUCT(MMULT(E53:J53,_XtX!$B$44:$G$49),E53:J53)</f>
        <v>0.468786835488506</v>
      </c>
      <c r="M53" s="0" t="n">
        <f aca="false">04_回帰ANOVA!$K$19*04_回帰ANOVA!$K$14*SQRT(1+L53)</f>
        <v>1.64231310350799</v>
      </c>
      <c r="N53" s="0" t="n">
        <f aca="false">K53-M53</f>
        <v>40.1361014079862</v>
      </c>
      <c r="O53" s="0" t="n">
        <f aca="false">K53+M53</f>
        <v>43.4207276150022</v>
      </c>
      <c r="P53" s="54" t="b">
        <f aca="false">AND(C53&gt;=01_因子設定!$L$5-0.000000001,C53&lt;=01_因子設定!$M$5+0.000000001,D53&gt;=01_因子設定!$L$6-0.000000001,D53&lt;=01_因子設定!$M$6+0.000000001,IF(01_因子設定!$B$20="Box-Behnken",C53^2+D53^2&lt;=2+0.000000001,TRUE()))</f>
        <v>1</v>
      </c>
      <c r="Q53" s="55" t="n">
        <f aca="false">IF(P53,IF(01_因子設定!$B$13="最大化",N53-01_因子設定!$B$14,IF(01_因子設定!$B$13="最小化",01_因子設定!$B$15-O53,MIN(N53-01_因子設定!$B$14,01_因子設定!$B$15-O53))),-1E+030)</f>
        <v>-6.36389859201376</v>
      </c>
      <c r="R53" s="55" t="n">
        <f aca="false">IF(P53,IF(01_因子設定!$B$13="最大化",K53,IF(01_因子設定!$B$13="最小化",-K53,-ABS(K53-01_因子設定!$B$16))),-1E+030)</f>
        <v>41.7784145114942</v>
      </c>
      <c r="S53" s="55" t="n">
        <f aca="false">Q53+ROW()*0.000000001</f>
        <v>-6.36389853901376</v>
      </c>
      <c r="T53" s="55" t="n">
        <f aca="false">R53+ROW()*0.000000001</f>
        <v>41.7784145644942</v>
      </c>
    </row>
    <row r="54" customFormat="false" ht="15" hidden="false" customHeight="false" outlineLevel="0" collapsed="false">
      <c r="A54" s="0" t="n">
        <v>1</v>
      </c>
      <c r="B54" s="0" t="n">
        <v>8</v>
      </c>
      <c r="C54" s="0" t="n">
        <f aca="false">-1+A54*0.05</f>
        <v>-0.95</v>
      </c>
      <c r="D54" s="0" t="n">
        <f aca="false">-1+B54*0.05</f>
        <v>-0.6</v>
      </c>
      <c r="E54" s="0" t="n">
        <f aca="false">1</f>
        <v>1</v>
      </c>
      <c r="F54" s="0" t="n">
        <f aca="false">C54</f>
        <v>-0.95</v>
      </c>
      <c r="G54" s="0" t="n">
        <f aca="false">D54</f>
        <v>-0.6</v>
      </c>
      <c r="H54" s="0" t="n">
        <f aca="false">C54*D54</f>
        <v>0.57</v>
      </c>
      <c r="I54" s="0" t="n">
        <f aca="false">C54*C54</f>
        <v>0.9025</v>
      </c>
      <c r="J54" s="0" t="n">
        <f aca="false">D54*D54</f>
        <v>0.36</v>
      </c>
      <c r="K54" s="0" t="n">
        <f aca="false">SUMPRODUCT(E54:J54,_XtX!$B$53:$G$53)</f>
        <v>41.9624209770115</v>
      </c>
      <c r="L54" s="0" t="n">
        <f aca="false">SUMPRODUCT(MMULT(E54:J54,_XtX!$B$44:$G$49),E54:J54)</f>
        <v>0.455052550287356</v>
      </c>
      <c r="M54" s="0" t="n">
        <f aca="false">04_回帰ANOVA!$K$19*04_回帰ANOVA!$K$14*SQRT(1+L54)</f>
        <v>1.63461662470009</v>
      </c>
      <c r="N54" s="0" t="n">
        <f aca="false">K54-M54</f>
        <v>40.3278043523114</v>
      </c>
      <c r="O54" s="0" t="n">
        <f aca="false">K54+M54</f>
        <v>43.5970376017116</v>
      </c>
      <c r="P54" s="54" t="b">
        <f aca="false">AND(C54&gt;=01_因子設定!$L$5-0.000000001,C54&lt;=01_因子設定!$M$5+0.000000001,D54&gt;=01_因子設定!$L$6-0.000000001,D54&lt;=01_因子設定!$M$6+0.000000001,IF(01_因子設定!$B$20="Box-Behnken",C54^2+D54^2&lt;=2+0.000000001,TRUE()))</f>
        <v>1</v>
      </c>
      <c r="Q54" s="55" t="n">
        <f aca="false">IF(P54,IF(01_因子設定!$B$13="最大化",N54-01_因子設定!$B$14,IF(01_因子設定!$B$13="最小化",01_因子設定!$B$15-O54,MIN(N54-01_因子設定!$B$14,01_因子設定!$B$15-O54))),-1E+030)</f>
        <v>-6.17219564768861</v>
      </c>
      <c r="R54" s="55" t="n">
        <f aca="false">IF(P54,IF(01_因子設定!$B$13="最大化",K54,IF(01_因子設定!$B$13="最小化",-K54,-ABS(K54-01_因子設定!$B$16))),-1E+030)</f>
        <v>41.9624209770115</v>
      </c>
      <c r="S54" s="55" t="n">
        <f aca="false">Q54+ROW()*0.000000001</f>
        <v>-6.17219559368861</v>
      </c>
      <c r="T54" s="55" t="n">
        <f aca="false">R54+ROW()*0.000000001</f>
        <v>41.9624210310115</v>
      </c>
    </row>
    <row r="55" customFormat="false" ht="15" hidden="false" customHeight="false" outlineLevel="0" collapsed="false">
      <c r="A55" s="0" t="n">
        <v>1</v>
      </c>
      <c r="B55" s="0" t="n">
        <v>9</v>
      </c>
      <c r="C55" s="0" t="n">
        <f aca="false">-1+A55*0.05</f>
        <v>-0.95</v>
      </c>
      <c r="D55" s="0" t="n">
        <f aca="false">-1+B55*0.05</f>
        <v>-0.55</v>
      </c>
      <c r="E55" s="0" t="n">
        <f aca="false">1</f>
        <v>1</v>
      </c>
      <c r="F55" s="0" t="n">
        <f aca="false">C55</f>
        <v>-0.95</v>
      </c>
      <c r="G55" s="0" t="n">
        <f aca="false">D55</f>
        <v>-0.55</v>
      </c>
      <c r="H55" s="0" t="n">
        <f aca="false">C55*D55</f>
        <v>0.5225</v>
      </c>
      <c r="I55" s="0" t="n">
        <f aca="false">C55*C55</f>
        <v>0.9025</v>
      </c>
      <c r="J55" s="0" t="n">
        <f aca="false">D55*D55</f>
        <v>0.3025</v>
      </c>
      <c r="K55" s="0" t="n">
        <f aca="false">SUMPRODUCT(E55:J55,_XtX!$B$53:$G$53)</f>
        <v>42.1387119252873</v>
      </c>
      <c r="L55" s="0" t="n">
        <f aca="false">SUMPRODUCT(MMULT(E55:J55,_XtX!$B$44:$G$49),E55:J55)</f>
        <v>0.444915283764368</v>
      </c>
      <c r="M55" s="0" t="n">
        <f aca="false">04_回帰ANOVA!$K$19*04_回帰ANOVA!$K$14*SQRT(1+L55)</f>
        <v>1.62891253282135</v>
      </c>
      <c r="N55" s="0" t="n">
        <f aca="false">K55-M55</f>
        <v>40.509799392466</v>
      </c>
      <c r="O55" s="0" t="n">
        <f aca="false">K55+M55</f>
        <v>43.7676244581087</v>
      </c>
      <c r="P55" s="54" t="b">
        <f aca="false">AND(C55&gt;=01_因子設定!$L$5-0.000000001,C55&lt;=01_因子設定!$M$5+0.000000001,D55&gt;=01_因子設定!$L$6-0.000000001,D55&lt;=01_因子設定!$M$6+0.000000001,IF(01_因子設定!$B$20="Box-Behnken",C55^2+D55^2&lt;=2+0.000000001,TRUE()))</f>
        <v>1</v>
      </c>
      <c r="Q55" s="55" t="n">
        <f aca="false">IF(P55,IF(01_因子設定!$B$13="最大化",N55-01_因子設定!$B$14,IF(01_因子設定!$B$13="最小化",01_因子設定!$B$15-O55,MIN(N55-01_因子設定!$B$14,01_因子設定!$B$15-O55))),-1E+030)</f>
        <v>-5.99020060753401</v>
      </c>
      <c r="R55" s="55" t="n">
        <f aca="false">IF(P55,IF(01_因子設定!$B$13="最大化",K55,IF(01_因子設定!$B$13="最小化",-K55,-ABS(K55-01_因子設定!$B$16))),-1E+030)</f>
        <v>42.1387119252873</v>
      </c>
      <c r="S55" s="55" t="n">
        <f aca="false">Q55+ROW()*0.000000001</f>
        <v>-5.99020055253401</v>
      </c>
      <c r="T55" s="55" t="n">
        <f aca="false">R55+ROW()*0.000000001</f>
        <v>42.1387119802873</v>
      </c>
    </row>
    <row r="56" customFormat="false" ht="15" hidden="false" customHeight="false" outlineLevel="0" collapsed="false">
      <c r="A56" s="0" t="n">
        <v>1</v>
      </c>
      <c r="B56" s="0" t="n">
        <v>10</v>
      </c>
      <c r="C56" s="0" t="n">
        <f aca="false">-1+A56*0.05</f>
        <v>-0.95</v>
      </c>
      <c r="D56" s="0" t="n">
        <f aca="false">-1+B56*0.05</f>
        <v>-0.5</v>
      </c>
      <c r="E56" s="0" t="n">
        <f aca="false">1</f>
        <v>1</v>
      </c>
      <c r="F56" s="0" t="n">
        <f aca="false">C56</f>
        <v>-0.95</v>
      </c>
      <c r="G56" s="0" t="n">
        <f aca="false">D56</f>
        <v>-0.5</v>
      </c>
      <c r="H56" s="0" t="n">
        <f aca="false">C56*D56</f>
        <v>0.475</v>
      </c>
      <c r="I56" s="0" t="n">
        <f aca="false">C56*C56</f>
        <v>0.9025</v>
      </c>
      <c r="J56" s="0" t="n">
        <f aca="false">D56*D56</f>
        <v>0.25</v>
      </c>
      <c r="K56" s="0" t="n">
        <f aca="false">SUMPRODUCT(E56:J56,_XtX!$B$53:$G$53)</f>
        <v>42.3072873563218</v>
      </c>
      <c r="L56" s="0" t="n">
        <f aca="false">SUMPRODUCT(MMULT(E56:J56,_XtX!$B$44:$G$49),E56:J56)</f>
        <v>0.437750466954023</v>
      </c>
      <c r="M56" s="0" t="n">
        <f aca="false">04_回帰ANOVA!$K$19*04_回帰ANOVA!$K$14*SQRT(1+L56)</f>
        <v>1.62486891728431</v>
      </c>
      <c r="N56" s="0" t="n">
        <f aca="false">K56-M56</f>
        <v>40.6824184390375</v>
      </c>
      <c r="O56" s="0" t="n">
        <f aca="false">K56+M56</f>
        <v>43.9321562736061</v>
      </c>
      <c r="P56" s="54" t="b">
        <f aca="false">AND(C56&gt;=01_因子設定!$L$5-0.000000001,C56&lt;=01_因子設定!$M$5+0.000000001,D56&gt;=01_因子設定!$L$6-0.000000001,D56&lt;=01_因子設定!$M$6+0.000000001,IF(01_因子設定!$B$20="Box-Behnken",C56^2+D56^2&lt;=2+0.000000001,TRUE()))</f>
        <v>1</v>
      </c>
      <c r="Q56" s="55" t="n">
        <f aca="false">IF(P56,IF(01_因子設定!$B$13="最大化",N56-01_因子設定!$B$14,IF(01_因子設定!$B$13="最小化",01_因子設定!$B$15-O56,MIN(N56-01_因子設定!$B$14,01_因子設定!$B$15-O56))),-1E+030)</f>
        <v>-5.81758156096249</v>
      </c>
      <c r="R56" s="55" t="n">
        <f aca="false">IF(P56,IF(01_因子設定!$B$13="最大化",K56,IF(01_因子設定!$B$13="最小化",-K56,-ABS(K56-01_因子設定!$B$16))),-1E+030)</f>
        <v>42.3072873563218</v>
      </c>
      <c r="S56" s="55" t="n">
        <f aca="false">Q56+ROW()*0.000000001</f>
        <v>-5.81758150496249</v>
      </c>
      <c r="T56" s="55" t="n">
        <f aca="false">R56+ROW()*0.000000001</f>
        <v>42.3072874123218</v>
      </c>
    </row>
    <row r="57" customFormat="false" ht="15" hidden="false" customHeight="false" outlineLevel="0" collapsed="false">
      <c r="A57" s="0" t="n">
        <v>1</v>
      </c>
      <c r="B57" s="0" t="n">
        <v>11</v>
      </c>
      <c r="C57" s="0" t="n">
        <f aca="false">-1+A57*0.05</f>
        <v>-0.95</v>
      </c>
      <c r="D57" s="0" t="n">
        <f aca="false">-1+B57*0.05</f>
        <v>-0.45</v>
      </c>
      <c r="E57" s="0" t="n">
        <f aca="false">1</f>
        <v>1</v>
      </c>
      <c r="F57" s="0" t="n">
        <f aca="false">C57</f>
        <v>-0.95</v>
      </c>
      <c r="G57" s="0" t="n">
        <f aca="false">D57</f>
        <v>-0.45</v>
      </c>
      <c r="H57" s="0" t="n">
        <f aca="false">C57*D57</f>
        <v>0.4275</v>
      </c>
      <c r="I57" s="0" t="n">
        <f aca="false">C57*C57</f>
        <v>0.9025</v>
      </c>
      <c r="J57" s="0" t="n">
        <f aca="false">D57*D57</f>
        <v>0.2025</v>
      </c>
      <c r="K57" s="0" t="n">
        <f aca="false">SUMPRODUCT(E57:J57,_XtX!$B$53:$G$53)</f>
        <v>42.4681472701149</v>
      </c>
      <c r="L57" s="0" t="n">
        <f aca="false">SUMPRODUCT(MMULT(E57:J57,_XtX!$B$44:$G$49),E57:J57)</f>
        <v>0.432987841235632</v>
      </c>
      <c r="M57" s="0" t="n">
        <f aca="false">04_回帰ANOVA!$K$19*04_回帰ANOVA!$K$14*SQRT(1+L57)</f>
        <v>1.62217545204943</v>
      </c>
      <c r="N57" s="0" t="n">
        <f aca="false">K57-M57</f>
        <v>40.8459718180655</v>
      </c>
      <c r="O57" s="0" t="n">
        <f aca="false">K57+M57</f>
        <v>44.0903227221644</v>
      </c>
      <c r="P57" s="54" t="b">
        <f aca="false">AND(C57&gt;=01_因子設定!$L$5-0.000000001,C57&lt;=01_因子設定!$M$5+0.000000001,D57&gt;=01_因子設定!$L$6-0.000000001,D57&lt;=01_因子設定!$M$6+0.000000001,IF(01_因子設定!$B$20="Box-Behnken",C57^2+D57^2&lt;=2+0.000000001,TRUE()))</f>
        <v>1</v>
      </c>
      <c r="Q57" s="55" t="n">
        <f aca="false">IF(P57,IF(01_因子設定!$B$13="最大化",N57-01_因子設定!$B$14,IF(01_因子設定!$B$13="最小化",01_因子設定!$B$15-O57,MIN(N57-01_因子設定!$B$14,01_因子設定!$B$15-O57))),-1E+030)</f>
        <v>-5.65402818193451</v>
      </c>
      <c r="R57" s="55" t="n">
        <f aca="false">IF(P57,IF(01_因子設定!$B$13="最大化",K57,IF(01_因子設定!$B$13="最小化",-K57,-ABS(K57-01_因子設定!$B$16))),-1E+030)</f>
        <v>42.4681472701149</v>
      </c>
      <c r="S57" s="55" t="n">
        <f aca="false">Q57+ROW()*0.000000001</f>
        <v>-5.65402812493451</v>
      </c>
      <c r="T57" s="55" t="n">
        <f aca="false">R57+ROW()*0.000000001</f>
        <v>42.4681473271149</v>
      </c>
    </row>
    <row r="58" customFormat="false" ht="15" hidden="false" customHeight="false" outlineLevel="0" collapsed="false">
      <c r="A58" s="0" t="n">
        <v>1</v>
      </c>
      <c r="B58" s="0" t="n">
        <v>12</v>
      </c>
      <c r="C58" s="0" t="n">
        <f aca="false">-1+A58*0.05</f>
        <v>-0.95</v>
      </c>
      <c r="D58" s="0" t="n">
        <f aca="false">-1+B58*0.05</f>
        <v>-0.4</v>
      </c>
      <c r="E58" s="0" t="n">
        <f aca="false">1</f>
        <v>1</v>
      </c>
      <c r="F58" s="0" t="n">
        <f aca="false">C58</f>
        <v>-0.95</v>
      </c>
      <c r="G58" s="0" t="n">
        <f aca="false">D58</f>
        <v>-0.4</v>
      </c>
      <c r="H58" s="0" t="n">
        <f aca="false">C58*D58</f>
        <v>0.38</v>
      </c>
      <c r="I58" s="0" t="n">
        <f aca="false">C58*C58</f>
        <v>0.9025</v>
      </c>
      <c r="J58" s="0" t="n">
        <f aca="false">D58*D58</f>
        <v>0.16</v>
      </c>
      <c r="K58" s="0" t="n">
        <f aca="false">SUMPRODUCT(E58:J58,_XtX!$B$53:$G$53)</f>
        <v>42.6212916666667</v>
      </c>
      <c r="L58" s="0" t="n">
        <f aca="false">SUMPRODUCT(MMULT(E58:J58,_XtX!$B$44:$G$49),E58:J58)</f>
        <v>0.430111458333333</v>
      </c>
      <c r="M58" s="0" t="n">
        <f aca="false">04_回帰ANOVA!$K$19*04_回帰ANOVA!$K$14*SQRT(1+L58)</f>
        <v>1.62054656818033</v>
      </c>
      <c r="N58" s="0" t="n">
        <f aca="false">K58-M58</f>
        <v>41.0007450984863</v>
      </c>
      <c r="O58" s="0" t="n">
        <f aca="false">K58+M58</f>
        <v>44.241838234847</v>
      </c>
      <c r="P58" s="54" t="b">
        <f aca="false">AND(C58&gt;=01_因子設定!$L$5-0.000000001,C58&lt;=01_因子設定!$M$5+0.000000001,D58&gt;=01_因子設定!$L$6-0.000000001,D58&lt;=01_因子設定!$M$6+0.000000001,IF(01_因子設定!$B$20="Box-Behnken",C58^2+D58^2&lt;=2+0.000000001,TRUE()))</f>
        <v>1</v>
      </c>
      <c r="Q58" s="55" t="n">
        <f aca="false">IF(P58,IF(01_因子設定!$B$13="最大化",N58-01_因子設定!$B$14,IF(01_因子設定!$B$13="最小化",01_因子設定!$B$15-O58,MIN(N58-01_因子設定!$B$14,01_因子設定!$B$15-O58))),-1E+030)</f>
        <v>-5.49925490151368</v>
      </c>
      <c r="R58" s="55" t="n">
        <f aca="false">IF(P58,IF(01_因子設定!$B$13="最大化",K58,IF(01_因子設定!$B$13="最小化",-K58,-ABS(K58-01_因子設定!$B$16))),-1E+030)</f>
        <v>42.6212916666667</v>
      </c>
      <c r="S58" s="55" t="n">
        <f aca="false">Q58+ROW()*0.000000001</f>
        <v>-5.49925484351368</v>
      </c>
      <c r="T58" s="55" t="n">
        <f aca="false">R58+ROW()*0.000000001</f>
        <v>42.6212917246667</v>
      </c>
    </row>
    <row r="59" customFormat="false" ht="15" hidden="false" customHeight="false" outlineLevel="0" collapsed="false">
      <c r="A59" s="0" t="n">
        <v>1</v>
      </c>
      <c r="B59" s="0" t="n">
        <v>13</v>
      </c>
      <c r="C59" s="0" t="n">
        <f aca="false">-1+A59*0.05</f>
        <v>-0.95</v>
      </c>
      <c r="D59" s="0" t="n">
        <f aca="false">-1+B59*0.05</f>
        <v>-0.35</v>
      </c>
      <c r="E59" s="0" t="n">
        <f aca="false">1</f>
        <v>1</v>
      </c>
      <c r="F59" s="0" t="n">
        <f aca="false">C59</f>
        <v>-0.95</v>
      </c>
      <c r="G59" s="0" t="n">
        <f aca="false">D59</f>
        <v>-0.35</v>
      </c>
      <c r="H59" s="0" t="n">
        <f aca="false">C59*D59</f>
        <v>0.3325</v>
      </c>
      <c r="I59" s="0" t="n">
        <f aca="false">C59*C59</f>
        <v>0.9025</v>
      </c>
      <c r="J59" s="0" t="n">
        <f aca="false">D59*D59</f>
        <v>0.1225</v>
      </c>
      <c r="K59" s="0" t="n">
        <f aca="false">SUMPRODUCT(E59:J59,_XtX!$B$53:$G$53)</f>
        <v>42.766720545977</v>
      </c>
      <c r="L59" s="0" t="n">
        <f aca="false">SUMPRODUCT(MMULT(E59:J59,_XtX!$B$44:$G$49),E59:J59)</f>
        <v>0.428659680316092</v>
      </c>
      <c r="M59" s="0" t="n">
        <f aca="false">04_回帰ANOVA!$K$19*04_回帰ANOVA!$K$14*SQRT(1+L59)</f>
        <v>1.6197238101874</v>
      </c>
      <c r="N59" s="0" t="n">
        <f aca="false">K59-M59</f>
        <v>41.1469967357896</v>
      </c>
      <c r="O59" s="0" t="n">
        <f aca="false">K59+M59</f>
        <v>44.3864443561644</v>
      </c>
      <c r="P59" s="54" t="b">
        <f aca="false">AND(C59&gt;=01_因子設定!$L$5-0.000000001,C59&lt;=01_因子設定!$M$5+0.000000001,D59&gt;=01_因子設定!$L$6-0.000000001,D59&lt;=01_因子設定!$M$6+0.000000001,IF(01_因子設定!$B$20="Box-Behnken",C59^2+D59^2&lt;=2+0.000000001,TRUE()))</f>
        <v>1</v>
      </c>
      <c r="Q59" s="55" t="n">
        <f aca="false">IF(P59,IF(01_因子設定!$B$13="最大化",N59-01_因子設定!$B$14,IF(01_因子設定!$B$13="最小化",01_因子設定!$B$15-O59,MIN(N59-01_因子設定!$B$14,01_因子設定!$B$15-O59))),-1E+030)</f>
        <v>-5.35300326421041</v>
      </c>
      <c r="R59" s="55" t="n">
        <f aca="false">IF(P59,IF(01_因子設定!$B$13="最大化",K59,IF(01_因子設定!$B$13="最小化",-K59,-ABS(K59-01_因子設定!$B$16))),-1E+030)</f>
        <v>42.766720545977</v>
      </c>
      <c r="S59" s="55" t="n">
        <f aca="false">Q59+ROW()*0.000000001</f>
        <v>-5.35300320521041</v>
      </c>
      <c r="T59" s="55" t="n">
        <f aca="false">R59+ROW()*0.000000001</f>
        <v>42.766720604977</v>
      </c>
    </row>
    <row r="60" customFormat="false" ht="15" hidden="false" customHeight="false" outlineLevel="0" collapsed="false">
      <c r="A60" s="0" t="n">
        <v>1</v>
      </c>
      <c r="B60" s="0" t="n">
        <v>14</v>
      </c>
      <c r="C60" s="0" t="n">
        <f aca="false">-1+A60*0.05</f>
        <v>-0.95</v>
      </c>
      <c r="D60" s="0" t="n">
        <f aca="false">-1+B60*0.05</f>
        <v>-0.3</v>
      </c>
      <c r="E60" s="0" t="n">
        <f aca="false">1</f>
        <v>1</v>
      </c>
      <c r="F60" s="0" t="n">
        <f aca="false">C60</f>
        <v>-0.95</v>
      </c>
      <c r="G60" s="0" t="n">
        <f aca="false">D60</f>
        <v>-0.3</v>
      </c>
      <c r="H60" s="0" t="n">
        <f aca="false">C60*D60</f>
        <v>0.285</v>
      </c>
      <c r="I60" s="0" t="n">
        <f aca="false">C60*C60</f>
        <v>0.9025</v>
      </c>
      <c r="J60" s="0" t="n">
        <f aca="false">D60*D60</f>
        <v>0.09</v>
      </c>
      <c r="K60" s="0" t="n">
        <f aca="false">SUMPRODUCT(E60:J60,_XtX!$B$53:$G$53)</f>
        <v>42.904433908046</v>
      </c>
      <c r="L60" s="0" t="n">
        <f aca="false">SUMPRODUCT(MMULT(E60:J60,_XtX!$B$44:$G$49),E60:J60)</f>
        <v>0.428225179597701</v>
      </c>
      <c r="M60" s="0" t="n">
        <f aca="false">04_回帰ANOVA!$K$19*04_回帰ANOVA!$K$14*SQRT(1+L60)</f>
        <v>1.61947748676737</v>
      </c>
      <c r="N60" s="0" t="n">
        <f aca="false">K60-M60</f>
        <v>41.2849564212786</v>
      </c>
      <c r="O60" s="0" t="n">
        <f aca="false">K60+M60</f>
        <v>44.5239113948133</v>
      </c>
      <c r="P60" s="54" t="b">
        <f aca="false">AND(C60&gt;=01_因子設定!$L$5-0.000000001,C60&lt;=01_因子設定!$M$5+0.000000001,D60&gt;=01_因子設定!$L$6-0.000000001,D60&lt;=01_因子設定!$M$6+0.000000001,IF(01_因子設定!$B$20="Box-Behnken",C60^2+D60^2&lt;=2+0.000000001,TRUE()))</f>
        <v>1</v>
      </c>
      <c r="Q60" s="55" t="n">
        <f aca="false">IF(P60,IF(01_因子設定!$B$13="最大化",N60-01_因子設定!$B$14,IF(01_因子設定!$B$13="最小化",01_因子設定!$B$15-O60,MIN(N60-01_因子設定!$B$14,01_因子設定!$B$15-O60))),-1E+030)</f>
        <v>-5.21504357872141</v>
      </c>
      <c r="R60" s="55" t="n">
        <f aca="false">IF(P60,IF(01_因子設定!$B$13="最大化",K60,IF(01_因子設定!$B$13="最小化",-K60,-ABS(K60-01_因子設定!$B$16))),-1E+030)</f>
        <v>42.904433908046</v>
      </c>
      <c r="S60" s="55" t="n">
        <f aca="false">Q60+ROW()*0.000000001</f>
        <v>-5.21504351872141</v>
      </c>
      <c r="T60" s="55" t="n">
        <f aca="false">R60+ROW()*0.000000001</f>
        <v>42.904433968046</v>
      </c>
    </row>
    <row r="61" customFormat="false" ht="15" hidden="false" customHeight="false" outlineLevel="0" collapsed="false">
      <c r="A61" s="0" t="n">
        <v>1</v>
      </c>
      <c r="B61" s="0" t="n">
        <v>15</v>
      </c>
      <c r="C61" s="0" t="n">
        <f aca="false">-1+A61*0.05</f>
        <v>-0.95</v>
      </c>
      <c r="D61" s="0" t="n">
        <f aca="false">-1+B61*0.05</f>
        <v>-0.25</v>
      </c>
      <c r="E61" s="0" t="n">
        <f aca="false">1</f>
        <v>1</v>
      </c>
      <c r="F61" s="0" t="n">
        <f aca="false">C61</f>
        <v>-0.95</v>
      </c>
      <c r="G61" s="0" t="n">
        <f aca="false">D61</f>
        <v>-0.25</v>
      </c>
      <c r="H61" s="0" t="n">
        <f aca="false">C61*D61</f>
        <v>0.2375</v>
      </c>
      <c r="I61" s="0" t="n">
        <f aca="false">C61*C61</f>
        <v>0.9025</v>
      </c>
      <c r="J61" s="0" t="n">
        <f aca="false">D61*D61</f>
        <v>0.0625</v>
      </c>
      <c r="K61" s="0" t="n">
        <f aca="false">SUMPRODUCT(E61:J61,_XtX!$B$53:$G$53)</f>
        <v>43.0344317528735</v>
      </c>
      <c r="L61" s="0" t="n">
        <f aca="false">SUMPRODUCT(MMULT(E61:J61,_XtX!$B$44:$G$49),E61:J61)</f>
        <v>0.428454938936782</v>
      </c>
      <c r="M61" s="0" t="n">
        <f aca="false">04_回帰ANOVA!$K$19*04_回帰ANOVA!$K$14*SQRT(1+L61)</f>
        <v>1.6196077446283</v>
      </c>
      <c r="N61" s="0" t="n">
        <f aca="false">K61-M61</f>
        <v>41.4148240082453</v>
      </c>
      <c r="O61" s="0" t="n">
        <f aca="false">K61+M61</f>
        <v>44.6540394975018</v>
      </c>
      <c r="P61" s="54" t="b">
        <f aca="false">AND(C61&gt;=01_因子設定!$L$5-0.000000001,C61&lt;=01_因子設定!$M$5+0.000000001,D61&gt;=01_因子設定!$L$6-0.000000001,D61&lt;=01_因子設定!$M$6+0.000000001,IF(01_因子設定!$B$20="Box-Behnken",C61^2+D61^2&lt;=2+0.000000001,TRUE()))</f>
        <v>1</v>
      </c>
      <c r="Q61" s="55" t="n">
        <f aca="false">IF(P61,IF(01_因子設定!$B$13="最大化",N61-01_因子設定!$B$14,IF(01_因子設定!$B$13="最小化",01_因子設定!$B$15-O61,MIN(N61-01_因子設定!$B$14,01_因子設定!$B$15-O61))),-1E+030)</f>
        <v>-5.08517599175475</v>
      </c>
      <c r="R61" s="55" t="n">
        <f aca="false">IF(P61,IF(01_因子設定!$B$13="最大化",K61,IF(01_因子設定!$B$13="最小化",-K61,-ABS(K61-01_因子設定!$B$16))),-1E+030)</f>
        <v>43.0344317528735</v>
      </c>
      <c r="S61" s="55" t="n">
        <f aca="false">Q61+ROW()*0.000000001</f>
        <v>-5.08517593075475</v>
      </c>
      <c r="T61" s="55" t="n">
        <f aca="false">R61+ROW()*0.000000001</f>
        <v>43.0344318138735</v>
      </c>
    </row>
    <row r="62" customFormat="false" ht="15" hidden="false" customHeight="false" outlineLevel="0" collapsed="false">
      <c r="A62" s="0" t="n">
        <v>1</v>
      </c>
      <c r="B62" s="0" t="n">
        <v>16</v>
      </c>
      <c r="C62" s="0" t="n">
        <f aca="false">-1+A62*0.05</f>
        <v>-0.95</v>
      </c>
      <c r="D62" s="0" t="n">
        <f aca="false">-1+B62*0.05</f>
        <v>-0.2</v>
      </c>
      <c r="E62" s="0" t="n">
        <f aca="false">1</f>
        <v>1</v>
      </c>
      <c r="F62" s="0" t="n">
        <f aca="false">C62</f>
        <v>-0.95</v>
      </c>
      <c r="G62" s="0" t="n">
        <f aca="false">D62</f>
        <v>-0.2</v>
      </c>
      <c r="H62" s="0" t="n">
        <f aca="false">C62*D62</f>
        <v>0.19</v>
      </c>
      <c r="I62" s="0" t="n">
        <f aca="false">C62*C62</f>
        <v>0.9025</v>
      </c>
      <c r="J62" s="0" t="n">
        <f aca="false">D62*D62</f>
        <v>0.04</v>
      </c>
      <c r="K62" s="0" t="n">
        <f aca="false">SUMPRODUCT(E62:J62,_XtX!$B$53:$G$53)</f>
        <v>43.1567140804598</v>
      </c>
      <c r="L62" s="0" t="n">
        <f aca="false">SUMPRODUCT(MMULT(E62:J62,_XtX!$B$44:$G$49),E62:J62)</f>
        <v>0.429050251436782</v>
      </c>
      <c r="M62" s="0" t="n">
        <f aca="false">04_回帰ANOVA!$K$19*04_回帰ANOVA!$K$14*SQRT(1+L62)</f>
        <v>1.61994519745048</v>
      </c>
      <c r="N62" s="0" t="n">
        <f aca="false">K62-M62</f>
        <v>41.5367688830093</v>
      </c>
      <c r="O62" s="0" t="n">
        <f aca="false">K62+M62</f>
        <v>44.7766592779102</v>
      </c>
      <c r="P62" s="54" t="b">
        <f aca="false">AND(C62&gt;=01_因子設定!$L$5-0.000000001,C62&lt;=01_因子設定!$M$5+0.000000001,D62&gt;=01_因子設定!$L$6-0.000000001,D62&lt;=01_因子設定!$M$6+0.000000001,IF(01_因子設定!$B$20="Box-Behnken",C62^2+D62^2&lt;=2+0.000000001,TRUE()))</f>
        <v>1</v>
      </c>
      <c r="Q62" s="55" t="n">
        <f aca="false">IF(P62,IF(01_因子設定!$B$13="最大化",N62-01_因子設定!$B$14,IF(01_因子設定!$B$13="最小化",01_因子設定!$B$15-O62,MIN(N62-01_因子設定!$B$14,01_因子設定!$B$15-O62))),-1E+030)</f>
        <v>-4.96323111699073</v>
      </c>
      <c r="R62" s="55" t="n">
        <f aca="false">IF(P62,IF(01_因子設定!$B$13="最大化",K62,IF(01_因子設定!$B$13="最小化",-K62,-ABS(K62-01_因子設定!$B$16))),-1E+030)</f>
        <v>43.1567140804598</v>
      </c>
      <c r="S62" s="55" t="n">
        <f aca="false">Q62+ROW()*0.000000001</f>
        <v>-4.96323105499073</v>
      </c>
      <c r="T62" s="55" t="n">
        <f aca="false">R62+ROW()*0.000000001</f>
        <v>43.1567141424598</v>
      </c>
    </row>
    <row r="63" customFormat="false" ht="15" hidden="false" customHeight="false" outlineLevel="0" collapsed="false">
      <c r="A63" s="0" t="n">
        <v>1</v>
      </c>
      <c r="B63" s="0" t="n">
        <v>17</v>
      </c>
      <c r="C63" s="0" t="n">
        <f aca="false">-1+A63*0.05</f>
        <v>-0.95</v>
      </c>
      <c r="D63" s="0" t="n">
        <f aca="false">-1+B63*0.05</f>
        <v>-0.15</v>
      </c>
      <c r="E63" s="0" t="n">
        <f aca="false">1</f>
        <v>1</v>
      </c>
      <c r="F63" s="0" t="n">
        <f aca="false">C63</f>
        <v>-0.95</v>
      </c>
      <c r="G63" s="0" t="n">
        <f aca="false">D63</f>
        <v>-0.15</v>
      </c>
      <c r="H63" s="0" t="n">
        <f aca="false">C63*D63</f>
        <v>0.1425</v>
      </c>
      <c r="I63" s="0" t="n">
        <f aca="false">C63*C63</f>
        <v>0.9025</v>
      </c>
      <c r="J63" s="0" t="n">
        <f aca="false">D63*D63</f>
        <v>0.0225</v>
      </c>
      <c r="K63" s="0" t="n">
        <f aca="false">SUMPRODUCT(E63:J63,_XtX!$B$53:$G$53)</f>
        <v>43.2712808908046</v>
      </c>
      <c r="L63" s="0" t="n">
        <f aca="false">SUMPRODUCT(MMULT(E63:J63,_XtX!$B$44:$G$49),E63:J63)</f>
        <v>0.429766720545977</v>
      </c>
      <c r="M63" s="0" t="n">
        <f aca="false">04_回帰ANOVA!$K$19*04_回帰ANOVA!$K$14*SQRT(1+L63)</f>
        <v>1.62035123469551</v>
      </c>
      <c r="N63" s="0" t="n">
        <f aca="false">K63-M63</f>
        <v>41.6509296561091</v>
      </c>
      <c r="O63" s="0" t="n">
        <f aca="false">K63+M63</f>
        <v>44.8916321255001</v>
      </c>
      <c r="P63" s="54" t="b">
        <f aca="false">AND(C63&gt;=01_因子設定!$L$5-0.000000001,C63&lt;=01_因子設定!$M$5+0.000000001,D63&gt;=01_因子設定!$L$6-0.000000001,D63&lt;=01_因子設定!$M$6+0.000000001,IF(01_因子設定!$B$20="Box-Behnken",C63^2+D63^2&lt;=2+0.000000001,TRUE()))</f>
        <v>1</v>
      </c>
      <c r="Q63" s="55" t="n">
        <f aca="false">IF(P63,IF(01_因子設定!$B$13="最大化",N63-01_因子設定!$B$14,IF(01_因子設定!$B$13="最小化",01_因子設定!$B$15-O63,MIN(N63-01_因子設定!$B$14,01_因子設定!$B$15-O63))),-1E+030)</f>
        <v>-4.84907034389094</v>
      </c>
      <c r="R63" s="55" t="n">
        <f aca="false">IF(P63,IF(01_因子設定!$B$13="最大化",K63,IF(01_因子設定!$B$13="最小化",-K63,-ABS(K63-01_因子設定!$B$16))),-1E+030)</f>
        <v>43.2712808908046</v>
      </c>
      <c r="S63" s="55" t="n">
        <f aca="false">Q63+ROW()*0.000000001</f>
        <v>-4.84907028089094</v>
      </c>
      <c r="T63" s="55" t="n">
        <f aca="false">R63+ROW()*0.000000001</f>
        <v>43.2712809538046</v>
      </c>
    </row>
    <row r="64" customFormat="false" ht="15" hidden="false" customHeight="false" outlineLevel="0" collapsed="false">
      <c r="A64" s="0" t="n">
        <v>1</v>
      </c>
      <c r="B64" s="0" t="n">
        <v>18</v>
      </c>
      <c r="C64" s="0" t="n">
        <f aca="false">-1+A64*0.05</f>
        <v>-0.95</v>
      </c>
      <c r="D64" s="0" t="n">
        <f aca="false">-1+B64*0.05</f>
        <v>-0.1</v>
      </c>
      <c r="E64" s="0" t="n">
        <f aca="false">1</f>
        <v>1</v>
      </c>
      <c r="F64" s="0" t="n">
        <f aca="false">C64</f>
        <v>-0.95</v>
      </c>
      <c r="G64" s="0" t="n">
        <f aca="false">D64</f>
        <v>-0.1</v>
      </c>
      <c r="H64" s="0" t="n">
        <f aca="false">C64*D64</f>
        <v>0.095</v>
      </c>
      <c r="I64" s="0" t="n">
        <f aca="false">C64*C64</f>
        <v>0.9025</v>
      </c>
      <c r="J64" s="0" t="n">
        <f aca="false">D64*D64</f>
        <v>0.01</v>
      </c>
      <c r="K64" s="0" t="n">
        <f aca="false">SUMPRODUCT(E64:J64,_XtX!$B$53:$G$53)</f>
        <v>43.378132183908</v>
      </c>
      <c r="L64" s="0" t="n">
        <f aca="false">SUMPRODUCT(MMULT(E64:J64,_XtX!$B$44:$G$49),E64:J64)</f>
        <v>0.430414260057471</v>
      </c>
      <c r="M64" s="0" t="n">
        <f aca="false">04_回帰ANOVA!$K$19*04_回帰ANOVA!$K$14*SQRT(1+L64)</f>
        <v>1.62071812065626</v>
      </c>
      <c r="N64" s="0" t="n">
        <f aca="false">K64-M64</f>
        <v>41.7574140632518</v>
      </c>
      <c r="O64" s="0" t="n">
        <f aca="false">K64+M64</f>
        <v>44.9988503045643</v>
      </c>
      <c r="P64" s="54" t="b">
        <f aca="false">AND(C64&gt;=01_因子設定!$L$5-0.000000001,C64&lt;=01_因子設定!$M$5+0.000000001,D64&gt;=01_因子設定!$L$6-0.000000001,D64&lt;=01_因子設定!$M$6+0.000000001,IF(01_因子設定!$B$20="Box-Behnken",C64^2+D64^2&lt;=2+0.000000001,TRUE()))</f>
        <v>1</v>
      </c>
      <c r="Q64" s="55" t="n">
        <f aca="false">IF(P64,IF(01_因子設定!$B$13="最大化",N64-01_因子設定!$B$14,IF(01_因子設定!$B$13="最小化",01_因子設定!$B$15-O64,MIN(N64-01_因子設定!$B$14,01_因子設定!$B$15-O64))),-1E+030)</f>
        <v>-4.74258593674823</v>
      </c>
      <c r="R64" s="55" t="n">
        <f aca="false">IF(P64,IF(01_因子設定!$B$13="最大化",K64,IF(01_因子設定!$B$13="最小化",-K64,-ABS(K64-01_因子設定!$B$16))),-1E+030)</f>
        <v>43.378132183908</v>
      </c>
      <c r="S64" s="55" t="n">
        <f aca="false">Q64+ROW()*0.000000001</f>
        <v>-4.74258587274823</v>
      </c>
      <c r="T64" s="55" t="n">
        <f aca="false">R64+ROW()*0.000000001</f>
        <v>43.378132247908</v>
      </c>
    </row>
    <row r="65" customFormat="false" ht="15" hidden="false" customHeight="false" outlineLevel="0" collapsed="false">
      <c r="A65" s="0" t="n">
        <v>1</v>
      </c>
      <c r="B65" s="0" t="n">
        <v>19</v>
      </c>
      <c r="C65" s="0" t="n">
        <f aca="false">-1+A65*0.05</f>
        <v>-0.95</v>
      </c>
      <c r="D65" s="0" t="n">
        <f aca="false">-1+B65*0.05</f>
        <v>-0.0499999999999999</v>
      </c>
      <c r="E65" s="0" t="n">
        <f aca="false">1</f>
        <v>1</v>
      </c>
      <c r="F65" s="0" t="n">
        <f aca="false">C65</f>
        <v>-0.95</v>
      </c>
      <c r="G65" s="0" t="n">
        <f aca="false">D65</f>
        <v>-0.0499999999999999</v>
      </c>
      <c r="H65" s="0" t="n">
        <f aca="false">C65*D65</f>
        <v>0.0474999999999999</v>
      </c>
      <c r="I65" s="0" t="n">
        <f aca="false">C65*C65</f>
        <v>0.9025</v>
      </c>
      <c r="J65" s="0" t="n">
        <f aca="false">D65*D65</f>
        <v>0.00249999999999999</v>
      </c>
      <c r="K65" s="0" t="n">
        <f aca="false">SUMPRODUCT(E65:J65,_XtX!$B$53:$G$53)</f>
        <v>43.4772679597701</v>
      </c>
      <c r="L65" s="0" t="n">
        <f aca="false">SUMPRODUCT(MMULT(E65:J65,_XtX!$B$44:$G$49),E65:J65)</f>
        <v>0.430857094109195</v>
      </c>
      <c r="M65" s="0" t="n">
        <f aca="false">04_回帰ANOVA!$K$19*04_回帰ANOVA!$K$14*SQRT(1+L65)</f>
        <v>1.62096897582906</v>
      </c>
      <c r="N65" s="0" t="n">
        <f aca="false">K65-M65</f>
        <v>41.856298983941</v>
      </c>
      <c r="O65" s="0" t="n">
        <f aca="false">K65+M65</f>
        <v>45.0982369355992</v>
      </c>
      <c r="P65" s="54" t="b">
        <f aca="false">AND(C65&gt;=01_因子設定!$L$5-0.000000001,C65&lt;=01_因子設定!$M$5+0.000000001,D65&gt;=01_因子設定!$L$6-0.000000001,D65&lt;=01_因子設定!$M$6+0.000000001,IF(01_因子設定!$B$20="Box-Behnken",C65^2+D65^2&lt;=2+0.000000001,TRUE()))</f>
        <v>1</v>
      </c>
      <c r="Q65" s="55" t="n">
        <f aca="false">IF(P65,IF(01_因子設定!$B$13="最大化",N65-01_因子設定!$B$14,IF(01_因子設定!$B$13="最小化",01_因子設定!$B$15-O65,MIN(N65-01_因子設定!$B$14,01_因子設定!$B$15-O65))),-1E+030)</f>
        <v>-4.64370101605896</v>
      </c>
      <c r="R65" s="55" t="n">
        <f aca="false">IF(P65,IF(01_因子設定!$B$13="最大化",K65,IF(01_因子設定!$B$13="最小化",-K65,-ABS(K65-01_因子設定!$B$16))),-1E+030)</f>
        <v>43.4772679597701</v>
      </c>
      <c r="S65" s="55" t="n">
        <f aca="false">Q65+ROW()*0.000000001</f>
        <v>-4.64370095105896</v>
      </c>
      <c r="T65" s="55" t="n">
        <f aca="false">R65+ROW()*0.000000001</f>
        <v>43.4772680247701</v>
      </c>
    </row>
    <row r="66" customFormat="false" ht="15" hidden="false" customHeight="false" outlineLevel="0" collapsed="false">
      <c r="A66" s="0" t="n">
        <v>1</v>
      </c>
      <c r="B66" s="0" t="n">
        <v>20</v>
      </c>
      <c r="C66" s="0" t="n">
        <f aca="false">-1+A66*0.05</f>
        <v>-0.95</v>
      </c>
      <c r="D66" s="0" t="n">
        <f aca="false">-1+B66*0.05</f>
        <v>0</v>
      </c>
      <c r="E66" s="0" t="n">
        <f aca="false">1</f>
        <v>1</v>
      </c>
      <c r="F66" s="0" t="n">
        <f aca="false">C66</f>
        <v>-0.95</v>
      </c>
      <c r="G66" s="0" t="n">
        <f aca="false">D66</f>
        <v>0</v>
      </c>
      <c r="H66" s="0" t="n">
        <f aca="false">C66*D66</f>
        <v>-0</v>
      </c>
      <c r="I66" s="0" t="n">
        <f aca="false">C66*C66</f>
        <v>0.9025</v>
      </c>
      <c r="J66" s="0" t="n">
        <f aca="false">D66*D66</f>
        <v>0</v>
      </c>
      <c r="K66" s="0" t="n">
        <f aca="false">SUMPRODUCT(E66:J66,_XtX!$B$53:$G$53)</f>
        <v>43.5686882183908</v>
      </c>
      <c r="L66" s="0" t="n">
        <f aca="false">SUMPRODUCT(MMULT(E66:J66,_XtX!$B$44:$G$49),E66:J66)</f>
        <v>0.431013757183908</v>
      </c>
      <c r="M66" s="0" t="n">
        <f aca="false">04_回帰ANOVA!$K$19*04_回帰ANOVA!$K$14*SQRT(1+L66)</f>
        <v>1.62105771251497</v>
      </c>
      <c r="N66" s="0" t="n">
        <f aca="false">K66-M66</f>
        <v>41.9476305058758</v>
      </c>
      <c r="O66" s="0" t="n">
        <f aca="false">K66+M66</f>
        <v>45.1897459309058</v>
      </c>
      <c r="P66" s="54" t="b">
        <f aca="false">AND(C66&gt;=01_因子設定!$L$5-0.000000001,C66&lt;=01_因子設定!$M$5+0.000000001,D66&gt;=01_因子設定!$L$6-0.000000001,D66&lt;=01_因子設定!$M$6+0.000000001,IF(01_因子設定!$B$20="Box-Behnken",C66^2+D66^2&lt;=2+0.000000001,TRUE()))</f>
        <v>1</v>
      </c>
      <c r="Q66" s="55" t="n">
        <f aca="false">IF(P66,IF(01_因子設定!$B$13="最大化",N66-01_因子設定!$B$14,IF(01_因子設定!$B$13="最小化",01_因子設定!$B$15-O66,MIN(N66-01_因子設定!$B$14,01_因子設定!$B$15-O66))),-1E+030)</f>
        <v>-4.55236949412419</v>
      </c>
      <c r="R66" s="55" t="n">
        <f aca="false">IF(P66,IF(01_因子設定!$B$13="最大化",K66,IF(01_因子設定!$B$13="最小化",-K66,-ABS(K66-01_因子設定!$B$16))),-1E+030)</f>
        <v>43.5686882183908</v>
      </c>
      <c r="S66" s="55" t="n">
        <f aca="false">Q66+ROW()*0.000000001</f>
        <v>-4.55236942812419</v>
      </c>
      <c r="T66" s="55" t="n">
        <f aca="false">R66+ROW()*0.000000001</f>
        <v>43.5686882843908</v>
      </c>
    </row>
    <row r="67" customFormat="false" ht="15" hidden="false" customHeight="false" outlineLevel="0" collapsed="false">
      <c r="A67" s="0" t="n">
        <v>1</v>
      </c>
      <c r="B67" s="0" t="n">
        <v>21</v>
      </c>
      <c r="C67" s="0" t="n">
        <f aca="false">-1+A67*0.05</f>
        <v>-0.95</v>
      </c>
      <c r="D67" s="0" t="n">
        <f aca="false">-1+B67*0.05</f>
        <v>0.05</v>
      </c>
      <c r="E67" s="0" t="n">
        <f aca="false">1</f>
        <v>1</v>
      </c>
      <c r="F67" s="0" t="n">
        <f aca="false">C67</f>
        <v>-0.95</v>
      </c>
      <c r="G67" s="0" t="n">
        <f aca="false">D67</f>
        <v>0.05</v>
      </c>
      <c r="H67" s="0" t="n">
        <f aca="false">C67*D67</f>
        <v>-0.0475</v>
      </c>
      <c r="I67" s="0" t="n">
        <f aca="false">C67*C67</f>
        <v>0.9025</v>
      </c>
      <c r="J67" s="0" t="n">
        <f aca="false">D67*D67</f>
        <v>0.0025</v>
      </c>
      <c r="K67" s="0" t="n">
        <f aca="false">SUMPRODUCT(E67:J67,_XtX!$B$53:$G$53)</f>
        <v>43.6523929597701</v>
      </c>
      <c r="L67" s="0" t="n">
        <f aca="false">SUMPRODUCT(MMULT(E67:J67,_XtX!$B$44:$G$49),E67:J67)</f>
        <v>0.430857094109195</v>
      </c>
      <c r="M67" s="0" t="n">
        <f aca="false">04_回帰ANOVA!$K$19*04_回帰ANOVA!$K$14*SQRT(1+L67)</f>
        <v>1.62096897582906</v>
      </c>
      <c r="N67" s="0" t="n">
        <f aca="false">K67-M67</f>
        <v>42.031423983941</v>
      </c>
      <c r="O67" s="0" t="n">
        <f aca="false">K67+M67</f>
        <v>45.2733619355992</v>
      </c>
      <c r="P67" s="54" t="b">
        <f aca="false">AND(C67&gt;=01_因子設定!$L$5-0.000000001,C67&lt;=01_因子設定!$M$5+0.000000001,D67&gt;=01_因子設定!$L$6-0.000000001,D67&lt;=01_因子設定!$M$6+0.000000001,IF(01_因子設定!$B$20="Box-Behnken",C67^2+D67^2&lt;=2+0.000000001,TRUE()))</f>
        <v>1</v>
      </c>
      <c r="Q67" s="55" t="n">
        <f aca="false">IF(P67,IF(01_因子設定!$B$13="最大化",N67-01_因子設定!$B$14,IF(01_因子設定!$B$13="最小化",01_因子設定!$B$15-O67,MIN(N67-01_因子設定!$B$14,01_因子設定!$B$15-O67))),-1E+030)</f>
        <v>-4.46857601605896</v>
      </c>
      <c r="R67" s="55" t="n">
        <f aca="false">IF(P67,IF(01_因子設定!$B$13="最大化",K67,IF(01_因子設定!$B$13="最小化",-K67,-ABS(K67-01_因子設定!$B$16))),-1E+030)</f>
        <v>43.6523929597701</v>
      </c>
      <c r="S67" s="55" t="n">
        <f aca="false">Q67+ROW()*0.000000001</f>
        <v>-4.46857594905896</v>
      </c>
      <c r="T67" s="55" t="n">
        <f aca="false">R67+ROW()*0.000000001</f>
        <v>43.6523930267701</v>
      </c>
    </row>
    <row r="68" customFormat="false" ht="15" hidden="false" customHeight="false" outlineLevel="0" collapsed="false">
      <c r="A68" s="0" t="n">
        <v>1</v>
      </c>
      <c r="B68" s="0" t="n">
        <v>22</v>
      </c>
      <c r="C68" s="0" t="n">
        <f aca="false">-1+A68*0.05</f>
        <v>-0.95</v>
      </c>
      <c r="D68" s="0" t="n">
        <f aca="false">-1+B68*0.05</f>
        <v>0.1</v>
      </c>
      <c r="E68" s="0" t="n">
        <f aca="false">1</f>
        <v>1</v>
      </c>
      <c r="F68" s="0" t="n">
        <f aca="false">C68</f>
        <v>-0.95</v>
      </c>
      <c r="G68" s="0" t="n">
        <f aca="false">D68</f>
        <v>0.1</v>
      </c>
      <c r="H68" s="0" t="n">
        <f aca="false">C68*D68</f>
        <v>-0.0950000000000001</v>
      </c>
      <c r="I68" s="0" t="n">
        <f aca="false">C68*C68</f>
        <v>0.9025</v>
      </c>
      <c r="J68" s="0" t="n">
        <f aca="false">D68*D68</f>
        <v>0.01</v>
      </c>
      <c r="K68" s="0" t="n">
        <f aca="false">SUMPRODUCT(E68:J68,_XtX!$B$53:$G$53)</f>
        <v>43.728382183908</v>
      </c>
      <c r="L68" s="0" t="n">
        <f aca="false">SUMPRODUCT(MMULT(E68:J68,_XtX!$B$44:$G$49),E68:J68)</f>
        <v>0.430414260057471</v>
      </c>
      <c r="M68" s="0" t="n">
        <f aca="false">04_回帰ANOVA!$K$19*04_回帰ANOVA!$K$14*SQRT(1+L68)</f>
        <v>1.62071812065626</v>
      </c>
      <c r="N68" s="0" t="n">
        <f aca="false">K68-M68</f>
        <v>42.1076640632518</v>
      </c>
      <c r="O68" s="0" t="n">
        <f aca="false">K68+M68</f>
        <v>45.3491003045643</v>
      </c>
      <c r="P68" s="54" t="b">
        <f aca="false">AND(C68&gt;=01_因子設定!$L$5-0.000000001,C68&lt;=01_因子設定!$M$5+0.000000001,D68&gt;=01_因子設定!$L$6-0.000000001,D68&lt;=01_因子設定!$M$6+0.000000001,IF(01_因子設定!$B$20="Box-Behnken",C68^2+D68^2&lt;=2+0.000000001,TRUE()))</f>
        <v>1</v>
      </c>
      <c r="Q68" s="55" t="n">
        <f aca="false">IF(P68,IF(01_因子設定!$B$13="最大化",N68-01_因子設定!$B$14,IF(01_因子設定!$B$13="最小化",01_因子設定!$B$15-O68,MIN(N68-01_因子設定!$B$14,01_因子設定!$B$15-O68))),-1E+030)</f>
        <v>-4.39233593674823</v>
      </c>
      <c r="R68" s="55" t="n">
        <f aca="false">IF(P68,IF(01_因子設定!$B$13="最大化",K68,IF(01_因子設定!$B$13="最小化",-K68,-ABS(K68-01_因子設定!$B$16))),-1E+030)</f>
        <v>43.728382183908</v>
      </c>
      <c r="S68" s="55" t="n">
        <f aca="false">Q68+ROW()*0.000000001</f>
        <v>-4.39233586874823</v>
      </c>
      <c r="T68" s="55" t="n">
        <f aca="false">R68+ROW()*0.000000001</f>
        <v>43.728382251908</v>
      </c>
    </row>
    <row r="69" customFormat="false" ht="15" hidden="false" customHeight="false" outlineLevel="0" collapsed="false">
      <c r="A69" s="0" t="n">
        <v>1</v>
      </c>
      <c r="B69" s="0" t="n">
        <v>23</v>
      </c>
      <c r="C69" s="0" t="n">
        <f aca="false">-1+A69*0.05</f>
        <v>-0.95</v>
      </c>
      <c r="D69" s="0" t="n">
        <f aca="false">-1+B69*0.05</f>
        <v>0.15</v>
      </c>
      <c r="E69" s="0" t="n">
        <f aca="false">1</f>
        <v>1</v>
      </c>
      <c r="F69" s="0" t="n">
        <f aca="false">C69</f>
        <v>-0.95</v>
      </c>
      <c r="G69" s="0" t="n">
        <f aca="false">D69</f>
        <v>0.15</v>
      </c>
      <c r="H69" s="0" t="n">
        <f aca="false">C69*D69</f>
        <v>-0.1425</v>
      </c>
      <c r="I69" s="0" t="n">
        <f aca="false">C69*C69</f>
        <v>0.9025</v>
      </c>
      <c r="J69" s="0" t="n">
        <f aca="false">D69*D69</f>
        <v>0.0225</v>
      </c>
      <c r="K69" s="0" t="n">
        <f aca="false">SUMPRODUCT(E69:J69,_XtX!$B$53:$G$53)</f>
        <v>43.7966558908046</v>
      </c>
      <c r="L69" s="0" t="n">
        <f aca="false">SUMPRODUCT(MMULT(E69:J69,_XtX!$B$44:$G$49),E69:J69)</f>
        <v>0.429766720545977</v>
      </c>
      <c r="M69" s="0" t="n">
        <f aca="false">04_回帰ANOVA!$K$19*04_回帰ANOVA!$K$14*SQRT(1+L69)</f>
        <v>1.62035123469551</v>
      </c>
      <c r="N69" s="0" t="n">
        <f aca="false">K69-M69</f>
        <v>42.1763046561091</v>
      </c>
      <c r="O69" s="0" t="n">
        <f aca="false">K69+M69</f>
        <v>45.4170071255001</v>
      </c>
      <c r="P69" s="54" t="b">
        <f aca="false">AND(C69&gt;=01_因子設定!$L$5-0.000000001,C69&lt;=01_因子設定!$M$5+0.000000001,D69&gt;=01_因子設定!$L$6-0.000000001,D69&lt;=01_因子設定!$M$6+0.000000001,IF(01_因子設定!$B$20="Box-Behnken",C69^2+D69^2&lt;=2+0.000000001,TRUE()))</f>
        <v>1</v>
      </c>
      <c r="Q69" s="55" t="n">
        <f aca="false">IF(P69,IF(01_因子設定!$B$13="最大化",N69-01_因子設定!$B$14,IF(01_因子設定!$B$13="最小化",01_因子設定!$B$15-O69,MIN(N69-01_因子設定!$B$14,01_因子設定!$B$15-O69))),-1E+030)</f>
        <v>-4.32369534389093</v>
      </c>
      <c r="R69" s="55" t="n">
        <f aca="false">IF(P69,IF(01_因子設定!$B$13="最大化",K69,IF(01_因子設定!$B$13="最小化",-K69,-ABS(K69-01_因子設定!$B$16))),-1E+030)</f>
        <v>43.7966558908046</v>
      </c>
      <c r="S69" s="55" t="n">
        <f aca="false">Q69+ROW()*0.000000001</f>
        <v>-4.32369527489093</v>
      </c>
      <c r="T69" s="55" t="n">
        <f aca="false">R69+ROW()*0.000000001</f>
        <v>43.7966559598046</v>
      </c>
    </row>
    <row r="70" customFormat="false" ht="15" hidden="false" customHeight="false" outlineLevel="0" collapsed="false">
      <c r="A70" s="0" t="n">
        <v>1</v>
      </c>
      <c r="B70" s="0" t="n">
        <v>24</v>
      </c>
      <c r="C70" s="0" t="n">
        <f aca="false">-1+A70*0.05</f>
        <v>-0.95</v>
      </c>
      <c r="D70" s="0" t="n">
        <f aca="false">-1+B70*0.05</f>
        <v>0.2</v>
      </c>
      <c r="E70" s="0" t="n">
        <f aca="false">1</f>
        <v>1</v>
      </c>
      <c r="F70" s="0" t="n">
        <f aca="false">C70</f>
        <v>-0.95</v>
      </c>
      <c r="G70" s="0" t="n">
        <f aca="false">D70</f>
        <v>0.2</v>
      </c>
      <c r="H70" s="0" t="n">
        <f aca="false">C70*D70</f>
        <v>-0.19</v>
      </c>
      <c r="I70" s="0" t="n">
        <f aca="false">C70*C70</f>
        <v>0.9025</v>
      </c>
      <c r="J70" s="0" t="n">
        <f aca="false">D70*D70</f>
        <v>0.0400000000000001</v>
      </c>
      <c r="K70" s="0" t="n">
        <f aca="false">SUMPRODUCT(E70:J70,_XtX!$B$53:$G$53)</f>
        <v>43.8572140804598</v>
      </c>
      <c r="L70" s="0" t="n">
        <f aca="false">SUMPRODUCT(MMULT(E70:J70,_XtX!$B$44:$G$49),E70:J70)</f>
        <v>0.429050251436782</v>
      </c>
      <c r="M70" s="0" t="n">
        <f aca="false">04_回帰ANOVA!$K$19*04_回帰ANOVA!$K$14*SQRT(1+L70)</f>
        <v>1.61994519745048</v>
      </c>
      <c r="N70" s="0" t="n">
        <f aca="false">K70-M70</f>
        <v>42.2372688830093</v>
      </c>
      <c r="O70" s="0" t="n">
        <f aca="false">K70+M70</f>
        <v>45.4771592779102</v>
      </c>
      <c r="P70" s="54" t="b">
        <f aca="false">AND(C70&gt;=01_因子設定!$L$5-0.000000001,C70&lt;=01_因子設定!$M$5+0.000000001,D70&gt;=01_因子設定!$L$6-0.000000001,D70&lt;=01_因子設定!$M$6+0.000000001,IF(01_因子設定!$B$20="Box-Behnken",C70^2+D70^2&lt;=2+0.000000001,TRUE()))</f>
        <v>1</v>
      </c>
      <c r="Q70" s="55" t="n">
        <f aca="false">IF(P70,IF(01_因子設定!$B$13="最大化",N70-01_因子設定!$B$14,IF(01_因子設定!$B$13="最小化",01_因子設定!$B$15-O70,MIN(N70-01_因子設定!$B$14,01_因子設定!$B$15-O70))),-1E+030)</f>
        <v>-4.26273111699073</v>
      </c>
      <c r="R70" s="55" t="n">
        <f aca="false">IF(P70,IF(01_因子設定!$B$13="最大化",K70,IF(01_因子設定!$B$13="最小化",-K70,-ABS(K70-01_因子設定!$B$16))),-1E+030)</f>
        <v>43.8572140804598</v>
      </c>
      <c r="S70" s="55" t="n">
        <f aca="false">Q70+ROW()*0.000000001</f>
        <v>-4.26273104699073</v>
      </c>
      <c r="T70" s="55" t="n">
        <f aca="false">R70+ROW()*0.000000001</f>
        <v>43.8572141504598</v>
      </c>
    </row>
    <row r="71" customFormat="false" ht="15" hidden="false" customHeight="false" outlineLevel="0" collapsed="false">
      <c r="A71" s="0" t="n">
        <v>1</v>
      </c>
      <c r="B71" s="0" t="n">
        <v>25</v>
      </c>
      <c r="C71" s="0" t="n">
        <f aca="false">-1+A71*0.05</f>
        <v>-0.95</v>
      </c>
      <c r="D71" s="0" t="n">
        <f aca="false">-1+B71*0.05</f>
        <v>0.25</v>
      </c>
      <c r="E71" s="0" t="n">
        <f aca="false">1</f>
        <v>1</v>
      </c>
      <c r="F71" s="0" t="n">
        <f aca="false">C71</f>
        <v>-0.95</v>
      </c>
      <c r="G71" s="0" t="n">
        <f aca="false">D71</f>
        <v>0.25</v>
      </c>
      <c r="H71" s="0" t="n">
        <f aca="false">C71*D71</f>
        <v>-0.2375</v>
      </c>
      <c r="I71" s="0" t="n">
        <f aca="false">C71*C71</f>
        <v>0.9025</v>
      </c>
      <c r="J71" s="0" t="n">
        <f aca="false">D71*D71</f>
        <v>0.0625</v>
      </c>
      <c r="K71" s="0" t="n">
        <f aca="false">SUMPRODUCT(E71:J71,_XtX!$B$53:$G$53)</f>
        <v>43.9100567528735</v>
      </c>
      <c r="L71" s="0" t="n">
        <f aca="false">SUMPRODUCT(MMULT(E71:J71,_XtX!$B$44:$G$49),E71:J71)</f>
        <v>0.428454938936782</v>
      </c>
      <c r="M71" s="0" t="n">
        <f aca="false">04_回帰ANOVA!$K$19*04_回帰ANOVA!$K$14*SQRT(1+L71)</f>
        <v>1.6196077446283</v>
      </c>
      <c r="N71" s="0" t="n">
        <f aca="false">K71-M71</f>
        <v>42.2904490082453</v>
      </c>
      <c r="O71" s="0" t="n">
        <f aca="false">K71+M71</f>
        <v>45.5296644975018</v>
      </c>
      <c r="P71" s="54" t="b">
        <f aca="false">AND(C71&gt;=01_因子設定!$L$5-0.000000001,C71&lt;=01_因子設定!$M$5+0.000000001,D71&gt;=01_因子設定!$L$6-0.000000001,D71&lt;=01_因子設定!$M$6+0.000000001,IF(01_因子設定!$B$20="Box-Behnken",C71^2+D71^2&lt;=2+0.000000001,TRUE()))</f>
        <v>1</v>
      </c>
      <c r="Q71" s="55" t="n">
        <f aca="false">IF(P71,IF(01_因子設定!$B$13="最大化",N71-01_因子設定!$B$14,IF(01_因子設定!$B$13="最小化",01_因子設定!$B$15-O71,MIN(N71-01_因子設定!$B$14,01_因子設定!$B$15-O71))),-1E+030)</f>
        <v>-4.20955099175475</v>
      </c>
      <c r="R71" s="55" t="n">
        <f aca="false">IF(P71,IF(01_因子設定!$B$13="最大化",K71,IF(01_因子設定!$B$13="最小化",-K71,-ABS(K71-01_因子設定!$B$16))),-1E+030)</f>
        <v>43.9100567528735</v>
      </c>
      <c r="S71" s="55" t="n">
        <f aca="false">Q71+ROW()*0.000000001</f>
        <v>-4.20955092075475</v>
      </c>
      <c r="T71" s="55" t="n">
        <f aca="false">R71+ROW()*0.000000001</f>
        <v>43.9100568238735</v>
      </c>
    </row>
    <row r="72" customFormat="false" ht="15" hidden="false" customHeight="false" outlineLevel="0" collapsed="false">
      <c r="A72" s="0" t="n">
        <v>1</v>
      </c>
      <c r="B72" s="0" t="n">
        <v>26</v>
      </c>
      <c r="C72" s="0" t="n">
        <f aca="false">-1+A72*0.05</f>
        <v>-0.95</v>
      </c>
      <c r="D72" s="0" t="n">
        <f aca="false">-1+B72*0.05</f>
        <v>0.3</v>
      </c>
      <c r="E72" s="0" t="n">
        <f aca="false">1</f>
        <v>1</v>
      </c>
      <c r="F72" s="0" t="n">
        <f aca="false">C72</f>
        <v>-0.95</v>
      </c>
      <c r="G72" s="0" t="n">
        <f aca="false">D72</f>
        <v>0.3</v>
      </c>
      <c r="H72" s="0" t="n">
        <f aca="false">C72*D72</f>
        <v>-0.285</v>
      </c>
      <c r="I72" s="0" t="n">
        <f aca="false">C72*C72</f>
        <v>0.9025</v>
      </c>
      <c r="J72" s="0" t="n">
        <f aca="false">D72*D72</f>
        <v>0.09</v>
      </c>
      <c r="K72" s="0" t="n">
        <f aca="false">SUMPRODUCT(E72:J72,_XtX!$B$53:$G$53)</f>
        <v>43.955183908046</v>
      </c>
      <c r="L72" s="0" t="n">
        <f aca="false">SUMPRODUCT(MMULT(E72:J72,_XtX!$B$44:$G$49),E72:J72)</f>
        <v>0.428225179597701</v>
      </c>
      <c r="M72" s="0" t="n">
        <f aca="false">04_回帰ANOVA!$K$19*04_回帰ANOVA!$K$14*SQRT(1+L72)</f>
        <v>1.61947748676737</v>
      </c>
      <c r="N72" s="0" t="n">
        <f aca="false">K72-M72</f>
        <v>42.3357064212786</v>
      </c>
      <c r="O72" s="0" t="n">
        <f aca="false">K72+M72</f>
        <v>45.5746613948133</v>
      </c>
      <c r="P72" s="54" t="b">
        <f aca="false">AND(C72&gt;=01_因子設定!$L$5-0.000000001,C72&lt;=01_因子設定!$M$5+0.000000001,D72&gt;=01_因子設定!$L$6-0.000000001,D72&lt;=01_因子設定!$M$6+0.000000001,IF(01_因子設定!$B$20="Box-Behnken",C72^2+D72^2&lt;=2+0.000000001,TRUE()))</f>
        <v>1</v>
      </c>
      <c r="Q72" s="55" t="n">
        <f aca="false">IF(P72,IF(01_因子設定!$B$13="最大化",N72-01_因子設定!$B$14,IF(01_因子設定!$B$13="最小化",01_因子設定!$B$15-O72,MIN(N72-01_因子設定!$B$14,01_因子設定!$B$15-O72))),-1E+030)</f>
        <v>-4.16429357872141</v>
      </c>
      <c r="R72" s="55" t="n">
        <f aca="false">IF(P72,IF(01_因子設定!$B$13="最大化",K72,IF(01_因子設定!$B$13="最小化",-K72,-ABS(K72-01_因子設定!$B$16))),-1E+030)</f>
        <v>43.955183908046</v>
      </c>
      <c r="S72" s="55" t="n">
        <f aca="false">Q72+ROW()*0.000000001</f>
        <v>-4.16429350672141</v>
      </c>
      <c r="T72" s="55" t="n">
        <f aca="false">R72+ROW()*0.000000001</f>
        <v>43.955183980046</v>
      </c>
    </row>
    <row r="73" customFormat="false" ht="15" hidden="false" customHeight="false" outlineLevel="0" collapsed="false">
      <c r="A73" s="0" t="n">
        <v>1</v>
      </c>
      <c r="B73" s="0" t="n">
        <v>27</v>
      </c>
      <c r="C73" s="0" t="n">
        <f aca="false">-1+A73*0.05</f>
        <v>-0.95</v>
      </c>
      <c r="D73" s="0" t="n">
        <f aca="false">-1+B73*0.05</f>
        <v>0.35</v>
      </c>
      <c r="E73" s="0" t="n">
        <f aca="false">1</f>
        <v>1</v>
      </c>
      <c r="F73" s="0" t="n">
        <f aca="false">C73</f>
        <v>-0.95</v>
      </c>
      <c r="G73" s="0" t="n">
        <f aca="false">D73</f>
        <v>0.35</v>
      </c>
      <c r="H73" s="0" t="n">
        <f aca="false">C73*D73</f>
        <v>-0.3325</v>
      </c>
      <c r="I73" s="0" t="n">
        <f aca="false">C73*C73</f>
        <v>0.9025</v>
      </c>
      <c r="J73" s="0" t="n">
        <f aca="false">D73*D73</f>
        <v>0.1225</v>
      </c>
      <c r="K73" s="0" t="n">
        <f aca="false">SUMPRODUCT(E73:J73,_XtX!$B$53:$G$53)</f>
        <v>43.992595545977</v>
      </c>
      <c r="L73" s="0" t="n">
        <f aca="false">SUMPRODUCT(MMULT(E73:J73,_XtX!$B$44:$G$49),E73:J73)</f>
        <v>0.428659680316092</v>
      </c>
      <c r="M73" s="0" t="n">
        <f aca="false">04_回帰ANOVA!$K$19*04_回帰ANOVA!$K$14*SQRT(1+L73)</f>
        <v>1.6197238101874</v>
      </c>
      <c r="N73" s="0" t="n">
        <f aca="false">K73-M73</f>
        <v>42.3728717357896</v>
      </c>
      <c r="O73" s="0" t="n">
        <f aca="false">K73+M73</f>
        <v>45.6123193561644</v>
      </c>
      <c r="P73" s="54" t="b">
        <f aca="false">AND(C73&gt;=01_因子設定!$L$5-0.000000001,C73&lt;=01_因子設定!$M$5+0.000000001,D73&gt;=01_因子設定!$L$6-0.000000001,D73&lt;=01_因子設定!$M$6+0.000000001,IF(01_因子設定!$B$20="Box-Behnken",C73^2+D73^2&lt;=2+0.000000001,TRUE()))</f>
        <v>1</v>
      </c>
      <c r="Q73" s="55" t="n">
        <f aca="false">IF(P73,IF(01_因子設定!$B$13="最大化",N73-01_因子設定!$B$14,IF(01_因子設定!$B$13="最小化",01_因子設定!$B$15-O73,MIN(N73-01_因子設定!$B$14,01_因子設定!$B$15-O73))),-1E+030)</f>
        <v>-4.12712826421041</v>
      </c>
      <c r="R73" s="55" t="n">
        <f aca="false">IF(P73,IF(01_因子設定!$B$13="最大化",K73,IF(01_因子設定!$B$13="最小化",-K73,-ABS(K73-01_因子設定!$B$16))),-1E+030)</f>
        <v>43.992595545977</v>
      </c>
      <c r="S73" s="55" t="n">
        <f aca="false">Q73+ROW()*0.000000001</f>
        <v>-4.12712819121041</v>
      </c>
      <c r="T73" s="55" t="n">
        <f aca="false">R73+ROW()*0.000000001</f>
        <v>43.992595618977</v>
      </c>
    </row>
    <row r="74" customFormat="false" ht="15" hidden="false" customHeight="false" outlineLevel="0" collapsed="false">
      <c r="A74" s="0" t="n">
        <v>1</v>
      </c>
      <c r="B74" s="0" t="n">
        <v>28</v>
      </c>
      <c r="C74" s="0" t="n">
        <f aca="false">-1+A74*0.05</f>
        <v>-0.95</v>
      </c>
      <c r="D74" s="0" t="n">
        <f aca="false">-1+B74*0.05</f>
        <v>0.4</v>
      </c>
      <c r="E74" s="0" t="n">
        <f aca="false">1</f>
        <v>1</v>
      </c>
      <c r="F74" s="0" t="n">
        <f aca="false">C74</f>
        <v>-0.95</v>
      </c>
      <c r="G74" s="0" t="n">
        <f aca="false">D74</f>
        <v>0.4</v>
      </c>
      <c r="H74" s="0" t="n">
        <f aca="false">C74*D74</f>
        <v>-0.38</v>
      </c>
      <c r="I74" s="0" t="n">
        <f aca="false">C74*C74</f>
        <v>0.9025</v>
      </c>
      <c r="J74" s="0" t="n">
        <f aca="false">D74*D74</f>
        <v>0.16</v>
      </c>
      <c r="K74" s="0" t="n">
        <f aca="false">SUMPRODUCT(E74:J74,_XtX!$B$53:$G$53)</f>
        <v>44.0222916666666</v>
      </c>
      <c r="L74" s="0" t="n">
        <f aca="false">SUMPRODUCT(MMULT(E74:J74,_XtX!$B$44:$G$49),E74:J74)</f>
        <v>0.430111458333333</v>
      </c>
      <c r="M74" s="0" t="n">
        <f aca="false">04_回帰ANOVA!$K$19*04_回帰ANOVA!$K$14*SQRT(1+L74)</f>
        <v>1.62054656818033</v>
      </c>
      <c r="N74" s="0" t="n">
        <f aca="false">K74-M74</f>
        <v>42.4017450984863</v>
      </c>
      <c r="O74" s="0" t="n">
        <f aca="false">K74+M74</f>
        <v>45.642838234847</v>
      </c>
      <c r="P74" s="54" t="b">
        <f aca="false">AND(C74&gt;=01_因子設定!$L$5-0.000000001,C74&lt;=01_因子設定!$M$5+0.000000001,D74&gt;=01_因子設定!$L$6-0.000000001,D74&lt;=01_因子設定!$M$6+0.000000001,IF(01_因子設定!$B$20="Box-Behnken",C74^2+D74^2&lt;=2+0.000000001,TRUE()))</f>
        <v>1</v>
      </c>
      <c r="Q74" s="55" t="n">
        <f aca="false">IF(P74,IF(01_因子設定!$B$13="最大化",N74-01_因子設定!$B$14,IF(01_因子設定!$B$13="最小化",01_因子設定!$B$15-O74,MIN(N74-01_因子設定!$B$14,01_因子設定!$B$15-O74))),-1E+030)</f>
        <v>-4.09825490151368</v>
      </c>
      <c r="R74" s="55" t="n">
        <f aca="false">IF(P74,IF(01_因子設定!$B$13="最大化",K74,IF(01_因子設定!$B$13="最小化",-K74,-ABS(K74-01_因子設定!$B$16))),-1E+030)</f>
        <v>44.0222916666666</v>
      </c>
      <c r="S74" s="55" t="n">
        <f aca="false">Q74+ROW()*0.000000001</f>
        <v>-4.09825482751368</v>
      </c>
      <c r="T74" s="55" t="n">
        <f aca="false">R74+ROW()*0.000000001</f>
        <v>44.0222917406666</v>
      </c>
    </row>
    <row r="75" customFormat="false" ht="15" hidden="false" customHeight="false" outlineLevel="0" collapsed="false">
      <c r="A75" s="0" t="n">
        <v>1</v>
      </c>
      <c r="B75" s="0" t="n">
        <v>29</v>
      </c>
      <c r="C75" s="0" t="n">
        <f aca="false">-1+A75*0.05</f>
        <v>-0.95</v>
      </c>
      <c r="D75" s="0" t="n">
        <f aca="false">-1+B75*0.05</f>
        <v>0.45</v>
      </c>
      <c r="E75" s="0" t="n">
        <f aca="false">1</f>
        <v>1</v>
      </c>
      <c r="F75" s="0" t="n">
        <f aca="false">C75</f>
        <v>-0.95</v>
      </c>
      <c r="G75" s="0" t="n">
        <f aca="false">D75</f>
        <v>0.45</v>
      </c>
      <c r="H75" s="0" t="n">
        <f aca="false">C75*D75</f>
        <v>-0.4275</v>
      </c>
      <c r="I75" s="0" t="n">
        <f aca="false">C75*C75</f>
        <v>0.9025</v>
      </c>
      <c r="J75" s="0" t="n">
        <f aca="false">D75*D75</f>
        <v>0.2025</v>
      </c>
      <c r="K75" s="0" t="n">
        <f aca="false">SUMPRODUCT(E75:J75,_XtX!$B$53:$G$53)</f>
        <v>44.0442722701149</v>
      </c>
      <c r="L75" s="0" t="n">
        <f aca="false">SUMPRODUCT(MMULT(E75:J75,_XtX!$B$44:$G$49),E75:J75)</f>
        <v>0.432987841235632</v>
      </c>
      <c r="M75" s="0" t="n">
        <f aca="false">04_回帰ANOVA!$K$19*04_回帰ANOVA!$K$14*SQRT(1+L75)</f>
        <v>1.62217545204943</v>
      </c>
      <c r="N75" s="0" t="n">
        <f aca="false">K75-M75</f>
        <v>42.4220968180655</v>
      </c>
      <c r="O75" s="0" t="n">
        <f aca="false">K75+M75</f>
        <v>45.6664477221644</v>
      </c>
      <c r="P75" s="54" t="b">
        <f aca="false">AND(C75&gt;=01_因子設定!$L$5-0.000000001,C75&lt;=01_因子設定!$M$5+0.000000001,D75&gt;=01_因子設定!$L$6-0.000000001,D75&lt;=01_因子設定!$M$6+0.000000001,IF(01_因子設定!$B$20="Box-Behnken",C75^2+D75^2&lt;=2+0.000000001,TRUE()))</f>
        <v>1</v>
      </c>
      <c r="Q75" s="55" t="n">
        <f aca="false">IF(P75,IF(01_因子設定!$B$13="最大化",N75-01_因子設定!$B$14,IF(01_因子設定!$B$13="最小化",01_因子設定!$B$15-O75,MIN(N75-01_因子設定!$B$14,01_因子設定!$B$15-O75))),-1E+030)</f>
        <v>-4.07790318193451</v>
      </c>
      <c r="R75" s="55" t="n">
        <f aca="false">IF(P75,IF(01_因子設定!$B$13="最大化",K75,IF(01_因子設定!$B$13="最小化",-K75,-ABS(K75-01_因子設定!$B$16))),-1E+030)</f>
        <v>44.0442722701149</v>
      </c>
      <c r="S75" s="55" t="n">
        <f aca="false">Q75+ROW()*0.000000001</f>
        <v>-4.07790310693451</v>
      </c>
      <c r="T75" s="55" t="n">
        <f aca="false">R75+ROW()*0.000000001</f>
        <v>44.0442723451149</v>
      </c>
    </row>
    <row r="76" customFormat="false" ht="15" hidden="false" customHeight="false" outlineLevel="0" collapsed="false">
      <c r="A76" s="0" t="n">
        <v>1</v>
      </c>
      <c r="B76" s="0" t="n">
        <v>30</v>
      </c>
      <c r="C76" s="0" t="n">
        <f aca="false">-1+A76*0.05</f>
        <v>-0.95</v>
      </c>
      <c r="D76" s="0" t="n">
        <f aca="false">-1+B76*0.05</f>
        <v>0.5</v>
      </c>
      <c r="E76" s="0" t="n">
        <f aca="false">1</f>
        <v>1</v>
      </c>
      <c r="F76" s="0" t="n">
        <f aca="false">C76</f>
        <v>-0.95</v>
      </c>
      <c r="G76" s="0" t="n">
        <f aca="false">D76</f>
        <v>0.5</v>
      </c>
      <c r="H76" s="0" t="n">
        <f aca="false">C76*D76</f>
        <v>-0.475</v>
      </c>
      <c r="I76" s="0" t="n">
        <f aca="false">C76*C76</f>
        <v>0.9025</v>
      </c>
      <c r="J76" s="0" t="n">
        <f aca="false">D76*D76</f>
        <v>0.25</v>
      </c>
      <c r="K76" s="0" t="n">
        <f aca="false">SUMPRODUCT(E76:J76,_XtX!$B$53:$G$53)</f>
        <v>44.0585373563218</v>
      </c>
      <c r="L76" s="0" t="n">
        <f aca="false">SUMPRODUCT(MMULT(E76:J76,_XtX!$B$44:$G$49),E76:J76)</f>
        <v>0.437750466954023</v>
      </c>
      <c r="M76" s="0" t="n">
        <f aca="false">04_回帰ANOVA!$K$19*04_回帰ANOVA!$K$14*SQRT(1+L76)</f>
        <v>1.62486891728431</v>
      </c>
      <c r="N76" s="0" t="n">
        <f aca="false">K76-M76</f>
        <v>42.4336684390375</v>
      </c>
      <c r="O76" s="0" t="n">
        <f aca="false">K76+M76</f>
        <v>45.6834062736061</v>
      </c>
      <c r="P76" s="54" t="b">
        <f aca="false">AND(C76&gt;=01_因子設定!$L$5-0.000000001,C76&lt;=01_因子設定!$M$5+0.000000001,D76&gt;=01_因子設定!$L$6-0.000000001,D76&lt;=01_因子設定!$M$6+0.000000001,IF(01_因子設定!$B$20="Box-Behnken",C76^2+D76^2&lt;=2+0.000000001,TRUE()))</f>
        <v>1</v>
      </c>
      <c r="Q76" s="55" t="n">
        <f aca="false">IF(P76,IF(01_因子設定!$B$13="最大化",N76-01_因子設定!$B$14,IF(01_因子設定!$B$13="最小化",01_因子設定!$B$15-O76,MIN(N76-01_因子設定!$B$14,01_因子設定!$B$15-O76))),-1E+030)</f>
        <v>-4.06633156096249</v>
      </c>
      <c r="R76" s="55" t="n">
        <f aca="false">IF(P76,IF(01_因子設定!$B$13="最大化",K76,IF(01_因子設定!$B$13="最小化",-K76,-ABS(K76-01_因子設定!$B$16))),-1E+030)</f>
        <v>44.0585373563218</v>
      </c>
      <c r="S76" s="55" t="n">
        <f aca="false">Q76+ROW()*0.000000001</f>
        <v>-4.06633148496249</v>
      </c>
      <c r="T76" s="55" t="n">
        <f aca="false">R76+ROW()*0.000000001</f>
        <v>44.0585374323218</v>
      </c>
    </row>
    <row r="77" customFormat="false" ht="15" hidden="false" customHeight="false" outlineLevel="0" collapsed="false">
      <c r="A77" s="0" t="n">
        <v>1</v>
      </c>
      <c r="B77" s="0" t="n">
        <v>31</v>
      </c>
      <c r="C77" s="0" t="n">
        <f aca="false">-1+A77*0.05</f>
        <v>-0.95</v>
      </c>
      <c r="D77" s="0" t="n">
        <f aca="false">-1+B77*0.05</f>
        <v>0.55</v>
      </c>
      <c r="E77" s="0" t="n">
        <f aca="false">1</f>
        <v>1</v>
      </c>
      <c r="F77" s="0" t="n">
        <f aca="false">C77</f>
        <v>-0.95</v>
      </c>
      <c r="G77" s="0" t="n">
        <f aca="false">D77</f>
        <v>0.55</v>
      </c>
      <c r="H77" s="0" t="n">
        <f aca="false">C77*D77</f>
        <v>-0.5225</v>
      </c>
      <c r="I77" s="0" t="n">
        <f aca="false">C77*C77</f>
        <v>0.9025</v>
      </c>
      <c r="J77" s="0" t="n">
        <f aca="false">D77*D77</f>
        <v>0.3025</v>
      </c>
      <c r="K77" s="0" t="n">
        <f aca="false">SUMPRODUCT(E77:J77,_XtX!$B$53:$G$53)</f>
        <v>44.0650869252873</v>
      </c>
      <c r="L77" s="0" t="n">
        <f aca="false">SUMPRODUCT(MMULT(E77:J77,_XtX!$B$44:$G$49),E77:J77)</f>
        <v>0.444915283764368</v>
      </c>
      <c r="M77" s="0" t="n">
        <f aca="false">04_回帰ANOVA!$K$19*04_回帰ANOVA!$K$14*SQRT(1+L77)</f>
        <v>1.62891253282135</v>
      </c>
      <c r="N77" s="0" t="n">
        <f aca="false">K77-M77</f>
        <v>42.436174392466</v>
      </c>
      <c r="O77" s="0" t="n">
        <f aca="false">K77+M77</f>
        <v>45.6939994581087</v>
      </c>
      <c r="P77" s="54" t="b">
        <f aca="false">AND(C77&gt;=01_因子設定!$L$5-0.000000001,C77&lt;=01_因子設定!$M$5+0.000000001,D77&gt;=01_因子設定!$L$6-0.000000001,D77&lt;=01_因子設定!$M$6+0.000000001,IF(01_因子設定!$B$20="Box-Behnken",C77^2+D77^2&lt;=2+0.000000001,TRUE()))</f>
        <v>1</v>
      </c>
      <c r="Q77" s="55" t="n">
        <f aca="false">IF(P77,IF(01_因子設定!$B$13="最大化",N77-01_因子設定!$B$14,IF(01_因子設定!$B$13="最小化",01_因子設定!$B$15-O77,MIN(N77-01_因子設定!$B$14,01_因子設定!$B$15-O77))),-1E+030)</f>
        <v>-4.06382560753401</v>
      </c>
      <c r="R77" s="55" t="n">
        <f aca="false">IF(P77,IF(01_因子設定!$B$13="最大化",K77,IF(01_因子設定!$B$13="最小化",-K77,-ABS(K77-01_因子設定!$B$16))),-1E+030)</f>
        <v>44.0650869252873</v>
      </c>
      <c r="S77" s="55" t="n">
        <f aca="false">Q77+ROW()*0.000000001</f>
        <v>-4.06382553053401</v>
      </c>
      <c r="T77" s="55" t="n">
        <f aca="false">R77+ROW()*0.000000001</f>
        <v>44.0650870022873</v>
      </c>
    </row>
    <row r="78" customFormat="false" ht="15" hidden="false" customHeight="false" outlineLevel="0" collapsed="false">
      <c r="A78" s="0" t="n">
        <v>1</v>
      </c>
      <c r="B78" s="0" t="n">
        <v>32</v>
      </c>
      <c r="C78" s="0" t="n">
        <f aca="false">-1+A78*0.05</f>
        <v>-0.95</v>
      </c>
      <c r="D78" s="0" t="n">
        <f aca="false">-1+B78*0.05</f>
        <v>0.6</v>
      </c>
      <c r="E78" s="0" t="n">
        <f aca="false">1</f>
        <v>1</v>
      </c>
      <c r="F78" s="0" t="n">
        <f aca="false">C78</f>
        <v>-0.95</v>
      </c>
      <c r="G78" s="0" t="n">
        <f aca="false">D78</f>
        <v>0.6</v>
      </c>
      <c r="H78" s="0" t="n">
        <f aca="false">C78*D78</f>
        <v>-0.57</v>
      </c>
      <c r="I78" s="0" t="n">
        <f aca="false">C78*C78</f>
        <v>0.9025</v>
      </c>
      <c r="J78" s="0" t="n">
        <f aca="false">D78*D78</f>
        <v>0.36</v>
      </c>
      <c r="K78" s="0" t="n">
        <f aca="false">SUMPRODUCT(E78:J78,_XtX!$B$53:$G$53)</f>
        <v>44.0639209770115</v>
      </c>
      <c r="L78" s="0" t="n">
        <f aca="false">SUMPRODUCT(MMULT(E78:J78,_XtX!$B$44:$G$49),E78:J78)</f>
        <v>0.455052550287356</v>
      </c>
      <c r="M78" s="0" t="n">
        <f aca="false">04_回帰ANOVA!$K$19*04_回帰ANOVA!$K$14*SQRT(1+L78)</f>
        <v>1.63461662470009</v>
      </c>
      <c r="N78" s="0" t="n">
        <f aca="false">K78-M78</f>
        <v>42.4293043523114</v>
      </c>
      <c r="O78" s="0" t="n">
        <f aca="false">K78+M78</f>
        <v>45.6985376017116</v>
      </c>
      <c r="P78" s="54" t="b">
        <f aca="false">AND(C78&gt;=01_因子設定!$L$5-0.000000001,C78&lt;=01_因子設定!$M$5+0.000000001,D78&gt;=01_因子設定!$L$6-0.000000001,D78&lt;=01_因子設定!$M$6+0.000000001,IF(01_因子設定!$B$20="Box-Behnken",C78^2+D78^2&lt;=2+0.000000001,TRUE()))</f>
        <v>1</v>
      </c>
      <c r="Q78" s="55" t="n">
        <f aca="false">IF(P78,IF(01_因子設定!$B$13="最大化",N78-01_因子設定!$B$14,IF(01_因子設定!$B$13="最小化",01_因子設定!$B$15-O78,MIN(N78-01_因子設定!$B$14,01_因子設定!$B$15-O78))),-1E+030)</f>
        <v>-4.07069564768861</v>
      </c>
      <c r="R78" s="55" t="n">
        <f aca="false">IF(P78,IF(01_因子設定!$B$13="最大化",K78,IF(01_因子設定!$B$13="最小化",-K78,-ABS(K78-01_因子設定!$B$16))),-1E+030)</f>
        <v>44.0639209770115</v>
      </c>
      <c r="S78" s="55" t="n">
        <f aca="false">Q78+ROW()*0.000000001</f>
        <v>-4.07069556968861</v>
      </c>
      <c r="T78" s="55" t="n">
        <f aca="false">R78+ROW()*0.000000001</f>
        <v>44.0639210550115</v>
      </c>
    </row>
    <row r="79" customFormat="false" ht="15" hidden="false" customHeight="false" outlineLevel="0" collapsed="false">
      <c r="A79" s="0" t="n">
        <v>1</v>
      </c>
      <c r="B79" s="0" t="n">
        <v>33</v>
      </c>
      <c r="C79" s="0" t="n">
        <f aca="false">-1+A79*0.05</f>
        <v>-0.95</v>
      </c>
      <c r="D79" s="0" t="n">
        <f aca="false">-1+B79*0.05</f>
        <v>0.65</v>
      </c>
      <c r="E79" s="0" t="n">
        <f aca="false">1</f>
        <v>1</v>
      </c>
      <c r="F79" s="0" t="n">
        <f aca="false">C79</f>
        <v>-0.95</v>
      </c>
      <c r="G79" s="0" t="n">
        <f aca="false">D79</f>
        <v>0.65</v>
      </c>
      <c r="H79" s="0" t="n">
        <f aca="false">C79*D79</f>
        <v>-0.6175</v>
      </c>
      <c r="I79" s="0" t="n">
        <f aca="false">C79*C79</f>
        <v>0.9025</v>
      </c>
      <c r="J79" s="0" t="n">
        <f aca="false">D79*D79</f>
        <v>0.4225</v>
      </c>
      <c r="K79" s="0" t="n">
        <f aca="false">SUMPRODUCT(E79:J79,_XtX!$B$53:$G$53)</f>
        <v>44.0550395114942</v>
      </c>
      <c r="L79" s="0" t="n">
        <f aca="false">SUMPRODUCT(MMULT(E79:J79,_XtX!$B$44:$G$49),E79:J79)</f>
        <v>0.468786835488506</v>
      </c>
      <c r="M79" s="0" t="n">
        <f aca="false">04_回帰ANOVA!$K$19*04_回帰ANOVA!$K$14*SQRT(1+L79)</f>
        <v>1.64231310350799</v>
      </c>
      <c r="N79" s="0" t="n">
        <f aca="false">K79-M79</f>
        <v>42.4127264079862</v>
      </c>
      <c r="O79" s="0" t="n">
        <f aca="false">K79+M79</f>
        <v>45.6973526150022</v>
      </c>
      <c r="P79" s="54" t="b">
        <f aca="false">AND(C79&gt;=01_因子設定!$L$5-0.000000001,C79&lt;=01_因子設定!$M$5+0.000000001,D79&gt;=01_因子設定!$L$6-0.000000001,D79&lt;=01_因子設定!$M$6+0.000000001,IF(01_因子設定!$B$20="Box-Behnken",C79^2+D79^2&lt;=2+0.000000001,TRUE()))</f>
        <v>1</v>
      </c>
      <c r="Q79" s="55" t="n">
        <f aca="false">IF(P79,IF(01_因子設定!$B$13="最大化",N79-01_因子設定!$B$14,IF(01_因子設定!$B$13="最小化",01_因子設定!$B$15-O79,MIN(N79-01_因子設定!$B$14,01_因子設定!$B$15-O79))),-1E+030)</f>
        <v>-4.08727359201376</v>
      </c>
      <c r="R79" s="55" t="n">
        <f aca="false">IF(P79,IF(01_因子設定!$B$13="最大化",K79,IF(01_因子設定!$B$13="最小化",-K79,-ABS(K79-01_因子設定!$B$16))),-1E+030)</f>
        <v>44.0550395114942</v>
      </c>
      <c r="S79" s="55" t="n">
        <f aca="false">Q79+ROW()*0.000000001</f>
        <v>-4.08727351301376</v>
      </c>
      <c r="T79" s="55" t="n">
        <f aca="false">R79+ROW()*0.000000001</f>
        <v>44.0550395904942</v>
      </c>
    </row>
    <row r="80" customFormat="false" ht="15" hidden="false" customHeight="false" outlineLevel="0" collapsed="false">
      <c r="A80" s="0" t="n">
        <v>1</v>
      </c>
      <c r="B80" s="0" t="n">
        <v>34</v>
      </c>
      <c r="C80" s="0" t="n">
        <f aca="false">-1+A80*0.05</f>
        <v>-0.95</v>
      </c>
      <c r="D80" s="0" t="n">
        <f aca="false">-1+B80*0.05</f>
        <v>0.7</v>
      </c>
      <c r="E80" s="0" t="n">
        <f aca="false">1</f>
        <v>1</v>
      </c>
      <c r="F80" s="0" t="n">
        <f aca="false">C80</f>
        <v>-0.95</v>
      </c>
      <c r="G80" s="0" t="n">
        <f aca="false">D80</f>
        <v>0.7</v>
      </c>
      <c r="H80" s="0" t="n">
        <f aca="false">C80*D80</f>
        <v>-0.665</v>
      </c>
      <c r="I80" s="0" t="n">
        <f aca="false">C80*C80</f>
        <v>0.9025</v>
      </c>
      <c r="J80" s="0" t="n">
        <f aca="false">D80*D80</f>
        <v>0.49</v>
      </c>
      <c r="K80" s="0" t="n">
        <f aca="false">SUMPRODUCT(E80:J80,_XtX!$B$53:$G$53)</f>
        <v>44.0384425287356</v>
      </c>
      <c r="L80" s="0" t="n">
        <f aca="false">SUMPRODUCT(MMULT(E80:J80,_XtX!$B$44:$G$49),E80:J80)</f>
        <v>0.486797018678161</v>
      </c>
      <c r="M80" s="0" t="n">
        <f aca="false">04_回帰ANOVA!$K$19*04_回帰ANOVA!$K$14*SQRT(1+L80)</f>
        <v>1.65235140136234</v>
      </c>
      <c r="N80" s="0" t="n">
        <f aca="false">K80-M80</f>
        <v>42.3860911273733</v>
      </c>
      <c r="O80" s="0" t="n">
        <f aca="false">K80+M80</f>
        <v>45.690793930098</v>
      </c>
      <c r="P80" s="54" t="b">
        <f aca="false">AND(C80&gt;=01_因子設定!$L$5-0.000000001,C80&lt;=01_因子設定!$M$5+0.000000001,D80&gt;=01_因子設定!$L$6-0.000000001,D80&lt;=01_因子設定!$M$6+0.000000001,IF(01_因子設定!$B$20="Box-Behnken",C80^2+D80^2&lt;=2+0.000000001,TRUE()))</f>
        <v>1</v>
      </c>
      <c r="Q80" s="55" t="n">
        <f aca="false">IF(P80,IF(01_因子設定!$B$13="最大化",N80-01_因子設定!$B$14,IF(01_因子設定!$B$13="最小化",01_因子設定!$B$15-O80,MIN(N80-01_因子設定!$B$14,01_因子設定!$B$15-O80))),-1E+030)</f>
        <v>-4.11390887262672</v>
      </c>
      <c r="R80" s="55" t="n">
        <f aca="false">IF(P80,IF(01_因子設定!$B$13="最大化",K80,IF(01_因子設定!$B$13="最小化",-K80,-ABS(K80-01_因子設定!$B$16))),-1E+030)</f>
        <v>44.0384425287356</v>
      </c>
      <c r="S80" s="55" t="n">
        <f aca="false">Q80+ROW()*0.000000001</f>
        <v>-4.11390879262672</v>
      </c>
      <c r="T80" s="55" t="n">
        <f aca="false">R80+ROW()*0.000000001</f>
        <v>44.0384426087356</v>
      </c>
    </row>
    <row r="81" customFormat="false" ht="15" hidden="false" customHeight="false" outlineLevel="0" collapsed="false">
      <c r="A81" s="0" t="n">
        <v>1</v>
      </c>
      <c r="B81" s="0" t="n">
        <v>35</v>
      </c>
      <c r="C81" s="0" t="n">
        <f aca="false">-1+A81*0.05</f>
        <v>-0.95</v>
      </c>
      <c r="D81" s="0" t="n">
        <f aca="false">-1+B81*0.05</f>
        <v>0.75</v>
      </c>
      <c r="E81" s="0" t="n">
        <f aca="false">1</f>
        <v>1</v>
      </c>
      <c r="F81" s="0" t="n">
        <f aca="false">C81</f>
        <v>-0.95</v>
      </c>
      <c r="G81" s="0" t="n">
        <f aca="false">D81</f>
        <v>0.75</v>
      </c>
      <c r="H81" s="0" t="n">
        <f aca="false">C81*D81</f>
        <v>-0.7125</v>
      </c>
      <c r="I81" s="0" t="n">
        <f aca="false">C81*C81</f>
        <v>0.9025</v>
      </c>
      <c r="J81" s="0" t="n">
        <f aca="false">D81*D81</f>
        <v>0.5625</v>
      </c>
      <c r="K81" s="0" t="n">
        <f aca="false">SUMPRODUCT(E81:J81,_XtX!$B$53:$G$53)</f>
        <v>44.0141300287356</v>
      </c>
      <c r="L81" s="0" t="n">
        <f aca="false">SUMPRODUCT(MMULT(E81:J81,_XtX!$B$44:$G$49),E81:J81)</f>
        <v>0.509816289511494</v>
      </c>
      <c r="M81" s="0" t="n">
        <f aca="false">04_回帰ANOVA!$K$19*04_回帰ANOVA!$K$14*SQRT(1+L81)</f>
        <v>1.66509350076304</v>
      </c>
      <c r="N81" s="0" t="n">
        <f aca="false">K81-M81</f>
        <v>42.3490365279726</v>
      </c>
      <c r="O81" s="0" t="n">
        <f aca="false">K81+M81</f>
        <v>45.6792235294987</v>
      </c>
      <c r="P81" s="54" t="b">
        <f aca="false">AND(C81&gt;=01_因子設定!$L$5-0.000000001,C81&lt;=01_因子設定!$M$5+0.000000001,D81&gt;=01_因子設定!$L$6-0.000000001,D81&lt;=01_因子設定!$M$6+0.000000001,IF(01_因子設定!$B$20="Box-Behnken",C81^2+D81^2&lt;=2+0.000000001,TRUE()))</f>
        <v>1</v>
      </c>
      <c r="Q81" s="55" t="n">
        <f aca="false">IF(P81,IF(01_因子設定!$B$13="最大化",N81-01_因子設定!$B$14,IF(01_因子設定!$B$13="最小化",01_因子設定!$B$15-O81,MIN(N81-01_因子設定!$B$14,01_因子設定!$B$15-O81))),-1E+030)</f>
        <v>-4.15096347202743</v>
      </c>
      <c r="R81" s="55" t="n">
        <f aca="false">IF(P81,IF(01_因子設定!$B$13="最大化",K81,IF(01_因子設定!$B$13="最小化",-K81,-ABS(K81-01_因子設定!$B$16))),-1E+030)</f>
        <v>44.0141300287356</v>
      </c>
      <c r="S81" s="55" t="n">
        <f aca="false">Q81+ROW()*0.000000001</f>
        <v>-4.15096339102743</v>
      </c>
      <c r="T81" s="55" t="n">
        <f aca="false">R81+ROW()*0.000000001</f>
        <v>44.0141301097356</v>
      </c>
    </row>
    <row r="82" customFormat="false" ht="15" hidden="false" customHeight="false" outlineLevel="0" collapsed="false">
      <c r="A82" s="0" t="n">
        <v>1</v>
      </c>
      <c r="B82" s="0" t="n">
        <v>36</v>
      </c>
      <c r="C82" s="0" t="n">
        <f aca="false">-1+A82*0.05</f>
        <v>-0.95</v>
      </c>
      <c r="D82" s="0" t="n">
        <f aca="false">-1+B82*0.05</f>
        <v>0.8</v>
      </c>
      <c r="E82" s="0" t="n">
        <f aca="false">1</f>
        <v>1</v>
      </c>
      <c r="F82" s="0" t="n">
        <f aca="false">C82</f>
        <v>-0.95</v>
      </c>
      <c r="G82" s="0" t="n">
        <f aca="false">D82</f>
        <v>0.8</v>
      </c>
      <c r="H82" s="0" t="n">
        <f aca="false">C82*D82</f>
        <v>-0.76</v>
      </c>
      <c r="I82" s="0" t="n">
        <f aca="false">C82*C82</f>
        <v>0.9025</v>
      </c>
      <c r="J82" s="0" t="n">
        <f aca="false">D82*D82</f>
        <v>0.64</v>
      </c>
      <c r="K82" s="0" t="n">
        <f aca="false">SUMPRODUCT(E82:J82,_XtX!$B$53:$G$53)</f>
        <v>43.9821020114942</v>
      </c>
      <c r="L82" s="0" t="n">
        <f aca="false">SUMPRODUCT(MMULT(E82:J82,_XtX!$B$44:$G$49),E82:J82)</f>
        <v>0.538632147988506</v>
      </c>
      <c r="M82" s="0" t="n">
        <f aca="false">04_回帰ANOVA!$K$19*04_回帰ANOVA!$K$14*SQRT(1+L82)</f>
        <v>1.68090811348192</v>
      </c>
      <c r="N82" s="0" t="n">
        <f aca="false">K82-M82</f>
        <v>42.3011938980123</v>
      </c>
      <c r="O82" s="0" t="n">
        <f aca="false">K82+M82</f>
        <v>45.6630101249762</v>
      </c>
      <c r="P82" s="54" t="b">
        <f aca="false">AND(C82&gt;=01_因子設定!$L$5-0.000000001,C82&lt;=01_因子設定!$M$5+0.000000001,D82&gt;=01_因子設定!$L$6-0.000000001,D82&lt;=01_因子設定!$M$6+0.000000001,IF(01_因子設定!$B$20="Box-Behnken",C82^2+D82^2&lt;=2+0.000000001,TRUE()))</f>
        <v>1</v>
      </c>
      <c r="Q82" s="55" t="n">
        <f aca="false">IF(P82,IF(01_因子設定!$B$13="最大化",N82-01_因子設定!$B$14,IF(01_因子設定!$B$13="最小化",01_因子設定!$B$15-O82,MIN(N82-01_因子設定!$B$14,01_因子設定!$B$15-O82))),-1E+030)</f>
        <v>-4.19880610198769</v>
      </c>
      <c r="R82" s="55" t="n">
        <f aca="false">IF(P82,IF(01_因子設定!$B$13="最大化",K82,IF(01_因子設定!$B$13="最小化",-K82,-ABS(K82-01_因子設定!$B$16))),-1E+030)</f>
        <v>43.9821020114942</v>
      </c>
      <c r="S82" s="55" t="n">
        <f aca="false">Q82+ROW()*0.000000001</f>
        <v>-4.19880601998769</v>
      </c>
      <c r="T82" s="55" t="n">
        <f aca="false">R82+ROW()*0.000000001</f>
        <v>43.9821020934942</v>
      </c>
    </row>
    <row r="83" customFormat="false" ht="15" hidden="false" customHeight="false" outlineLevel="0" collapsed="false">
      <c r="A83" s="0" t="n">
        <v>1</v>
      </c>
      <c r="B83" s="0" t="n">
        <v>37</v>
      </c>
      <c r="C83" s="0" t="n">
        <f aca="false">-1+A83*0.05</f>
        <v>-0.95</v>
      </c>
      <c r="D83" s="0" t="n">
        <f aca="false">-1+B83*0.05</f>
        <v>0.85</v>
      </c>
      <c r="E83" s="0" t="n">
        <f aca="false">1</f>
        <v>1</v>
      </c>
      <c r="F83" s="0" t="n">
        <f aca="false">C83</f>
        <v>-0.95</v>
      </c>
      <c r="G83" s="0" t="n">
        <f aca="false">D83</f>
        <v>0.85</v>
      </c>
      <c r="H83" s="0" t="n">
        <f aca="false">C83*D83</f>
        <v>-0.8075</v>
      </c>
      <c r="I83" s="0" t="n">
        <f aca="false">C83*C83</f>
        <v>0.9025</v>
      </c>
      <c r="J83" s="0" t="n">
        <f aca="false">D83*D83</f>
        <v>0.7225</v>
      </c>
      <c r="K83" s="0" t="n">
        <f aca="false">SUMPRODUCT(E83:J83,_XtX!$B$53:$G$53)</f>
        <v>43.9423584770115</v>
      </c>
      <c r="L83" s="0" t="n">
        <f aca="false">SUMPRODUCT(MMULT(E83:J83,_XtX!$B$44:$G$49),E83:J83)</f>
        <v>0.574086404454023</v>
      </c>
      <c r="M83" s="0" t="n">
        <f aca="false">04_回帰ANOVA!$K$19*04_回帰ANOVA!$K$14*SQRT(1+L83)</f>
        <v>1.7001641576124</v>
      </c>
      <c r="N83" s="0" t="n">
        <f aca="false">K83-M83</f>
        <v>42.2421943193991</v>
      </c>
      <c r="O83" s="0" t="n">
        <f aca="false">K83+M83</f>
        <v>45.6425226346239</v>
      </c>
      <c r="P83" s="54" t="b">
        <f aca="false">AND(C83&gt;=01_因子設定!$L$5-0.000000001,C83&lt;=01_因子設定!$M$5+0.000000001,D83&gt;=01_因子設定!$L$6-0.000000001,D83&lt;=01_因子設定!$M$6+0.000000001,IF(01_因子設定!$B$20="Box-Behnken",C83^2+D83^2&lt;=2+0.000000001,TRUE()))</f>
        <v>1</v>
      </c>
      <c r="Q83" s="55" t="n">
        <f aca="false">IF(P83,IF(01_因子設定!$B$13="最大化",N83-01_因子設定!$B$14,IF(01_因子設定!$B$13="最小化",01_因子設定!$B$15-O83,MIN(N83-01_因子設定!$B$14,01_因子設定!$B$15-O83))),-1E+030)</f>
        <v>-4.25780568060092</v>
      </c>
      <c r="R83" s="55" t="n">
        <f aca="false">IF(P83,IF(01_因子設定!$B$13="最大化",K83,IF(01_因子設定!$B$13="最小化",-K83,-ABS(K83-01_因子設定!$B$16))),-1E+030)</f>
        <v>43.9423584770115</v>
      </c>
      <c r="S83" s="55" t="n">
        <f aca="false">Q83+ROW()*0.000000001</f>
        <v>-4.25780559760093</v>
      </c>
      <c r="T83" s="55" t="n">
        <f aca="false">R83+ROW()*0.000000001</f>
        <v>43.9423585600115</v>
      </c>
    </row>
    <row r="84" customFormat="false" ht="15" hidden="false" customHeight="false" outlineLevel="0" collapsed="false">
      <c r="A84" s="0" t="n">
        <v>1</v>
      </c>
      <c r="B84" s="0" t="n">
        <v>38</v>
      </c>
      <c r="C84" s="0" t="n">
        <f aca="false">-1+A84*0.05</f>
        <v>-0.95</v>
      </c>
      <c r="D84" s="0" t="n">
        <f aca="false">-1+B84*0.05</f>
        <v>0.9</v>
      </c>
      <c r="E84" s="0" t="n">
        <f aca="false">1</f>
        <v>1</v>
      </c>
      <c r="F84" s="0" t="n">
        <f aca="false">C84</f>
        <v>-0.95</v>
      </c>
      <c r="G84" s="0" t="n">
        <f aca="false">D84</f>
        <v>0.9</v>
      </c>
      <c r="H84" s="0" t="n">
        <f aca="false">C84*D84</f>
        <v>-0.855</v>
      </c>
      <c r="I84" s="0" t="n">
        <f aca="false">C84*C84</f>
        <v>0.9025</v>
      </c>
      <c r="J84" s="0" t="n">
        <f aca="false">D84*D84</f>
        <v>0.81</v>
      </c>
      <c r="K84" s="0" t="n">
        <f aca="false">SUMPRODUCT(E84:J84,_XtX!$B$53:$G$53)</f>
        <v>43.8948994252873</v>
      </c>
      <c r="L84" s="0" t="n">
        <f aca="false">SUMPRODUCT(MMULT(E84:J84,_XtX!$B$44:$G$49),E84:J84)</f>
        <v>0.617075179597701</v>
      </c>
      <c r="M84" s="0" t="n">
        <f aca="false">04_回帰ANOVA!$K$19*04_回帰ANOVA!$K$14*SQRT(1+L84)</f>
        <v>1.72322377517336</v>
      </c>
      <c r="N84" s="0" t="n">
        <f aca="false">K84-M84</f>
        <v>42.171675650114</v>
      </c>
      <c r="O84" s="0" t="n">
        <f aca="false">K84+M84</f>
        <v>45.6181232004607</v>
      </c>
      <c r="P84" s="54" t="b">
        <f aca="false">AND(C84&gt;=01_因子設定!$L$5-0.000000001,C84&lt;=01_因子設定!$M$5+0.000000001,D84&gt;=01_因子設定!$L$6-0.000000001,D84&lt;=01_因子設定!$M$6+0.000000001,IF(01_因子設定!$B$20="Box-Behnken",C84^2+D84^2&lt;=2+0.000000001,TRUE()))</f>
        <v>1</v>
      </c>
      <c r="Q84" s="55" t="n">
        <f aca="false">IF(P84,IF(01_因子設定!$B$13="最大化",N84-01_因子設定!$B$14,IF(01_因子設定!$B$13="最小化",01_因子設定!$B$15-O84,MIN(N84-01_因子設定!$B$14,01_因子設定!$B$15-O84))),-1E+030)</f>
        <v>-4.32832434988602</v>
      </c>
      <c r="R84" s="55" t="n">
        <f aca="false">IF(P84,IF(01_因子設定!$B$13="最大化",K84,IF(01_因子設定!$B$13="最小化",-K84,-ABS(K84-01_因子設定!$B$16))),-1E+030)</f>
        <v>43.8948994252873</v>
      </c>
      <c r="S84" s="55" t="n">
        <f aca="false">Q84+ROW()*0.000000001</f>
        <v>-4.32832426588603</v>
      </c>
      <c r="T84" s="55" t="n">
        <f aca="false">R84+ROW()*0.000000001</f>
        <v>43.8948995092873</v>
      </c>
    </row>
    <row r="85" customFormat="false" ht="15" hidden="false" customHeight="false" outlineLevel="0" collapsed="false">
      <c r="A85" s="0" t="n">
        <v>1</v>
      </c>
      <c r="B85" s="0" t="n">
        <v>39</v>
      </c>
      <c r="C85" s="0" t="n">
        <f aca="false">-1+A85*0.05</f>
        <v>-0.95</v>
      </c>
      <c r="D85" s="0" t="n">
        <f aca="false">-1+B85*0.05</f>
        <v>0.95</v>
      </c>
      <c r="E85" s="0" t="n">
        <f aca="false">1</f>
        <v>1</v>
      </c>
      <c r="F85" s="0" t="n">
        <f aca="false">C85</f>
        <v>-0.95</v>
      </c>
      <c r="G85" s="0" t="n">
        <f aca="false">D85</f>
        <v>0.95</v>
      </c>
      <c r="H85" s="0" t="n">
        <f aca="false">C85*D85</f>
        <v>-0.9025</v>
      </c>
      <c r="I85" s="0" t="n">
        <f aca="false">C85*C85</f>
        <v>0.9025</v>
      </c>
      <c r="J85" s="0" t="n">
        <f aca="false">D85*D85</f>
        <v>0.9025</v>
      </c>
      <c r="K85" s="0" t="n">
        <f aca="false">SUMPRODUCT(E85:J85,_XtX!$B$53:$G$53)</f>
        <v>43.8397248563218</v>
      </c>
      <c r="L85" s="0" t="n">
        <f aca="false">SUMPRODUCT(MMULT(E85:J85,_XtX!$B$44:$G$49),E85:J85)</f>
        <v>0.668548904454023</v>
      </c>
      <c r="M85" s="0" t="n">
        <f aca="false">04_回帰ANOVA!$K$19*04_回帰ANOVA!$K$14*SQRT(1+L85)</f>
        <v>1.75043521736054</v>
      </c>
      <c r="N85" s="0" t="n">
        <f aca="false">K85-M85</f>
        <v>42.0892896389613</v>
      </c>
      <c r="O85" s="0" t="n">
        <f aca="false">K85+M85</f>
        <v>45.5901600736824</v>
      </c>
      <c r="P85" s="54" t="b">
        <f aca="false">AND(C85&gt;=01_因子設定!$L$5-0.000000001,C85&lt;=01_因子設定!$M$5+0.000000001,D85&gt;=01_因子設定!$L$6-0.000000001,D85&lt;=01_因子設定!$M$6+0.000000001,IF(01_因子設定!$B$20="Box-Behnken",C85^2+D85^2&lt;=2+0.000000001,TRUE()))</f>
        <v>1</v>
      </c>
      <c r="Q85" s="55" t="n">
        <f aca="false">IF(P85,IF(01_因子設定!$B$13="最大化",N85-01_因子設定!$B$14,IF(01_因子設定!$B$13="最小化",01_因子設定!$B$15-O85,MIN(N85-01_因子設定!$B$14,01_因子設定!$B$15-O85))),-1E+030)</f>
        <v>-4.41071036103872</v>
      </c>
      <c r="R85" s="55" t="n">
        <f aca="false">IF(P85,IF(01_因子設定!$B$13="最大化",K85,IF(01_因子設定!$B$13="最小化",-K85,-ABS(K85-01_因子設定!$B$16))),-1E+030)</f>
        <v>43.8397248563218</v>
      </c>
      <c r="S85" s="55" t="n">
        <f aca="false">Q85+ROW()*0.000000001</f>
        <v>-4.41071027603872</v>
      </c>
      <c r="T85" s="55" t="n">
        <f aca="false">R85+ROW()*0.000000001</f>
        <v>43.8397249413218</v>
      </c>
    </row>
    <row r="86" customFormat="false" ht="15" hidden="false" customHeight="false" outlineLevel="0" collapsed="false">
      <c r="A86" s="0" t="n">
        <v>1</v>
      </c>
      <c r="B86" s="0" t="n">
        <v>40</v>
      </c>
      <c r="C86" s="0" t="n">
        <f aca="false">-1+A86*0.05</f>
        <v>-0.95</v>
      </c>
      <c r="D86" s="0" t="n">
        <f aca="false">-1+B86*0.05</f>
        <v>1</v>
      </c>
      <c r="E86" s="0" t="n">
        <f aca="false">1</f>
        <v>1</v>
      </c>
      <c r="F86" s="0" t="n">
        <f aca="false">C86</f>
        <v>-0.95</v>
      </c>
      <c r="G86" s="0" t="n">
        <f aca="false">D86</f>
        <v>1</v>
      </c>
      <c r="H86" s="0" t="n">
        <f aca="false">C86*D86</f>
        <v>-0.95</v>
      </c>
      <c r="I86" s="0" t="n">
        <f aca="false">C86*C86</f>
        <v>0.9025</v>
      </c>
      <c r="J86" s="0" t="n">
        <f aca="false">D86*D86</f>
        <v>1</v>
      </c>
      <c r="K86" s="0" t="n">
        <f aca="false">SUMPRODUCT(E86:J86,_XtX!$B$53:$G$53)</f>
        <v>43.7768347701149</v>
      </c>
      <c r="L86" s="0" t="n">
        <f aca="false">SUMPRODUCT(MMULT(E86:J86,_XtX!$B$44:$G$49),E86:J86)</f>
        <v>0.729512320402299</v>
      </c>
      <c r="M86" s="0" t="n">
        <f aca="false">04_回帰ANOVA!$K$19*04_回帰ANOVA!$K$14*SQRT(1+L86)</f>
        <v>1.78212598387095</v>
      </c>
      <c r="N86" s="0" t="n">
        <f aca="false">K86-M86</f>
        <v>41.994708786244</v>
      </c>
      <c r="O86" s="0" t="n">
        <f aca="false">K86+M86</f>
        <v>45.5589607539859</v>
      </c>
      <c r="P86" s="54" t="b">
        <f aca="false">AND(C86&gt;=01_因子設定!$L$5-0.000000001,C86&lt;=01_因子設定!$M$5+0.000000001,D86&gt;=01_因子設定!$L$6-0.000000001,D86&lt;=01_因子設定!$M$6+0.000000001,IF(01_因子設定!$B$20="Box-Behnken",C86^2+D86^2&lt;=2+0.000000001,TRUE()))</f>
        <v>1</v>
      </c>
      <c r="Q86" s="55" t="n">
        <f aca="false">IF(P86,IF(01_因子設定!$B$13="最大化",N86-01_因子設定!$B$14,IF(01_因子設定!$B$13="最小化",01_因子設定!$B$15-O86,MIN(N86-01_因子設定!$B$14,01_因子設定!$B$15-O86))),-1E+030)</f>
        <v>-4.50529121375602</v>
      </c>
      <c r="R86" s="55" t="n">
        <f aca="false">IF(P86,IF(01_因子設定!$B$13="最大化",K86,IF(01_因子設定!$B$13="最小化",-K86,-ABS(K86-01_因子設定!$B$16))),-1E+030)</f>
        <v>43.7768347701149</v>
      </c>
      <c r="S86" s="55" t="n">
        <f aca="false">Q86+ROW()*0.000000001</f>
        <v>-4.50529112775602</v>
      </c>
      <c r="T86" s="55" t="n">
        <f aca="false">R86+ROW()*0.000000001</f>
        <v>43.7768348561149</v>
      </c>
    </row>
    <row r="87" customFormat="false" ht="15" hidden="false" customHeight="false" outlineLevel="0" collapsed="false">
      <c r="A87" s="0" t="n">
        <v>2</v>
      </c>
      <c r="B87" s="0" t="n">
        <v>0</v>
      </c>
      <c r="C87" s="0" t="n">
        <f aca="false">-1+A87*0.05</f>
        <v>-0.9</v>
      </c>
      <c r="D87" s="0" t="n">
        <f aca="false">-1+B87*0.05</f>
        <v>-1</v>
      </c>
      <c r="E87" s="0" t="n">
        <f aca="false">1</f>
        <v>1</v>
      </c>
      <c r="F87" s="0" t="n">
        <f aca="false">C87</f>
        <v>-0.9</v>
      </c>
      <c r="G87" s="0" t="n">
        <f aca="false">D87</f>
        <v>-1</v>
      </c>
      <c r="H87" s="0" t="n">
        <f aca="false">C87*D87</f>
        <v>0.9</v>
      </c>
      <c r="I87" s="0" t="n">
        <f aca="false">C87*C87</f>
        <v>0.81</v>
      </c>
      <c r="J87" s="0" t="n">
        <f aca="false">D87*D87</f>
        <v>1</v>
      </c>
      <c r="K87" s="0" t="n">
        <f aca="false">SUMPRODUCT(E87:J87,_XtX!$B$53:$G$53)</f>
        <v>40.6076551724138</v>
      </c>
      <c r="L87" s="0" t="n">
        <f aca="false">SUMPRODUCT(MMULT(E87:J87,_XtX!$B$44:$G$49),E87:J87)</f>
        <v>0.67827183908046</v>
      </c>
      <c r="M87" s="0" t="n">
        <f aca="false">04_回帰ANOVA!$K$19*04_回帰ANOVA!$K$14*SQRT(1+L87)</f>
        <v>1.7555278596526</v>
      </c>
      <c r="N87" s="0" t="n">
        <f aca="false">K87-M87</f>
        <v>38.8521273127612</v>
      </c>
      <c r="O87" s="0" t="n">
        <f aca="false">K87+M87</f>
        <v>42.3631830320664</v>
      </c>
      <c r="P87" s="54" t="b">
        <f aca="false">AND(C87&gt;=01_因子設定!$L$5-0.000000001,C87&lt;=01_因子設定!$M$5+0.000000001,D87&gt;=01_因子設定!$L$6-0.000000001,D87&lt;=01_因子設定!$M$6+0.000000001,IF(01_因子設定!$B$20="Box-Behnken",C87^2+D87^2&lt;=2+0.000000001,TRUE()))</f>
        <v>1</v>
      </c>
      <c r="Q87" s="55" t="n">
        <f aca="false">IF(P87,IF(01_因子設定!$B$13="最大化",N87-01_因子設定!$B$14,IF(01_因子設定!$B$13="最小化",01_因子設定!$B$15-O87,MIN(N87-01_因子設定!$B$14,01_因子設定!$B$15-O87))),-1E+030)</f>
        <v>-7.64787268723882</v>
      </c>
      <c r="R87" s="55" t="n">
        <f aca="false">IF(P87,IF(01_因子設定!$B$13="最大化",K87,IF(01_因子設定!$B$13="最小化",-K87,-ABS(K87-01_因子設定!$B$16))),-1E+030)</f>
        <v>40.6076551724138</v>
      </c>
      <c r="S87" s="55" t="n">
        <f aca="false">Q87+ROW()*0.000000001</f>
        <v>-7.64787260023882</v>
      </c>
      <c r="T87" s="55" t="n">
        <f aca="false">R87+ROW()*0.000000001</f>
        <v>40.6076552594138</v>
      </c>
    </row>
    <row r="88" customFormat="false" ht="15" hidden="false" customHeight="false" outlineLevel="0" collapsed="false">
      <c r="A88" s="0" t="n">
        <v>2</v>
      </c>
      <c r="B88" s="0" t="n">
        <v>1</v>
      </c>
      <c r="C88" s="0" t="n">
        <f aca="false">-1+A88*0.05</f>
        <v>-0.9</v>
      </c>
      <c r="D88" s="0" t="n">
        <f aca="false">-1+B88*0.05</f>
        <v>-0.95</v>
      </c>
      <c r="E88" s="0" t="n">
        <f aca="false">1</f>
        <v>1</v>
      </c>
      <c r="F88" s="0" t="n">
        <f aca="false">C88</f>
        <v>-0.9</v>
      </c>
      <c r="G88" s="0" t="n">
        <f aca="false">D88</f>
        <v>-0.95</v>
      </c>
      <c r="H88" s="0" t="n">
        <f aca="false">C88*D88</f>
        <v>0.855</v>
      </c>
      <c r="I88" s="0" t="n">
        <f aca="false">C88*C88</f>
        <v>0.81</v>
      </c>
      <c r="J88" s="0" t="n">
        <f aca="false">D88*D88</f>
        <v>0.9025</v>
      </c>
      <c r="K88" s="0" t="n">
        <f aca="false">SUMPRODUCT(E88:J88,_XtX!$B$53:$G$53)</f>
        <v>40.8469827586207</v>
      </c>
      <c r="L88" s="0" t="n">
        <f aca="false">SUMPRODUCT(MMULT(E88:J88,_XtX!$B$44:$G$49),E88:J88)</f>
        <v>0.617075179597701</v>
      </c>
      <c r="M88" s="0" t="n">
        <f aca="false">04_回帰ANOVA!$K$19*04_回帰ANOVA!$K$14*SQRT(1+L88)</f>
        <v>1.72322377517336</v>
      </c>
      <c r="N88" s="0" t="n">
        <f aca="false">K88-M88</f>
        <v>39.1237589834473</v>
      </c>
      <c r="O88" s="0" t="n">
        <f aca="false">K88+M88</f>
        <v>42.570206533794</v>
      </c>
      <c r="P88" s="54" t="b">
        <f aca="false">AND(C88&gt;=01_因子設定!$L$5-0.000000001,C88&lt;=01_因子設定!$M$5+0.000000001,D88&gt;=01_因子設定!$L$6-0.000000001,D88&lt;=01_因子設定!$M$6+0.000000001,IF(01_因子設定!$B$20="Box-Behnken",C88^2+D88^2&lt;=2+0.000000001,TRUE()))</f>
        <v>1</v>
      </c>
      <c r="Q88" s="55" t="n">
        <f aca="false">IF(P88,IF(01_因子設定!$B$13="最大化",N88-01_因子設定!$B$14,IF(01_因子設定!$B$13="最小化",01_因子設定!$B$15-O88,MIN(N88-01_因子設定!$B$14,01_因子設定!$B$15-O88))),-1E+030)</f>
        <v>-7.37624101655269</v>
      </c>
      <c r="R88" s="55" t="n">
        <f aca="false">IF(P88,IF(01_因子設定!$B$13="最大化",K88,IF(01_因子設定!$B$13="最小化",-K88,-ABS(K88-01_因子設定!$B$16))),-1E+030)</f>
        <v>40.8469827586207</v>
      </c>
      <c r="S88" s="55" t="n">
        <f aca="false">Q88+ROW()*0.000000001</f>
        <v>-7.37624092855269</v>
      </c>
      <c r="T88" s="55" t="n">
        <f aca="false">R88+ROW()*0.000000001</f>
        <v>40.8469828466207</v>
      </c>
    </row>
    <row r="89" customFormat="false" ht="15" hidden="false" customHeight="false" outlineLevel="0" collapsed="false">
      <c r="A89" s="0" t="n">
        <v>2</v>
      </c>
      <c r="B89" s="0" t="n">
        <v>2</v>
      </c>
      <c r="C89" s="0" t="n">
        <f aca="false">-1+A89*0.05</f>
        <v>-0.9</v>
      </c>
      <c r="D89" s="0" t="n">
        <f aca="false">-1+B89*0.05</f>
        <v>-0.9</v>
      </c>
      <c r="E89" s="0" t="n">
        <f aca="false">1</f>
        <v>1</v>
      </c>
      <c r="F89" s="0" t="n">
        <f aca="false">C89</f>
        <v>-0.9</v>
      </c>
      <c r="G89" s="0" t="n">
        <f aca="false">D89</f>
        <v>-0.9</v>
      </c>
      <c r="H89" s="0" t="n">
        <f aca="false">C89*D89</f>
        <v>0.81</v>
      </c>
      <c r="I89" s="0" t="n">
        <f aca="false">C89*C89</f>
        <v>0.81</v>
      </c>
      <c r="J89" s="0" t="n">
        <f aca="false">D89*D89</f>
        <v>0.81</v>
      </c>
      <c r="K89" s="0" t="n">
        <f aca="false">SUMPRODUCT(E89:J89,_XtX!$B$53:$G$53)</f>
        <v>41.0785948275862</v>
      </c>
      <c r="L89" s="0" t="n">
        <f aca="false">SUMPRODUCT(MMULT(E89:J89,_XtX!$B$44:$G$49),E89:J89)</f>
        <v>0.565380172413793</v>
      </c>
      <c r="M89" s="0" t="n">
        <f aca="false">04_回帰ANOVA!$K$19*04_回帰ANOVA!$K$14*SQRT(1+L89)</f>
        <v>1.69545585576061</v>
      </c>
      <c r="N89" s="0" t="n">
        <f aca="false">K89-M89</f>
        <v>39.3831389718256</v>
      </c>
      <c r="O89" s="0" t="n">
        <f aca="false">K89+M89</f>
        <v>42.7740506833468</v>
      </c>
      <c r="P89" s="54" t="b">
        <f aca="false">AND(C89&gt;=01_因子設定!$L$5-0.000000001,C89&lt;=01_因子設定!$M$5+0.000000001,D89&gt;=01_因子設定!$L$6-0.000000001,D89&lt;=01_因子設定!$M$6+0.000000001,IF(01_因子設定!$B$20="Box-Behnken",C89^2+D89^2&lt;=2+0.000000001,TRUE()))</f>
        <v>1</v>
      </c>
      <c r="Q89" s="55" t="n">
        <f aca="false">IF(P89,IF(01_因子設定!$B$13="最大化",N89-01_因子設定!$B$14,IF(01_因子設定!$B$13="最小化",01_因子設定!$B$15-O89,MIN(N89-01_因子設定!$B$14,01_因子設定!$B$15-O89))),-1E+030)</f>
        <v>-7.11686102817441</v>
      </c>
      <c r="R89" s="55" t="n">
        <f aca="false">IF(P89,IF(01_因子設定!$B$13="最大化",K89,IF(01_因子設定!$B$13="最小化",-K89,-ABS(K89-01_因子設定!$B$16))),-1E+030)</f>
        <v>41.0785948275862</v>
      </c>
      <c r="S89" s="55" t="n">
        <f aca="false">Q89+ROW()*0.000000001</f>
        <v>-7.11686093917441</v>
      </c>
      <c r="T89" s="55" t="n">
        <f aca="false">R89+ROW()*0.000000001</f>
        <v>41.0785949165862</v>
      </c>
    </row>
    <row r="90" customFormat="false" ht="15" hidden="false" customHeight="false" outlineLevel="0" collapsed="false">
      <c r="A90" s="0" t="n">
        <v>2</v>
      </c>
      <c r="B90" s="0" t="n">
        <v>3</v>
      </c>
      <c r="C90" s="0" t="n">
        <f aca="false">-1+A90*0.05</f>
        <v>-0.9</v>
      </c>
      <c r="D90" s="0" t="n">
        <f aca="false">-1+B90*0.05</f>
        <v>-0.85</v>
      </c>
      <c r="E90" s="0" t="n">
        <f aca="false">1</f>
        <v>1</v>
      </c>
      <c r="F90" s="0" t="n">
        <f aca="false">C90</f>
        <v>-0.9</v>
      </c>
      <c r="G90" s="0" t="n">
        <f aca="false">D90</f>
        <v>-0.85</v>
      </c>
      <c r="H90" s="0" t="n">
        <f aca="false">C90*D90</f>
        <v>0.765</v>
      </c>
      <c r="I90" s="0" t="n">
        <f aca="false">C90*C90</f>
        <v>0.81</v>
      </c>
      <c r="J90" s="0" t="n">
        <f aca="false">D90*D90</f>
        <v>0.7225</v>
      </c>
      <c r="K90" s="0" t="n">
        <f aca="false">SUMPRODUCT(E90:J90,_XtX!$B$53:$G$53)</f>
        <v>41.3024913793103</v>
      </c>
      <c r="L90" s="0" t="n">
        <f aca="false">SUMPRODUCT(MMULT(E90:J90,_XtX!$B$44:$G$49),E90:J90)</f>
        <v>0.522182076149425</v>
      </c>
      <c r="M90" s="0" t="n">
        <f aca="false">04_回帰ANOVA!$K$19*04_回帰ANOVA!$K$14*SQRT(1+L90)</f>
        <v>1.67189836938396</v>
      </c>
      <c r="N90" s="0" t="n">
        <f aca="false">K90-M90</f>
        <v>39.6305930099264</v>
      </c>
      <c r="O90" s="0" t="n">
        <f aca="false">K90+M90</f>
        <v>42.9743897486943</v>
      </c>
      <c r="P90" s="54" t="b">
        <f aca="false">AND(C90&gt;=01_因子設定!$L$5-0.000000001,C90&lt;=01_因子設定!$M$5+0.000000001,D90&gt;=01_因子設定!$L$6-0.000000001,D90&lt;=01_因子設定!$M$6+0.000000001,IF(01_因子設定!$B$20="Box-Behnken",C90^2+D90^2&lt;=2+0.000000001,TRUE()))</f>
        <v>1</v>
      </c>
      <c r="Q90" s="55" t="n">
        <f aca="false">IF(P90,IF(01_因子設定!$B$13="最大化",N90-01_因子設定!$B$14,IF(01_因子設定!$B$13="最小化",01_因子設定!$B$15-O90,MIN(N90-01_因子設定!$B$14,01_因子設定!$B$15-O90))),-1E+030)</f>
        <v>-6.86940699007363</v>
      </c>
      <c r="R90" s="55" t="n">
        <f aca="false">IF(P90,IF(01_因子設定!$B$13="最大化",K90,IF(01_因子設定!$B$13="最小化",-K90,-ABS(K90-01_因子設定!$B$16))),-1E+030)</f>
        <v>41.3024913793103</v>
      </c>
      <c r="S90" s="55" t="n">
        <f aca="false">Q90+ROW()*0.000000001</f>
        <v>-6.86940690007363</v>
      </c>
      <c r="T90" s="55" t="n">
        <f aca="false">R90+ROW()*0.000000001</f>
        <v>41.3024914693103</v>
      </c>
    </row>
    <row r="91" customFormat="false" ht="15" hidden="false" customHeight="false" outlineLevel="0" collapsed="false">
      <c r="A91" s="0" t="n">
        <v>2</v>
      </c>
      <c r="B91" s="0" t="n">
        <v>4</v>
      </c>
      <c r="C91" s="0" t="n">
        <f aca="false">-1+A91*0.05</f>
        <v>-0.9</v>
      </c>
      <c r="D91" s="0" t="n">
        <f aca="false">-1+B91*0.05</f>
        <v>-0.8</v>
      </c>
      <c r="E91" s="0" t="n">
        <f aca="false">1</f>
        <v>1</v>
      </c>
      <c r="F91" s="0" t="n">
        <f aca="false">C91</f>
        <v>-0.9</v>
      </c>
      <c r="G91" s="0" t="n">
        <f aca="false">D91</f>
        <v>-0.8</v>
      </c>
      <c r="H91" s="0" t="n">
        <f aca="false">C91*D91</f>
        <v>0.72</v>
      </c>
      <c r="I91" s="0" t="n">
        <f aca="false">C91*C91</f>
        <v>0.81</v>
      </c>
      <c r="J91" s="0" t="n">
        <f aca="false">D91*D91</f>
        <v>0.64</v>
      </c>
      <c r="K91" s="0" t="n">
        <f aca="false">SUMPRODUCT(E91:J91,_XtX!$B$53:$G$53)</f>
        <v>41.5186724137931</v>
      </c>
      <c r="L91" s="0" t="n">
        <f aca="false">SUMPRODUCT(MMULT(E91:J91,_XtX!$B$44:$G$49),E91:J91)</f>
        <v>0.486530459770115</v>
      </c>
      <c r="M91" s="0" t="n">
        <f aca="false">04_回帰ANOVA!$K$19*04_回帰ANOVA!$K$14*SQRT(1+L91)</f>
        <v>1.65220327464334</v>
      </c>
      <c r="N91" s="0" t="n">
        <f aca="false">K91-M91</f>
        <v>39.8664691391498</v>
      </c>
      <c r="O91" s="0" t="n">
        <f aca="false">K91+M91</f>
        <v>43.1708756884364</v>
      </c>
      <c r="P91" s="54" t="b">
        <f aca="false">AND(C91&gt;=01_因子設定!$L$5-0.000000001,C91&lt;=01_因子設定!$M$5+0.000000001,D91&gt;=01_因子設定!$L$6-0.000000001,D91&lt;=01_因子設定!$M$6+0.000000001,IF(01_因子設定!$B$20="Box-Behnken",C91^2+D91^2&lt;=2+0.000000001,TRUE()))</f>
        <v>1</v>
      </c>
      <c r="Q91" s="55" t="n">
        <f aca="false">IF(P91,IF(01_因子設定!$B$13="最大化",N91-01_因子設定!$B$14,IF(01_因子設定!$B$13="最小化",01_因子設定!$B$15-O91,MIN(N91-01_因子設定!$B$14,01_因子設定!$B$15-O91))),-1E+030)</f>
        <v>-6.63353086085024</v>
      </c>
      <c r="R91" s="55" t="n">
        <f aca="false">IF(P91,IF(01_因子設定!$B$13="最大化",K91,IF(01_因子設定!$B$13="最小化",-K91,-ABS(K91-01_因子設定!$B$16))),-1E+030)</f>
        <v>41.5186724137931</v>
      </c>
      <c r="S91" s="55" t="n">
        <f aca="false">Q91+ROW()*0.000000001</f>
        <v>-6.63353076985024</v>
      </c>
      <c r="T91" s="55" t="n">
        <f aca="false">R91+ROW()*0.000000001</f>
        <v>41.5186725047931</v>
      </c>
    </row>
    <row r="92" customFormat="false" ht="15" hidden="false" customHeight="false" outlineLevel="0" collapsed="false">
      <c r="A92" s="0" t="n">
        <v>2</v>
      </c>
      <c r="B92" s="0" t="n">
        <v>5</v>
      </c>
      <c r="C92" s="0" t="n">
        <f aca="false">-1+A92*0.05</f>
        <v>-0.9</v>
      </c>
      <c r="D92" s="0" t="n">
        <f aca="false">-1+B92*0.05</f>
        <v>-0.75</v>
      </c>
      <c r="E92" s="0" t="n">
        <f aca="false">1</f>
        <v>1</v>
      </c>
      <c r="F92" s="0" t="n">
        <f aca="false">C92</f>
        <v>-0.9</v>
      </c>
      <c r="G92" s="0" t="n">
        <f aca="false">D92</f>
        <v>-0.75</v>
      </c>
      <c r="H92" s="0" t="n">
        <f aca="false">C92*D92</f>
        <v>0.675</v>
      </c>
      <c r="I92" s="0" t="n">
        <f aca="false">C92*C92</f>
        <v>0.81</v>
      </c>
      <c r="J92" s="0" t="n">
        <f aca="false">D92*D92</f>
        <v>0.5625</v>
      </c>
      <c r="K92" s="0" t="n">
        <f aca="false">SUMPRODUCT(E92:J92,_XtX!$B$53:$G$53)</f>
        <v>41.7271379310345</v>
      </c>
      <c r="L92" s="0" t="n">
        <f aca="false">SUMPRODUCT(MMULT(E92:J92,_XtX!$B$44:$G$49),E92:J92)</f>
        <v>0.457529202586207</v>
      </c>
      <c r="M92" s="0" t="n">
        <f aca="false">04_回帰ANOVA!$K$19*04_回帰ANOVA!$K$14*SQRT(1+L92)</f>
        <v>1.63600717784344</v>
      </c>
      <c r="N92" s="0" t="n">
        <f aca="false">K92-M92</f>
        <v>40.091130753191</v>
      </c>
      <c r="O92" s="0" t="n">
        <f aca="false">K92+M92</f>
        <v>43.3631451088779</v>
      </c>
      <c r="P92" s="54" t="b">
        <f aca="false">AND(C92&gt;=01_因子設定!$L$5-0.000000001,C92&lt;=01_因子設定!$M$5+0.000000001,D92&gt;=01_因子設定!$L$6-0.000000001,D92&lt;=01_因子設定!$M$6+0.000000001,IF(01_因子設定!$B$20="Box-Behnken",C92^2+D92^2&lt;=2+0.000000001,TRUE()))</f>
        <v>1</v>
      </c>
      <c r="Q92" s="55" t="n">
        <f aca="false">IF(P92,IF(01_因子設定!$B$13="最大化",N92-01_因子設定!$B$14,IF(01_因子設定!$B$13="最小化",01_因子設定!$B$15-O92,MIN(N92-01_因子設定!$B$14,01_因子設定!$B$15-O92))),-1E+030)</f>
        <v>-6.40886924680898</v>
      </c>
      <c r="R92" s="55" t="n">
        <f aca="false">IF(P92,IF(01_因子設定!$B$13="最大化",K92,IF(01_因子設定!$B$13="最小化",-K92,-ABS(K92-01_因子設定!$B$16))),-1E+030)</f>
        <v>41.7271379310345</v>
      </c>
      <c r="S92" s="55" t="n">
        <f aca="false">Q92+ROW()*0.000000001</f>
        <v>-6.40886915480898</v>
      </c>
      <c r="T92" s="55" t="n">
        <f aca="false">R92+ROW()*0.000000001</f>
        <v>41.7271380230345</v>
      </c>
    </row>
    <row r="93" customFormat="false" ht="15" hidden="false" customHeight="false" outlineLevel="0" collapsed="false">
      <c r="A93" s="0" t="n">
        <v>2</v>
      </c>
      <c r="B93" s="0" t="n">
        <v>6</v>
      </c>
      <c r="C93" s="0" t="n">
        <f aca="false">-1+A93*0.05</f>
        <v>-0.9</v>
      </c>
      <c r="D93" s="0" t="n">
        <f aca="false">-1+B93*0.05</f>
        <v>-0.7</v>
      </c>
      <c r="E93" s="0" t="n">
        <f aca="false">1</f>
        <v>1</v>
      </c>
      <c r="F93" s="0" t="n">
        <f aca="false">C93</f>
        <v>-0.9</v>
      </c>
      <c r="G93" s="0" t="n">
        <f aca="false">D93</f>
        <v>-0.7</v>
      </c>
      <c r="H93" s="0" t="n">
        <f aca="false">C93*D93</f>
        <v>0.63</v>
      </c>
      <c r="I93" s="0" t="n">
        <f aca="false">C93*C93</f>
        <v>0.81</v>
      </c>
      <c r="J93" s="0" t="n">
        <f aca="false">D93*D93</f>
        <v>0.49</v>
      </c>
      <c r="K93" s="0" t="n">
        <f aca="false">SUMPRODUCT(E93:J93,_XtX!$B$53:$G$53)</f>
        <v>41.9278879310345</v>
      </c>
      <c r="L93" s="0" t="n">
        <f aca="false">SUMPRODUCT(MMULT(E93:J93,_XtX!$B$44:$G$49),E93:J93)</f>
        <v>0.434336494252874</v>
      </c>
      <c r="M93" s="0" t="n">
        <f aca="false">04_回帰ANOVA!$K$19*04_回帰ANOVA!$K$14*SQRT(1+L93)</f>
        <v>1.62293862576512</v>
      </c>
      <c r="N93" s="0" t="n">
        <f aca="false">K93-M93</f>
        <v>40.3049493052694</v>
      </c>
      <c r="O93" s="0" t="n">
        <f aca="false">K93+M93</f>
        <v>43.5508265567996</v>
      </c>
      <c r="P93" s="54" t="b">
        <f aca="false">AND(C93&gt;=01_因子設定!$L$5-0.000000001,C93&lt;=01_因子設定!$M$5+0.000000001,D93&gt;=01_因子設定!$L$6-0.000000001,D93&lt;=01_因子設定!$M$6+0.000000001,IF(01_因子設定!$B$20="Box-Behnken",C93^2+D93^2&lt;=2+0.000000001,TRUE()))</f>
        <v>1</v>
      </c>
      <c r="Q93" s="55" t="n">
        <f aca="false">IF(P93,IF(01_因子設定!$B$13="最大化",N93-01_因子設定!$B$14,IF(01_因子設定!$B$13="最小化",01_因子設定!$B$15-O93,MIN(N93-01_因子設定!$B$14,01_因子設定!$B$15-O93))),-1E+030)</f>
        <v>-6.19505069473065</v>
      </c>
      <c r="R93" s="55" t="n">
        <f aca="false">IF(P93,IF(01_因子設定!$B$13="最大化",K93,IF(01_因子設定!$B$13="最小化",-K93,-ABS(K93-01_因子設定!$B$16))),-1E+030)</f>
        <v>41.9278879310345</v>
      </c>
      <c r="S93" s="55" t="n">
        <f aca="false">Q93+ROW()*0.000000001</f>
        <v>-6.19505060173065</v>
      </c>
      <c r="T93" s="55" t="n">
        <f aca="false">R93+ROW()*0.000000001</f>
        <v>41.9278880240345</v>
      </c>
    </row>
    <row r="94" customFormat="false" ht="15" hidden="false" customHeight="false" outlineLevel="0" collapsed="false">
      <c r="A94" s="0" t="n">
        <v>2</v>
      </c>
      <c r="B94" s="0" t="n">
        <v>7</v>
      </c>
      <c r="C94" s="0" t="n">
        <f aca="false">-1+A94*0.05</f>
        <v>-0.9</v>
      </c>
      <c r="D94" s="0" t="n">
        <f aca="false">-1+B94*0.05</f>
        <v>-0.65</v>
      </c>
      <c r="E94" s="0" t="n">
        <f aca="false">1</f>
        <v>1</v>
      </c>
      <c r="F94" s="0" t="n">
        <f aca="false">C94</f>
        <v>-0.9</v>
      </c>
      <c r="G94" s="0" t="n">
        <f aca="false">D94</f>
        <v>-0.65</v>
      </c>
      <c r="H94" s="0" t="n">
        <f aca="false">C94*D94</f>
        <v>0.585</v>
      </c>
      <c r="I94" s="0" t="n">
        <f aca="false">C94*C94</f>
        <v>0.81</v>
      </c>
      <c r="J94" s="0" t="n">
        <f aca="false">D94*D94</f>
        <v>0.4225</v>
      </c>
      <c r="K94" s="0" t="n">
        <f aca="false">SUMPRODUCT(E94:J94,_XtX!$B$53:$G$53)</f>
        <v>42.1209224137931</v>
      </c>
      <c r="L94" s="0" t="n">
        <f aca="false">SUMPRODUCT(MMULT(E94:J94,_XtX!$B$44:$G$49),E94:J94)</f>
        <v>0.416164834770115</v>
      </c>
      <c r="M94" s="0" t="n">
        <f aca="false">04_回帰ANOVA!$K$19*04_回帰ANOVA!$K$14*SQRT(1+L94)</f>
        <v>1.61262532348959</v>
      </c>
      <c r="N94" s="0" t="n">
        <f aca="false">K94-M94</f>
        <v>40.5082970903035</v>
      </c>
      <c r="O94" s="0" t="n">
        <f aca="false">K94+M94</f>
        <v>43.7335477372827</v>
      </c>
      <c r="P94" s="54" t="b">
        <f aca="false">AND(C94&gt;=01_因子設定!$L$5-0.000000001,C94&lt;=01_因子設定!$M$5+0.000000001,D94&gt;=01_因子設定!$L$6-0.000000001,D94&lt;=01_因子設定!$M$6+0.000000001,IF(01_因子設定!$B$20="Box-Behnken",C94^2+D94^2&lt;=2+0.000000001,TRUE()))</f>
        <v>1</v>
      </c>
      <c r="Q94" s="55" t="n">
        <f aca="false">IF(P94,IF(01_因子設定!$B$13="最大化",N94-01_因子設定!$B$14,IF(01_因子設定!$B$13="最小化",01_因子設定!$B$15-O94,MIN(N94-01_因子設定!$B$14,01_因子設定!$B$15-O94))),-1E+030)</f>
        <v>-5.99170290969651</v>
      </c>
      <c r="R94" s="55" t="n">
        <f aca="false">IF(P94,IF(01_因子設定!$B$13="最大化",K94,IF(01_因子設定!$B$13="最小化",-K94,-ABS(K94-01_因子設定!$B$16))),-1E+030)</f>
        <v>42.1209224137931</v>
      </c>
      <c r="S94" s="55" t="n">
        <f aca="false">Q94+ROW()*0.000000001</f>
        <v>-5.99170281569651</v>
      </c>
      <c r="T94" s="55" t="n">
        <f aca="false">R94+ROW()*0.000000001</f>
        <v>42.1209225077931</v>
      </c>
    </row>
    <row r="95" customFormat="false" ht="15" hidden="false" customHeight="false" outlineLevel="0" collapsed="false">
      <c r="A95" s="0" t="n">
        <v>2</v>
      </c>
      <c r="B95" s="0" t="n">
        <v>8</v>
      </c>
      <c r="C95" s="0" t="n">
        <f aca="false">-1+A95*0.05</f>
        <v>-0.9</v>
      </c>
      <c r="D95" s="0" t="n">
        <f aca="false">-1+B95*0.05</f>
        <v>-0.6</v>
      </c>
      <c r="E95" s="0" t="n">
        <f aca="false">1</f>
        <v>1</v>
      </c>
      <c r="F95" s="0" t="n">
        <f aca="false">C95</f>
        <v>-0.9</v>
      </c>
      <c r="G95" s="0" t="n">
        <f aca="false">D95</f>
        <v>-0.6</v>
      </c>
      <c r="H95" s="0" t="n">
        <f aca="false">C95*D95</f>
        <v>0.54</v>
      </c>
      <c r="I95" s="0" t="n">
        <f aca="false">C95*C95</f>
        <v>0.81</v>
      </c>
      <c r="J95" s="0" t="n">
        <f aca="false">D95*D95</f>
        <v>0.36</v>
      </c>
      <c r="K95" s="0" t="n">
        <f aca="false">SUMPRODUCT(E95:J95,_XtX!$B$53:$G$53)</f>
        <v>42.3062413793103</v>
      </c>
      <c r="L95" s="0" t="n">
        <f aca="false">SUMPRODUCT(MMULT(E95:J95,_XtX!$B$44:$G$49),E95:J95)</f>
        <v>0.402281034482759</v>
      </c>
      <c r="M95" s="0" t="n">
        <f aca="false">04_回帰ANOVA!$K$19*04_回帰ANOVA!$K$14*SQRT(1+L95)</f>
        <v>1.60470092328339</v>
      </c>
      <c r="N95" s="0" t="n">
        <f aca="false">K95-M95</f>
        <v>40.7015404560269</v>
      </c>
      <c r="O95" s="0" t="n">
        <f aca="false">K95+M95</f>
        <v>43.9109423025937</v>
      </c>
      <c r="P95" s="54" t="b">
        <f aca="false">AND(C95&gt;=01_因子設定!$L$5-0.000000001,C95&lt;=01_因子設定!$M$5+0.000000001,D95&gt;=01_因子設定!$L$6-0.000000001,D95&lt;=01_因子設定!$M$6+0.000000001,IF(01_因子設定!$B$20="Box-Behnken",C95^2+D95^2&lt;=2+0.000000001,TRUE()))</f>
        <v>1</v>
      </c>
      <c r="Q95" s="55" t="n">
        <f aca="false">IF(P95,IF(01_因子設定!$B$13="最大化",N95-01_因子設定!$B$14,IF(01_因子設定!$B$13="最小化",01_因子設定!$B$15-O95,MIN(N95-01_因子設定!$B$14,01_因子設定!$B$15-O95))),-1E+030)</f>
        <v>-5.79845954397306</v>
      </c>
      <c r="R95" s="55" t="n">
        <f aca="false">IF(P95,IF(01_因子設定!$B$13="最大化",K95,IF(01_因子設定!$B$13="最小化",-K95,-ABS(K95-01_因子設定!$B$16))),-1E+030)</f>
        <v>42.3062413793103</v>
      </c>
      <c r="S95" s="55" t="n">
        <f aca="false">Q95+ROW()*0.000000001</f>
        <v>-5.79845944897306</v>
      </c>
      <c r="T95" s="55" t="n">
        <f aca="false">R95+ROW()*0.000000001</f>
        <v>42.3062414743103</v>
      </c>
    </row>
    <row r="96" customFormat="false" ht="15" hidden="false" customHeight="false" outlineLevel="0" collapsed="false">
      <c r="A96" s="0" t="n">
        <v>2</v>
      </c>
      <c r="B96" s="0" t="n">
        <v>9</v>
      </c>
      <c r="C96" s="0" t="n">
        <f aca="false">-1+A96*0.05</f>
        <v>-0.9</v>
      </c>
      <c r="D96" s="0" t="n">
        <f aca="false">-1+B96*0.05</f>
        <v>-0.55</v>
      </c>
      <c r="E96" s="0" t="n">
        <f aca="false">1</f>
        <v>1</v>
      </c>
      <c r="F96" s="0" t="n">
        <f aca="false">C96</f>
        <v>-0.9</v>
      </c>
      <c r="G96" s="0" t="n">
        <f aca="false">D96</f>
        <v>-0.55</v>
      </c>
      <c r="H96" s="0" t="n">
        <f aca="false">C96*D96</f>
        <v>0.495</v>
      </c>
      <c r="I96" s="0" t="n">
        <f aca="false">C96*C96</f>
        <v>0.81</v>
      </c>
      <c r="J96" s="0" t="n">
        <f aca="false">D96*D96</f>
        <v>0.3025</v>
      </c>
      <c r="K96" s="0" t="n">
        <f aca="false">SUMPRODUCT(E96:J96,_XtX!$B$53:$G$53)</f>
        <v>42.4838448275862</v>
      </c>
      <c r="L96" s="0" t="n">
        <f aca="false">SUMPRODUCT(MMULT(E96:J96,_XtX!$B$44:$G$49),E96:J96)</f>
        <v>0.39200621408046</v>
      </c>
      <c r="M96" s="0" t="n">
        <f aca="false">04_回帰ANOVA!$K$19*04_回帰ANOVA!$K$14*SQRT(1+L96)</f>
        <v>1.59881111683123</v>
      </c>
      <c r="N96" s="0" t="n">
        <f aca="false">K96-M96</f>
        <v>40.885033710755</v>
      </c>
      <c r="O96" s="0" t="n">
        <f aca="false">K96+M96</f>
        <v>44.0826559444174</v>
      </c>
      <c r="P96" s="54" t="b">
        <f aca="false">AND(C96&gt;=01_因子設定!$L$5-0.000000001,C96&lt;=01_因子設定!$M$5+0.000000001,D96&gt;=01_因子設定!$L$6-0.000000001,D96&lt;=01_因子設定!$M$6+0.000000001,IF(01_因子設定!$B$20="Box-Behnken",C96^2+D96^2&lt;=2+0.000000001,TRUE()))</f>
        <v>1</v>
      </c>
      <c r="Q96" s="55" t="n">
        <f aca="false">IF(P96,IF(01_因子設定!$B$13="最大化",N96-01_因子設定!$B$14,IF(01_因子設定!$B$13="最小化",01_因子設定!$B$15-O96,MIN(N96-01_因子設定!$B$14,01_因子設定!$B$15-O96))),-1E+030)</f>
        <v>-5.61496628924504</v>
      </c>
      <c r="R96" s="55" t="n">
        <f aca="false">IF(P96,IF(01_因子設定!$B$13="最大化",K96,IF(01_因子設定!$B$13="最小化",-K96,-ABS(K96-01_因子設定!$B$16))),-1E+030)</f>
        <v>42.4838448275862</v>
      </c>
      <c r="S96" s="55" t="n">
        <f aca="false">Q96+ROW()*0.000000001</f>
        <v>-5.61496619324504</v>
      </c>
      <c r="T96" s="55" t="n">
        <f aca="false">R96+ROW()*0.000000001</f>
        <v>42.4838449235862</v>
      </c>
    </row>
    <row r="97" customFormat="false" ht="15" hidden="false" customHeight="false" outlineLevel="0" collapsed="false">
      <c r="A97" s="0" t="n">
        <v>2</v>
      </c>
      <c r="B97" s="0" t="n">
        <v>10</v>
      </c>
      <c r="C97" s="0" t="n">
        <f aca="false">-1+A97*0.05</f>
        <v>-0.9</v>
      </c>
      <c r="D97" s="0" t="n">
        <f aca="false">-1+B97*0.05</f>
        <v>-0.5</v>
      </c>
      <c r="E97" s="0" t="n">
        <f aca="false">1</f>
        <v>1</v>
      </c>
      <c r="F97" s="0" t="n">
        <f aca="false">C97</f>
        <v>-0.9</v>
      </c>
      <c r="G97" s="0" t="n">
        <f aca="false">D97</f>
        <v>-0.5</v>
      </c>
      <c r="H97" s="0" t="n">
        <f aca="false">C97*D97</f>
        <v>0.45</v>
      </c>
      <c r="I97" s="0" t="n">
        <f aca="false">C97*C97</f>
        <v>0.81</v>
      </c>
      <c r="J97" s="0" t="n">
        <f aca="false">D97*D97</f>
        <v>0.25</v>
      </c>
      <c r="K97" s="0" t="n">
        <f aca="false">SUMPRODUCT(E97:J97,_XtX!$B$53:$G$53)</f>
        <v>42.6537327586207</v>
      </c>
      <c r="L97" s="0" t="n">
        <f aca="false">SUMPRODUCT(MMULT(E97:J97,_XtX!$B$44:$G$49),E97:J97)</f>
        <v>0.384715804597701</v>
      </c>
      <c r="M97" s="0" t="n">
        <f aca="false">04_回帰ANOVA!$K$19*04_回帰ANOVA!$K$14*SQRT(1+L97)</f>
        <v>1.59461886204904</v>
      </c>
      <c r="N97" s="0" t="n">
        <f aca="false">K97-M97</f>
        <v>41.0591138965716</v>
      </c>
      <c r="O97" s="0" t="n">
        <f aca="false">K97+M97</f>
        <v>44.2483516206697</v>
      </c>
      <c r="P97" s="54" t="b">
        <f aca="false">AND(C97&gt;=01_因子設定!$L$5-0.000000001,C97&lt;=01_因子設定!$M$5+0.000000001,D97&gt;=01_因子設定!$L$6-0.000000001,D97&lt;=01_因子設定!$M$6+0.000000001,IF(01_因子設定!$B$20="Box-Behnken",C97^2+D97^2&lt;=2+0.000000001,TRUE()))</f>
        <v>1</v>
      </c>
      <c r="Q97" s="55" t="n">
        <f aca="false">IF(P97,IF(01_因子設定!$B$13="最大化",N97-01_因子設定!$B$14,IF(01_因子設定!$B$13="最小化",01_因子設定!$B$15-O97,MIN(N97-01_因子設定!$B$14,01_因子設定!$B$15-O97))),-1E+030)</f>
        <v>-5.44088610342837</v>
      </c>
      <c r="R97" s="55" t="n">
        <f aca="false">IF(P97,IF(01_因子設定!$B$13="最大化",K97,IF(01_因子設定!$B$13="最小化",-K97,-ABS(K97-01_因子設定!$B$16))),-1E+030)</f>
        <v>42.6537327586207</v>
      </c>
      <c r="S97" s="55" t="n">
        <f aca="false">Q97+ROW()*0.000000001</f>
        <v>-5.44088600642837</v>
      </c>
      <c r="T97" s="55" t="n">
        <f aca="false">R97+ROW()*0.000000001</f>
        <v>42.6537328556207</v>
      </c>
    </row>
    <row r="98" customFormat="false" ht="15" hidden="false" customHeight="false" outlineLevel="0" collapsed="false">
      <c r="A98" s="0" t="n">
        <v>2</v>
      </c>
      <c r="B98" s="0" t="n">
        <v>11</v>
      </c>
      <c r="C98" s="0" t="n">
        <f aca="false">-1+A98*0.05</f>
        <v>-0.9</v>
      </c>
      <c r="D98" s="0" t="n">
        <f aca="false">-1+B98*0.05</f>
        <v>-0.45</v>
      </c>
      <c r="E98" s="0" t="n">
        <f aca="false">1</f>
        <v>1</v>
      </c>
      <c r="F98" s="0" t="n">
        <f aca="false">C98</f>
        <v>-0.9</v>
      </c>
      <c r="G98" s="0" t="n">
        <f aca="false">D98</f>
        <v>-0.45</v>
      </c>
      <c r="H98" s="0" t="n">
        <f aca="false">C98*D98</f>
        <v>0.405</v>
      </c>
      <c r="I98" s="0" t="n">
        <f aca="false">C98*C98</f>
        <v>0.81</v>
      </c>
      <c r="J98" s="0" t="n">
        <f aca="false">D98*D98</f>
        <v>0.2025</v>
      </c>
      <c r="K98" s="0" t="n">
        <f aca="false">SUMPRODUCT(E98:J98,_XtX!$B$53:$G$53)</f>
        <v>42.8159051724138</v>
      </c>
      <c r="L98" s="0" t="n">
        <f aca="false">SUMPRODUCT(MMULT(E98:J98,_XtX!$B$44:$G$49),E98:J98)</f>
        <v>0.379839547413793</v>
      </c>
      <c r="M98" s="0" t="n">
        <f aca="false">04_回帰ANOVA!$K$19*04_回帰ANOVA!$K$14*SQRT(1+L98)</f>
        <v>1.59180867193519</v>
      </c>
      <c r="N98" s="0" t="n">
        <f aca="false">K98-M98</f>
        <v>41.2240965004786</v>
      </c>
      <c r="O98" s="0" t="n">
        <f aca="false">K98+M98</f>
        <v>44.407713844349</v>
      </c>
      <c r="P98" s="54" t="b">
        <f aca="false">AND(C98&gt;=01_因子設定!$L$5-0.000000001,C98&lt;=01_因子設定!$M$5+0.000000001,D98&gt;=01_因子設定!$L$6-0.000000001,D98&lt;=01_因子設定!$M$6+0.000000001,IF(01_因子設定!$B$20="Box-Behnken",C98^2+D98^2&lt;=2+0.000000001,TRUE()))</f>
        <v>1</v>
      </c>
      <c r="Q98" s="55" t="n">
        <f aca="false">IF(P98,IF(01_因子設定!$B$13="最大化",N98-01_因子設定!$B$14,IF(01_因子設定!$B$13="最小化",01_因子設定!$B$15-O98,MIN(N98-01_因子設定!$B$14,01_因子設定!$B$15-O98))),-1E+030)</f>
        <v>-5.27590349952142</v>
      </c>
      <c r="R98" s="55" t="n">
        <f aca="false">IF(P98,IF(01_因子設定!$B$13="最大化",K98,IF(01_因子設定!$B$13="最小化",-K98,-ABS(K98-01_因子設定!$B$16))),-1E+030)</f>
        <v>42.8159051724138</v>
      </c>
      <c r="S98" s="55" t="n">
        <f aca="false">Q98+ROW()*0.000000001</f>
        <v>-5.27590340152142</v>
      </c>
      <c r="T98" s="55" t="n">
        <f aca="false">R98+ROW()*0.000000001</f>
        <v>42.8159052704138</v>
      </c>
    </row>
    <row r="99" customFormat="false" ht="15" hidden="false" customHeight="false" outlineLevel="0" collapsed="false">
      <c r="A99" s="0" t="n">
        <v>2</v>
      </c>
      <c r="B99" s="0" t="n">
        <v>12</v>
      </c>
      <c r="C99" s="0" t="n">
        <f aca="false">-1+A99*0.05</f>
        <v>-0.9</v>
      </c>
      <c r="D99" s="0" t="n">
        <f aca="false">-1+B99*0.05</f>
        <v>-0.4</v>
      </c>
      <c r="E99" s="0" t="n">
        <f aca="false">1</f>
        <v>1</v>
      </c>
      <c r="F99" s="0" t="n">
        <f aca="false">C99</f>
        <v>-0.9</v>
      </c>
      <c r="G99" s="0" t="n">
        <f aca="false">D99</f>
        <v>-0.4</v>
      </c>
      <c r="H99" s="0" t="n">
        <f aca="false">C99*D99</f>
        <v>0.36</v>
      </c>
      <c r="I99" s="0" t="n">
        <f aca="false">C99*C99</f>
        <v>0.81</v>
      </c>
      <c r="J99" s="0" t="n">
        <f aca="false">D99*D99</f>
        <v>0.16</v>
      </c>
      <c r="K99" s="0" t="n">
        <f aca="false">SUMPRODUCT(E99:J99,_XtX!$B$53:$G$53)</f>
        <v>42.9703620689655</v>
      </c>
      <c r="L99" s="0" t="n">
        <f aca="false">SUMPRODUCT(MMULT(E99:J99,_XtX!$B$44:$G$49),E99:J99)</f>
        <v>0.376861494252874</v>
      </c>
      <c r="M99" s="0" t="n">
        <f aca="false">04_回帰ANOVA!$K$19*04_回帰ANOVA!$K$14*SQRT(1+L99)</f>
        <v>1.59008997521304</v>
      </c>
      <c r="N99" s="0" t="n">
        <f aca="false">K99-M99</f>
        <v>41.3802720937525</v>
      </c>
      <c r="O99" s="0" t="n">
        <f aca="false">K99+M99</f>
        <v>44.5604520441785</v>
      </c>
      <c r="P99" s="54" t="b">
        <f aca="false">AND(C99&gt;=01_因子設定!$L$5-0.000000001,C99&lt;=01_因子設定!$M$5+0.000000001,D99&gt;=01_因子設定!$L$6-0.000000001,D99&lt;=01_因子設定!$M$6+0.000000001,IF(01_因子設定!$B$20="Box-Behnken",C99^2+D99^2&lt;=2+0.000000001,TRUE()))</f>
        <v>1</v>
      </c>
      <c r="Q99" s="55" t="n">
        <f aca="false">IF(P99,IF(01_因子設定!$B$13="最大化",N99-01_因子設定!$B$14,IF(01_因子設定!$B$13="最小化",01_因子設定!$B$15-O99,MIN(N99-01_因子設定!$B$14,01_因子設定!$B$15-O99))),-1E+030)</f>
        <v>-5.11972790624754</v>
      </c>
      <c r="R99" s="55" t="n">
        <f aca="false">IF(P99,IF(01_因子設定!$B$13="最大化",K99,IF(01_因子設定!$B$13="最小化",-K99,-ABS(K99-01_因子設定!$B$16))),-1E+030)</f>
        <v>42.9703620689655</v>
      </c>
      <c r="S99" s="55" t="n">
        <f aca="false">Q99+ROW()*0.000000001</f>
        <v>-5.11972780724754</v>
      </c>
      <c r="T99" s="55" t="n">
        <f aca="false">R99+ROW()*0.000000001</f>
        <v>42.9703621679655</v>
      </c>
    </row>
    <row r="100" customFormat="false" ht="15" hidden="false" customHeight="false" outlineLevel="0" collapsed="false">
      <c r="A100" s="0" t="n">
        <v>2</v>
      </c>
      <c r="B100" s="0" t="n">
        <v>13</v>
      </c>
      <c r="C100" s="0" t="n">
        <f aca="false">-1+A100*0.05</f>
        <v>-0.9</v>
      </c>
      <c r="D100" s="0" t="n">
        <f aca="false">-1+B100*0.05</f>
        <v>-0.35</v>
      </c>
      <c r="E100" s="0" t="n">
        <f aca="false">1</f>
        <v>1</v>
      </c>
      <c r="F100" s="0" t="n">
        <f aca="false">C100</f>
        <v>-0.9</v>
      </c>
      <c r="G100" s="0" t="n">
        <f aca="false">D100</f>
        <v>-0.35</v>
      </c>
      <c r="H100" s="0" t="n">
        <f aca="false">C100*D100</f>
        <v>0.315</v>
      </c>
      <c r="I100" s="0" t="n">
        <f aca="false">C100*C100</f>
        <v>0.81</v>
      </c>
      <c r="J100" s="0" t="n">
        <f aca="false">D100*D100</f>
        <v>0.1225</v>
      </c>
      <c r="K100" s="0" t="n">
        <f aca="false">SUMPRODUCT(E100:J100,_XtX!$B$53:$G$53)</f>
        <v>43.1171034482758</v>
      </c>
      <c r="L100" s="0" t="n">
        <f aca="false">SUMPRODUCT(MMULT(E100:J100,_XtX!$B$44:$G$49),E100:J100)</f>
        <v>0.375320007183908</v>
      </c>
      <c r="M100" s="0" t="n">
        <f aca="false">04_回帰ANOVA!$K$19*04_回帰ANOVA!$K$14*SQRT(1+L100)</f>
        <v>1.58919962074651</v>
      </c>
      <c r="N100" s="0" t="n">
        <f aca="false">K100-M100</f>
        <v>41.5279038275293</v>
      </c>
      <c r="O100" s="0" t="n">
        <f aca="false">K100+M100</f>
        <v>44.7063030690224</v>
      </c>
      <c r="P100" s="54" t="b">
        <f aca="false">AND(C100&gt;=01_因子設定!$L$5-0.000000001,C100&lt;=01_因子設定!$M$5+0.000000001,D100&gt;=01_因子設定!$L$6-0.000000001,D100&lt;=01_因子設定!$M$6+0.000000001,IF(01_因子設定!$B$20="Box-Behnken",C100^2+D100^2&lt;=2+0.000000001,TRUE()))</f>
        <v>1</v>
      </c>
      <c r="Q100" s="55" t="n">
        <f aca="false">IF(P100,IF(01_因子設定!$B$13="最大化",N100-01_因子設定!$B$14,IF(01_因子設定!$B$13="最小化",01_因子設定!$B$15-O100,MIN(N100-01_因子設定!$B$14,01_因子設定!$B$15-O100))),-1E+030)</f>
        <v>-4.97209617247066</v>
      </c>
      <c r="R100" s="55" t="n">
        <f aca="false">IF(P100,IF(01_因子設定!$B$13="最大化",K100,IF(01_因子設定!$B$13="最小化",-K100,-ABS(K100-01_因子設定!$B$16))),-1E+030)</f>
        <v>43.1171034482758</v>
      </c>
      <c r="S100" s="55" t="n">
        <f aca="false">Q100+ROW()*0.000000001</f>
        <v>-4.97209607247066</v>
      </c>
      <c r="T100" s="55" t="n">
        <f aca="false">R100+ROW()*0.000000001</f>
        <v>43.1171035482758</v>
      </c>
    </row>
    <row r="101" customFormat="false" ht="15" hidden="false" customHeight="false" outlineLevel="0" collapsed="false">
      <c r="A101" s="0" t="n">
        <v>2</v>
      </c>
      <c r="B101" s="0" t="n">
        <v>14</v>
      </c>
      <c r="C101" s="0" t="n">
        <f aca="false">-1+A101*0.05</f>
        <v>-0.9</v>
      </c>
      <c r="D101" s="0" t="n">
        <f aca="false">-1+B101*0.05</f>
        <v>-0.3</v>
      </c>
      <c r="E101" s="0" t="n">
        <f aca="false">1</f>
        <v>1</v>
      </c>
      <c r="F101" s="0" t="n">
        <f aca="false">C101</f>
        <v>-0.9</v>
      </c>
      <c r="G101" s="0" t="n">
        <f aca="false">D101</f>
        <v>-0.3</v>
      </c>
      <c r="H101" s="0" t="n">
        <f aca="false">C101*D101</f>
        <v>0.27</v>
      </c>
      <c r="I101" s="0" t="n">
        <f aca="false">C101*C101</f>
        <v>0.81</v>
      </c>
      <c r="J101" s="0" t="n">
        <f aca="false">D101*D101</f>
        <v>0.09</v>
      </c>
      <c r="K101" s="0" t="n">
        <f aca="false">SUMPRODUCT(E101:J101,_XtX!$B$53:$G$53)</f>
        <v>43.2561293103448</v>
      </c>
      <c r="L101" s="0" t="n">
        <f aca="false">SUMPRODUCT(MMULT(E101:J101,_XtX!$B$44:$G$49),E101:J101)</f>
        <v>0.37480775862069</v>
      </c>
      <c r="M101" s="0" t="n">
        <f aca="false">04_回帰ANOVA!$K$19*04_回帰ANOVA!$K$14*SQRT(1+L101)</f>
        <v>1.58890363834478</v>
      </c>
      <c r="N101" s="0" t="n">
        <f aca="false">K101-M101</f>
        <v>41.667225672</v>
      </c>
      <c r="O101" s="0" t="n">
        <f aca="false">K101+M101</f>
        <v>44.8450329486896</v>
      </c>
      <c r="P101" s="54" t="b">
        <f aca="false">AND(C101&gt;=01_因子設定!$L$5-0.000000001,C101&lt;=01_因子設定!$M$5+0.000000001,D101&gt;=01_因子設定!$L$6-0.000000001,D101&lt;=01_因子設定!$M$6+0.000000001,IF(01_因子設定!$B$20="Box-Behnken",C101^2+D101^2&lt;=2+0.000000001,TRUE()))</f>
        <v>1</v>
      </c>
      <c r="Q101" s="55" t="n">
        <f aca="false">IF(P101,IF(01_因子設定!$B$13="最大化",N101-01_因子設定!$B$14,IF(01_因子設定!$B$13="最小化",01_因子設定!$B$15-O101,MIN(N101-01_因子設定!$B$14,01_因子設定!$B$15-O101))),-1E+030)</f>
        <v>-4.83277432799997</v>
      </c>
      <c r="R101" s="55" t="n">
        <f aca="false">IF(P101,IF(01_因子設定!$B$13="最大化",K101,IF(01_因子設定!$B$13="最小化",-K101,-ABS(K101-01_因子設定!$B$16))),-1E+030)</f>
        <v>43.2561293103448</v>
      </c>
      <c r="S101" s="55" t="n">
        <f aca="false">Q101+ROW()*0.000000001</f>
        <v>-4.83277422699997</v>
      </c>
      <c r="T101" s="55" t="n">
        <f aca="false">R101+ROW()*0.000000001</f>
        <v>43.2561294113448</v>
      </c>
    </row>
    <row r="102" customFormat="false" ht="15" hidden="false" customHeight="false" outlineLevel="0" collapsed="false">
      <c r="A102" s="0" t="n">
        <v>2</v>
      </c>
      <c r="B102" s="0" t="n">
        <v>15</v>
      </c>
      <c r="C102" s="0" t="n">
        <f aca="false">-1+A102*0.05</f>
        <v>-0.9</v>
      </c>
      <c r="D102" s="0" t="n">
        <f aca="false">-1+B102*0.05</f>
        <v>-0.25</v>
      </c>
      <c r="E102" s="0" t="n">
        <f aca="false">1</f>
        <v>1</v>
      </c>
      <c r="F102" s="0" t="n">
        <f aca="false">C102</f>
        <v>-0.9</v>
      </c>
      <c r="G102" s="0" t="n">
        <f aca="false">D102</f>
        <v>-0.25</v>
      </c>
      <c r="H102" s="0" t="n">
        <f aca="false">C102*D102</f>
        <v>0.225</v>
      </c>
      <c r="I102" s="0" t="n">
        <f aca="false">C102*C102</f>
        <v>0.81</v>
      </c>
      <c r="J102" s="0" t="n">
        <f aca="false">D102*D102</f>
        <v>0.0625</v>
      </c>
      <c r="K102" s="0" t="n">
        <f aca="false">SUMPRODUCT(E102:J102,_XtX!$B$53:$G$53)</f>
        <v>43.3874396551724</v>
      </c>
      <c r="L102" s="0" t="n">
        <f aca="false">SUMPRODUCT(MMULT(E102:J102,_XtX!$B$44:$G$49),E102:J102)</f>
        <v>0.374971731321839</v>
      </c>
      <c r="M102" s="0" t="n">
        <f aca="false">04_回帰ANOVA!$K$19*04_回帰ANOVA!$K$14*SQRT(1+L102)</f>
        <v>1.58899838942971</v>
      </c>
      <c r="N102" s="0" t="n">
        <f aca="false">K102-M102</f>
        <v>41.7984412657427</v>
      </c>
      <c r="O102" s="0" t="n">
        <f aca="false">K102+M102</f>
        <v>44.9764380446021</v>
      </c>
      <c r="P102" s="54" t="b">
        <f aca="false">AND(C102&gt;=01_因子設定!$L$5-0.000000001,C102&lt;=01_因子設定!$M$5+0.000000001,D102&gt;=01_因子設定!$L$6-0.000000001,D102&lt;=01_因子設定!$M$6+0.000000001,IF(01_因子設定!$B$20="Box-Behnken",C102^2+D102^2&lt;=2+0.000000001,TRUE()))</f>
        <v>1</v>
      </c>
      <c r="Q102" s="55" t="n">
        <f aca="false">IF(P102,IF(01_因子設定!$B$13="最大化",N102-01_因子設定!$B$14,IF(01_因子設定!$B$13="最小化",01_因子設定!$B$15-O102,MIN(N102-01_因子設定!$B$14,01_因子設定!$B$15-O102))),-1E+030)</f>
        <v>-4.70155873425731</v>
      </c>
      <c r="R102" s="55" t="n">
        <f aca="false">IF(P102,IF(01_因子設定!$B$13="最大化",K102,IF(01_因子設定!$B$13="最小化",-K102,-ABS(K102-01_因子設定!$B$16))),-1E+030)</f>
        <v>43.3874396551724</v>
      </c>
      <c r="S102" s="55" t="n">
        <f aca="false">Q102+ROW()*0.000000001</f>
        <v>-4.70155863225731</v>
      </c>
      <c r="T102" s="55" t="n">
        <f aca="false">R102+ROW()*0.000000001</f>
        <v>43.3874397571724</v>
      </c>
    </row>
    <row r="103" customFormat="false" ht="15" hidden="false" customHeight="false" outlineLevel="0" collapsed="false">
      <c r="A103" s="0" t="n">
        <v>2</v>
      </c>
      <c r="B103" s="0" t="n">
        <v>16</v>
      </c>
      <c r="C103" s="0" t="n">
        <f aca="false">-1+A103*0.05</f>
        <v>-0.9</v>
      </c>
      <c r="D103" s="0" t="n">
        <f aca="false">-1+B103*0.05</f>
        <v>-0.2</v>
      </c>
      <c r="E103" s="0" t="n">
        <f aca="false">1</f>
        <v>1</v>
      </c>
      <c r="F103" s="0" t="n">
        <f aca="false">C103</f>
        <v>-0.9</v>
      </c>
      <c r="G103" s="0" t="n">
        <f aca="false">D103</f>
        <v>-0.2</v>
      </c>
      <c r="H103" s="0" t="n">
        <f aca="false">C103*D103</f>
        <v>0.18</v>
      </c>
      <c r="I103" s="0" t="n">
        <f aca="false">C103*C103</f>
        <v>0.81</v>
      </c>
      <c r="J103" s="0" t="n">
        <f aca="false">D103*D103</f>
        <v>0.04</v>
      </c>
      <c r="K103" s="0" t="n">
        <f aca="false">SUMPRODUCT(E103:J103,_XtX!$B$53:$G$53)</f>
        <v>43.5110344827586</v>
      </c>
      <c r="L103" s="0" t="n">
        <f aca="false">SUMPRODUCT(MMULT(E103:J103,_XtX!$B$44:$G$49),E103:J103)</f>
        <v>0.375513218390805</v>
      </c>
      <c r="M103" s="0" t="n">
        <f aca="false">04_回帰ANOVA!$K$19*04_回帰ANOVA!$K$14*SQRT(1+L103)</f>
        <v>1.58931124581991</v>
      </c>
      <c r="N103" s="0" t="n">
        <f aca="false">K103-M103</f>
        <v>41.9217232369387</v>
      </c>
      <c r="O103" s="0" t="n">
        <f aca="false">K103+M103</f>
        <v>45.1003457285785</v>
      </c>
      <c r="P103" s="54" t="b">
        <f aca="false">AND(C103&gt;=01_因子設定!$L$5-0.000000001,C103&lt;=01_因子設定!$M$5+0.000000001,D103&gt;=01_因子設定!$L$6-0.000000001,D103&lt;=01_因子設定!$M$6+0.000000001,IF(01_因子設定!$B$20="Box-Behnken",C103^2+D103^2&lt;=2+0.000000001,TRUE()))</f>
        <v>1</v>
      </c>
      <c r="Q103" s="55" t="n">
        <f aca="false">IF(P103,IF(01_因子設定!$B$13="最大化",N103-01_因子設定!$B$14,IF(01_因子設定!$B$13="最小化",01_因子設定!$B$15-O103,MIN(N103-01_因子設定!$B$14,01_因子設定!$B$15-O103))),-1E+030)</f>
        <v>-4.5782767630613</v>
      </c>
      <c r="R103" s="55" t="n">
        <f aca="false">IF(P103,IF(01_因子設定!$B$13="最大化",K103,IF(01_因子設定!$B$13="最小化",-K103,-ABS(K103-01_因子設定!$B$16))),-1E+030)</f>
        <v>43.5110344827586</v>
      </c>
      <c r="S103" s="55" t="n">
        <f aca="false">Q103+ROW()*0.000000001</f>
        <v>-4.5782766600613</v>
      </c>
      <c r="T103" s="55" t="n">
        <f aca="false">R103+ROW()*0.000000001</f>
        <v>43.5110345857586</v>
      </c>
    </row>
    <row r="104" customFormat="false" ht="15" hidden="false" customHeight="false" outlineLevel="0" collapsed="false">
      <c r="A104" s="0" t="n">
        <v>2</v>
      </c>
      <c r="B104" s="0" t="n">
        <v>17</v>
      </c>
      <c r="C104" s="0" t="n">
        <f aca="false">-1+A104*0.05</f>
        <v>-0.9</v>
      </c>
      <c r="D104" s="0" t="n">
        <f aca="false">-1+B104*0.05</f>
        <v>-0.15</v>
      </c>
      <c r="E104" s="0" t="n">
        <f aca="false">1</f>
        <v>1</v>
      </c>
      <c r="F104" s="0" t="n">
        <f aca="false">C104</f>
        <v>-0.9</v>
      </c>
      <c r="G104" s="0" t="n">
        <f aca="false">D104</f>
        <v>-0.15</v>
      </c>
      <c r="H104" s="0" t="n">
        <f aca="false">C104*D104</f>
        <v>0.135</v>
      </c>
      <c r="I104" s="0" t="n">
        <f aca="false">C104*C104</f>
        <v>0.81</v>
      </c>
      <c r="J104" s="0" t="n">
        <f aca="false">D104*D104</f>
        <v>0.0225</v>
      </c>
      <c r="K104" s="0" t="n">
        <f aca="false">SUMPRODUCT(E104:J104,_XtX!$B$53:$G$53)</f>
        <v>43.6269137931034</v>
      </c>
      <c r="L104" s="0" t="n">
        <f aca="false">SUMPRODUCT(MMULT(E104:J104,_XtX!$B$44:$G$49),E104:J104)</f>
        <v>0.376187823275862</v>
      </c>
      <c r="M104" s="0" t="n">
        <f aca="false">04_回帰ANOVA!$K$19*04_回帰ANOVA!$K$14*SQRT(1+L104)</f>
        <v>1.58970092790052</v>
      </c>
      <c r="N104" s="0" t="n">
        <f aca="false">K104-M104</f>
        <v>42.0372128652029</v>
      </c>
      <c r="O104" s="0" t="n">
        <f aca="false">K104+M104</f>
        <v>45.216614721004</v>
      </c>
      <c r="P104" s="54" t="b">
        <f aca="false">AND(C104&gt;=01_因子設定!$L$5-0.000000001,C104&lt;=01_因子設定!$M$5+0.000000001,D104&gt;=01_因子設定!$L$6-0.000000001,D104&lt;=01_因子設定!$M$6+0.000000001,IF(01_因子設定!$B$20="Box-Behnken",C104^2+D104^2&lt;=2+0.000000001,TRUE()))</f>
        <v>1</v>
      </c>
      <c r="Q104" s="55" t="n">
        <f aca="false">IF(P104,IF(01_因子設定!$B$13="最大化",N104-01_因子設定!$B$14,IF(01_因子設定!$B$13="最小化",01_因子設定!$B$15-O104,MIN(N104-01_因子設定!$B$14,01_因子設定!$B$15-O104))),-1E+030)</f>
        <v>-4.46278713479708</v>
      </c>
      <c r="R104" s="55" t="n">
        <f aca="false">IF(P104,IF(01_因子設定!$B$13="最大化",K104,IF(01_因子設定!$B$13="最小化",-K104,-ABS(K104-01_因子設定!$B$16))),-1E+030)</f>
        <v>43.6269137931034</v>
      </c>
      <c r="S104" s="55" t="n">
        <f aca="false">Q104+ROW()*0.000000001</f>
        <v>-4.46278703079708</v>
      </c>
      <c r="T104" s="55" t="n">
        <f aca="false">R104+ROW()*0.000000001</f>
        <v>43.6269138971034</v>
      </c>
    </row>
    <row r="105" customFormat="false" ht="15" hidden="false" customHeight="false" outlineLevel="0" collapsed="false">
      <c r="A105" s="0" t="n">
        <v>2</v>
      </c>
      <c r="B105" s="0" t="n">
        <v>18</v>
      </c>
      <c r="C105" s="0" t="n">
        <f aca="false">-1+A105*0.05</f>
        <v>-0.9</v>
      </c>
      <c r="D105" s="0" t="n">
        <f aca="false">-1+B105*0.05</f>
        <v>-0.1</v>
      </c>
      <c r="E105" s="0" t="n">
        <f aca="false">1</f>
        <v>1</v>
      </c>
      <c r="F105" s="0" t="n">
        <f aca="false">C105</f>
        <v>-0.9</v>
      </c>
      <c r="G105" s="0" t="n">
        <f aca="false">D105</f>
        <v>-0.1</v>
      </c>
      <c r="H105" s="0" t="n">
        <f aca="false">C105*D105</f>
        <v>0.09</v>
      </c>
      <c r="I105" s="0" t="n">
        <f aca="false">C105*C105</f>
        <v>0.81</v>
      </c>
      <c r="J105" s="0" t="n">
        <f aca="false">D105*D105</f>
        <v>0.01</v>
      </c>
      <c r="K105" s="0" t="n">
        <f aca="false">SUMPRODUCT(E105:J105,_XtX!$B$53:$G$53)</f>
        <v>43.7350775862069</v>
      </c>
      <c r="L105" s="0" t="n">
        <f aca="false">SUMPRODUCT(MMULT(E105:J105,_XtX!$B$44:$G$49),E105:J105)</f>
        <v>0.376805459770115</v>
      </c>
      <c r="M105" s="0" t="n">
        <f aca="false">04_回帰ANOVA!$K$19*04_回帰ANOVA!$K$14*SQRT(1+L105)</f>
        <v>1.59005761873556</v>
      </c>
      <c r="N105" s="0" t="n">
        <f aca="false">K105-M105</f>
        <v>42.1450199674713</v>
      </c>
      <c r="O105" s="0" t="n">
        <f aca="false">K105+M105</f>
        <v>45.3251352049424</v>
      </c>
      <c r="P105" s="54" t="b">
        <f aca="false">AND(C105&gt;=01_因子設定!$L$5-0.000000001,C105&lt;=01_因子設定!$M$5+0.000000001,D105&gt;=01_因子設定!$L$6-0.000000001,D105&lt;=01_因子設定!$M$6+0.000000001,IF(01_因子設定!$B$20="Box-Behnken",C105^2+D105^2&lt;=2+0.000000001,TRUE()))</f>
        <v>1</v>
      </c>
      <c r="Q105" s="55" t="n">
        <f aca="false">IF(P105,IF(01_因子設定!$B$13="最大化",N105-01_因子設定!$B$14,IF(01_因子設定!$B$13="最小化",01_因子設定!$B$15-O105,MIN(N105-01_因子設定!$B$14,01_因子設定!$B$15-O105))),-1E+030)</f>
        <v>-4.35498003252869</v>
      </c>
      <c r="R105" s="55" t="n">
        <f aca="false">IF(P105,IF(01_因子設定!$B$13="最大化",K105,IF(01_因子設定!$B$13="最小化",-K105,-ABS(K105-01_因子設定!$B$16))),-1E+030)</f>
        <v>43.7350775862069</v>
      </c>
      <c r="S105" s="55" t="n">
        <f aca="false">Q105+ROW()*0.000000001</f>
        <v>-4.35497992752869</v>
      </c>
      <c r="T105" s="55" t="n">
        <f aca="false">R105+ROW()*0.000000001</f>
        <v>43.7350776912069</v>
      </c>
    </row>
    <row r="106" customFormat="false" ht="15" hidden="false" customHeight="false" outlineLevel="0" collapsed="false">
      <c r="A106" s="0" t="n">
        <v>2</v>
      </c>
      <c r="B106" s="0" t="n">
        <v>19</v>
      </c>
      <c r="C106" s="0" t="n">
        <f aca="false">-1+A106*0.05</f>
        <v>-0.9</v>
      </c>
      <c r="D106" s="0" t="n">
        <f aca="false">-1+B106*0.05</f>
        <v>-0.0499999999999999</v>
      </c>
      <c r="E106" s="0" t="n">
        <f aca="false">1</f>
        <v>1</v>
      </c>
      <c r="F106" s="0" t="n">
        <f aca="false">C106</f>
        <v>-0.9</v>
      </c>
      <c r="G106" s="0" t="n">
        <f aca="false">D106</f>
        <v>-0.0499999999999999</v>
      </c>
      <c r="H106" s="0" t="n">
        <f aca="false">C106*D106</f>
        <v>0.0449999999999999</v>
      </c>
      <c r="I106" s="0" t="n">
        <f aca="false">C106*C106</f>
        <v>0.81</v>
      </c>
      <c r="J106" s="0" t="n">
        <f aca="false">D106*D106</f>
        <v>0.00249999999999999</v>
      </c>
      <c r="K106" s="0" t="n">
        <f aca="false">SUMPRODUCT(E106:J106,_XtX!$B$53:$G$53)</f>
        <v>43.835525862069</v>
      </c>
      <c r="L106" s="0" t="n">
        <f aca="false">SUMPRODUCT(MMULT(E106:J106,_XtX!$B$44:$G$49),E106:J106)</f>
        <v>0.377230352011494</v>
      </c>
      <c r="M106" s="0" t="n">
        <f aca="false">04_回帰ANOVA!$K$19*04_回帰ANOVA!$K$14*SQRT(1+L106)</f>
        <v>1.59030295151834</v>
      </c>
      <c r="N106" s="0" t="n">
        <f aca="false">K106-M106</f>
        <v>42.2452229105506</v>
      </c>
      <c r="O106" s="0" t="n">
        <f aca="false">K106+M106</f>
        <v>45.4258288135873</v>
      </c>
      <c r="P106" s="54" t="b">
        <f aca="false">AND(C106&gt;=01_因子設定!$L$5-0.000000001,C106&lt;=01_因子設定!$M$5+0.000000001,D106&gt;=01_因子設定!$L$6-0.000000001,D106&lt;=01_因子設定!$M$6+0.000000001,IF(01_因子設定!$B$20="Box-Behnken",C106^2+D106^2&lt;=2+0.000000001,TRUE()))</f>
        <v>1</v>
      </c>
      <c r="Q106" s="55" t="n">
        <f aca="false">IF(P106,IF(01_因子設定!$B$13="最大化",N106-01_因子設定!$B$14,IF(01_因子設定!$B$13="最小化",01_因子設定!$B$15-O106,MIN(N106-01_因子設定!$B$14,01_因子設定!$B$15-O106))),-1E+030)</f>
        <v>-4.25477708944939</v>
      </c>
      <c r="R106" s="55" t="n">
        <f aca="false">IF(P106,IF(01_因子設定!$B$13="最大化",K106,IF(01_因子設定!$B$13="最小化",-K106,-ABS(K106-01_因子設定!$B$16))),-1E+030)</f>
        <v>43.835525862069</v>
      </c>
      <c r="S106" s="55" t="n">
        <f aca="false">Q106+ROW()*0.000000001</f>
        <v>-4.25477698344939</v>
      </c>
      <c r="T106" s="55" t="n">
        <f aca="false">R106+ROW()*0.000000001</f>
        <v>43.835525968069</v>
      </c>
    </row>
    <row r="107" customFormat="false" ht="15" hidden="false" customHeight="false" outlineLevel="0" collapsed="false">
      <c r="A107" s="0" t="n">
        <v>2</v>
      </c>
      <c r="B107" s="0" t="n">
        <v>20</v>
      </c>
      <c r="C107" s="0" t="n">
        <f aca="false">-1+A107*0.05</f>
        <v>-0.9</v>
      </c>
      <c r="D107" s="0" t="n">
        <f aca="false">-1+B107*0.05</f>
        <v>0</v>
      </c>
      <c r="E107" s="0" t="n">
        <f aca="false">1</f>
        <v>1</v>
      </c>
      <c r="F107" s="0" t="n">
        <f aca="false">C107</f>
        <v>-0.9</v>
      </c>
      <c r="G107" s="0" t="n">
        <f aca="false">D107</f>
        <v>0</v>
      </c>
      <c r="H107" s="0" t="n">
        <f aca="false">C107*D107</f>
        <v>-0</v>
      </c>
      <c r="I107" s="0" t="n">
        <f aca="false">C107*C107</f>
        <v>0.81</v>
      </c>
      <c r="J107" s="0" t="n">
        <f aca="false">D107*D107</f>
        <v>0</v>
      </c>
      <c r="K107" s="0" t="n">
        <f aca="false">SUMPRODUCT(E107:J107,_XtX!$B$53:$G$53)</f>
        <v>43.9282586206896</v>
      </c>
      <c r="L107" s="0" t="n">
        <f aca="false">SUMPRODUCT(MMULT(E107:J107,_XtX!$B$44:$G$49),E107:J107)</f>
        <v>0.377381034482759</v>
      </c>
      <c r="M107" s="0" t="n">
        <f aca="false">04_回帰ANOVA!$K$19*04_回帰ANOVA!$K$14*SQRT(1+L107)</f>
        <v>1.59038994648774</v>
      </c>
      <c r="N107" s="0" t="n">
        <f aca="false">K107-M107</f>
        <v>42.3378686742019</v>
      </c>
      <c r="O107" s="0" t="n">
        <f aca="false">K107+M107</f>
        <v>45.5186485671774</v>
      </c>
      <c r="P107" s="54" t="b">
        <f aca="false">AND(C107&gt;=01_因子設定!$L$5-0.000000001,C107&lt;=01_因子設定!$M$5+0.000000001,D107&gt;=01_因子設定!$L$6-0.000000001,D107&lt;=01_因子設定!$M$6+0.000000001,IF(01_因子設定!$B$20="Box-Behnken",C107^2+D107^2&lt;=2+0.000000001,TRUE()))</f>
        <v>1</v>
      </c>
      <c r="Q107" s="55" t="n">
        <f aca="false">IF(P107,IF(01_因子設定!$B$13="最大化",N107-01_因子設定!$B$14,IF(01_因子設定!$B$13="最小化",01_因子設定!$B$15-O107,MIN(N107-01_因子設定!$B$14,01_因子設定!$B$15-O107))),-1E+030)</f>
        <v>-4.1621313257981</v>
      </c>
      <c r="R107" s="55" t="n">
        <f aca="false">IF(P107,IF(01_因子設定!$B$13="最大化",K107,IF(01_因子設定!$B$13="最小化",-K107,-ABS(K107-01_因子設定!$B$16))),-1E+030)</f>
        <v>43.9282586206896</v>
      </c>
      <c r="S107" s="55" t="n">
        <f aca="false">Q107+ROW()*0.000000001</f>
        <v>-4.1621312187981</v>
      </c>
      <c r="T107" s="55" t="n">
        <f aca="false">R107+ROW()*0.000000001</f>
        <v>43.9282587276896</v>
      </c>
    </row>
    <row r="108" customFormat="false" ht="15" hidden="false" customHeight="false" outlineLevel="0" collapsed="false">
      <c r="A108" s="0" t="n">
        <v>2</v>
      </c>
      <c r="B108" s="0" t="n">
        <v>21</v>
      </c>
      <c r="C108" s="0" t="n">
        <f aca="false">-1+A108*0.05</f>
        <v>-0.9</v>
      </c>
      <c r="D108" s="0" t="n">
        <f aca="false">-1+B108*0.05</f>
        <v>0.05</v>
      </c>
      <c r="E108" s="0" t="n">
        <f aca="false">1</f>
        <v>1</v>
      </c>
      <c r="F108" s="0" t="n">
        <f aca="false">C108</f>
        <v>-0.9</v>
      </c>
      <c r="G108" s="0" t="n">
        <f aca="false">D108</f>
        <v>0.05</v>
      </c>
      <c r="H108" s="0" t="n">
        <f aca="false">C108*D108</f>
        <v>-0.045</v>
      </c>
      <c r="I108" s="0" t="n">
        <f aca="false">C108*C108</f>
        <v>0.81</v>
      </c>
      <c r="J108" s="0" t="n">
        <f aca="false">D108*D108</f>
        <v>0.0025</v>
      </c>
      <c r="K108" s="0" t="n">
        <f aca="false">SUMPRODUCT(E108:J108,_XtX!$B$53:$G$53)</f>
        <v>44.0132758620689</v>
      </c>
      <c r="L108" s="0" t="n">
        <f aca="false">SUMPRODUCT(MMULT(E108:J108,_XtX!$B$44:$G$49),E108:J108)</f>
        <v>0.377230352011494</v>
      </c>
      <c r="M108" s="0" t="n">
        <f aca="false">04_回帰ANOVA!$K$19*04_回帰ANOVA!$K$14*SQRT(1+L108)</f>
        <v>1.59030295151834</v>
      </c>
      <c r="N108" s="0" t="n">
        <f aca="false">K108-M108</f>
        <v>42.4229729105506</v>
      </c>
      <c r="O108" s="0" t="n">
        <f aca="false">K108+M108</f>
        <v>45.6035788135873</v>
      </c>
      <c r="P108" s="54" t="b">
        <f aca="false">AND(C108&gt;=01_因子設定!$L$5-0.000000001,C108&lt;=01_因子設定!$M$5+0.000000001,D108&gt;=01_因子設定!$L$6-0.000000001,D108&lt;=01_因子設定!$M$6+0.000000001,IF(01_因子設定!$B$20="Box-Behnken",C108^2+D108^2&lt;=2+0.000000001,TRUE()))</f>
        <v>1</v>
      </c>
      <c r="Q108" s="55" t="n">
        <f aca="false">IF(P108,IF(01_因子設定!$B$13="最大化",N108-01_因子設定!$B$14,IF(01_因子設定!$B$13="最小化",01_因子設定!$B$15-O108,MIN(N108-01_因子設定!$B$14,01_因子設定!$B$15-O108))),-1E+030)</f>
        <v>-4.0770270894494</v>
      </c>
      <c r="R108" s="55" t="n">
        <f aca="false">IF(P108,IF(01_因子設定!$B$13="最大化",K108,IF(01_因子設定!$B$13="最小化",-K108,-ABS(K108-01_因子設定!$B$16))),-1E+030)</f>
        <v>44.0132758620689</v>
      </c>
      <c r="S108" s="55" t="n">
        <f aca="false">Q108+ROW()*0.000000001</f>
        <v>-4.0770269814494</v>
      </c>
      <c r="T108" s="55" t="n">
        <f aca="false">R108+ROW()*0.000000001</f>
        <v>44.0132759700689</v>
      </c>
    </row>
    <row r="109" customFormat="false" ht="15" hidden="false" customHeight="false" outlineLevel="0" collapsed="false">
      <c r="A109" s="0" t="n">
        <v>2</v>
      </c>
      <c r="B109" s="0" t="n">
        <v>22</v>
      </c>
      <c r="C109" s="0" t="n">
        <f aca="false">-1+A109*0.05</f>
        <v>-0.9</v>
      </c>
      <c r="D109" s="0" t="n">
        <f aca="false">-1+B109*0.05</f>
        <v>0.1</v>
      </c>
      <c r="E109" s="0" t="n">
        <f aca="false">1</f>
        <v>1</v>
      </c>
      <c r="F109" s="0" t="n">
        <f aca="false">C109</f>
        <v>-0.9</v>
      </c>
      <c r="G109" s="0" t="n">
        <f aca="false">D109</f>
        <v>0.1</v>
      </c>
      <c r="H109" s="0" t="n">
        <f aca="false">C109*D109</f>
        <v>-0.0900000000000001</v>
      </c>
      <c r="I109" s="0" t="n">
        <f aca="false">C109*C109</f>
        <v>0.81</v>
      </c>
      <c r="J109" s="0" t="n">
        <f aca="false">D109*D109</f>
        <v>0.01</v>
      </c>
      <c r="K109" s="0" t="n">
        <f aca="false">SUMPRODUCT(E109:J109,_XtX!$B$53:$G$53)</f>
        <v>44.0905775862069</v>
      </c>
      <c r="L109" s="0" t="n">
        <f aca="false">SUMPRODUCT(MMULT(E109:J109,_XtX!$B$44:$G$49),E109:J109)</f>
        <v>0.376805459770115</v>
      </c>
      <c r="M109" s="0" t="n">
        <f aca="false">04_回帰ANOVA!$K$19*04_回帰ANOVA!$K$14*SQRT(1+L109)</f>
        <v>1.59005761873556</v>
      </c>
      <c r="N109" s="0" t="n">
        <f aca="false">K109-M109</f>
        <v>42.5005199674713</v>
      </c>
      <c r="O109" s="0" t="n">
        <f aca="false">K109+M109</f>
        <v>45.6806352049424</v>
      </c>
      <c r="P109" s="54" t="b">
        <f aca="false">AND(C109&gt;=01_因子設定!$L$5-0.000000001,C109&lt;=01_因子設定!$M$5+0.000000001,D109&gt;=01_因子設定!$L$6-0.000000001,D109&lt;=01_因子設定!$M$6+0.000000001,IF(01_因子設定!$B$20="Box-Behnken",C109^2+D109^2&lt;=2+0.000000001,TRUE()))</f>
        <v>1</v>
      </c>
      <c r="Q109" s="55" t="n">
        <f aca="false">IF(P109,IF(01_因子設定!$B$13="最大化",N109-01_因子設定!$B$14,IF(01_因子設定!$B$13="最小化",01_因子設定!$B$15-O109,MIN(N109-01_因子設定!$B$14,01_因子設定!$B$15-O109))),-1E+030)</f>
        <v>-3.99948003252869</v>
      </c>
      <c r="R109" s="55" t="n">
        <f aca="false">IF(P109,IF(01_因子設定!$B$13="最大化",K109,IF(01_因子設定!$B$13="最小化",-K109,-ABS(K109-01_因子設定!$B$16))),-1E+030)</f>
        <v>44.0905775862069</v>
      </c>
      <c r="S109" s="55" t="n">
        <f aca="false">Q109+ROW()*0.000000001</f>
        <v>-3.99947992352869</v>
      </c>
      <c r="T109" s="55" t="n">
        <f aca="false">R109+ROW()*0.000000001</f>
        <v>44.0905776952069</v>
      </c>
    </row>
    <row r="110" customFormat="false" ht="15" hidden="false" customHeight="false" outlineLevel="0" collapsed="false">
      <c r="A110" s="0" t="n">
        <v>2</v>
      </c>
      <c r="B110" s="0" t="n">
        <v>23</v>
      </c>
      <c r="C110" s="0" t="n">
        <f aca="false">-1+A110*0.05</f>
        <v>-0.9</v>
      </c>
      <c r="D110" s="0" t="n">
        <f aca="false">-1+B110*0.05</f>
        <v>0.15</v>
      </c>
      <c r="E110" s="0" t="n">
        <f aca="false">1</f>
        <v>1</v>
      </c>
      <c r="F110" s="0" t="n">
        <f aca="false">C110</f>
        <v>-0.9</v>
      </c>
      <c r="G110" s="0" t="n">
        <f aca="false">D110</f>
        <v>0.15</v>
      </c>
      <c r="H110" s="0" t="n">
        <f aca="false">C110*D110</f>
        <v>-0.135</v>
      </c>
      <c r="I110" s="0" t="n">
        <f aca="false">C110*C110</f>
        <v>0.81</v>
      </c>
      <c r="J110" s="0" t="n">
        <f aca="false">D110*D110</f>
        <v>0.0225</v>
      </c>
      <c r="K110" s="0" t="n">
        <f aca="false">SUMPRODUCT(E110:J110,_XtX!$B$53:$G$53)</f>
        <v>44.1601637931034</v>
      </c>
      <c r="L110" s="0" t="n">
        <f aca="false">SUMPRODUCT(MMULT(E110:J110,_XtX!$B$44:$G$49),E110:J110)</f>
        <v>0.376187823275862</v>
      </c>
      <c r="M110" s="0" t="n">
        <f aca="false">04_回帰ANOVA!$K$19*04_回帰ANOVA!$K$14*SQRT(1+L110)</f>
        <v>1.58970092790052</v>
      </c>
      <c r="N110" s="0" t="n">
        <f aca="false">K110-M110</f>
        <v>42.5704628652029</v>
      </c>
      <c r="O110" s="0" t="n">
        <f aca="false">K110+M110</f>
        <v>45.7498647210039</v>
      </c>
      <c r="P110" s="54" t="b">
        <f aca="false">AND(C110&gt;=01_因子設定!$L$5-0.000000001,C110&lt;=01_因子設定!$M$5+0.000000001,D110&gt;=01_因子設定!$L$6-0.000000001,D110&lt;=01_因子設定!$M$6+0.000000001,IF(01_因子設定!$B$20="Box-Behnken",C110^2+D110^2&lt;=2+0.000000001,TRUE()))</f>
        <v>1</v>
      </c>
      <c r="Q110" s="55" t="n">
        <f aca="false">IF(P110,IF(01_因子設定!$B$13="最大化",N110-01_因子設定!$B$14,IF(01_因子設定!$B$13="最小化",01_因子設定!$B$15-O110,MIN(N110-01_因子設定!$B$14,01_因子設定!$B$15-O110))),-1E+030)</f>
        <v>-3.92953713479709</v>
      </c>
      <c r="R110" s="55" t="n">
        <f aca="false">IF(P110,IF(01_因子設定!$B$13="最大化",K110,IF(01_因子設定!$B$13="最小化",-K110,-ABS(K110-01_因子設定!$B$16))),-1E+030)</f>
        <v>44.1601637931034</v>
      </c>
      <c r="S110" s="55" t="n">
        <f aca="false">Q110+ROW()*0.000000001</f>
        <v>-3.92953702479709</v>
      </c>
      <c r="T110" s="55" t="n">
        <f aca="false">R110+ROW()*0.000000001</f>
        <v>44.1601639031034</v>
      </c>
    </row>
    <row r="111" customFormat="false" ht="15" hidden="false" customHeight="false" outlineLevel="0" collapsed="false">
      <c r="A111" s="0" t="n">
        <v>2</v>
      </c>
      <c r="B111" s="0" t="n">
        <v>24</v>
      </c>
      <c r="C111" s="0" t="n">
        <f aca="false">-1+A111*0.05</f>
        <v>-0.9</v>
      </c>
      <c r="D111" s="0" t="n">
        <f aca="false">-1+B111*0.05</f>
        <v>0.2</v>
      </c>
      <c r="E111" s="0" t="n">
        <f aca="false">1</f>
        <v>1</v>
      </c>
      <c r="F111" s="0" t="n">
        <f aca="false">C111</f>
        <v>-0.9</v>
      </c>
      <c r="G111" s="0" t="n">
        <f aca="false">D111</f>
        <v>0.2</v>
      </c>
      <c r="H111" s="0" t="n">
        <f aca="false">C111*D111</f>
        <v>-0.18</v>
      </c>
      <c r="I111" s="0" t="n">
        <f aca="false">C111*C111</f>
        <v>0.81</v>
      </c>
      <c r="J111" s="0" t="n">
        <f aca="false">D111*D111</f>
        <v>0.0400000000000001</v>
      </c>
      <c r="K111" s="0" t="n">
        <f aca="false">SUMPRODUCT(E111:J111,_XtX!$B$53:$G$53)</f>
        <v>44.2220344827586</v>
      </c>
      <c r="L111" s="0" t="n">
        <f aca="false">SUMPRODUCT(MMULT(E111:J111,_XtX!$B$44:$G$49),E111:J111)</f>
        <v>0.375513218390805</v>
      </c>
      <c r="M111" s="0" t="n">
        <f aca="false">04_回帰ANOVA!$K$19*04_回帰ANOVA!$K$14*SQRT(1+L111)</f>
        <v>1.58931124581991</v>
      </c>
      <c r="N111" s="0" t="n">
        <f aca="false">K111-M111</f>
        <v>42.6327232369387</v>
      </c>
      <c r="O111" s="0" t="n">
        <f aca="false">K111+M111</f>
        <v>45.8113457285785</v>
      </c>
      <c r="P111" s="54" t="b">
        <f aca="false">AND(C111&gt;=01_因子設定!$L$5-0.000000001,C111&lt;=01_因子設定!$M$5+0.000000001,D111&gt;=01_因子設定!$L$6-0.000000001,D111&lt;=01_因子設定!$M$6+0.000000001,IF(01_因子設定!$B$20="Box-Behnken",C111^2+D111^2&lt;=2+0.000000001,TRUE()))</f>
        <v>1</v>
      </c>
      <c r="Q111" s="55" t="n">
        <f aca="false">IF(P111,IF(01_因子設定!$B$13="最大化",N111-01_因子設定!$B$14,IF(01_因子設定!$B$13="最小化",01_因子設定!$B$15-O111,MIN(N111-01_因子設定!$B$14,01_因子設定!$B$15-O111))),-1E+030)</f>
        <v>-3.86727676306131</v>
      </c>
      <c r="R111" s="55" t="n">
        <f aca="false">IF(P111,IF(01_因子設定!$B$13="最大化",K111,IF(01_因子設定!$B$13="最小化",-K111,-ABS(K111-01_因子設定!$B$16))),-1E+030)</f>
        <v>44.2220344827586</v>
      </c>
      <c r="S111" s="55" t="n">
        <f aca="false">Q111+ROW()*0.000000001</f>
        <v>-3.86727665206131</v>
      </c>
      <c r="T111" s="55" t="n">
        <f aca="false">R111+ROW()*0.000000001</f>
        <v>44.2220345937586</v>
      </c>
    </row>
    <row r="112" customFormat="false" ht="15" hidden="false" customHeight="false" outlineLevel="0" collapsed="false">
      <c r="A112" s="0" t="n">
        <v>2</v>
      </c>
      <c r="B112" s="0" t="n">
        <v>25</v>
      </c>
      <c r="C112" s="0" t="n">
        <f aca="false">-1+A112*0.05</f>
        <v>-0.9</v>
      </c>
      <c r="D112" s="0" t="n">
        <f aca="false">-1+B112*0.05</f>
        <v>0.25</v>
      </c>
      <c r="E112" s="0" t="n">
        <f aca="false">1</f>
        <v>1</v>
      </c>
      <c r="F112" s="0" t="n">
        <f aca="false">C112</f>
        <v>-0.9</v>
      </c>
      <c r="G112" s="0" t="n">
        <f aca="false">D112</f>
        <v>0.25</v>
      </c>
      <c r="H112" s="0" t="n">
        <f aca="false">C112*D112</f>
        <v>-0.225</v>
      </c>
      <c r="I112" s="0" t="n">
        <f aca="false">C112*C112</f>
        <v>0.81</v>
      </c>
      <c r="J112" s="0" t="n">
        <f aca="false">D112*D112</f>
        <v>0.0625</v>
      </c>
      <c r="K112" s="0" t="n">
        <f aca="false">SUMPRODUCT(E112:J112,_XtX!$B$53:$G$53)</f>
        <v>44.2761896551724</v>
      </c>
      <c r="L112" s="0" t="n">
        <f aca="false">SUMPRODUCT(MMULT(E112:J112,_XtX!$B$44:$G$49),E112:J112)</f>
        <v>0.374971731321839</v>
      </c>
      <c r="M112" s="0" t="n">
        <f aca="false">04_回帰ANOVA!$K$19*04_回帰ANOVA!$K$14*SQRT(1+L112)</f>
        <v>1.58899838942971</v>
      </c>
      <c r="N112" s="0" t="n">
        <f aca="false">K112-M112</f>
        <v>42.6871912657427</v>
      </c>
      <c r="O112" s="0" t="n">
        <f aca="false">K112+M112</f>
        <v>45.8651880446021</v>
      </c>
      <c r="P112" s="54" t="b">
        <f aca="false">AND(C112&gt;=01_因子設定!$L$5-0.000000001,C112&lt;=01_因子設定!$M$5+0.000000001,D112&gt;=01_因子設定!$L$6-0.000000001,D112&lt;=01_因子設定!$M$6+0.000000001,IF(01_因子設定!$B$20="Box-Behnken",C112^2+D112^2&lt;=2+0.000000001,TRUE()))</f>
        <v>1</v>
      </c>
      <c r="Q112" s="55" t="n">
        <f aca="false">IF(P112,IF(01_因子設定!$B$13="最大化",N112-01_因子設定!$B$14,IF(01_因子設定!$B$13="最小化",01_因子設定!$B$15-O112,MIN(N112-01_因子設定!$B$14,01_因子設定!$B$15-O112))),-1E+030)</f>
        <v>-3.81280873425731</v>
      </c>
      <c r="R112" s="55" t="n">
        <f aca="false">IF(P112,IF(01_因子設定!$B$13="最大化",K112,IF(01_因子設定!$B$13="最小化",-K112,-ABS(K112-01_因子設定!$B$16))),-1E+030)</f>
        <v>44.2761896551724</v>
      </c>
      <c r="S112" s="55" t="n">
        <f aca="false">Q112+ROW()*0.000000001</f>
        <v>-3.81280862225731</v>
      </c>
      <c r="T112" s="55" t="n">
        <f aca="false">R112+ROW()*0.000000001</f>
        <v>44.2761897671724</v>
      </c>
    </row>
    <row r="113" customFormat="false" ht="15" hidden="false" customHeight="false" outlineLevel="0" collapsed="false">
      <c r="A113" s="0" t="n">
        <v>2</v>
      </c>
      <c r="B113" s="0" t="n">
        <v>26</v>
      </c>
      <c r="C113" s="0" t="n">
        <f aca="false">-1+A113*0.05</f>
        <v>-0.9</v>
      </c>
      <c r="D113" s="0" t="n">
        <f aca="false">-1+B113*0.05</f>
        <v>0.3</v>
      </c>
      <c r="E113" s="0" t="n">
        <f aca="false">1</f>
        <v>1</v>
      </c>
      <c r="F113" s="0" t="n">
        <f aca="false">C113</f>
        <v>-0.9</v>
      </c>
      <c r="G113" s="0" t="n">
        <f aca="false">D113</f>
        <v>0.3</v>
      </c>
      <c r="H113" s="0" t="n">
        <f aca="false">C113*D113</f>
        <v>-0.27</v>
      </c>
      <c r="I113" s="0" t="n">
        <f aca="false">C113*C113</f>
        <v>0.81</v>
      </c>
      <c r="J113" s="0" t="n">
        <f aca="false">D113*D113</f>
        <v>0.09</v>
      </c>
      <c r="K113" s="0" t="n">
        <f aca="false">SUMPRODUCT(E113:J113,_XtX!$B$53:$G$53)</f>
        <v>44.3226293103448</v>
      </c>
      <c r="L113" s="0" t="n">
        <f aca="false">SUMPRODUCT(MMULT(E113:J113,_XtX!$B$44:$G$49),E113:J113)</f>
        <v>0.37480775862069</v>
      </c>
      <c r="M113" s="0" t="n">
        <f aca="false">04_回帰ANOVA!$K$19*04_回帰ANOVA!$K$14*SQRT(1+L113)</f>
        <v>1.58890363834478</v>
      </c>
      <c r="N113" s="0" t="n">
        <f aca="false">K113-M113</f>
        <v>42.733725672</v>
      </c>
      <c r="O113" s="0" t="n">
        <f aca="false">K113+M113</f>
        <v>45.9115329486896</v>
      </c>
      <c r="P113" s="54" t="b">
        <f aca="false">AND(C113&gt;=01_因子設定!$L$5-0.000000001,C113&lt;=01_因子設定!$M$5+0.000000001,D113&gt;=01_因子設定!$L$6-0.000000001,D113&lt;=01_因子設定!$M$6+0.000000001,IF(01_因子設定!$B$20="Box-Behnken",C113^2+D113^2&lt;=2+0.000000001,TRUE()))</f>
        <v>1</v>
      </c>
      <c r="Q113" s="55" t="n">
        <f aca="false">IF(P113,IF(01_因子設定!$B$13="最大化",N113-01_因子設定!$B$14,IF(01_因子設定!$B$13="最小化",01_因子設定!$B$15-O113,MIN(N113-01_因子設定!$B$14,01_因子設定!$B$15-O113))),-1E+030)</f>
        <v>-3.76627432799997</v>
      </c>
      <c r="R113" s="55" t="n">
        <f aca="false">IF(P113,IF(01_因子設定!$B$13="最大化",K113,IF(01_因子設定!$B$13="最小化",-K113,-ABS(K113-01_因子設定!$B$16))),-1E+030)</f>
        <v>44.3226293103448</v>
      </c>
      <c r="S113" s="55" t="n">
        <f aca="false">Q113+ROW()*0.000000001</f>
        <v>-3.76627421499997</v>
      </c>
      <c r="T113" s="55" t="n">
        <f aca="false">R113+ROW()*0.000000001</f>
        <v>44.3226294233448</v>
      </c>
    </row>
    <row r="114" customFormat="false" ht="15" hidden="false" customHeight="false" outlineLevel="0" collapsed="false">
      <c r="A114" s="0" t="n">
        <v>2</v>
      </c>
      <c r="B114" s="0" t="n">
        <v>27</v>
      </c>
      <c r="C114" s="0" t="n">
        <f aca="false">-1+A114*0.05</f>
        <v>-0.9</v>
      </c>
      <c r="D114" s="0" t="n">
        <f aca="false">-1+B114*0.05</f>
        <v>0.35</v>
      </c>
      <c r="E114" s="0" t="n">
        <f aca="false">1</f>
        <v>1</v>
      </c>
      <c r="F114" s="0" t="n">
        <f aca="false">C114</f>
        <v>-0.9</v>
      </c>
      <c r="G114" s="0" t="n">
        <f aca="false">D114</f>
        <v>0.35</v>
      </c>
      <c r="H114" s="0" t="n">
        <f aca="false">C114*D114</f>
        <v>-0.315</v>
      </c>
      <c r="I114" s="0" t="n">
        <f aca="false">C114*C114</f>
        <v>0.81</v>
      </c>
      <c r="J114" s="0" t="n">
        <f aca="false">D114*D114</f>
        <v>0.1225</v>
      </c>
      <c r="K114" s="0" t="n">
        <f aca="false">SUMPRODUCT(E114:J114,_XtX!$B$53:$G$53)</f>
        <v>44.3613534482758</v>
      </c>
      <c r="L114" s="0" t="n">
        <f aca="false">SUMPRODUCT(MMULT(E114:J114,_XtX!$B$44:$G$49),E114:J114)</f>
        <v>0.375320007183908</v>
      </c>
      <c r="M114" s="0" t="n">
        <f aca="false">04_回帰ANOVA!$K$19*04_回帰ANOVA!$K$14*SQRT(1+L114)</f>
        <v>1.58919962074651</v>
      </c>
      <c r="N114" s="0" t="n">
        <f aca="false">K114-M114</f>
        <v>42.7721538275293</v>
      </c>
      <c r="O114" s="0" t="n">
        <f aca="false">K114+M114</f>
        <v>45.9505530690224</v>
      </c>
      <c r="P114" s="54" t="b">
        <f aca="false">AND(C114&gt;=01_因子設定!$L$5-0.000000001,C114&lt;=01_因子設定!$M$5+0.000000001,D114&gt;=01_因子設定!$L$6-0.000000001,D114&lt;=01_因子設定!$M$6+0.000000001,IF(01_因子設定!$B$20="Box-Behnken",C114^2+D114^2&lt;=2+0.000000001,TRUE()))</f>
        <v>1</v>
      </c>
      <c r="Q114" s="55" t="n">
        <f aca="false">IF(P114,IF(01_因子設定!$B$13="最大化",N114-01_因子設定!$B$14,IF(01_因子設定!$B$13="最小化",01_因子設定!$B$15-O114,MIN(N114-01_因子設定!$B$14,01_因子設定!$B$15-O114))),-1E+030)</f>
        <v>-3.72784617247066</v>
      </c>
      <c r="R114" s="55" t="n">
        <f aca="false">IF(P114,IF(01_因子設定!$B$13="最大化",K114,IF(01_因子設定!$B$13="最小化",-K114,-ABS(K114-01_因子設定!$B$16))),-1E+030)</f>
        <v>44.3613534482758</v>
      </c>
      <c r="S114" s="55" t="n">
        <f aca="false">Q114+ROW()*0.000000001</f>
        <v>-3.72784605847066</v>
      </c>
      <c r="T114" s="55" t="n">
        <f aca="false">R114+ROW()*0.000000001</f>
        <v>44.3613535622758</v>
      </c>
    </row>
    <row r="115" customFormat="false" ht="15" hidden="false" customHeight="false" outlineLevel="0" collapsed="false">
      <c r="A115" s="0" t="n">
        <v>2</v>
      </c>
      <c r="B115" s="0" t="n">
        <v>28</v>
      </c>
      <c r="C115" s="0" t="n">
        <f aca="false">-1+A115*0.05</f>
        <v>-0.9</v>
      </c>
      <c r="D115" s="0" t="n">
        <f aca="false">-1+B115*0.05</f>
        <v>0.4</v>
      </c>
      <c r="E115" s="0" t="n">
        <f aca="false">1</f>
        <v>1</v>
      </c>
      <c r="F115" s="0" t="n">
        <f aca="false">C115</f>
        <v>-0.9</v>
      </c>
      <c r="G115" s="0" t="n">
        <f aca="false">D115</f>
        <v>0.4</v>
      </c>
      <c r="H115" s="0" t="n">
        <f aca="false">C115*D115</f>
        <v>-0.36</v>
      </c>
      <c r="I115" s="0" t="n">
        <f aca="false">C115*C115</f>
        <v>0.81</v>
      </c>
      <c r="J115" s="0" t="n">
        <f aca="false">D115*D115</f>
        <v>0.16</v>
      </c>
      <c r="K115" s="0" t="n">
        <f aca="false">SUMPRODUCT(E115:J115,_XtX!$B$53:$G$53)</f>
        <v>44.3923620689655</v>
      </c>
      <c r="L115" s="0" t="n">
        <f aca="false">SUMPRODUCT(MMULT(E115:J115,_XtX!$B$44:$G$49),E115:J115)</f>
        <v>0.376861494252874</v>
      </c>
      <c r="M115" s="0" t="n">
        <f aca="false">04_回帰ANOVA!$K$19*04_回帰ANOVA!$K$14*SQRT(1+L115)</f>
        <v>1.59008997521304</v>
      </c>
      <c r="N115" s="0" t="n">
        <f aca="false">K115-M115</f>
        <v>42.8022720937525</v>
      </c>
      <c r="O115" s="0" t="n">
        <f aca="false">K115+M115</f>
        <v>45.9824520441785</v>
      </c>
      <c r="P115" s="54" t="b">
        <f aca="false">AND(C115&gt;=01_因子設定!$L$5-0.000000001,C115&lt;=01_因子設定!$M$5+0.000000001,D115&gt;=01_因子設定!$L$6-0.000000001,D115&lt;=01_因子設定!$M$6+0.000000001,IF(01_因子設定!$B$20="Box-Behnken",C115^2+D115^2&lt;=2+0.000000001,TRUE()))</f>
        <v>1</v>
      </c>
      <c r="Q115" s="55" t="n">
        <f aca="false">IF(P115,IF(01_因子設定!$B$13="最大化",N115-01_因子設定!$B$14,IF(01_因子設定!$B$13="最小化",01_因子設定!$B$15-O115,MIN(N115-01_因子設定!$B$14,01_因子設定!$B$15-O115))),-1E+030)</f>
        <v>-3.69772790624754</v>
      </c>
      <c r="R115" s="55" t="n">
        <f aca="false">IF(P115,IF(01_因子設定!$B$13="最大化",K115,IF(01_因子設定!$B$13="最小化",-K115,-ABS(K115-01_因子設定!$B$16))),-1E+030)</f>
        <v>44.3923620689655</v>
      </c>
      <c r="S115" s="55" t="n">
        <f aca="false">Q115+ROW()*0.000000001</f>
        <v>-3.69772779124754</v>
      </c>
      <c r="T115" s="55" t="n">
        <f aca="false">R115+ROW()*0.000000001</f>
        <v>44.3923621839655</v>
      </c>
    </row>
    <row r="116" customFormat="false" ht="15" hidden="false" customHeight="false" outlineLevel="0" collapsed="false">
      <c r="A116" s="0" t="n">
        <v>2</v>
      </c>
      <c r="B116" s="0" t="n">
        <v>29</v>
      </c>
      <c r="C116" s="0" t="n">
        <f aca="false">-1+A116*0.05</f>
        <v>-0.9</v>
      </c>
      <c r="D116" s="0" t="n">
        <f aca="false">-1+B116*0.05</f>
        <v>0.45</v>
      </c>
      <c r="E116" s="0" t="n">
        <f aca="false">1</f>
        <v>1</v>
      </c>
      <c r="F116" s="0" t="n">
        <f aca="false">C116</f>
        <v>-0.9</v>
      </c>
      <c r="G116" s="0" t="n">
        <f aca="false">D116</f>
        <v>0.45</v>
      </c>
      <c r="H116" s="0" t="n">
        <f aca="false">C116*D116</f>
        <v>-0.405</v>
      </c>
      <c r="I116" s="0" t="n">
        <f aca="false">C116*C116</f>
        <v>0.81</v>
      </c>
      <c r="J116" s="0" t="n">
        <f aca="false">D116*D116</f>
        <v>0.2025</v>
      </c>
      <c r="K116" s="0" t="n">
        <f aca="false">SUMPRODUCT(E116:J116,_XtX!$B$53:$G$53)</f>
        <v>44.4156551724138</v>
      </c>
      <c r="L116" s="0" t="n">
        <f aca="false">SUMPRODUCT(MMULT(E116:J116,_XtX!$B$44:$G$49),E116:J116)</f>
        <v>0.379839547413793</v>
      </c>
      <c r="M116" s="0" t="n">
        <f aca="false">04_回帰ANOVA!$K$19*04_回帰ANOVA!$K$14*SQRT(1+L116)</f>
        <v>1.59180867193519</v>
      </c>
      <c r="N116" s="0" t="n">
        <f aca="false">K116-M116</f>
        <v>42.8238465004786</v>
      </c>
      <c r="O116" s="0" t="n">
        <f aca="false">K116+M116</f>
        <v>46.007463844349</v>
      </c>
      <c r="P116" s="54" t="b">
        <f aca="false">AND(C116&gt;=01_因子設定!$L$5-0.000000001,C116&lt;=01_因子設定!$M$5+0.000000001,D116&gt;=01_因子設定!$L$6-0.000000001,D116&lt;=01_因子設定!$M$6+0.000000001,IF(01_因子設定!$B$20="Box-Behnken",C116^2+D116^2&lt;=2+0.000000001,TRUE()))</f>
        <v>1</v>
      </c>
      <c r="Q116" s="55" t="n">
        <f aca="false">IF(P116,IF(01_因子設定!$B$13="最大化",N116-01_因子設定!$B$14,IF(01_因子設定!$B$13="最小化",01_因子設定!$B$15-O116,MIN(N116-01_因子設定!$B$14,01_因子設定!$B$15-O116))),-1E+030)</f>
        <v>-3.67615349952142</v>
      </c>
      <c r="R116" s="55" t="n">
        <f aca="false">IF(P116,IF(01_因子設定!$B$13="最大化",K116,IF(01_因子設定!$B$13="最小化",-K116,-ABS(K116-01_因子設定!$B$16))),-1E+030)</f>
        <v>44.4156551724138</v>
      </c>
      <c r="S116" s="55" t="n">
        <f aca="false">Q116+ROW()*0.000000001</f>
        <v>-3.67615338352142</v>
      </c>
      <c r="T116" s="55" t="n">
        <f aca="false">R116+ROW()*0.000000001</f>
        <v>44.4156552884138</v>
      </c>
    </row>
    <row r="117" customFormat="false" ht="15" hidden="false" customHeight="false" outlineLevel="0" collapsed="false">
      <c r="A117" s="0" t="n">
        <v>2</v>
      </c>
      <c r="B117" s="0" t="n">
        <v>30</v>
      </c>
      <c r="C117" s="0" t="n">
        <f aca="false">-1+A117*0.05</f>
        <v>-0.9</v>
      </c>
      <c r="D117" s="0" t="n">
        <f aca="false">-1+B117*0.05</f>
        <v>0.5</v>
      </c>
      <c r="E117" s="0" t="n">
        <f aca="false">1</f>
        <v>1</v>
      </c>
      <c r="F117" s="0" t="n">
        <f aca="false">C117</f>
        <v>-0.9</v>
      </c>
      <c r="G117" s="0" t="n">
        <f aca="false">D117</f>
        <v>0.5</v>
      </c>
      <c r="H117" s="0" t="n">
        <f aca="false">C117*D117</f>
        <v>-0.45</v>
      </c>
      <c r="I117" s="0" t="n">
        <f aca="false">C117*C117</f>
        <v>0.81</v>
      </c>
      <c r="J117" s="0" t="n">
        <f aca="false">D117*D117</f>
        <v>0.25</v>
      </c>
      <c r="K117" s="0" t="n">
        <f aca="false">SUMPRODUCT(E117:J117,_XtX!$B$53:$G$53)</f>
        <v>44.4312327586207</v>
      </c>
      <c r="L117" s="0" t="n">
        <f aca="false">SUMPRODUCT(MMULT(E117:J117,_XtX!$B$44:$G$49),E117:J117)</f>
        <v>0.384715804597701</v>
      </c>
      <c r="M117" s="0" t="n">
        <f aca="false">04_回帰ANOVA!$K$19*04_回帰ANOVA!$K$14*SQRT(1+L117)</f>
        <v>1.59461886204904</v>
      </c>
      <c r="N117" s="0" t="n">
        <f aca="false">K117-M117</f>
        <v>42.8366138965716</v>
      </c>
      <c r="O117" s="0" t="n">
        <f aca="false">K117+M117</f>
        <v>46.0258516206697</v>
      </c>
      <c r="P117" s="54" t="b">
        <f aca="false">AND(C117&gt;=01_因子設定!$L$5-0.000000001,C117&lt;=01_因子設定!$M$5+0.000000001,D117&gt;=01_因子設定!$L$6-0.000000001,D117&lt;=01_因子設定!$M$6+0.000000001,IF(01_因子設定!$B$20="Box-Behnken",C117^2+D117^2&lt;=2+0.000000001,TRUE()))</f>
        <v>1</v>
      </c>
      <c r="Q117" s="55" t="n">
        <f aca="false">IF(P117,IF(01_因子設定!$B$13="最大化",N117-01_因子設定!$B$14,IF(01_因子設定!$B$13="最小化",01_因子設定!$B$15-O117,MIN(N117-01_因子設定!$B$14,01_因子設定!$B$15-O117))),-1E+030)</f>
        <v>-3.66338610342837</v>
      </c>
      <c r="R117" s="55" t="n">
        <f aca="false">IF(P117,IF(01_因子設定!$B$13="最大化",K117,IF(01_因子設定!$B$13="最小化",-K117,-ABS(K117-01_因子設定!$B$16))),-1E+030)</f>
        <v>44.4312327586207</v>
      </c>
      <c r="S117" s="55" t="n">
        <f aca="false">Q117+ROW()*0.000000001</f>
        <v>-3.66338598642837</v>
      </c>
      <c r="T117" s="55" t="n">
        <f aca="false">R117+ROW()*0.000000001</f>
        <v>44.4312328756207</v>
      </c>
    </row>
    <row r="118" customFormat="false" ht="15" hidden="false" customHeight="false" outlineLevel="0" collapsed="false">
      <c r="A118" s="0" t="n">
        <v>2</v>
      </c>
      <c r="B118" s="0" t="n">
        <v>31</v>
      </c>
      <c r="C118" s="0" t="n">
        <f aca="false">-1+A118*0.05</f>
        <v>-0.9</v>
      </c>
      <c r="D118" s="0" t="n">
        <f aca="false">-1+B118*0.05</f>
        <v>0.55</v>
      </c>
      <c r="E118" s="0" t="n">
        <f aca="false">1</f>
        <v>1</v>
      </c>
      <c r="F118" s="0" t="n">
        <f aca="false">C118</f>
        <v>-0.9</v>
      </c>
      <c r="G118" s="0" t="n">
        <f aca="false">D118</f>
        <v>0.55</v>
      </c>
      <c r="H118" s="0" t="n">
        <f aca="false">C118*D118</f>
        <v>-0.495</v>
      </c>
      <c r="I118" s="0" t="n">
        <f aca="false">C118*C118</f>
        <v>0.81</v>
      </c>
      <c r="J118" s="0" t="n">
        <f aca="false">D118*D118</f>
        <v>0.3025</v>
      </c>
      <c r="K118" s="0" t="n">
        <f aca="false">SUMPRODUCT(E118:J118,_XtX!$B$53:$G$53)</f>
        <v>44.4390948275862</v>
      </c>
      <c r="L118" s="0" t="n">
        <f aca="false">SUMPRODUCT(MMULT(E118:J118,_XtX!$B$44:$G$49),E118:J118)</f>
        <v>0.39200621408046</v>
      </c>
      <c r="M118" s="0" t="n">
        <f aca="false">04_回帰ANOVA!$K$19*04_回帰ANOVA!$K$14*SQRT(1+L118)</f>
        <v>1.59881111683123</v>
      </c>
      <c r="N118" s="0" t="n">
        <f aca="false">K118-M118</f>
        <v>42.840283710755</v>
      </c>
      <c r="O118" s="0" t="n">
        <f aca="false">K118+M118</f>
        <v>46.0379059444174</v>
      </c>
      <c r="P118" s="54" t="b">
        <f aca="false">AND(C118&gt;=01_因子設定!$L$5-0.000000001,C118&lt;=01_因子設定!$M$5+0.000000001,D118&gt;=01_因子設定!$L$6-0.000000001,D118&lt;=01_因子設定!$M$6+0.000000001,IF(01_因子設定!$B$20="Box-Behnken",C118^2+D118^2&lt;=2+0.000000001,TRUE()))</f>
        <v>1</v>
      </c>
      <c r="Q118" s="55" t="n">
        <f aca="false">IF(P118,IF(01_因子設定!$B$13="最大化",N118-01_因子設定!$B$14,IF(01_因子設定!$B$13="最小化",01_因子設定!$B$15-O118,MIN(N118-01_因子設定!$B$14,01_因子設定!$B$15-O118))),-1E+030)</f>
        <v>-3.65971628924504</v>
      </c>
      <c r="R118" s="55" t="n">
        <f aca="false">IF(P118,IF(01_因子設定!$B$13="最大化",K118,IF(01_因子設定!$B$13="最小化",-K118,-ABS(K118-01_因子設定!$B$16))),-1E+030)</f>
        <v>44.4390948275862</v>
      </c>
      <c r="S118" s="55" t="n">
        <f aca="false">Q118+ROW()*0.000000001</f>
        <v>-3.65971617124504</v>
      </c>
      <c r="T118" s="55" t="n">
        <f aca="false">R118+ROW()*0.000000001</f>
        <v>44.4390949455862</v>
      </c>
    </row>
    <row r="119" customFormat="false" ht="15" hidden="false" customHeight="false" outlineLevel="0" collapsed="false">
      <c r="A119" s="0" t="n">
        <v>2</v>
      </c>
      <c r="B119" s="0" t="n">
        <v>32</v>
      </c>
      <c r="C119" s="0" t="n">
        <f aca="false">-1+A119*0.05</f>
        <v>-0.9</v>
      </c>
      <c r="D119" s="0" t="n">
        <f aca="false">-1+B119*0.05</f>
        <v>0.6</v>
      </c>
      <c r="E119" s="0" t="n">
        <f aca="false">1</f>
        <v>1</v>
      </c>
      <c r="F119" s="0" t="n">
        <f aca="false">C119</f>
        <v>-0.9</v>
      </c>
      <c r="G119" s="0" t="n">
        <f aca="false">D119</f>
        <v>0.6</v>
      </c>
      <c r="H119" s="0" t="n">
        <f aca="false">C119*D119</f>
        <v>-0.54</v>
      </c>
      <c r="I119" s="0" t="n">
        <f aca="false">C119*C119</f>
        <v>0.81</v>
      </c>
      <c r="J119" s="0" t="n">
        <f aca="false">D119*D119</f>
        <v>0.36</v>
      </c>
      <c r="K119" s="0" t="n">
        <f aca="false">SUMPRODUCT(E119:J119,_XtX!$B$53:$G$53)</f>
        <v>44.4392413793103</v>
      </c>
      <c r="L119" s="0" t="n">
        <f aca="false">SUMPRODUCT(MMULT(E119:J119,_XtX!$B$44:$G$49),E119:J119)</f>
        <v>0.402281034482759</v>
      </c>
      <c r="M119" s="0" t="n">
        <f aca="false">04_回帰ANOVA!$K$19*04_回帰ANOVA!$K$14*SQRT(1+L119)</f>
        <v>1.60470092328339</v>
      </c>
      <c r="N119" s="0" t="n">
        <f aca="false">K119-M119</f>
        <v>42.8345404560269</v>
      </c>
      <c r="O119" s="0" t="n">
        <f aca="false">K119+M119</f>
        <v>46.0439423025937</v>
      </c>
      <c r="P119" s="54" t="b">
        <f aca="false">AND(C119&gt;=01_因子設定!$L$5-0.000000001,C119&lt;=01_因子設定!$M$5+0.000000001,D119&gt;=01_因子設定!$L$6-0.000000001,D119&lt;=01_因子設定!$M$6+0.000000001,IF(01_因子設定!$B$20="Box-Behnken",C119^2+D119^2&lt;=2+0.000000001,TRUE()))</f>
        <v>1</v>
      </c>
      <c r="Q119" s="55" t="n">
        <f aca="false">IF(P119,IF(01_因子設定!$B$13="最大化",N119-01_因子設定!$B$14,IF(01_因子設定!$B$13="最小化",01_因子設定!$B$15-O119,MIN(N119-01_因子設定!$B$14,01_因子設定!$B$15-O119))),-1E+030)</f>
        <v>-3.66545954397306</v>
      </c>
      <c r="R119" s="55" t="n">
        <f aca="false">IF(P119,IF(01_因子設定!$B$13="最大化",K119,IF(01_因子設定!$B$13="最小化",-K119,-ABS(K119-01_因子設定!$B$16))),-1E+030)</f>
        <v>44.4392413793103</v>
      </c>
      <c r="S119" s="55" t="n">
        <f aca="false">Q119+ROW()*0.000000001</f>
        <v>-3.66545942497306</v>
      </c>
      <c r="T119" s="55" t="n">
        <f aca="false">R119+ROW()*0.000000001</f>
        <v>44.4392414983103</v>
      </c>
    </row>
    <row r="120" customFormat="false" ht="15" hidden="false" customHeight="false" outlineLevel="0" collapsed="false">
      <c r="A120" s="0" t="n">
        <v>2</v>
      </c>
      <c r="B120" s="0" t="n">
        <v>33</v>
      </c>
      <c r="C120" s="0" t="n">
        <f aca="false">-1+A120*0.05</f>
        <v>-0.9</v>
      </c>
      <c r="D120" s="0" t="n">
        <f aca="false">-1+B120*0.05</f>
        <v>0.65</v>
      </c>
      <c r="E120" s="0" t="n">
        <f aca="false">1</f>
        <v>1</v>
      </c>
      <c r="F120" s="0" t="n">
        <f aca="false">C120</f>
        <v>-0.9</v>
      </c>
      <c r="G120" s="0" t="n">
        <f aca="false">D120</f>
        <v>0.65</v>
      </c>
      <c r="H120" s="0" t="n">
        <f aca="false">C120*D120</f>
        <v>-0.585</v>
      </c>
      <c r="I120" s="0" t="n">
        <f aca="false">C120*C120</f>
        <v>0.81</v>
      </c>
      <c r="J120" s="0" t="n">
        <f aca="false">D120*D120</f>
        <v>0.4225</v>
      </c>
      <c r="K120" s="0" t="n">
        <f aca="false">SUMPRODUCT(E120:J120,_XtX!$B$53:$G$53)</f>
        <v>44.4316724137931</v>
      </c>
      <c r="L120" s="0" t="n">
        <f aca="false">SUMPRODUCT(MMULT(E120:J120,_XtX!$B$44:$G$49),E120:J120)</f>
        <v>0.416164834770115</v>
      </c>
      <c r="M120" s="0" t="n">
        <f aca="false">04_回帰ANOVA!$K$19*04_回帰ANOVA!$K$14*SQRT(1+L120)</f>
        <v>1.61262532348959</v>
      </c>
      <c r="N120" s="0" t="n">
        <f aca="false">K120-M120</f>
        <v>42.8190470903035</v>
      </c>
      <c r="O120" s="0" t="n">
        <f aca="false">K120+M120</f>
        <v>46.0442977372827</v>
      </c>
      <c r="P120" s="54" t="b">
        <f aca="false">AND(C120&gt;=01_因子設定!$L$5-0.000000001,C120&lt;=01_因子設定!$M$5+0.000000001,D120&gt;=01_因子設定!$L$6-0.000000001,D120&lt;=01_因子設定!$M$6+0.000000001,IF(01_因子設定!$B$20="Box-Behnken",C120^2+D120^2&lt;=2+0.000000001,TRUE()))</f>
        <v>1</v>
      </c>
      <c r="Q120" s="55" t="n">
        <f aca="false">IF(P120,IF(01_因子設定!$B$13="最大化",N120-01_因子設定!$B$14,IF(01_因子設定!$B$13="最小化",01_因子設定!$B$15-O120,MIN(N120-01_因子設定!$B$14,01_因子設定!$B$15-O120))),-1E+030)</f>
        <v>-3.68095290969651</v>
      </c>
      <c r="R120" s="55" t="n">
        <f aca="false">IF(P120,IF(01_因子設定!$B$13="最大化",K120,IF(01_因子設定!$B$13="最小化",-K120,-ABS(K120-01_因子設定!$B$16))),-1E+030)</f>
        <v>44.4316724137931</v>
      </c>
      <c r="S120" s="55" t="n">
        <f aca="false">Q120+ROW()*0.000000001</f>
        <v>-3.68095278969651</v>
      </c>
      <c r="T120" s="55" t="n">
        <f aca="false">R120+ROW()*0.000000001</f>
        <v>44.4316725337931</v>
      </c>
    </row>
    <row r="121" customFormat="false" ht="15" hidden="false" customHeight="false" outlineLevel="0" collapsed="false">
      <c r="A121" s="0" t="n">
        <v>2</v>
      </c>
      <c r="B121" s="0" t="n">
        <v>34</v>
      </c>
      <c r="C121" s="0" t="n">
        <f aca="false">-1+A121*0.05</f>
        <v>-0.9</v>
      </c>
      <c r="D121" s="0" t="n">
        <f aca="false">-1+B121*0.05</f>
        <v>0.7</v>
      </c>
      <c r="E121" s="0" t="n">
        <f aca="false">1</f>
        <v>1</v>
      </c>
      <c r="F121" s="0" t="n">
        <f aca="false">C121</f>
        <v>-0.9</v>
      </c>
      <c r="G121" s="0" t="n">
        <f aca="false">D121</f>
        <v>0.7</v>
      </c>
      <c r="H121" s="0" t="n">
        <f aca="false">C121*D121</f>
        <v>-0.63</v>
      </c>
      <c r="I121" s="0" t="n">
        <f aca="false">C121*C121</f>
        <v>0.81</v>
      </c>
      <c r="J121" s="0" t="n">
        <f aca="false">D121*D121</f>
        <v>0.49</v>
      </c>
      <c r="K121" s="0" t="n">
        <f aca="false">SUMPRODUCT(E121:J121,_XtX!$B$53:$G$53)</f>
        <v>44.4163879310345</v>
      </c>
      <c r="L121" s="0" t="n">
        <f aca="false">SUMPRODUCT(MMULT(E121:J121,_XtX!$B$44:$G$49),E121:J121)</f>
        <v>0.434336494252874</v>
      </c>
      <c r="M121" s="0" t="n">
        <f aca="false">04_回帰ANOVA!$K$19*04_回帰ANOVA!$K$14*SQRT(1+L121)</f>
        <v>1.62293862576512</v>
      </c>
      <c r="N121" s="0" t="n">
        <f aca="false">K121-M121</f>
        <v>42.7934493052694</v>
      </c>
      <c r="O121" s="0" t="n">
        <f aca="false">K121+M121</f>
        <v>46.0393265567996</v>
      </c>
      <c r="P121" s="54" t="b">
        <f aca="false">AND(C121&gt;=01_因子設定!$L$5-0.000000001,C121&lt;=01_因子設定!$M$5+0.000000001,D121&gt;=01_因子設定!$L$6-0.000000001,D121&lt;=01_因子設定!$M$6+0.000000001,IF(01_因子設定!$B$20="Box-Behnken",C121^2+D121^2&lt;=2+0.000000001,TRUE()))</f>
        <v>1</v>
      </c>
      <c r="Q121" s="55" t="n">
        <f aca="false">IF(P121,IF(01_因子設定!$B$13="最大化",N121-01_因子設定!$B$14,IF(01_因子設定!$B$13="最小化",01_因子設定!$B$15-O121,MIN(N121-01_因子設定!$B$14,01_因子設定!$B$15-O121))),-1E+030)</f>
        <v>-3.70655069473065</v>
      </c>
      <c r="R121" s="55" t="n">
        <f aca="false">IF(P121,IF(01_因子設定!$B$13="最大化",K121,IF(01_因子設定!$B$13="最小化",-K121,-ABS(K121-01_因子設定!$B$16))),-1E+030)</f>
        <v>44.4163879310345</v>
      </c>
      <c r="S121" s="55" t="n">
        <f aca="false">Q121+ROW()*0.000000001</f>
        <v>-3.70655057373065</v>
      </c>
      <c r="T121" s="55" t="n">
        <f aca="false">R121+ROW()*0.000000001</f>
        <v>44.4163880520345</v>
      </c>
    </row>
    <row r="122" customFormat="false" ht="15" hidden="false" customHeight="false" outlineLevel="0" collapsed="false">
      <c r="A122" s="0" t="n">
        <v>2</v>
      </c>
      <c r="B122" s="0" t="n">
        <v>35</v>
      </c>
      <c r="C122" s="0" t="n">
        <f aca="false">-1+A122*0.05</f>
        <v>-0.9</v>
      </c>
      <c r="D122" s="0" t="n">
        <f aca="false">-1+B122*0.05</f>
        <v>0.75</v>
      </c>
      <c r="E122" s="0" t="n">
        <f aca="false">1</f>
        <v>1</v>
      </c>
      <c r="F122" s="0" t="n">
        <f aca="false">C122</f>
        <v>-0.9</v>
      </c>
      <c r="G122" s="0" t="n">
        <f aca="false">D122</f>
        <v>0.75</v>
      </c>
      <c r="H122" s="0" t="n">
        <f aca="false">C122*D122</f>
        <v>-0.675</v>
      </c>
      <c r="I122" s="0" t="n">
        <f aca="false">C122*C122</f>
        <v>0.81</v>
      </c>
      <c r="J122" s="0" t="n">
        <f aca="false">D122*D122</f>
        <v>0.5625</v>
      </c>
      <c r="K122" s="0" t="n">
        <f aca="false">SUMPRODUCT(E122:J122,_XtX!$B$53:$G$53)</f>
        <v>44.3933879310345</v>
      </c>
      <c r="L122" s="0" t="n">
        <f aca="false">SUMPRODUCT(MMULT(E122:J122,_XtX!$B$44:$G$49),E122:J122)</f>
        <v>0.457529202586207</v>
      </c>
      <c r="M122" s="0" t="n">
        <f aca="false">04_回帰ANOVA!$K$19*04_回帰ANOVA!$K$14*SQRT(1+L122)</f>
        <v>1.63600717784344</v>
      </c>
      <c r="N122" s="0" t="n">
        <f aca="false">K122-M122</f>
        <v>42.757380753191</v>
      </c>
      <c r="O122" s="0" t="n">
        <f aca="false">K122+M122</f>
        <v>46.0293951088779</v>
      </c>
      <c r="P122" s="54" t="b">
        <f aca="false">AND(C122&gt;=01_因子設定!$L$5-0.000000001,C122&lt;=01_因子設定!$M$5+0.000000001,D122&gt;=01_因子設定!$L$6-0.000000001,D122&lt;=01_因子設定!$M$6+0.000000001,IF(01_因子設定!$B$20="Box-Behnken",C122^2+D122^2&lt;=2+0.000000001,TRUE()))</f>
        <v>1</v>
      </c>
      <c r="Q122" s="55" t="n">
        <f aca="false">IF(P122,IF(01_因子設定!$B$13="最大化",N122-01_因子設定!$B$14,IF(01_因子設定!$B$13="最小化",01_因子設定!$B$15-O122,MIN(N122-01_因子設定!$B$14,01_因子設定!$B$15-O122))),-1E+030)</f>
        <v>-3.74261924680898</v>
      </c>
      <c r="R122" s="55" t="n">
        <f aca="false">IF(P122,IF(01_因子設定!$B$13="最大化",K122,IF(01_因子設定!$B$13="最小化",-K122,-ABS(K122-01_因子設定!$B$16))),-1E+030)</f>
        <v>44.3933879310345</v>
      </c>
      <c r="S122" s="55" t="n">
        <f aca="false">Q122+ROW()*0.000000001</f>
        <v>-3.74261912480898</v>
      </c>
      <c r="T122" s="55" t="n">
        <f aca="false">R122+ROW()*0.000000001</f>
        <v>44.3933880530345</v>
      </c>
    </row>
    <row r="123" customFormat="false" ht="15" hidden="false" customHeight="false" outlineLevel="0" collapsed="false">
      <c r="A123" s="0" t="n">
        <v>2</v>
      </c>
      <c r="B123" s="0" t="n">
        <v>36</v>
      </c>
      <c r="C123" s="0" t="n">
        <f aca="false">-1+A123*0.05</f>
        <v>-0.9</v>
      </c>
      <c r="D123" s="0" t="n">
        <f aca="false">-1+B123*0.05</f>
        <v>0.8</v>
      </c>
      <c r="E123" s="0" t="n">
        <f aca="false">1</f>
        <v>1</v>
      </c>
      <c r="F123" s="0" t="n">
        <f aca="false">C123</f>
        <v>-0.9</v>
      </c>
      <c r="G123" s="0" t="n">
        <f aca="false">D123</f>
        <v>0.8</v>
      </c>
      <c r="H123" s="0" t="n">
        <f aca="false">C123*D123</f>
        <v>-0.72</v>
      </c>
      <c r="I123" s="0" t="n">
        <f aca="false">C123*C123</f>
        <v>0.81</v>
      </c>
      <c r="J123" s="0" t="n">
        <f aca="false">D123*D123</f>
        <v>0.64</v>
      </c>
      <c r="K123" s="0" t="n">
        <f aca="false">SUMPRODUCT(E123:J123,_XtX!$B$53:$G$53)</f>
        <v>44.3626724137931</v>
      </c>
      <c r="L123" s="0" t="n">
        <f aca="false">SUMPRODUCT(MMULT(E123:J123,_XtX!$B$44:$G$49),E123:J123)</f>
        <v>0.486530459770115</v>
      </c>
      <c r="M123" s="0" t="n">
        <f aca="false">04_回帰ANOVA!$K$19*04_回帰ANOVA!$K$14*SQRT(1+L123)</f>
        <v>1.65220327464334</v>
      </c>
      <c r="N123" s="0" t="n">
        <f aca="false">K123-M123</f>
        <v>42.7104691391498</v>
      </c>
      <c r="O123" s="0" t="n">
        <f aca="false">K123+M123</f>
        <v>46.0148756884364</v>
      </c>
      <c r="P123" s="54" t="b">
        <f aca="false">AND(C123&gt;=01_因子設定!$L$5-0.000000001,C123&lt;=01_因子設定!$M$5+0.000000001,D123&gt;=01_因子設定!$L$6-0.000000001,D123&lt;=01_因子設定!$M$6+0.000000001,IF(01_因子設定!$B$20="Box-Behnken",C123^2+D123^2&lt;=2+0.000000001,TRUE()))</f>
        <v>1</v>
      </c>
      <c r="Q123" s="55" t="n">
        <f aca="false">IF(P123,IF(01_因子設定!$B$13="最大化",N123-01_因子設定!$B$14,IF(01_因子設定!$B$13="最小化",01_因子設定!$B$15-O123,MIN(N123-01_因子設定!$B$14,01_因子設定!$B$15-O123))),-1E+030)</f>
        <v>-3.78953086085025</v>
      </c>
      <c r="R123" s="55" t="n">
        <f aca="false">IF(P123,IF(01_因子設定!$B$13="最大化",K123,IF(01_因子設定!$B$13="最小化",-K123,-ABS(K123-01_因子設定!$B$16))),-1E+030)</f>
        <v>44.3626724137931</v>
      </c>
      <c r="S123" s="55" t="n">
        <f aca="false">Q123+ROW()*0.000000001</f>
        <v>-3.78953073785025</v>
      </c>
      <c r="T123" s="55" t="n">
        <f aca="false">R123+ROW()*0.000000001</f>
        <v>44.3626725367931</v>
      </c>
    </row>
    <row r="124" customFormat="false" ht="15" hidden="false" customHeight="false" outlineLevel="0" collapsed="false">
      <c r="A124" s="0" t="n">
        <v>2</v>
      </c>
      <c r="B124" s="0" t="n">
        <v>37</v>
      </c>
      <c r="C124" s="0" t="n">
        <f aca="false">-1+A124*0.05</f>
        <v>-0.9</v>
      </c>
      <c r="D124" s="0" t="n">
        <f aca="false">-1+B124*0.05</f>
        <v>0.85</v>
      </c>
      <c r="E124" s="0" t="n">
        <f aca="false">1</f>
        <v>1</v>
      </c>
      <c r="F124" s="0" t="n">
        <f aca="false">C124</f>
        <v>-0.9</v>
      </c>
      <c r="G124" s="0" t="n">
        <f aca="false">D124</f>
        <v>0.85</v>
      </c>
      <c r="H124" s="0" t="n">
        <f aca="false">C124*D124</f>
        <v>-0.765</v>
      </c>
      <c r="I124" s="0" t="n">
        <f aca="false">C124*C124</f>
        <v>0.81</v>
      </c>
      <c r="J124" s="0" t="n">
        <f aca="false">D124*D124</f>
        <v>0.7225</v>
      </c>
      <c r="K124" s="0" t="n">
        <f aca="false">SUMPRODUCT(E124:J124,_XtX!$B$53:$G$53)</f>
        <v>44.3242413793103</v>
      </c>
      <c r="L124" s="0" t="n">
        <f aca="false">SUMPRODUCT(MMULT(E124:J124,_XtX!$B$44:$G$49),E124:J124)</f>
        <v>0.522182076149425</v>
      </c>
      <c r="M124" s="0" t="n">
        <f aca="false">04_回帰ANOVA!$K$19*04_回帰ANOVA!$K$14*SQRT(1+L124)</f>
        <v>1.67189836938396</v>
      </c>
      <c r="N124" s="0" t="n">
        <f aca="false">K124-M124</f>
        <v>42.6523430099264</v>
      </c>
      <c r="O124" s="0" t="n">
        <f aca="false">K124+M124</f>
        <v>45.9961397486943</v>
      </c>
      <c r="P124" s="54" t="b">
        <f aca="false">AND(C124&gt;=01_因子設定!$L$5-0.000000001,C124&lt;=01_因子設定!$M$5+0.000000001,D124&gt;=01_因子設定!$L$6-0.000000001,D124&lt;=01_因子設定!$M$6+0.000000001,IF(01_因子設定!$B$20="Box-Behnken",C124^2+D124^2&lt;=2+0.000000001,TRUE()))</f>
        <v>1</v>
      </c>
      <c r="Q124" s="55" t="n">
        <f aca="false">IF(P124,IF(01_因子設定!$B$13="最大化",N124-01_因子設定!$B$14,IF(01_因子設定!$B$13="最小化",01_因子設定!$B$15-O124,MIN(N124-01_因子設定!$B$14,01_因子設定!$B$15-O124))),-1E+030)</f>
        <v>-3.84765699007363</v>
      </c>
      <c r="R124" s="55" t="n">
        <f aca="false">IF(P124,IF(01_因子設定!$B$13="最大化",K124,IF(01_因子設定!$B$13="最小化",-K124,-ABS(K124-01_因子設定!$B$16))),-1E+030)</f>
        <v>44.3242413793103</v>
      </c>
      <c r="S124" s="55" t="n">
        <f aca="false">Q124+ROW()*0.000000001</f>
        <v>-3.84765686607363</v>
      </c>
      <c r="T124" s="55" t="n">
        <f aca="false">R124+ROW()*0.000000001</f>
        <v>44.3242415033103</v>
      </c>
    </row>
    <row r="125" customFormat="false" ht="15" hidden="false" customHeight="false" outlineLevel="0" collapsed="false">
      <c r="A125" s="0" t="n">
        <v>2</v>
      </c>
      <c r="B125" s="0" t="n">
        <v>38</v>
      </c>
      <c r="C125" s="0" t="n">
        <f aca="false">-1+A125*0.05</f>
        <v>-0.9</v>
      </c>
      <c r="D125" s="0" t="n">
        <f aca="false">-1+B125*0.05</f>
        <v>0.9</v>
      </c>
      <c r="E125" s="0" t="n">
        <f aca="false">1</f>
        <v>1</v>
      </c>
      <c r="F125" s="0" t="n">
        <f aca="false">C125</f>
        <v>-0.9</v>
      </c>
      <c r="G125" s="0" t="n">
        <f aca="false">D125</f>
        <v>0.9</v>
      </c>
      <c r="H125" s="0" t="n">
        <f aca="false">C125*D125</f>
        <v>-0.81</v>
      </c>
      <c r="I125" s="0" t="n">
        <f aca="false">C125*C125</f>
        <v>0.81</v>
      </c>
      <c r="J125" s="0" t="n">
        <f aca="false">D125*D125</f>
        <v>0.81</v>
      </c>
      <c r="K125" s="0" t="n">
        <f aca="false">SUMPRODUCT(E125:J125,_XtX!$B$53:$G$53)</f>
        <v>44.2780948275862</v>
      </c>
      <c r="L125" s="0" t="n">
        <f aca="false">SUMPRODUCT(MMULT(E125:J125,_XtX!$B$44:$G$49),E125:J125)</f>
        <v>0.565380172413793</v>
      </c>
      <c r="M125" s="0" t="n">
        <f aca="false">04_回帰ANOVA!$K$19*04_回帰ANOVA!$K$14*SQRT(1+L125)</f>
        <v>1.69545585576061</v>
      </c>
      <c r="N125" s="0" t="n">
        <f aca="false">K125-M125</f>
        <v>42.5826389718256</v>
      </c>
      <c r="O125" s="0" t="n">
        <f aca="false">K125+M125</f>
        <v>45.9735506833468</v>
      </c>
      <c r="P125" s="54" t="b">
        <f aca="false">AND(C125&gt;=01_因子設定!$L$5-0.000000001,C125&lt;=01_因子設定!$M$5+0.000000001,D125&gt;=01_因子設定!$L$6-0.000000001,D125&lt;=01_因子設定!$M$6+0.000000001,IF(01_因子設定!$B$20="Box-Behnken",C125^2+D125^2&lt;=2+0.000000001,TRUE()))</f>
        <v>1</v>
      </c>
      <c r="Q125" s="55" t="n">
        <f aca="false">IF(P125,IF(01_因子設定!$B$13="最大化",N125-01_因子設定!$B$14,IF(01_因子設定!$B$13="最小化",01_因子設定!$B$15-O125,MIN(N125-01_因子設定!$B$14,01_因子設定!$B$15-O125))),-1E+030)</f>
        <v>-3.91736102817441</v>
      </c>
      <c r="R125" s="55" t="n">
        <f aca="false">IF(P125,IF(01_因子設定!$B$13="最大化",K125,IF(01_因子設定!$B$13="最小化",-K125,-ABS(K125-01_因子設定!$B$16))),-1E+030)</f>
        <v>44.2780948275862</v>
      </c>
      <c r="S125" s="55" t="n">
        <f aca="false">Q125+ROW()*0.000000001</f>
        <v>-3.91736090317441</v>
      </c>
      <c r="T125" s="55" t="n">
        <f aca="false">R125+ROW()*0.000000001</f>
        <v>44.2780949525862</v>
      </c>
    </row>
    <row r="126" customFormat="false" ht="15" hidden="false" customHeight="false" outlineLevel="0" collapsed="false">
      <c r="A126" s="0" t="n">
        <v>2</v>
      </c>
      <c r="B126" s="0" t="n">
        <v>39</v>
      </c>
      <c r="C126" s="0" t="n">
        <f aca="false">-1+A126*0.05</f>
        <v>-0.9</v>
      </c>
      <c r="D126" s="0" t="n">
        <f aca="false">-1+B126*0.05</f>
        <v>0.95</v>
      </c>
      <c r="E126" s="0" t="n">
        <f aca="false">1</f>
        <v>1</v>
      </c>
      <c r="F126" s="0" t="n">
        <f aca="false">C126</f>
        <v>-0.9</v>
      </c>
      <c r="G126" s="0" t="n">
        <f aca="false">D126</f>
        <v>0.95</v>
      </c>
      <c r="H126" s="0" t="n">
        <f aca="false">C126*D126</f>
        <v>-0.855</v>
      </c>
      <c r="I126" s="0" t="n">
        <f aca="false">C126*C126</f>
        <v>0.81</v>
      </c>
      <c r="J126" s="0" t="n">
        <f aca="false">D126*D126</f>
        <v>0.9025</v>
      </c>
      <c r="K126" s="0" t="n">
        <f aca="false">SUMPRODUCT(E126:J126,_XtX!$B$53:$G$53)</f>
        <v>44.2242327586207</v>
      </c>
      <c r="L126" s="0" t="n">
        <f aca="false">SUMPRODUCT(MMULT(E126:J126,_XtX!$B$44:$G$49),E126:J126)</f>
        <v>0.617075179597701</v>
      </c>
      <c r="M126" s="0" t="n">
        <f aca="false">04_回帰ANOVA!$K$19*04_回帰ANOVA!$K$14*SQRT(1+L126)</f>
        <v>1.72322377517336</v>
      </c>
      <c r="N126" s="0" t="n">
        <f aca="false">K126-M126</f>
        <v>42.5010089834473</v>
      </c>
      <c r="O126" s="0" t="n">
        <f aca="false">K126+M126</f>
        <v>45.947456533794</v>
      </c>
      <c r="P126" s="54" t="b">
        <f aca="false">AND(C126&gt;=01_因子設定!$L$5-0.000000001,C126&lt;=01_因子設定!$M$5+0.000000001,D126&gt;=01_因子設定!$L$6-0.000000001,D126&lt;=01_因子設定!$M$6+0.000000001,IF(01_因子設定!$B$20="Box-Behnken",C126^2+D126^2&lt;=2+0.000000001,TRUE()))</f>
        <v>1</v>
      </c>
      <c r="Q126" s="55" t="n">
        <f aca="false">IF(P126,IF(01_因子設定!$B$13="最大化",N126-01_因子設定!$B$14,IF(01_因子設定!$B$13="最小化",01_因子設定!$B$15-O126,MIN(N126-01_因子設定!$B$14,01_因子設定!$B$15-O126))),-1E+030)</f>
        <v>-3.99899101655269</v>
      </c>
      <c r="R126" s="55" t="n">
        <f aca="false">IF(P126,IF(01_因子設定!$B$13="最大化",K126,IF(01_因子設定!$B$13="最小化",-K126,-ABS(K126-01_因子設定!$B$16))),-1E+030)</f>
        <v>44.2242327586207</v>
      </c>
      <c r="S126" s="55" t="n">
        <f aca="false">Q126+ROW()*0.000000001</f>
        <v>-3.99899089055269</v>
      </c>
      <c r="T126" s="55" t="n">
        <f aca="false">R126+ROW()*0.000000001</f>
        <v>44.2242328846207</v>
      </c>
    </row>
    <row r="127" customFormat="false" ht="15" hidden="false" customHeight="false" outlineLevel="0" collapsed="false">
      <c r="A127" s="0" t="n">
        <v>2</v>
      </c>
      <c r="B127" s="0" t="n">
        <v>40</v>
      </c>
      <c r="C127" s="0" t="n">
        <f aca="false">-1+A127*0.05</f>
        <v>-0.9</v>
      </c>
      <c r="D127" s="0" t="n">
        <f aca="false">-1+B127*0.05</f>
        <v>1</v>
      </c>
      <c r="E127" s="0" t="n">
        <f aca="false">1</f>
        <v>1</v>
      </c>
      <c r="F127" s="0" t="n">
        <f aca="false">C127</f>
        <v>-0.9</v>
      </c>
      <c r="G127" s="0" t="n">
        <f aca="false">D127</f>
        <v>1</v>
      </c>
      <c r="H127" s="0" t="n">
        <f aca="false">C127*D127</f>
        <v>-0.9</v>
      </c>
      <c r="I127" s="0" t="n">
        <f aca="false">C127*C127</f>
        <v>0.81</v>
      </c>
      <c r="J127" s="0" t="n">
        <f aca="false">D127*D127</f>
        <v>1</v>
      </c>
      <c r="K127" s="0" t="n">
        <f aca="false">SUMPRODUCT(E127:J127,_XtX!$B$53:$G$53)</f>
        <v>44.1626551724138</v>
      </c>
      <c r="L127" s="0" t="n">
        <f aca="false">SUMPRODUCT(MMULT(E127:J127,_XtX!$B$44:$G$49),E127:J127)</f>
        <v>0.67827183908046</v>
      </c>
      <c r="M127" s="0" t="n">
        <f aca="false">04_回帰ANOVA!$K$19*04_回帰ANOVA!$K$14*SQRT(1+L127)</f>
        <v>1.7555278596526</v>
      </c>
      <c r="N127" s="0" t="n">
        <f aca="false">K127-M127</f>
        <v>42.4071273127612</v>
      </c>
      <c r="O127" s="0" t="n">
        <f aca="false">K127+M127</f>
        <v>45.9181830320664</v>
      </c>
      <c r="P127" s="54" t="b">
        <f aca="false">AND(C127&gt;=01_因子設定!$L$5-0.000000001,C127&lt;=01_因子設定!$M$5+0.000000001,D127&gt;=01_因子設定!$L$6-0.000000001,D127&lt;=01_因子設定!$M$6+0.000000001,IF(01_因子設定!$B$20="Box-Behnken",C127^2+D127^2&lt;=2+0.000000001,TRUE()))</f>
        <v>1</v>
      </c>
      <c r="Q127" s="55" t="n">
        <f aca="false">IF(P127,IF(01_因子設定!$B$13="最大化",N127-01_因子設定!$B$14,IF(01_因子設定!$B$13="最小化",01_因子設定!$B$15-O127,MIN(N127-01_因子設定!$B$14,01_因子設定!$B$15-O127))),-1E+030)</f>
        <v>-4.09287268723882</v>
      </c>
      <c r="R127" s="55" t="n">
        <f aca="false">IF(P127,IF(01_因子設定!$B$13="最大化",K127,IF(01_因子設定!$B$13="最小化",-K127,-ABS(K127-01_因子設定!$B$16))),-1E+030)</f>
        <v>44.1626551724138</v>
      </c>
      <c r="S127" s="55" t="n">
        <f aca="false">Q127+ROW()*0.000000001</f>
        <v>-4.09287256023882</v>
      </c>
      <c r="T127" s="55" t="n">
        <f aca="false">R127+ROW()*0.000000001</f>
        <v>44.1626552994138</v>
      </c>
    </row>
    <row r="128" customFormat="false" ht="15" hidden="false" customHeight="false" outlineLevel="0" collapsed="false">
      <c r="A128" s="0" t="n">
        <v>3</v>
      </c>
      <c r="B128" s="0" t="n">
        <v>0</v>
      </c>
      <c r="C128" s="0" t="n">
        <f aca="false">-1+A128*0.05</f>
        <v>-0.85</v>
      </c>
      <c r="D128" s="0" t="n">
        <f aca="false">-1+B128*0.05</f>
        <v>-1</v>
      </c>
      <c r="E128" s="0" t="n">
        <f aca="false">1</f>
        <v>1</v>
      </c>
      <c r="F128" s="0" t="n">
        <f aca="false">C128</f>
        <v>-0.85</v>
      </c>
      <c r="G128" s="0" t="n">
        <f aca="false">D128</f>
        <v>-1</v>
      </c>
      <c r="H128" s="0" t="n">
        <f aca="false">C128*D128</f>
        <v>0.85</v>
      </c>
      <c r="I128" s="0" t="n">
        <f aca="false">C128*C128</f>
        <v>0.7225</v>
      </c>
      <c r="J128" s="0" t="n">
        <f aca="false">D128*D128</f>
        <v>1</v>
      </c>
      <c r="K128" s="0" t="n">
        <f aca="false">SUMPRODUCT(E128:J128,_XtX!$B$53:$G$53)</f>
        <v>40.9272600574713</v>
      </c>
      <c r="L128" s="0" t="n">
        <f aca="false">SUMPRODUCT(MMULT(E128:J128,_XtX!$B$44:$G$49),E128:J128)</f>
        <v>0.635503699712644</v>
      </c>
      <c r="M128" s="0" t="n">
        <f aca="false">04_回帰ANOVA!$K$19*04_回帰ANOVA!$K$14*SQRT(1+L128)</f>
        <v>1.73301506394813</v>
      </c>
      <c r="N128" s="0" t="n">
        <f aca="false">K128-M128</f>
        <v>39.1942449935231</v>
      </c>
      <c r="O128" s="0" t="n">
        <f aca="false">K128+M128</f>
        <v>42.6602751214194</v>
      </c>
      <c r="P128" s="54" t="b">
        <f aca="false">AND(C128&gt;=01_因子設定!$L$5-0.000000001,C128&lt;=01_因子設定!$M$5+0.000000001,D128&gt;=01_因子設定!$L$6-0.000000001,D128&lt;=01_因子設定!$M$6+0.000000001,IF(01_因子設定!$B$20="Box-Behnken",C128^2+D128^2&lt;=2+0.000000001,TRUE()))</f>
        <v>1</v>
      </c>
      <c r="Q128" s="55" t="n">
        <f aca="false">IF(P128,IF(01_因子設定!$B$13="最大化",N128-01_因子設定!$B$14,IF(01_因子設定!$B$13="最小化",01_因子設定!$B$15-O128,MIN(N128-01_因子設定!$B$14,01_因子設定!$B$15-O128))),-1E+030)</f>
        <v>-7.30575500647688</v>
      </c>
      <c r="R128" s="55" t="n">
        <f aca="false">IF(P128,IF(01_因子設定!$B$13="最大化",K128,IF(01_因子設定!$B$13="最小化",-K128,-ABS(K128-01_因子設定!$B$16))),-1E+030)</f>
        <v>40.9272600574713</v>
      </c>
      <c r="S128" s="55" t="n">
        <f aca="false">Q128+ROW()*0.000000001</f>
        <v>-7.30575487847688</v>
      </c>
      <c r="T128" s="55" t="n">
        <f aca="false">R128+ROW()*0.000000001</f>
        <v>40.9272601854713</v>
      </c>
    </row>
    <row r="129" customFormat="false" ht="15" hidden="false" customHeight="false" outlineLevel="0" collapsed="false">
      <c r="A129" s="0" t="n">
        <v>3</v>
      </c>
      <c r="B129" s="0" t="n">
        <v>1</v>
      </c>
      <c r="C129" s="0" t="n">
        <f aca="false">-1+A129*0.05</f>
        <v>-0.85</v>
      </c>
      <c r="D129" s="0" t="n">
        <f aca="false">-1+B129*0.05</f>
        <v>-0.95</v>
      </c>
      <c r="E129" s="0" t="n">
        <f aca="false">1</f>
        <v>1</v>
      </c>
      <c r="F129" s="0" t="n">
        <f aca="false">C129</f>
        <v>-0.85</v>
      </c>
      <c r="G129" s="0" t="n">
        <f aca="false">D129</f>
        <v>-0.95</v>
      </c>
      <c r="H129" s="0" t="n">
        <f aca="false">C129*D129</f>
        <v>0.8075</v>
      </c>
      <c r="I129" s="0" t="n">
        <f aca="false">C129*C129</f>
        <v>0.7225</v>
      </c>
      <c r="J129" s="0" t="n">
        <f aca="false">D129*D129</f>
        <v>0.9025</v>
      </c>
      <c r="K129" s="0" t="n">
        <f aca="false">SUMPRODUCT(E129:J129,_XtX!$B$53:$G$53)</f>
        <v>41.1679001436781</v>
      </c>
      <c r="L129" s="0" t="n">
        <f aca="false">SUMPRODUCT(MMULT(E129:J129,_XtX!$B$44:$G$49),E129:J129)</f>
        <v>0.574086404454023</v>
      </c>
      <c r="M129" s="0" t="n">
        <f aca="false">04_回帰ANOVA!$K$19*04_回帰ANOVA!$K$14*SQRT(1+L129)</f>
        <v>1.7001641576124</v>
      </c>
      <c r="N129" s="0" t="n">
        <f aca="false">K129-M129</f>
        <v>39.4677359860658</v>
      </c>
      <c r="O129" s="0" t="n">
        <f aca="false">K129+M129</f>
        <v>42.8680643012905</v>
      </c>
      <c r="P129" s="54" t="b">
        <f aca="false">AND(C129&gt;=01_因子設定!$L$5-0.000000001,C129&lt;=01_因子設定!$M$5+0.000000001,D129&gt;=01_因子設定!$L$6-0.000000001,D129&lt;=01_因子設定!$M$6+0.000000001,IF(01_因子設定!$B$20="Box-Behnken",C129^2+D129^2&lt;=2+0.000000001,TRUE()))</f>
        <v>1</v>
      </c>
      <c r="Q129" s="55" t="n">
        <f aca="false">IF(P129,IF(01_因子設定!$B$13="最大化",N129-01_因子設定!$B$14,IF(01_因子設定!$B$13="最小化",01_因子設定!$B$15-O129,MIN(N129-01_因子設定!$B$14,01_因子設定!$B$15-O129))),-1E+030)</f>
        <v>-7.03226401393425</v>
      </c>
      <c r="R129" s="55" t="n">
        <f aca="false">IF(P129,IF(01_因子設定!$B$13="最大化",K129,IF(01_因子設定!$B$13="最小化",-K129,-ABS(K129-01_因子設定!$B$16))),-1E+030)</f>
        <v>41.1679001436781</v>
      </c>
      <c r="S129" s="55" t="n">
        <f aca="false">Q129+ROW()*0.000000001</f>
        <v>-7.03226388493425</v>
      </c>
      <c r="T129" s="55" t="n">
        <f aca="false">R129+ROW()*0.000000001</f>
        <v>41.1679002726781</v>
      </c>
    </row>
    <row r="130" customFormat="false" ht="15" hidden="false" customHeight="false" outlineLevel="0" collapsed="false">
      <c r="A130" s="0" t="n">
        <v>3</v>
      </c>
      <c r="B130" s="0" t="n">
        <v>2</v>
      </c>
      <c r="C130" s="0" t="n">
        <f aca="false">-1+A130*0.05</f>
        <v>-0.85</v>
      </c>
      <c r="D130" s="0" t="n">
        <f aca="false">-1+B130*0.05</f>
        <v>-0.9</v>
      </c>
      <c r="E130" s="0" t="n">
        <f aca="false">1</f>
        <v>1</v>
      </c>
      <c r="F130" s="0" t="n">
        <f aca="false">C130</f>
        <v>-0.85</v>
      </c>
      <c r="G130" s="0" t="n">
        <f aca="false">D130</f>
        <v>-0.9</v>
      </c>
      <c r="H130" s="0" t="n">
        <f aca="false">C130*D130</f>
        <v>0.765</v>
      </c>
      <c r="I130" s="0" t="n">
        <f aca="false">C130*C130</f>
        <v>0.7225</v>
      </c>
      <c r="J130" s="0" t="n">
        <f aca="false">D130*D130</f>
        <v>0.81</v>
      </c>
      <c r="K130" s="0" t="n">
        <f aca="false">SUMPRODUCT(E130:J130,_XtX!$B$53:$G$53)</f>
        <v>41.4008247126437</v>
      </c>
      <c r="L130" s="0" t="n">
        <f aca="false">SUMPRODUCT(MMULT(E130:J130,_XtX!$B$44:$G$49),E130:J130)</f>
        <v>0.522182076149425</v>
      </c>
      <c r="M130" s="0" t="n">
        <f aca="false">04_回帰ANOVA!$K$19*04_回帰ANOVA!$K$14*SQRT(1+L130)</f>
        <v>1.67189836938396</v>
      </c>
      <c r="N130" s="0" t="n">
        <f aca="false">K130-M130</f>
        <v>39.7289263432597</v>
      </c>
      <c r="O130" s="0" t="n">
        <f aca="false">K130+M130</f>
        <v>43.0727230820276</v>
      </c>
      <c r="P130" s="54" t="b">
        <f aca="false">AND(C130&gt;=01_因子設定!$L$5-0.000000001,C130&lt;=01_因子設定!$M$5+0.000000001,D130&gt;=01_因子設定!$L$6-0.000000001,D130&lt;=01_因子設定!$M$6+0.000000001,IF(01_因子設定!$B$20="Box-Behnken",C130^2+D130^2&lt;=2+0.000000001,TRUE()))</f>
        <v>1</v>
      </c>
      <c r="Q130" s="55" t="n">
        <f aca="false">IF(P130,IF(01_因子設定!$B$13="最大化",N130-01_因子設定!$B$14,IF(01_因子設定!$B$13="最小化",01_因子設定!$B$15-O130,MIN(N130-01_因子設定!$B$14,01_因子設定!$B$15-O130))),-1E+030)</f>
        <v>-6.77107365674029</v>
      </c>
      <c r="R130" s="55" t="n">
        <f aca="false">IF(P130,IF(01_因子設定!$B$13="最大化",K130,IF(01_因子設定!$B$13="最小化",-K130,-ABS(K130-01_因子設定!$B$16))),-1E+030)</f>
        <v>41.4008247126437</v>
      </c>
      <c r="S130" s="55" t="n">
        <f aca="false">Q130+ROW()*0.000000001</f>
        <v>-6.77107352674029</v>
      </c>
      <c r="T130" s="55" t="n">
        <f aca="false">R130+ROW()*0.000000001</f>
        <v>41.4008248426437</v>
      </c>
    </row>
    <row r="131" customFormat="false" ht="15" hidden="false" customHeight="false" outlineLevel="0" collapsed="false">
      <c r="A131" s="0" t="n">
        <v>3</v>
      </c>
      <c r="B131" s="0" t="n">
        <v>3</v>
      </c>
      <c r="C131" s="0" t="n">
        <f aca="false">-1+A131*0.05</f>
        <v>-0.85</v>
      </c>
      <c r="D131" s="0" t="n">
        <f aca="false">-1+B131*0.05</f>
        <v>-0.85</v>
      </c>
      <c r="E131" s="0" t="n">
        <f aca="false">1</f>
        <v>1</v>
      </c>
      <c r="F131" s="0" t="n">
        <f aca="false">C131</f>
        <v>-0.85</v>
      </c>
      <c r="G131" s="0" t="n">
        <f aca="false">D131</f>
        <v>-0.85</v>
      </c>
      <c r="H131" s="0" t="n">
        <f aca="false">C131*D131</f>
        <v>0.7225</v>
      </c>
      <c r="I131" s="0" t="n">
        <f aca="false">C131*C131</f>
        <v>0.7225</v>
      </c>
      <c r="J131" s="0" t="n">
        <f aca="false">D131*D131</f>
        <v>0.7225</v>
      </c>
      <c r="K131" s="0" t="n">
        <f aca="false">SUMPRODUCT(E131:J131,_XtX!$B$53:$G$53)</f>
        <v>41.6260337643678</v>
      </c>
      <c r="L131" s="0" t="n">
        <f aca="false">SUMPRODUCT(MMULT(E131:J131,_XtX!$B$44:$G$49),E131:J131)</f>
        <v>0.47878597341954</v>
      </c>
      <c r="M131" s="0" t="n">
        <f aca="false">04_回帰ANOVA!$K$19*04_回帰ANOVA!$K$14*SQRT(1+L131)</f>
        <v>1.64789385247642</v>
      </c>
      <c r="N131" s="0" t="n">
        <f aca="false">K131-M131</f>
        <v>39.9781399118914</v>
      </c>
      <c r="O131" s="0" t="n">
        <f aca="false">K131+M131</f>
        <v>43.2739276168442</v>
      </c>
      <c r="P131" s="54" t="b">
        <f aca="false">AND(C131&gt;=01_因子設定!$L$5-0.000000001,C131&lt;=01_因子設定!$M$5+0.000000001,D131&gt;=01_因子設定!$L$6-0.000000001,D131&lt;=01_因子設定!$M$6+0.000000001,IF(01_因子設定!$B$20="Box-Behnken",C131^2+D131^2&lt;=2+0.000000001,TRUE()))</f>
        <v>1</v>
      </c>
      <c r="Q131" s="55" t="n">
        <f aca="false">IF(P131,IF(01_因子設定!$B$13="最大化",N131-01_因子設定!$B$14,IF(01_因子設定!$B$13="最小化",01_因子設定!$B$15-O131,MIN(N131-01_因子設定!$B$14,01_因子設定!$B$15-O131))),-1E+030)</f>
        <v>-6.52186008810861</v>
      </c>
      <c r="R131" s="55" t="n">
        <f aca="false">IF(P131,IF(01_因子設定!$B$13="最大化",K131,IF(01_因子設定!$B$13="最小化",-K131,-ABS(K131-01_因子設定!$B$16))),-1E+030)</f>
        <v>41.6260337643678</v>
      </c>
      <c r="S131" s="55" t="n">
        <f aca="false">Q131+ROW()*0.000000001</f>
        <v>-6.52185995710861</v>
      </c>
      <c r="T131" s="55" t="n">
        <f aca="false">R131+ROW()*0.000000001</f>
        <v>41.6260338953678</v>
      </c>
    </row>
    <row r="132" customFormat="false" ht="15" hidden="false" customHeight="false" outlineLevel="0" collapsed="false">
      <c r="A132" s="0" t="n">
        <v>3</v>
      </c>
      <c r="B132" s="0" t="n">
        <v>4</v>
      </c>
      <c r="C132" s="0" t="n">
        <f aca="false">-1+A132*0.05</f>
        <v>-0.85</v>
      </c>
      <c r="D132" s="0" t="n">
        <f aca="false">-1+B132*0.05</f>
        <v>-0.8</v>
      </c>
      <c r="E132" s="0" t="n">
        <f aca="false">1</f>
        <v>1</v>
      </c>
      <c r="F132" s="0" t="n">
        <f aca="false">C132</f>
        <v>-0.85</v>
      </c>
      <c r="G132" s="0" t="n">
        <f aca="false">D132</f>
        <v>-0.8</v>
      </c>
      <c r="H132" s="0" t="n">
        <f aca="false">C132*D132</f>
        <v>0.68</v>
      </c>
      <c r="I132" s="0" t="n">
        <f aca="false">C132*C132</f>
        <v>0.7225</v>
      </c>
      <c r="J132" s="0" t="n">
        <f aca="false">D132*D132</f>
        <v>0.64</v>
      </c>
      <c r="K132" s="0" t="n">
        <f aca="false">SUMPRODUCT(E132:J132,_XtX!$B$53:$G$53)</f>
        <v>41.8435272988506</v>
      </c>
      <c r="L132" s="0" t="n">
        <f aca="false">SUMPRODUCT(MMULT(E132:J132,_XtX!$B$44:$G$49),E132:J132)</f>
        <v>0.442947665229885</v>
      </c>
      <c r="M132" s="0" t="n">
        <f aca="false">04_回帰ANOVA!$K$19*04_回帰ANOVA!$K$14*SQRT(1+L132)</f>
        <v>1.62780306626577</v>
      </c>
      <c r="N132" s="0" t="n">
        <f aca="false">K132-M132</f>
        <v>40.2157242325848</v>
      </c>
      <c r="O132" s="0" t="n">
        <f aca="false">K132+M132</f>
        <v>43.4713303651163</v>
      </c>
      <c r="P132" s="54" t="b">
        <f aca="false">AND(C132&gt;=01_因子設定!$L$5-0.000000001,C132&lt;=01_因子設定!$M$5+0.000000001,D132&gt;=01_因子設定!$L$6-0.000000001,D132&lt;=01_因子設定!$M$6+0.000000001,IF(01_因子設定!$B$20="Box-Behnken",C132^2+D132^2&lt;=2+0.000000001,TRUE()))</f>
        <v>1</v>
      </c>
      <c r="Q132" s="55" t="n">
        <f aca="false">IF(P132,IF(01_因子設定!$B$13="最大化",N132-01_因子設定!$B$14,IF(01_因子設定!$B$13="最小化",01_因子設定!$B$15-O132,MIN(N132-01_因子設定!$B$14,01_因子設定!$B$15-O132))),-1E+030)</f>
        <v>-6.28427576741522</v>
      </c>
      <c r="R132" s="55" t="n">
        <f aca="false">IF(P132,IF(01_因子設定!$B$13="最大化",K132,IF(01_因子設定!$B$13="最小化",-K132,-ABS(K132-01_因子設定!$B$16))),-1E+030)</f>
        <v>41.8435272988506</v>
      </c>
      <c r="S132" s="55" t="n">
        <f aca="false">Q132+ROW()*0.000000001</f>
        <v>-6.28427563541522</v>
      </c>
      <c r="T132" s="55" t="n">
        <f aca="false">R132+ROW()*0.000000001</f>
        <v>41.8435274308506</v>
      </c>
    </row>
    <row r="133" customFormat="false" ht="15" hidden="false" customHeight="false" outlineLevel="0" collapsed="false">
      <c r="A133" s="0" t="n">
        <v>3</v>
      </c>
      <c r="B133" s="0" t="n">
        <v>5</v>
      </c>
      <c r="C133" s="0" t="n">
        <f aca="false">-1+A133*0.05</f>
        <v>-0.85</v>
      </c>
      <c r="D133" s="0" t="n">
        <f aca="false">-1+B133*0.05</f>
        <v>-0.75</v>
      </c>
      <c r="E133" s="0" t="n">
        <f aca="false">1</f>
        <v>1</v>
      </c>
      <c r="F133" s="0" t="n">
        <f aca="false">C133</f>
        <v>-0.85</v>
      </c>
      <c r="G133" s="0" t="n">
        <f aca="false">D133</f>
        <v>-0.75</v>
      </c>
      <c r="H133" s="0" t="n">
        <f aca="false">C133*D133</f>
        <v>0.6375</v>
      </c>
      <c r="I133" s="0" t="n">
        <f aca="false">C133*C133</f>
        <v>0.7225</v>
      </c>
      <c r="J133" s="0" t="n">
        <f aca="false">D133*D133</f>
        <v>0.5625</v>
      </c>
      <c r="K133" s="0" t="n">
        <f aca="false">SUMPRODUCT(E133:J133,_XtX!$B$53:$G$53)</f>
        <v>42.0533053160919</v>
      </c>
      <c r="L133" s="0" t="n">
        <f aca="false">SUMPRODUCT(MMULT(E133:J133,_XtX!$B$44:$G$49),E133:J133)</f>
        <v>0.413771030890805</v>
      </c>
      <c r="M133" s="0" t="n">
        <f aca="false">04_回帰ANOVA!$K$19*04_回帰ANOVA!$K$14*SQRT(1+L133)</f>
        <v>1.61126180232603</v>
      </c>
      <c r="N133" s="0" t="n">
        <f aca="false">K133-M133</f>
        <v>40.4420435137659</v>
      </c>
      <c r="O133" s="0" t="n">
        <f aca="false">K133+M133</f>
        <v>43.664567118418</v>
      </c>
      <c r="P133" s="54" t="b">
        <f aca="false">AND(C133&gt;=01_因子設定!$L$5-0.000000001,C133&lt;=01_因子設定!$M$5+0.000000001,D133&gt;=01_因子設定!$L$6-0.000000001,D133&lt;=01_因子設定!$M$6+0.000000001,IF(01_因子設定!$B$20="Box-Behnken",C133^2+D133^2&lt;=2+0.000000001,TRUE()))</f>
        <v>1</v>
      </c>
      <c r="Q133" s="55" t="n">
        <f aca="false">IF(P133,IF(01_因子設定!$B$13="最大化",N133-01_因子設定!$B$14,IF(01_因子設定!$B$13="最小化",01_因子設定!$B$15-O133,MIN(N133-01_因子設定!$B$14,01_因子設定!$B$15-O133))),-1E+030)</f>
        <v>-6.05795648623408</v>
      </c>
      <c r="R133" s="55" t="n">
        <f aca="false">IF(P133,IF(01_因子設定!$B$13="最大化",K133,IF(01_因子設定!$B$13="最小化",-K133,-ABS(K133-01_因子設定!$B$16))),-1E+030)</f>
        <v>42.0533053160919</v>
      </c>
      <c r="S133" s="55" t="n">
        <f aca="false">Q133+ROW()*0.000000001</f>
        <v>-6.05795635323408</v>
      </c>
      <c r="T133" s="55" t="n">
        <f aca="false">R133+ROW()*0.000000001</f>
        <v>42.0533054490919</v>
      </c>
    </row>
    <row r="134" customFormat="false" ht="15" hidden="false" customHeight="false" outlineLevel="0" collapsed="false">
      <c r="A134" s="0" t="n">
        <v>3</v>
      </c>
      <c r="B134" s="0" t="n">
        <v>6</v>
      </c>
      <c r="C134" s="0" t="n">
        <f aca="false">-1+A134*0.05</f>
        <v>-0.85</v>
      </c>
      <c r="D134" s="0" t="n">
        <f aca="false">-1+B134*0.05</f>
        <v>-0.7</v>
      </c>
      <c r="E134" s="0" t="n">
        <f aca="false">1</f>
        <v>1</v>
      </c>
      <c r="F134" s="0" t="n">
        <f aca="false">C134</f>
        <v>-0.85</v>
      </c>
      <c r="G134" s="0" t="n">
        <f aca="false">D134</f>
        <v>-0.7</v>
      </c>
      <c r="H134" s="0" t="n">
        <f aca="false">C134*D134</f>
        <v>0.595</v>
      </c>
      <c r="I134" s="0" t="n">
        <f aca="false">C134*C134</f>
        <v>0.7225</v>
      </c>
      <c r="J134" s="0" t="n">
        <f aca="false">D134*D134</f>
        <v>0.49</v>
      </c>
      <c r="K134" s="0" t="n">
        <f aca="false">SUMPRODUCT(E134:J134,_XtX!$B$53:$G$53)</f>
        <v>42.2553678160919</v>
      </c>
      <c r="L134" s="0" t="n">
        <f aca="false">SUMPRODUCT(MMULT(E134:J134,_XtX!$B$44:$G$49),E134:J134)</f>
        <v>0.390414260057471</v>
      </c>
      <c r="M134" s="0" t="n">
        <f aca="false">04_回帰ANOVA!$K$19*04_回帰ANOVA!$K$14*SQRT(1+L134)</f>
        <v>1.59789662309984</v>
      </c>
      <c r="N134" s="0" t="n">
        <f aca="false">K134-M134</f>
        <v>40.6574711929921</v>
      </c>
      <c r="O134" s="0" t="n">
        <f aca="false">K134+M134</f>
        <v>43.8532644391918</v>
      </c>
      <c r="P134" s="54" t="b">
        <f aca="false">AND(C134&gt;=01_因子設定!$L$5-0.000000001,C134&lt;=01_因子設定!$M$5+0.000000001,D134&gt;=01_因子設定!$L$6-0.000000001,D134&lt;=01_因子設定!$M$6+0.000000001,IF(01_因子設定!$B$20="Box-Behnken",C134^2+D134^2&lt;=2+0.000000001,TRUE()))</f>
        <v>1</v>
      </c>
      <c r="Q134" s="55" t="n">
        <f aca="false">IF(P134,IF(01_因子設定!$B$13="最大化",N134-01_因子設定!$B$14,IF(01_因子設定!$B$13="最小化",01_因子設定!$B$15-O134,MIN(N134-01_因子設定!$B$14,01_因子設定!$B$15-O134))),-1E+030)</f>
        <v>-5.8425288070079</v>
      </c>
      <c r="R134" s="55" t="n">
        <f aca="false">IF(P134,IF(01_因子設定!$B$13="最大化",K134,IF(01_因子設定!$B$13="最小化",-K134,-ABS(K134-01_因子設定!$B$16))),-1E+030)</f>
        <v>42.2553678160919</v>
      </c>
      <c r="S134" s="55" t="n">
        <f aca="false">Q134+ROW()*0.000000001</f>
        <v>-5.84252867300789</v>
      </c>
      <c r="T134" s="55" t="n">
        <f aca="false">R134+ROW()*0.000000001</f>
        <v>42.2553679500919</v>
      </c>
    </row>
    <row r="135" customFormat="false" ht="15" hidden="false" customHeight="false" outlineLevel="0" collapsed="false">
      <c r="A135" s="0" t="n">
        <v>3</v>
      </c>
      <c r="B135" s="0" t="n">
        <v>7</v>
      </c>
      <c r="C135" s="0" t="n">
        <f aca="false">-1+A135*0.05</f>
        <v>-0.85</v>
      </c>
      <c r="D135" s="0" t="n">
        <f aca="false">-1+B135*0.05</f>
        <v>-0.65</v>
      </c>
      <c r="E135" s="0" t="n">
        <f aca="false">1</f>
        <v>1</v>
      </c>
      <c r="F135" s="0" t="n">
        <f aca="false">C135</f>
        <v>-0.85</v>
      </c>
      <c r="G135" s="0" t="n">
        <f aca="false">D135</f>
        <v>-0.65</v>
      </c>
      <c r="H135" s="0" t="n">
        <f aca="false">C135*D135</f>
        <v>0.5525</v>
      </c>
      <c r="I135" s="0" t="n">
        <f aca="false">C135*C135</f>
        <v>0.7225</v>
      </c>
      <c r="J135" s="0" t="n">
        <f aca="false">D135*D135</f>
        <v>0.4225</v>
      </c>
      <c r="K135" s="0" t="n">
        <f aca="false">SUMPRODUCT(E135:J135,_XtX!$B$53:$G$53)</f>
        <v>42.4497147988506</v>
      </c>
      <c r="L135" s="0" t="n">
        <f aca="false">SUMPRODUCT(MMULT(E135:J135,_XtX!$B$44:$G$49),E135:J135)</f>
        <v>0.372089852729885</v>
      </c>
      <c r="M135" s="0" t="n">
        <f aca="false">04_回帰ANOVA!$K$19*04_回帰ANOVA!$K$14*SQRT(1+L135)</f>
        <v>1.58733228155404</v>
      </c>
      <c r="N135" s="0" t="n">
        <f aca="false">K135-M135</f>
        <v>40.8623825172965</v>
      </c>
      <c r="O135" s="0" t="n">
        <f aca="false">K135+M135</f>
        <v>44.0370470804046</v>
      </c>
      <c r="P135" s="54" t="b">
        <f aca="false">AND(C135&gt;=01_因子設定!$L$5-0.000000001,C135&lt;=01_因子設定!$M$5+0.000000001,D135&gt;=01_因子設定!$L$6-0.000000001,D135&lt;=01_因子設定!$M$6+0.000000001,IF(01_因子設定!$B$20="Box-Behnken",C135^2+D135^2&lt;=2+0.000000001,TRUE()))</f>
        <v>1</v>
      </c>
      <c r="Q135" s="55" t="n">
        <f aca="false">IF(P135,IF(01_因子設定!$B$13="最大化",N135-01_因子設定!$B$14,IF(01_因子設定!$B$13="最小化",01_因子設定!$B$15-O135,MIN(N135-01_因子設定!$B$14,01_因子設定!$B$15-O135))),-1E+030)</f>
        <v>-5.63761748270348</v>
      </c>
      <c r="R135" s="55" t="n">
        <f aca="false">IF(P135,IF(01_因子設定!$B$13="最大化",K135,IF(01_因子設定!$B$13="最小化",-K135,-ABS(K135-01_因子設定!$B$16))),-1E+030)</f>
        <v>42.4497147988506</v>
      </c>
      <c r="S135" s="55" t="n">
        <f aca="false">Q135+ROW()*0.000000001</f>
        <v>-5.63761734770348</v>
      </c>
      <c r="T135" s="55" t="n">
        <f aca="false">R135+ROW()*0.000000001</f>
        <v>42.4497149338506</v>
      </c>
    </row>
    <row r="136" customFormat="false" ht="15" hidden="false" customHeight="false" outlineLevel="0" collapsed="false">
      <c r="A136" s="0" t="n">
        <v>3</v>
      </c>
      <c r="B136" s="0" t="n">
        <v>8</v>
      </c>
      <c r="C136" s="0" t="n">
        <f aca="false">-1+A136*0.05</f>
        <v>-0.85</v>
      </c>
      <c r="D136" s="0" t="n">
        <f aca="false">-1+B136*0.05</f>
        <v>-0.6</v>
      </c>
      <c r="E136" s="0" t="n">
        <f aca="false">1</f>
        <v>1</v>
      </c>
      <c r="F136" s="0" t="n">
        <f aca="false">C136</f>
        <v>-0.85</v>
      </c>
      <c r="G136" s="0" t="n">
        <f aca="false">D136</f>
        <v>-0.6</v>
      </c>
      <c r="H136" s="0" t="n">
        <f aca="false">C136*D136</f>
        <v>0.51</v>
      </c>
      <c r="I136" s="0" t="n">
        <f aca="false">C136*C136</f>
        <v>0.7225</v>
      </c>
      <c r="J136" s="0" t="n">
        <f aca="false">D136*D136</f>
        <v>0.36</v>
      </c>
      <c r="K136" s="0" t="n">
        <f aca="false">SUMPRODUCT(E136:J136,_XtX!$B$53:$G$53)</f>
        <v>42.6363462643678</v>
      </c>
      <c r="L136" s="0" t="n">
        <f aca="false">SUMPRODUCT(MMULT(E136:J136,_XtX!$B$44:$G$49),E136:J136)</f>
        <v>0.358064619252874</v>
      </c>
      <c r="M136" s="0" t="n">
        <f aca="false">04_回帰ANOVA!$K$19*04_回帰ANOVA!$K$14*SQRT(1+L136)</f>
        <v>1.57919874361545</v>
      </c>
      <c r="N136" s="0" t="n">
        <f aca="false">K136-M136</f>
        <v>41.0571475207524</v>
      </c>
      <c r="O136" s="0" t="n">
        <f aca="false">K136+M136</f>
        <v>44.2155450079833</v>
      </c>
      <c r="P136" s="54" t="b">
        <f aca="false">AND(C136&gt;=01_因子設定!$L$5-0.000000001,C136&lt;=01_因子設定!$M$5+0.000000001,D136&gt;=01_因子設定!$L$6-0.000000001,D136&lt;=01_因子設定!$M$6+0.000000001,IF(01_因子設定!$B$20="Box-Behnken",C136^2+D136^2&lt;=2+0.000000001,TRUE()))</f>
        <v>1</v>
      </c>
      <c r="Q136" s="55" t="n">
        <f aca="false">IF(P136,IF(01_因子設定!$B$13="最大化",N136-01_因子設定!$B$14,IF(01_因子設定!$B$13="最小化",01_因子設定!$B$15-O136,MIN(N136-01_因子設定!$B$14,01_因子設定!$B$15-O136))),-1E+030)</f>
        <v>-5.44285247924765</v>
      </c>
      <c r="R136" s="55" t="n">
        <f aca="false">IF(P136,IF(01_因子設定!$B$13="最大化",K136,IF(01_因子設定!$B$13="最小化",-K136,-ABS(K136-01_因子設定!$B$16))),-1E+030)</f>
        <v>42.6363462643678</v>
      </c>
      <c r="S136" s="55" t="n">
        <f aca="false">Q136+ROW()*0.000000001</f>
        <v>-5.44285234324765</v>
      </c>
      <c r="T136" s="55" t="n">
        <f aca="false">R136+ROW()*0.000000001</f>
        <v>42.6363464003678</v>
      </c>
    </row>
    <row r="137" customFormat="false" ht="15" hidden="false" customHeight="false" outlineLevel="0" collapsed="false">
      <c r="A137" s="0" t="n">
        <v>3</v>
      </c>
      <c r="B137" s="0" t="n">
        <v>9</v>
      </c>
      <c r="C137" s="0" t="n">
        <f aca="false">-1+A137*0.05</f>
        <v>-0.85</v>
      </c>
      <c r="D137" s="0" t="n">
        <f aca="false">-1+B137*0.05</f>
        <v>-0.55</v>
      </c>
      <c r="E137" s="0" t="n">
        <f aca="false">1</f>
        <v>1</v>
      </c>
      <c r="F137" s="0" t="n">
        <f aca="false">C137</f>
        <v>-0.85</v>
      </c>
      <c r="G137" s="0" t="n">
        <f aca="false">D137</f>
        <v>-0.55</v>
      </c>
      <c r="H137" s="0" t="n">
        <f aca="false">C137*D137</f>
        <v>0.4675</v>
      </c>
      <c r="I137" s="0" t="n">
        <f aca="false">C137*C137</f>
        <v>0.7225</v>
      </c>
      <c r="J137" s="0" t="n">
        <f aca="false">D137*D137</f>
        <v>0.3025</v>
      </c>
      <c r="K137" s="0" t="n">
        <f aca="false">SUMPRODUCT(E137:J137,_XtX!$B$53:$G$53)</f>
        <v>42.8152622126437</v>
      </c>
      <c r="L137" s="0" t="n">
        <f aca="false">SUMPRODUCT(MMULT(E137:J137,_XtX!$B$44:$G$49),E137:J137)</f>
        <v>0.347659680316092</v>
      </c>
      <c r="M137" s="0" t="n">
        <f aca="false">04_回帰ANOVA!$K$19*04_回帰ANOVA!$K$14*SQRT(1+L137)</f>
        <v>1.57313752229609</v>
      </c>
      <c r="N137" s="0" t="n">
        <f aca="false">K137-M137</f>
        <v>41.2421246903476</v>
      </c>
      <c r="O137" s="0" t="n">
        <f aca="false">K137+M137</f>
        <v>44.3883997349398</v>
      </c>
      <c r="P137" s="54" t="b">
        <f aca="false">AND(C137&gt;=01_因子設定!$L$5-0.000000001,C137&lt;=01_因子設定!$M$5+0.000000001,D137&gt;=01_因子設定!$L$6-0.000000001,D137&lt;=01_因子設定!$M$6+0.000000001,IF(01_因子設定!$B$20="Box-Behnken",C137^2+D137^2&lt;=2+0.000000001,TRUE()))</f>
        <v>1</v>
      </c>
      <c r="Q137" s="55" t="n">
        <f aca="false">IF(P137,IF(01_因子設定!$B$13="最大化",N137-01_因子設定!$B$14,IF(01_因子設定!$B$13="最小化",01_因子設定!$B$15-O137,MIN(N137-01_因子設定!$B$14,01_因子設定!$B$15-O137))),-1E+030)</f>
        <v>-5.25787530965242</v>
      </c>
      <c r="R137" s="55" t="n">
        <f aca="false">IF(P137,IF(01_因子設定!$B$13="最大化",K137,IF(01_因子設定!$B$13="最小化",-K137,-ABS(K137-01_因子設定!$B$16))),-1E+030)</f>
        <v>42.8152622126437</v>
      </c>
      <c r="S137" s="55" t="n">
        <f aca="false">Q137+ROW()*0.000000001</f>
        <v>-5.25787517265242</v>
      </c>
      <c r="T137" s="55" t="n">
        <f aca="false">R137+ROW()*0.000000001</f>
        <v>42.8152623496437</v>
      </c>
    </row>
    <row r="138" customFormat="false" ht="15" hidden="false" customHeight="false" outlineLevel="0" collapsed="false">
      <c r="A138" s="0" t="n">
        <v>3</v>
      </c>
      <c r="B138" s="0" t="n">
        <v>10</v>
      </c>
      <c r="C138" s="0" t="n">
        <f aca="false">-1+A138*0.05</f>
        <v>-0.85</v>
      </c>
      <c r="D138" s="0" t="n">
        <f aca="false">-1+B138*0.05</f>
        <v>-0.5</v>
      </c>
      <c r="E138" s="0" t="n">
        <f aca="false">1</f>
        <v>1</v>
      </c>
      <c r="F138" s="0" t="n">
        <f aca="false">C138</f>
        <v>-0.85</v>
      </c>
      <c r="G138" s="0" t="n">
        <f aca="false">D138</f>
        <v>-0.5</v>
      </c>
      <c r="H138" s="0" t="n">
        <f aca="false">C138*D138</f>
        <v>0.425</v>
      </c>
      <c r="I138" s="0" t="n">
        <f aca="false">C138*C138</f>
        <v>0.7225</v>
      </c>
      <c r="J138" s="0" t="n">
        <f aca="false">D138*D138</f>
        <v>0.25</v>
      </c>
      <c r="K138" s="0" t="n">
        <f aca="false">SUMPRODUCT(E138:J138,_XtX!$B$53:$G$53)</f>
        <v>42.9864626436781</v>
      </c>
      <c r="L138" s="0" t="n">
        <f aca="false">SUMPRODUCT(MMULT(E138:J138,_XtX!$B$44:$G$49),E138:J138)</f>
        <v>0.340250466954023</v>
      </c>
      <c r="M138" s="0" t="n">
        <f aca="false">04_回帰ANOVA!$K$19*04_回帰ANOVA!$K$14*SQRT(1+L138)</f>
        <v>1.56880713525096</v>
      </c>
      <c r="N138" s="0" t="n">
        <f aca="false">K138-M138</f>
        <v>41.4176555084272</v>
      </c>
      <c r="O138" s="0" t="n">
        <f aca="false">K138+M138</f>
        <v>44.5552697789291</v>
      </c>
      <c r="P138" s="54" t="b">
        <f aca="false">AND(C138&gt;=01_因子設定!$L$5-0.000000001,C138&lt;=01_因子設定!$M$5+0.000000001,D138&gt;=01_因子設定!$L$6-0.000000001,D138&lt;=01_因子設定!$M$6+0.000000001,IF(01_因子設定!$B$20="Box-Behnken",C138^2+D138^2&lt;=2+0.000000001,TRUE()))</f>
        <v>1</v>
      </c>
      <c r="Q138" s="55" t="n">
        <f aca="false">IF(P138,IF(01_因子設定!$B$13="最大化",N138-01_因子設定!$B$14,IF(01_因子設定!$B$13="最小化",01_因子設定!$B$15-O138,MIN(N138-01_因子設定!$B$14,01_因子設定!$B$15-O138))),-1E+030)</f>
        <v>-5.08234449157281</v>
      </c>
      <c r="R138" s="55" t="n">
        <f aca="false">IF(P138,IF(01_因子設定!$B$13="最大化",K138,IF(01_因子設定!$B$13="最小化",-K138,-ABS(K138-01_因子設定!$B$16))),-1E+030)</f>
        <v>42.9864626436781</v>
      </c>
      <c r="S138" s="55" t="n">
        <f aca="false">Q138+ROW()*0.000000001</f>
        <v>-5.08234435357281</v>
      </c>
      <c r="T138" s="55" t="n">
        <f aca="false">R138+ROW()*0.000000001</f>
        <v>42.9864627816781</v>
      </c>
    </row>
    <row r="139" customFormat="false" ht="15" hidden="false" customHeight="false" outlineLevel="0" collapsed="false">
      <c r="A139" s="0" t="n">
        <v>3</v>
      </c>
      <c r="B139" s="0" t="n">
        <v>11</v>
      </c>
      <c r="C139" s="0" t="n">
        <f aca="false">-1+A139*0.05</f>
        <v>-0.85</v>
      </c>
      <c r="D139" s="0" t="n">
        <f aca="false">-1+B139*0.05</f>
        <v>-0.45</v>
      </c>
      <c r="E139" s="0" t="n">
        <f aca="false">1</f>
        <v>1</v>
      </c>
      <c r="F139" s="0" t="n">
        <f aca="false">C139</f>
        <v>-0.85</v>
      </c>
      <c r="G139" s="0" t="n">
        <f aca="false">D139</f>
        <v>-0.45</v>
      </c>
      <c r="H139" s="0" t="n">
        <f aca="false">C139*D139</f>
        <v>0.3825</v>
      </c>
      <c r="I139" s="0" t="n">
        <f aca="false">C139*C139</f>
        <v>0.7225</v>
      </c>
      <c r="J139" s="0" t="n">
        <f aca="false">D139*D139</f>
        <v>0.2025</v>
      </c>
      <c r="K139" s="0" t="n">
        <f aca="false">SUMPRODUCT(E139:J139,_XtX!$B$53:$G$53)</f>
        <v>43.1499475574713</v>
      </c>
      <c r="L139" s="0" t="n">
        <f aca="false">SUMPRODUCT(MMULT(E139:J139,_XtX!$B$44:$G$49),E139:J139)</f>
        <v>0.335266720545977</v>
      </c>
      <c r="M139" s="0" t="n">
        <f aca="false">04_回帰ANOVA!$K$19*04_回帰ANOVA!$K$14*SQRT(1+L139)</f>
        <v>1.56588759931073</v>
      </c>
      <c r="N139" s="0" t="n">
        <f aca="false">K139-M139</f>
        <v>41.5840599581605</v>
      </c>
      <c r="O139" s="0" t="n">
        <f aca="false">K139+M139</f>
        <v>44.715835156782</v>
      </c>
      <c r="P139" s="54" t="b">
        <f aca="false">AND(C139&gt;=01_因子設定!$L$5-0.000000001,C139&lt;=01_因子設定!$M$5+0.000000001,D139&gt;=01_因子設定!$L$6-0.000000001,D139&lt;=01_因子設定!$M$6+0.000000001,IF(01_因子設定!$B$20="Box-Behnken",C139^2+D139^2&lt;=2+0.000000001,TRUE()))</f>
        <v>1</v>
      </c>
      <c r="Q139" s="55" t="n">
        <f aca="false">IF(P139,IF(01_因子設定!$B$13="最大化",N139-01_因子設定!$B$14,IF(01_因子設定!$B$13="最小化",01_因子設定!$B$15-O139,MIN(N139-01_因子設定!$B$14,01_因子設定!$B$15-O139))),-1E+030)</f>
        <v>-4.91594004183948</v>
      </c>
      <c r="R139" s="55" t="n">
        <f aca="false">IF(P139,IF(01_因子設定!$B$13="最大化",K139,IF(01_因子設定!$B$13="最小化",-K139,-ABS(K139-01_因子設定!$B$16))),-1E+030)</f>
        <v>43.1499475574713</v>
      </c>
      <c r="S139" s="55" t="n">
        <f aca="false">Q139+ROW()*0.000000001</f>
        <v>-4.91593990283948</v>
      </c>
      <c r="T139" s="55" t="n">
        <f aca="false">R139+ROW()*0.000000001</f>
        <v>43.1499476964713</v>
      </c>
    </row>
    <row r="140" customFormat="false" ht="15" hidden="false" customHeight="false" outlineLevel="0" collapsed="false">
      <c r="A140" s="0" t="n">
        <v>3</v>
      </c>
      <c r="B140" s="0" t="n">
        <v>12</v>
      </c>
      <c r="C140" s="0" t="n">
        <f aca="false">-1+A140*0.05</f>
        <v>-0.85</v>
      </c>
      <c r="D140" s="0" t="n">
        <f aca="false">-1+B140*0.05</f>
        <v>-0.4</v>
      </c>
      <c r="E140" s="0" t="n">
        <f aca="false">1</f>
        <v>1</v>
      </c>
      <c r="F140" s="0" t="n">
        <f aca="false">C140</f>
        <v>-0.85</v>
      </c>
      <c r="G140" s="0" t="n">
        <f aca="false">D140</f>
        <v>-0.4</v>
      </c>
      <c r="H140" s="0" t="n">
        <f aca="false">C140*D140</f>
        <v>0.34</v>
      </c>
      <c r="I140" s="0" t="n">
        <f aca="false">C140*C140</f>
        <v>0.7225</v>
      </c>
      <c r="J140" s="0" t="n">
        <f aca="false">D140*D140</f>
        <v>0.16</v>
      </c>
      <c r="K140" s="0" t="n">
        <f aca="false">SUMPRODUCT(E140:J140,_XtX!$B$53:$G$53)</f>
        <v>43.305716954023</v>
      </c>
      <c r="L140" s="0" t="n">
        <f aca="false">SUMPRODUCT(MMULT(E140:J140,_XtX!$B$44:$G$49),E140:J140)</f>
        <v>0.332192492816092</v>
      </c>
      <c r="M140" s="0" t="n">
        <f aca="false">04_回帰ANOVA!$K$19*04_回帰ANOVA!$K$14*SQRT(1+L140)</f>
        <v>1.56408396375374</v>
      </c>
      <c r="N140" s="0" t="n">
        <f aca="false">K140-M140</f>
        <v>41.7416329902692</v>
      </c>
      <c r="O140" s="0" t="n">
        <f aca="false">K140+M140</f>
        <v>44.8698009177767</v>
      </c>
      <c r="P140" s="54" t="b">
        <f aca="false">AND(C140&gt;=01_因子設定!$L$5-0.000000001,C140&lt;=01_因子設定!$M$5+0.000000001,D140&gt;=01_因子設定!$L$6-0.000000001,D140&lt;=01_因子設定!$M$6+0.000000001,IF(01_因子設定!$B$20="Box-Behnken",C140^2+D140^2&lt;=2+0.000000001,TRUE()))</f>
        <v>1</v>
      </c>
      <c r="Q140" s="55" t="n">
        <f aca="false">IF(P140,IF(01_因子設定!$B$13="最大化",N140-01_因子設定!$B$14,IF(01_因子設定!$B$13="最小化",01_因子設定!$B$15-O140,MIN(N140-01_因子設定!$B$14,01_因子設定!$B$15-O140))),-1E+030)</f>
        <v>-4.75836700973076</v>
      </c>
      <c r="R140" s="55" t="n">
        <f aca="false">IF(P140,IF(01_因子設定!$B$13="最大化",K140,IF(01_因子設定!$B$13="最小化",-K140,-ABS(K140-01_因子設定!$B$16))),-1E+030)</f>
        <v>43.305716954023</v>
      </c>
      <c r="S140" s="55" t="n">
        <f aca="false">Q140+ROW()*0.000000001</f>
        <v>-4.75836686973076</v>
      </c>
      <c r="T140" s="55" t="n">
        <f aca="false">R140+ROW()*0.000000001</f>
        <v>43.305717094023</v>
      </c>
    </row>
    <row r="141" customFormat="false" ht="15" hidden="false" customHeight="false" outlineLevel="0" collapsed="false">
      <c r="A141" s="0" t="n">
        <v>3</v>
      </c>
      <c r="B141" s="0" t="n">
        <v>13</v>
      </c>
      <c r="C141" s="0" t="n">
        <f aca="false">-1+A141*0.05</f>
        <v>-0.85</v>
      </c>
      <c r="D141" s="0" t="n">
        <f aca="false">-1+B141*0.05</f>
        <v>-0.35</v>
      </c>
      <c r="E141" s="0" t="n">
        <f aca="false">1</f>
        <v>1</v>
      </c>
      <c r="F141" s="0" t="n">
        <f aca="false">C141</f>
        <v>-0.85</v>
      </c>
      <c r="G141" s="0" t="n">
        <f aca="false">D141</f>
        <v>-0.35</v>
      </c>
      <c r="H141" s="0" t="n">
        <f aca="false">C141*D141</f>
        <v>0.2975</v>
      </c>
      <c r="I141" s="0" t="n">
        <f aca="false">C141*C141</f>
        <v>0.7225</v>
      </c>
      <c r="J141" s="0" t="n">
        <f aca="false">D141*D141</f>
        <v>0.1225</v>
      </c>
      <c r="K141" s="0" t="n">
        <f aca="false">SUMPRODUCT(E141:J141,_XtX!$B$53:$G$53)</f>
        <v>43.4537708333333</v>
      </c>
      <c r="L141" s="0" t="n">
        <f aca="false">SUMPRODUCT(MMULT(E141:J141,_XtX!$B$44:$G$49),E141:J141)</f>
        <v>0.330566145833333</v>
      </c>
      <c r="M141" s="0" t="n">
        <f aca="false">04_回帰ANOVA!$K$19*04_回帰ANOVA!$K$14*SQRT(1+L141)</f>
        <v>1.5631289515927</v>
      </c>
      <c r="N141" s="0" t="n">
        <f aca="false">K141-M141</f>
        <v>41.8906418817406</v>
      </c>
      <c r="O141" s="0" t="n">
        <f aca="false">K141+M141</f>
        <v>45.016899784926</v>
      </c>
      <c r="P141" s="54" t="b">
        <f aca="false">AND(C141&gt;=01_因子設定!$L$5-0.000000001,C141&lt;=01_因子設定!$M$5+0.000000001,D141&gt;=01_因子設定!$L$6-0.000000001,D141&lt;=01_因子設定!$M$6+0.000000001,IF(01_因子設定!$B$20="Box-Behnken",C141^2+D141^2&lt;=2+0.000000001,TRUE()))</f>
        <v>1</v>
      </c>
      <c r="Q141" s="55" t="n">
        <f aca="false">IF(P141,IF(01_因子設定!$B$13="最大化",N141-01_因子設定!$B$14,IF(01_因子設定!$B$13="最小化",01_因子設定!$B$15-O141,MIN(N141-01_因子設定!$B$14,01_因子設定!$B$15-O141))),-1E+030)</f>
        <v>-4.60935811825938</v>
      </c>
      <c r="R141" s="55" t="n">
        <f aca="false">IF(P141,IF(01_因子設定!$B$13="最大化",K141,IF(01_因子設定!$B$13="最小化",-K141,-ABS(K141-01_因子設定!$B$16))),-1E+030)</f>
        <v>43.4537708333333</v>
      </c>
      <c r="S141" s="55" t="n">
        <f aca="false">Q141+ROW()*0.000000001</f>
        <v>-4.60935797725938</v>
      </c>
      <c r="T141" s="55" t="n">
        <f aca="false">R141+ROW()*0.000000001</f>
        <v>43.4537709743333</v>
      </c>
    </row>
    <row r="142" customFormat="false" ht="15" hidden="false" customHeight="false" outlineLevel="0" collapsed="false">
      <c r="A142" s="0" t="n">
        <v>3</v>
      </c>
      <c r="B142" s="0" t="n">
        <v>14</v>
      </c>
      <c r="C142" s="0" t="n">
        <f aca="false">-1+A142*0.05</f>
        <v>-0.85</v>
      </c>
      <c r="D142" s="0" t="n">
        <f aca="false">-1+B142*0.05</f>
        <v>-0.3</v>
      </c>
      <c r="E142" s="0" t="n">
        <f aca="false">1</f>
        <v>1</v>
      </c>
      <c r="F142" s="0" t="n">
        <f aca="false">C142</f>
        <v>-0.85</v>
      </c>
      <c r="G142" s="0" t="n">
        <f aca="false">D142</f>
        <v>-0.3</v>
      </c>
      <c r="H142" s="0" t="n">
        <f aca="false">C142*D142</f>
        <v>0.255</v>
      </c>
      <c r="I142" s="0" t="n">
        <f aca="false">C142*C142</f>
        <v>0.7225</v>
      </c>
      <c r="J142" s="0" t="n">
        <f aca="false">D142*D142</f>
        <v>0.09</v>
      </c>
      <c r="K142" s="0" t="n">
        <f aca="false">SUMPRODUCT(E142:J142,_XtX!$B$53:$G$53)</f>
        <v>43.5941091954023</v>
      </c>
      <c r="L142" s="0" t="n">
        <f aca="false">SUMPRODUCT(MMULT(E142:J142,_XtX!$B$44:$G$49),E142:J142)</f>
        <v>0.329980352011494</v>
      </c>
      <c r="M142" s="0" t="n">
        <f aca="false">04_回帰ANOVA!$K$19*04_回帰ANOVA!$K$14*SQRT(1+L142)</f>
        <v>1.56278482285818</v>
      </c>
      <c r="N142" s="0" t="n">
        <f aca="false">K142-M142</f>
        <v>42.0313243725441</v>
      </c>
      <c r="O142" s="0" t="n">
        <f aca="false">K142+M142</f>
        <v>45.1568940182605</v>
      </c>
      <c r="P142" s="54" t="b">
        <f aca="false">AND(C142&gt;=01_因子設定!$L$5-0.000000001,C142&lt;=01_因子設定!$M$5+0.000000001,D142&gt;=01_因子設定!$L$6-0.000000001,D142&lt;=01_因子設定!$M$6+0.000000001,IF(01_因子設定!$B$20="Box-Behnken",C142^2+D142^2&lt;=2+0.000000001,TRUE()))</f>
        <v>1</v>
      </c>
      <c r="Q142" s="55" t="n">
        <f aca="false">IF(P142,IF(01_因子設定!$B$13="最大化",N142-01_因子設定!$B$14,IF(01_因子設定!$B$13="最小化",01_因子設定!$B$15-O142,MIN(N142-01_因子設定!$B$14,01_因子設定!$B$15-O142))),-1E+030)</f>
        <v>-4.46867562745589</v>
      </c>
      <c r="R142" s="55" t="n">
        <f aca="false">IF(P142,IF(01_因子設定!$B$13="最大化",K142,IF(01_因子設定!$B$13="最小化",-K142,-ABS(K142-01_因子設定!$B$16))),-1E+030)</f>
        <v>43.5941091954023</v>
      </c>
      <c r="S142" s="55" t="n">
        <f aca="false">Q142+ROW()*0.000000001</f>
        <v>-4.46867548545589</v>
      </c>
      <c r="T142" s="55" t="n">
        <f aca="false">R142+ROW()*0.000000001</f>
        <v>43.5941093374023</v>
      </c>
    </row>
    <row r="143" customFormat="false" ht="15" hidden="false" customHeight="false" outlineLevel="0" collapsed="false">
      <c r="A143" s="0" t="n">
        <v>3</v>
      </c>
      <c r="B143" s="0" t="n">
        <v>15</v>
      </c>
      <c r="C143" s="0" t="n">
        <f aca="false">-1+A143*0.05</f>
        <v>-0.85</v>
      </c>
      <c r="D143" s="0" t="n">
        <f aca="false">-1+B143*0.05</f>
        <v>-0.25</v>
      </c>
      <c r="E143" s="0" t="n">
        <f aca="false">1</f>
        <v>1</v>
      </c>
      <c r="F143" s="0" t="n">
        <f aca="false">C143</f>
        <v>-0.85</v>
      </c>
      <c r="G143" s="0" t="n">
        <f aca="false">D143</f>
        <v>-0.25</v>
      </c>
      <c r="H143" s="0" t="n">
        <f aca="false">C143*D143</f>
        <v>0.2125</v>
      </c>
      <c r="I143" s="0" t="n">
        <f aca="false">C143*C143</f>
        <v>0.7225</v>
      </c>
      <c r="J143" s="0" t="n">
        <f aca="false">D143*D143</f>
        <v>0.0625</v>
      </c>
      <c r="K143" s="0" t="n">
        <f aca="false">SUMPRODUCT(E143:J143,_XtX!$B$53:$G$53)</f>
        <v>43.7267320402299</v>
      </c>
      <c r="L143" s="0" t="n">
        <f aca="false">SUMPRODUCT(MMULT(E143:J143,_XtX!$B$44:$G$49),E143:J143)</f>
        <v>0.330082094109195</v>
      </c>
      <c r="M143" s="0" t="n">
        <f aca="false">04_回帰ANOVA!$K$19*04_回帰ANOVA!$K$14*SQRT(1+L143)</f>
        <v>1.56284459741243</v>
      </c>
      <c r="N143" s="0" t="n">
        <f aca="false">K143-M143</f>
        <v>42.1638874428174</v>
      </c>
      <c r="O143" s="0" t="n">
        <f aca="false">K143+M143</f>
        <v>45.2895766376423</v>
      </c>
      <c r="P143" s="54" t="b">
        <f aca="false">AND(C143&gt;=01_因子設定!$L$5-0.000000001,C143&lt;=01_因子設定!$M$5+0.000000001,D143&gt;=01_因子設定!$L$6-0.000000001,D143&lt;=01_因子設定!$M$6+0.000000001,IF(01_因子設定!$B$20="Box-Behnken",C143^2+D143^2&lt;=2+0.000000001,TRUE()))</f>
        <v>1</v>
      </c>
      <c r="Q143" s="55" t="n">
        <f aca="false">IF(P143,IF(01_因子設定!$B$13="最大化",N143-01_因子設定!$B$14,IF(01_因子設定!$B$13="最小化",01_因子設定!$B$15-O143,MIN(N143-01_因子設定!$B$14,01_因子設定!$B$15-O143))),-1E+030)</f>
        <v>-4.33611255718256</v>
      </c>
      <c r="R143" s="55" t="n">
        <f aca="false">IF(P143,IF(01_因子設定!$B$13="最大化",K143,IF(01_因子設定!$B$13="最小化",-K143,-ABS(K143-01_因子設定!$B$16))),-1E+030)</f>
        <v>43.7267320402299</v>
      </c>
      <c r="S143" s="55" t="n">
        <f aca="false">Q143+ROW()*0.000000001</f>
        <v>-4.33611241418256</v>
      </c>
      <c r="T143" s="55" t="n">
        <f aca="false">R143+ROW()*0.000000001</f>
        <v>43.7267321832299</v>
      </c>
    </row>
    <row r="144" customFormat="false" ht="15" hidden="false" customHeight="false" outlineLevel="0" collapsed="false">
      <c r="A144" s="0" t="n">
        <v>3</v>
      </c>
      <c r="B144" s="0" t="n">
        <v>16</v>
      </c>
      <c r="C144" s="0" t="n">
        <f aca="false">-1+A144*0.05</f>
        <v>-0.85</v>
      </c>
      <c r="D144" s="0" t="n">
        <f aca="false">-1+B144*0.05</f>
        <v>-0.2</v>
      </c>
      <c r="E144" s="0" t="n">
        <f aca="false">1</f>
        <v>1</v>
      </c>
      <c r="F144" s="0" t="n">
        <f aca="false">C144</f>
        <v>-0.85</v>
      </c>
      <c r="G144" s="0" t="n">
        <f aca="false">D144</f>
        <v>-0.2</v>
      </c>
      <c r="H144" s="0" t="n">
        <f aca="false">C144*D144</f>
        <v>0.17</v>
      </c>
      <c r="I144" s="0" t="n">
        <f aca="false">C144*C144</f>
        <v>0.7225</v>
      </c>
      <c r="J144" s="0" t="n">
        <f aca="false">D144*D144</f>
        <v>0.04</v>
      </c>
      <c r="K144" s="0" t="n">
        <f aca="false">SUMPRODUCT(E144:J144,_XtX!$B$53:$G$53)</f>
        <v>43.8516393678161</v>
      </c>
      <c r="L144" s="0" t="n">
        <f aca="false">SUMPRODUCT(MMULT(E144:J144,_XtX!$B$44:$G$49),E144:J144)</f>
        <v>0.330572665229885</v>
      </c>
      <c r="M144" s="0" t="n">
        <f aca="false">04_回帰ANOVA!$K$19*04_回帰ANOVA!$K$14*SQRT(1+L144)</f>
        <v>1.56313278103216</v>
      </c>
      <c r="N144" s="0" t="n">
        <f aca="false">K144-M144</f>
        <v>42.2885065867839</v>
      </c>
      <c r="O144" s="0" t="n">
        <f aca="false">K144+M144</f>
        <v>45.4147721488482</v>
      </c>
      <c r="P144" s="54" t="b">
        <f aca="false">AND(C144&gt;=01_因子設定!$L$5-0.000000001,C144&lt;=01_因子設定!$M$5+0.000000001,D144&gt;=01_因子設定!$L$6-0.000000001,D144&lt;=01_因子設定!$M$6+0.000000001,IF(01_因子設定!$B$20="Box-Behnken",C144^2+D144^2&lt;=2+0.000000001,TRUE()))</f>
        <v>1</v>
      </c>
      <c r="Q144" s="55" t="n">
        <f aca="false">IF(P144,IF(01_因子設定!$B$13="最大化",N144-01_因子設定!$B$14,IF(01_因子設定!$B$13="最小化",01_因子設定!$B$15-O144,MIN(N144-01_因子設定!$B$14,01_因子設定!$B$15-O144))),-1E+030)</f>
        <v>-4.21149341321608</v>
      </c>
      <c r="R144" s="55" t="n">
        <f aca="false">IF(P144,IF(01_因子設定!$B$13="最大化",K144,IF(01_因子設定!$B$13="最小化",-K144,-ABS(K144-01_因子設定!$B$16))),-1E+030)</f>
        <v>43.8516393678161</v>
      </c>
      <c r="S144" s="55" t="n">
        <f aca="false">Q144+ROW()*0.000000001</f>
        <v>-4.21149326921608</v>
      </c>
      <c r="T144" s="55" t="n">
        <f aca="false">R144+ROW()*0.000000001</f>
        <v>43.8516395118161</v>
      </c>
    </row>
    <row r="145" customFormat="false" ht="15" hidden="false" customHeight="false" outlineLevel="0" collapsed="false">
      <c r="A145" s="0" t="n">
        <v>3</v>
      </c>
      <c r="B145" s="0" t="n">
        <v>17</v>
      </c>
      <c r="C145" s="0" t="n">
        <f aca="false">-1+A145*0.05</f>
        <v>-0.85</v>
      </c>
      <c r="D145" s="0" t="n">
        <f aca="false">-1+B145*0.05</f>
        <v>-0.15</v>
      </c>
      <c r="E145" s="0" t="n">
        <f aca="false">1</f>
        <v>1</v>
      </c>
      <c r="F145" s="0" t="n">
        <f aca="false">C145</f>
        <v>-0.85</v>
      </c>
      <c r="G145" s="0" t="n">
        <f aca="false">D145</f>
        <v>-0.15</v>
      </c>
      <c r="H145" s="0" t="n">
        <f aca="false">C145*D145</f>
        <v>0.1275</v>
      </c>
      <c r="I145" s="0" t="n">
        <f aca="false">C145*C145</f>
        <v>0.7225</v>
      </c>
      <c r="J145" s="0" t="n">
        <f aca="false">D145*D145</f>
        <v>0.0225</v>
      </c>
      <c r="K145" s="0" t="n">
        <f aca="false">SUMPRODUCT(E145:J145,_XtX!$B$53:$G$53)</f>
        <v>43.9688311781609</v>
      </c>
      <c r="L145" s="0" t="n">
        <f aca="false">SUMPRODUCT(MMULT(E145:J145,_XtX!$B$44:$G$49),E145:J145)</f>
        <v>0.331207668821839</v>
      </c>
      <c r="M145" s="0" t="n">
        <f aca="false">04_回帰ANOVA!$K$19*04_回帰ANOVA!$K$14*SQRT(1+L145)</f>
        <v>1.56350573192697</v>
      </c>
      <c r="N145" s="0" t="n">
        <f aca="false">K145-M145</f>
        <v>42.4053254462339</v>
      </c>
      <c r="O145" s="0" t="n">
        <f aca="false">K145+M145</f>
        <v>45.5323369100879</v>
      </c>
      <c r="P145" s="54" t="b">
        <f aca="false">AND(C145&gt;=01_因子設定!$L$5-0.000000001,C145&lt;=01_因子設定!$M$5+0.000000001,D145&gt;=01_因子設定!$L$6-0.000000001,D145&lt;=01_因子設定!$M$6+0.000000001,IF(01_因子設定!$B$20="Box-Behnken",C145^2+D145^2&lt;=2+0.000000001,TRUE()))</f>
        <v>1</v>
      </c>
      <c r="Q145" s="55" t="n">
        <f aca="false">IF(P145,IF(01_因子設定!$B$13="最大化",N145-01_因子設定!$B$14,IF(01_因子設定!$B$13="最小化",01_因子設定!$B$15-O145,MIN(N145-01_因子設定!$B$14,01_因子設定!$B$15-O145))),-1E+030)</f>
        <v>-4.09467455376606</v>
      </c>
      <c r="R145" s="55" t="n">
        <f aca="false">IF(P145,IF(01_因子設定!$B$13="最大化",K145,IF(01_因子設定!$B$13="最小化",-K145,-ABS(K145-01_因子設定!$B$16))),-1E+030)</f>
        <v>43.9688311781609</v>
      </c>
      <c r="S145" s="55" t="n">
        <f aca="false">Q145+ROW()*0.000000001</f>
        <v>-4.09467440876606</v>
      </c>
      <c r="T145" s="55" t="n">
        <f aca="false">R145+ROW()*0.000000001</f>
        <v>43.9688313231609</v>
      </c>
    </row>
    <row r="146" customFormat="false" ht="15" hidden="false" customHeight="false" outlineLevel="0" collapsed="false">
      <c r="A146" s="0" t="n">
        <v>3</v>
      </c>
      <c r="B146" s="0" t="n">
        <v>18</v>
      </c>
      <c r="C146" s="0" t="n">
        <f aca="false">-1+A146*0.05</f>
        <v>-0.85</v>
      </c>
      <c r="D146" s="0" t="n">
        <f aca="false">-1+B146*0.05</f>
        <v>-0.1</v>
      </c>
      <c r="E146" s="0" t="n">
        <f aca="false">1</f>
        <v>1</v>
      </c>
      <c r="F146" s="0" t="n">
        <f aca="false">C146</f>
        <v>-0.85</v>
      </c>
      <c r="G146" s="0" t="n">
        <f aca="false">D146</f>
        <v>-0.1</v>
      </c>
      <c r="H146" s="0" t="n">
        <f aca="false">C146*D146</f>
        <v>0.085</v>
      </c>
      <c r="I146" s="0" t="n">
        <f aca="false">C146*C146</f>
        <v>0.7225</v>
      </c>
      <c r="J146" s="0" t="n">
        <f aca="false">D146*D146</f>
        <v>0.01</v>
      </c>
      <c r="K146" s="0" t="n">
        <f aca="false">SUMPRODUCT(E146:J146,_XtX!$B$53:$G$53)</f>
        <v>44.0783074712644</v>
      </c>
      <c r="L146" s="0" t="n">
        <f aca="false">SUMPRODUCT(MMULT(E146:J146,_XtX!$B$44:$G$49),E146:J146)</f>
        <v>0.331797018678161</v>
      </c>
      <c r="M146" s="0" t="n">
        <f aca="false">04_回帰ANOVA!$K$19*04_回帰ANOVA!$K$14*SQRT(1+L146)</f>
        <v>1.56385178984743</v>
      </c>
      <c r="N146" s="0" t="n">
        <f aca="false">K146-M146</f>
        <v>42.5144556814169</v>
      </c>
      <c r="O146" s="0" t="n">
        <f aca="false">K146+M146</f>
        <v>45.6421592611118</v>
      </c>
      <c r="P146" s="54" t="b">
        <f aca="false">AND(C146&gt;=01_因子設定!$L$5-0.000000001,C146&lt;=01_因子設定!$M$5+0.000000001,D146&gt;=01_因子設定!$L$6-0.000000001,D146&lt;=01_因子設定!$M$6+0.000000001,IF(01_因子設定!$B$20="Box-Behnken",C146^2+D146^2&lt;=2+0.000000001,TRUE()))</f>
        <v>1</v>
      </c>
      <c r="Q146" s="55" t="n">
        <f aca="false">IF(P146,IF(01_因子設定!$B$13="最大化",N146-01_因子設定!$B$14,IF(01_因子設定!$B$13="最小化",01_因子設定!$B$15-O146,MIN(N146-01_因子設定!$B$14,01_因子設定!$B$15-O146))),-1E+030)</f>
        <v>-3.98554431858308</v>
      </c>
      <c r="R146" s="55" t="n">
        <f aca="false">IF(P146,IF(01_因子設定!$B$13="最大化",K146,IF(01_因子設定!$B$13="最小化",-K146,-ABS(K146-01_因子設定!$B$16))),-1E+030)</f>
        <v>44.0783074712644</v>
      </c>
      <c r="S146" s="55" t="n">
        <f aca="false">Q146+ROW()*0.000000001</f>
        <v>-3.98554417258308</v>
      </c>
      <c r="T146" s="55" t="n">
        <f aca="false">R146+ROW()*0.000000001</f>
        <v>44.0783076172644</v>
      </c>
    </row>
    <row r="147" customFormat="false" ht="15" hidden="false" customHeight="false" outlineLevel="0" collapsed="false">
      <c r="A147" s="0" t="n">
        <v>3</v>
      </c>
      <c r="B147" s="0" t="n">
        <v>19</v>
      </c>
      <c r="C147" s="0" t="n">
        <f aca="false">-1+A147*0.05</f>
        <v>-0.85</v>
      </c>
      <c r="D147" s="0" t="n">
        <f aca="false">-1+B147*0.05</f>
        <v>-0.0499999999999999</v>
      </c>
      <c r="E147" s="0" t="n">
        <f aca="false">1</f>
        <v>1</v>
      </c>
      <c r="F147" s="0" t="n">
        <f aca="false">C147</f>
        <v>-0.85</v>
      </c>
      <c r="G147" s="0" t="n">
        <f aca="false">D147</f>
        <v>-0.0499999999999999</v>
      </c>
      <c r="H147" s="0" t="n">
        <f aca="false">C147*D147</f>
        <v>0.0424999999999999</v>
      </c>
      <c r="I147" s="0" t="n">
        <f aca="false">C147*C147</f>
        <v>0.7225</v>
      </c>
      <c r="J147" s="0" t="n">
        <f aca="false">D147*D147</f>
        <v>0.00249999999999999</v>
      </c>
      <c r="K147" s="0" t="n">
        <f aca="false">SUMPRODUCT(E147:J147,_XtX!$B$53:$G$53)</f>
        <v>44.1800682471264</v>
      </c>
      <c r="L147" s="0" t="n">
        <f aca="false">SUMPRODUCT(MMULT(E147:J147,_XtX!$B$44:$G$49),E147:J147)</f>
        <v>0.332204938936782</v>
      </c>
      <c r="M147" s="0" t="n">
        <f aca="false">04_回帰ANOVA!$K$19*04_回帰ANOVA!$K$14*SQRT(1+L147)</f>
        <v>1.56409127002983</v>
      </c>
      <c r="N147" s="0" t="n">
        <f aca="false">K147-M147</f>
        <v>42.6159769770966</v>
      </c>
      <c r="O147" s="0" t="n">
        <f aca="false">K147+M147</f>
        <v>45.7441595171563</v>
      </c>
      <c r="P147" s="54" t="b">
        <f aca="false">AND(C147&gt;=01_因子設定!$L$5-0.000000001,C147&lt;=01_因子設定!$M$5+0.000000001,D147&gt;=01_因子設定!$L$6-0.000000001,D147&lt;=01_因子設定!$M$6+0.000000001,IF(01_因子設定!$B$20="Box-Behnken",C147^2+D147^2&lt;=2+0.000000001,TRUE()))</f>
        <v>1</v>
      </c>
      <c r="Q147" s="55" t="n">
        <f aca="false">IF(P147,IF(01_因子設定!$B$13="最大化",N147-01_因子設定!$B$14,IF(01_因子設定!$B$13="最小化",01_因子設定!$B$15-O147,MIN(N147-01_因子設定!$B$14,01_因子設定!$B$15-O147))),-1E+030)</f>
        <v>-3.88402302290341</v>
      </c>
      <c r="R147" s="55" t="n">
        <f aca="false">IF(P147,IF(01_因子設定!$B$13="最大化",K147,IF(01_因子設定!$B$13="最小化",-K147,-ABS(K147-01_因子設定!$B$16))),-1E+030)</f>
        <v>44.1800682471264</v>
      </c>
      <c r="S147" s="55" t="n">
        <f aca="false">Q147+ROW()*0.000000001</f>
        <v>-3.88402287590341</v>
      </c>
      <c r="T147" s="55" t="n">
        <f aca="false">R147+ROW()*0.000000001</f>
        <v>44.1800683941264</v>
      </c>
    </row>
    <row r="148" customFormat="false" ht="15" hidden="false" customHeight="false" outlineLevel="0" collapsed="false">
      <c r="A148" s="0" t="n">
        <v>3</v>
      </c>
      <c r="B148" s="0" t="n">
        <v>20</v>
      </c>
      <c r="C148" s="0" t="n">
        <f aca="false">-1+A148*0.05</f>
        <v>-0.85</v>
      </c>
      <c r="D148" s="0" t="n">
        <f aca="false">-1+B148*0.05</f>
        <v>0</v>
      </c>
      <c r="E148" s="0" t="n">
        <f aca="false">1</f>
        <v>1</v>
      </c>
      <c r="F148" s="0" t="n">
        <f aca="false">C148</f>
        <v>-0.85</v>
      </c>
      <c r="G148" s="0" t="n">
        <f aca="false">D148</f>
        <v>0</v>
      </c>
      <c r="H148" s="0" t="n">
        <f aca="false">C148*D148</f>
        <v>-0</v>
      </c>
      <c r="I148" s="0" t="n">
        <f aca="false">C148*C148</f>
        <v>0.7225</v>
      </c>
      <c r="J148" s="0" t="n">
        <f aca="false">D148*D148</f>
        <v>0</v>
      </c>
      <c r="K148" s="0" t="n">
        <f aca="false">SUMPRODUCT(E148:J148,_XtX!$B$53:$G$53)</f>
        <v>44.2741135057471</v>
      </c>
      <c r="L148" s="0" t="n">
        <f aca="false">SUMPRODUCT(MMULT(E148:J148,_XtX!$B$44:$G$49),E148:J148)</f>
        <v>0.33234996408046</v>
      </c>
      <c r="M148" s="0" t="n">
        <f aca="false">04_回帰ANOVA!$K$19*04_回帰ANOVA!$K$14*SQRT(1+L148)</f>
        <v>1.5641764019722</v>
      </c>
      <c r="N148" s="0" t="n">
        <f aca="false">K148-M148</f>
        <v>42.7099371037749</v>
      </c>
      <c r="O148" s="0" t="n">
        <f aca="false">K148+M148</f>
        <v>45.8382899077193</v>
      </c>
      <c r="P148" s="54" t="b">
        <f aca="false">AND(C148&gt;=01_因子設定!$L$5-0.000000001,C148&lt;=01_因子設定!$M$5+0.000000001,D148&gt;=01_因子設定!$L$6-0.000000001,D148&lt;=01_因子設定!$M$6+0.000000001,IF(01_因子設定!$B$20="Box-Behnken",C148^2+D148^2&lt;=2+0.000000001,TRUE()))</f>
        <v>1</v>
      </c>
      <c r="Q148" s="55" t="n">
        <f aca="false">IF(P148,IF(01_因子設定!$B$13="最大化",N148-01_因子設定!$B$14,IF(01_因子設定!$B$13="最小化",01_因子設定!$B$15-O148,MIN(N148-01_因子設定!$B$14,01_因子設定!$B$15-O148))),-1E+030)</f>
        <v>-3.7900628962251</v>
      </c>
      <c r="R148" s="55" t="n">
        <f aca="false">IF(P148,IF(01_因子設定!$B$13="最大化",K148,IF(01_因子設定!$B$13="最小化",-K148,-ABS(K148-01_因子設定!$B$16))),-1E+030)</f>
        <v>44.2741135057471</v>
      </c>
      <c r="S148" s="55" t="n">
        <f aca="false">Q148+ROW()*0.000000001</f>
        <v>-3.7900627482251</v>
      </c>
      <c r="T148" s="55" t="n">
        <f aca="false">R148+ROW()*0.000000001</f>
        <v>44.2741136537471</v>
      </c>
    </row>
    <row r="149" customFormat="false" ht="15" hidden="false" customHeight="false" outlineLevel="0" collapsed="false">
      <c r="A149" s="0" t="n">
        <v>3</v>
      </c>
      <c r="B149" s="0" t="n">
        <v>21</v>
      </c>
      <c r="C149" s="0" t="n">
        <f aca="false">-1+A149*0.05</f>
        <v>-0.85</v>
      </c>
      <c r="D149" s="0" t="n">
        <f aca="false">-1+B149*0.05</f>
        <v>0.05</v>
      </c>
      <c r="E149" s="0" t="n">
        <f aca="false">1</f>
        <v>1</v>
      </c>
      <c r="F149" s="0" t="n">
        <f aca="false">C149</f>
        <v>-0.85</v>
      </c>
      <c r="G149" s="0" t="n">
        <f aca="false">D149</f>
        <v>0.05</v>
      </c>
      <c r="H149" s="0" t="n">
        <f aca="false">C149*D149</f>
        <v>-0.0425</v>
      </c>
      <c r="I149" s="0" t="n">
        <f aca="false">C149*C149</f>
        <v>0.7225</v>
      </c>
      <c r="J149" s="0" t="n">
        <f aca="false">D149*D149</f>
        <v>0.0025</v>
      </c>
      <c r="K149" s="0" t="n">
        <f aca="false">SUMPRODUCT(E149:J149,_XtX!$B$53:$G$53)</f>
        <v>44.3604432471264</v>
      </c>
      <c r="L149" s="0" t="n">
        <f aca="false">SUMPRODUCT(MMULT(E149:J149,_XtX!$B$44:$G$49),E149:J149)</f>
        <v>0.332204938936782</v>
      </c>
      <c r="M149" s="0" t="n">
        <f aca="false">04_回帰ANOVA!$K$19*04_回帰ANOVA!$K$14*SQRT(1+L149)</f>
        <v>1.56409127002983</v>
      </c>
      <c r="N149" s="0" t="n">
        <f aca="false">K149-M149</f>
        <v>42.7963519770966</v>
      </c>
      <c r="O149" s="0" t="n">
        <f aca="false">K149+M149</f>
        <v>45.9245345171562</v>
      </c>
      <c r="P149" s="54" t="b">
        <f aca="false">AND(C149&gt;=01_因子設定!$L$5-0.000000001,C149&lt;=01_因子設定!$M$5+0.000000001,D149&gt;=01_因子設定!$L$6-0.000000001,D149&lt;=01_因子設定!$M$6+0.000000001,IF(01_因子設定!$B$20="Box-Behnken",C149^2+D149^2&lt;=2+0.000000001,TRUE()))</f>
        <v>1</v>
      </c>
      <c r="Q149" s="55" t="n">
        <f aca="false">IF(P149,IF(01_因子設定!$B$13="最大化",N149-01_因子設定!$B$14,IF(01_因子設定!$B$13="最小化",01_因子設定!$B$15-O149,MIN(N149-01_因子設定!$B$14,01_因子設定!$B$15-O149))),-1E+030)</f>
        <v>-3.70364802290341</v>
      </c>
      <c r="R149" s="55" t="n">
        <f aca="false">IF(P149,IF(01_因子設定!$B$13="最大化",K149,IF(01_因子設定!$B$13="最小化",-K149,-ABS(K149-01_因子設定!$B$16))),-1E+030)</f>
        <v>44.3604432471264</v>
      </c>
      <c r="S149" s="55" t="n">
        <f aca="false">Q149+ROW()*0.000000001</f>
        <v>-3.70364787390341</v>
      </c>
      <c r="T149" s="55" t="n">
        <f aca="false">R149+ROW()*0.000000001</f>
        <v>44.3604433961264</v>
      </c>
    </row>
    <row r="150" customFormat="false" ht="15" hidden="false" customHeight="false" outlineLevel="0" collapsed="false">
      <c r="A150" s="0" t="n">
        <v>3</v>
      </c>
      <c r="B150" s="0" t="n">
        <v>22</v>
      </c>
      <c r="C150" s="0" t="n">
        <f aca="false">-1+A150*0.05</f>
        <v>-0.85</v>
      </c>
      <c r="D150" s="0" t="n">
        <f aca="false">-1+B150*0.05</f>
        <v>0.1</v>
      </c>
      <c r="E150" s="0" t="n">
        <f aca="false">1</f>
        <v>1</v>
      </c>
      <c r="F150" s="0" t="n">
        <f aca="false">C150</f>
        <v>-0.85</v>
      </c>
      <c r="G150" s="0" t="n">
        <f aca="false">D150</f>
        <v>0.1</v>
      </c>
      <c r="H150" s="0" t="n">
        <f aca="false">C150*D150</f>
        <v>-0.0850000000000001</v>
      </c>
      <c r="I150" s="0" t="n">
        <f aca="false">C150*C150</f>
        <v>0.7225</v>
      </c>
      <c r="J150" s="0" t="n">
        <f aca="false">D150*D150</f>
        <v>0.01</v>
      </c>
      <c r="K150" s="0" t="n">
        <f aca="false">SUMPRODUCT(E150:J150,_XtX!$B$53:$G$53)</f>
        <v>44.4390574712644</v>
      </c>
      <c r="L150" s="0" t="n">
        <f aca="false">SUMPRODUCT(MMULT(E150:J150,_XtX!$B$44:$G$49),E150:J150)</f>
        <v>0.331797018678161</v>
      </c>
      <c r="M150" s="0" t="n">
        <f aca="false">04_回帰ANOVA!$K$19*04_回帰ANOVA!$K$14*SQRT(1+L150)</f>
        <v>1.56385178984743</v>
      </c>
      <c r="N150" s="0" t="n">
        <f aca="false">K150-M150</f>
        <v>42.8752056814169</v>
      </c>
      <c r="O150" s="0" t="n">
        <f aca="false">K150+M150</f>
        <v>46.0029092611118</v>
      </c>
      <c r="P150" s="54" t="b">
        <f aca="false">AND(C150&gt;=01_因子設定!$L$5-0.000000001,C150&lt;=01_因子設定!$M$5+0.000000001,D150&gt;=01_因子設定!$L$6-0.000000001,D150&lt;=01_因子設定!$M$6+0.000000001,IF(01_因子設定!$B$20="Box-Behnken",C150^2+D150^2&lt;=2+0.000000001,TRUE()))</f>
        <v>1</v>
      </c>
      <c r="Q150" s="55" t="n">
        <f aca="false">IF(P150,IF(01_因子設定!$B$13="最大化",N150-01_因子設定!$B$14,IF(01_因子設定!$B$13="最小化",01_因子設定!$B$15-O150,MIN(N150-01_因子設定!$B$14,01_因子設定!$B$15-O150))),-1E+030)</f>
        <v>-3.62479431858309</v>
      </c>
      <c r="R150" s="55" t="n">
        <f aca="false">IF(P150,IF(01_因子設定!$B$13="最大化",K150,IF(01_因子設定!$B$13="最小化",-K150,-ABS(K150-01_因子設定!$B$16))),-1E+030)</f>
        <v>44.4390574712644</v>
      </c>
      <c r="S150" s="55" t="n">
        <f aca="false">Q150+ROW()*0.000000001</f>
        <v>-3.62479416858309</v>
      </c>
      <c r="T150" s="55" t="n">
        <f aca="false">R150+ROW()*0.000000001</f>
        <v>44.4390576212644</v>
      </c>
    </row>
    <row r="151" customFormat="false" ht="15" hidden="false" customHeight="false" outlineLevel="0" collapsed="false">
      <c r="A151" s="0" t="n">
        <v>3</v>
      </c>
      <c r="B151" s="0" t="n">
        <v>23</v>
      </c>
      <c r="C151" s="0" t="n">
        <f aca="false">-1+A151*0.05</f>
        <v>-0.85</v>
      </c>
      <c r="D151" s="0" t="n">
        <f aca="false">-1+B151*0.05</f>
        <v>0.15</v>
      </c>
      <c r="E151" s="0" t="n">
        <f aca="false">1</f>
        <v>1</v>
      </c>
      <c r="F151" s="0" t="n">
        <f aca="false">C151</f>
        <v>-0.85</v>
      </c>
      <c r="G151" s="0" t="n">
        <f aca="false">D151</f>
        <v>0.15</v>
      </c>
      <c r="H151" s="0" t="n">
        <f aca="false">C151*D151</f>
        <v>-0.1275</v>
      </c>
      <c r="I151" s="0" t="n">
        <f aca="false">C151*C151</f>
        <v>0.7225</v>
      </c>
      <c r="J151" s="0" t="n">
        <f aca="false">D151*D151</f>
        <v>0.0225</v>
      </c>
      <c r="K151" s="0" t="n">
        <f aca="false">SUMPRODUCT(E151:J151,_XtX!$B$53:$G$53)</f>
        <v>44.5099561781609</v>
      </c>
      <c r="L151" s="0" t="n">
        <f aca="false">SUMPRODUCT(MMULT(E151:J151,_XtX!$B$44:$G$49),E151:J151)</f>
        <v>0.331207668821839</v>
      </c>
      <c r="M151" s="0" t="n">
        <f aca="false">04_回帰ANOVA!$K$19*04_回帰ANOVA!$K$14*SQRT(1+L151)</f>
        <v>1.56350573192697</v>
      </c>
      <c r="N151" s="0" t="n">
        <f aca="false">K151-M151</f>
        <v>42.9464504462339</v>
      </c>
      <c r="O151" s="0" t="n">
        <f aca="false">K151+M151</f>
        <v>46.0734619100879</v>
      </c>
      <c r="P151" s="54" t="b">
        <f aca="false">AND(C151&gt;=01_因子設定!$L$5-0.000000001,C151&lt;=01_因子設定!$M$5+0.000000001,D151&gt;=01_因子設定!$L$6-0.000000001,D151&lt;=01_因子設定!$M$6+0.000000001,IF(01_因子設定!$B$20="Box-Behnken",C151^2+D151^2&lt;=2+0.000000001,TRUE()))</f>
        <v>1</v>
      </c>
      <c r="Q151" s="55" t="n">
        <f aca="false">IF(P151,IF(01_因子設定!$B$13="最大化",N151-01_因子設定!$B$14,IF(01_因子設定!$B$13="最小化",01_因子設定!$B$15-O151,MIN(N151-01_因子設定!$B$14,01_因子設定!$B$15-O151))),-1E+030)</f>
        <v>-3.55354955376606</v>
      </c>
      <c r="R151" s="55" t="n">
        <f aca="false">IF(P151,IF(01_因子設定!$B$13="最大化",K151,IF(01_因子設定!$B$13="最小化",-K151,-ABS(K151-01_因子設定!$B$16))),-1E+030)</f>
        <v>44.5099561781609</v>
      </c>
      <c r="S151" s="55" t="n">
        <f aca="false">Q151+ROW()*0.000000001</f>
        <v>-3.55354940276606</v>
      </c>
      <c r="T151" s="55" t="n">
        <f aca="false">R151+ROW()*0.000000001</f>
        <v>44.5099563291609</v>
      </c>
    </row>
    <row r="152" customFormat="false" ht="15" hidden="false" customHeight="false" outlineLevel="0" collapsed="false">
      <c r="A152" s="0" t="n">
        <v>3</v>
      </c>
      <c r="B152" s="0" t="n">
        <v>24</v>
      </c>
      <c r="C152" s="0" t="n">
        <f aca="false">-1+A152*0.05</f>
        <v>-0.85</v>
      </c>
      <c r="D152" s="0" t="n">
        <f aca="false">-1+B152*0.05</f>
        <v>0.2</v>
      </c>
      <c r="E152" s="0" t="n">
        <f aca="false">1</f>
        <v>1</v>
      </c>
      <c r="F152" s="0" t="n">
        <f aca="false">C152</f>
        <v>-0.85</v>
      </c>
      <c r="G152" s="0" t="n">
        <f aca="false">D152</f>
        <v>0.2</v>
      </c>
      <c r="H152" s="0" t="n">
        <f aca="false">C152*D152</f>
        <v>-0.17</v>
      </c>
      <c r="I152" s="0" t="n">
        <f aca="false">C152*C152</f>
        <v>0.7225</v>
      </c>
      <c r="J152" s="0" t="n">
        <f aca="false">D152*D152</f>
        <v>0.0400000000000001</v>
      </c>
      <c r="K152" s="0" t="n">
        <f aca="false">SUMPRODUCT(E152:J152,_XtX!$B$53:$G$53)</f>
        <v>44.5731393678161</v>
      </c>
      <c r="L152" s="0" t="n">
        <f aca="false">SUMPRODUCT(MMULT(E152:J152,_XtX!$B$44:$G$49),E152:J152)</f>
        <v>0.330572665229885</v>
      </c>
      <c r="M152" s="0" t="n">
        <f aca="false">04_回帰ANOVA!$K$19*04_回帰ANOVA!$K$14*SQRT(1+L152)</f>
        <v>1.56313278103216</v>
      </c>
      <c r="N152" s="0" t="n">
        <f aca="false">K152-M152</f>
        <v>43.0100065867839</v>
      </c>
      <c r="O152" s="0" t="n">
        <f aca="false">K152+M152</f>
        <v>46.1362721488482</v>
      </c>
      <c r="P152" s="54" t="b">
        <f aca="false">AND(C152&gt;=01_因子設定!$L$5-0.000000001,C152&lt;=01_因子設定!$M$5+0.000000001,D152&gt;=01_因子設定!$L$6-0.000000001,D152&lt;=01_因子設定!$M$6+0.000000001,IF(01_因子設定!$B$20="Box-Behnken",C152^2+D152^2&lt;=2+0.000000001,TRUE()))</f>
        <v>1</v>
      </c>
      <c r="Q152" s="55" t="n">
        <f aca="false">IF(P152,IF(01_因子設定!$B$13="最大化",N152-01_因子設定!$B$14,IF(01_因子設定!$B$13="最小化",01_因子設定!$B$15-O152,MIN(N152-01_因子設定!$B$14,01_因子設定!$B$15-O152))),-1E+030)</f>
        <v>-3.48999341321608</v>
      </c>
      <c r="R152" s="55" t="n">
        <f aca="false">IF(P152,IF(01_因子設定!$B$13="最大化",K152,IF(01_因子設定!$B$13="最小化",-K152,-ABS(K152-01_因子設定!$B$16))),-1E+030)</f>
        <v>44.5731393678161</v>
      </c>
      <c r="S152" s="55" t="n">
        <f aca="false">Q152+ROW()*0.000000001</f>
        <v>-3.48999326121608</v>
      </c>
      <c r="T152" s="55" t="n">
        <f aca="false">R152+ROW()*0.000000001</f>
        <v>44.5731395198161</v>
      </c>
    </row>
    <row r="153" customFormat="false" ht="15" hidden="false" customHeight="false" outlineLevel="0" collapsed="false">
      <c r="A153" s="0" t="n">
        <v>3</v>
      </c>
      <c r="B153" s="0" t="n">
        <v>25</v>
      </c>
      <c r="C153" s="0" t="n">
        <f aca="false">-1+A153*0.05</f>
        <v>-0.85</v>
      </c>
      <c r="D153" s="0" t="n">
        <f aca="false">-1+B153*0.05</f>
        <v>0.25</v>
      </c>
      <c r="E153" s="0" t="n">
        <f aca="false">1</f>
        <v>1</v>
      </c>
      <c r="F153" s="0" t="n">
        <f aca="false">C153</f>
        <v>-0.85</v>
      </c>
      <c r="G153" s="0" t="n">
        <f aca="false">D153</f>
        <v>0.25</v>
      </c>
      <c r="H153" s="0" t="n">
        <f aca="false">C153*D153</f>
        <v>-0.2125</v>
      </c>
      <c r="I153" s="0" t="n">
        <f aca="false">C153*C153</f>
        <v>0.7225</v>
      </c>
      <c r="J153" s="0" t="n">
        <f aca="false">D153*D153</f>
        <v>0.0625</v>
      </c>
      <c r="K153" s="0" t="n">
        <f aca="false">SUMPRODUCT(E153:J153,_XtX!$B$53:$G$53)</f>
        <v>44.6286070402299</v>
      </c>
      <c r="L153" s="0" t="n">
        <f aca="false">SUMPRODUCT(MMULT(E153:J153,_XtX!$B$44:$G$49),E153:J153)</f>
        <v>0.330082094109195</v>
      </c>
      <c r="M153" s="0" t="n">
        <f aca="false">04_回帰ANOVA!$K$19*04_回帰ANOVA!$K$14*SQRT(1+L153)</f>
        <v>1.56284459741243</v>
      </c>
      <c r="N153" s="0" t="n">
        <f aca="false">K153-M153</f>
        <v>43.0657624428174</v>
      </c>
      <c r="O153" s="0" t="n">
        <f aca="false">K153+M153</f>
        <v>46.1914516376423</v>
      </c>
      <c r="P153" s="54" t="b">
        <f aca="false">AND(C153&gt;=01_因子設定!$L$5-0.000000001,C153&lt;=01_因子設定!$M$5+0.000000001,D153&gt;=01_因子設定!$L$6-0.000000001,D153&lt;=01_因子設定!$M$6+0.000000001,IF(01_因子設定!$B$20="Box-Behnken",C153^2+D153^2&lt;=2+0.000000001,TRUE()))</f>
        <v>1</v>
      </c>
      <c r="Q153" s="55" t="n">
        <f aca="false">IF(P153,IF(01_因子設定!$B$13="最大化",N153-01_因子設定!$B$14,IF(01_因子設定!$B$13="最小化",01_因子設定!$B$15-O153,MIN(N153-01_因子設定!$B$14,01_因子設定!$B$15-O153))),-1E+030)</f>
        <v>-3.43423755718256</v>
      </c>
      <c r="R153" s="55" t="n">
        <f aca="false">IF(P153,IF(01_因子設定!$B$13="最大化",K153,IF(01_因子設定!$B$13="最小化",-K153,-ABS(K153-01_因子設定!$B$16))),-1E+030)</f>
        <v>44.6286070402299</v>
      </c>
      <c r="S153" s="55" t="n">
        <f aca="false">Q153+ROW()*0.000000001</f>
        <v>-3.43423740418256</v>
      </c>
      <c r="T153" s="55" t="n">
        <f aca="false">R153+ROW()*0.000000001</f>
        <v>44.6286071932299</v>
      </c>
    </row>
    <row r="154" customFormat="false" ht="15" hidden="false" customHeight="false" outlineLevel="0" collapsed="false">
      <c r="A154" s="0" t="n">
        <v>3</v>
      </c>
      <c r="B154" s="0" t="n">
        <v>26</v>
      </c>
      <c r="C154" s="0" t="n">
        <f aca="false">-1+A154*0.05</f>
        <v>-0.85</v>
      </c>
      <c r="D154" s="0" t="n">
        <f aca="false">-1+B154*0.05</f>
        <v>0.3</v>
      </c>
      <c r="E154" s="0" t="n">
        <f aca="false">1</f>
        <v>1</v>
      </c>
      <c r="F154" s="0" t="n">
        <f aca="false">C154</f>
        <v>-0.85</v>
      </c>
      <c r="G154" s="0" t="n">
        <f aca="false">D154</f>
        <v>0.3</v>
      </c>
      <c r="H154" s="0" t="n">
        <f aca="false">C154*D154</f>
        <v>-0.255</v>
      </c>
      <c r="I154" s="0" t="n">
        <f aca="false">C154*C154</f>
        <v>0.7225</v>
      </c>
      <c r="J154" s="0" t="n">
        <f aca="false">D154*D154</f>
        <v>0.09</v>
      </c>
      <c r="K154" s="0" t="n">
        <f aca="false">SUMPRODUCT(E154:J154,_XtX!$B$53:$G$53)</f>
        <v>44.6763591954023</v>
      </c>
      <c r="L154" s="0" t="n">
        <f aca="false">SUMPRODUCT(MMULT(E154:J154,_XtX!$B$44:$G$49),E154:J154)</f>
        <v>0.329980352011494</v>
      </c>
      <c r="M154" s="0" t="n">
        <f aca="false">04_回帰ANOVA!$K$19*04_回帰ANOVA!$K$14*SQRT(1+L154)</f>
        <v>1.56278482285818</v>
      </c>
      <c r="N154" s="0" t="n">
        <f aca="false">K154-M154</f>
        <v>43.1135743725441</v>
      </c>
      <c r="O154" s="0" t="n">
        <f aca="false">K154+M154</f>
        <v>46.2391440182605</v>
      </c>
      <c r="P154" s="54" t="b">
        <f aca="false">AND(C154&gt;=01_因子設定!$L$5-0.000000001,C154&lt;=01_因子設定!$M$5+0.000000001,D154&gt;=01_因子設定!$L$6-0.000000001,D154&lt;=01_因子設定!$M$6+0.000000001,IF(01_因子設定!$B$20="Box-Behnken",C154^2+D154^2&lt;=2+0.000000001,TRUE()))</f>
        <v>1</v>
      </c>
      <c r="Q154" s="55" t="n">
        <f aca="false">IF(P154,IF(01_因子設定!$B$13="最大化",N154-01_因子設定!$B$14,IF(01_因子設定!$B$13="最小化",01_因子設定!$B$15-O154,MIN(N154-01_因子設定!$B$14,01_因子設定!$B$15-O154))),-1E+030)</f>
        <v>-3.38642562745589</v>
      </c>
      <c r="R154" s="55" t="n">
        <f aca="false">IF(P154,IF(01_因子設定!$B$13="最大化",K154,IF(01_因子設定!$B$13="最小化",-K154,-ABS(K154-01_因子設定!$B$16))),-1E+030)</f>
        <v>44.6763591954023</v>
      </c>
      <c r="S154" s="55" t="n">
        <f aca="false">Q154+ROW()*0.000000001</f>
        <v>-3.38642547345589</v>
      </c>
      <c r="T154" s="55" t="n">
        <f aca="false">R154+ROW()*0.000000001</f>
        <v>44.6763593494023</v>
      </c>
    </row>
    <row r="155" customFormat="false" ht="15" hidden="false" customHeight="false" outlineLevel="0" collapsed="false">
      <c r="A155" s="0" t="n">
        <v>3</v>
      </c>
      <c r="B155" s="0" t="n">
        <v>27</v>
      </c>
      <c r="C155" s="0" t="n">
        <f aca="false">-1+A155*0.05</f>
        <v>-0.85</v>
      </c>
      <c r="D155" s="0" t="n">
        <f aca="false">-1+B155*0.05</f>
        <v>0.35</v>
      </c>
      <c r="E155" s="0" t="n">
        <f aca="false">1</f>
        <v>1</v>
      </c>
      <c r="F155" s="0" t="n">
        <f aca="false">C155</f>
        <v>-0.85</v>
      </c>
      <c r="G155" s="0" t="n">
        <f aca="false">D155</f>
        <v>0.35</v>
      </c>
      <c r="H155" s="0" t="n">
        <f aca="false">C155*D155</f>
        <v>-0.2975</v>
      </c>
      <c r="I155" s="0" t="n">
        <f aca="false">C155*C155</f>
        <v>0.7225</v>
      </c>
      <c r="J155" s="0" t="n">
        <f aca="false">D155*D155</f>
        <v>0.1225</v>
      </c>
      <c r="K155" s="0" t="n">
        <f aca="false">SUMPRODUCT(E155:J155,_XtX!$B$53:$G$53)</f>
        <v>44.7163958333333</v>
      </c>
      <c r="L155" s="0" t="n">
        <f aca="false">SUMPRODUCT(MMULT(E155:J155,_XtX!$B$44:$G$49),E155:J155)</f>
        <v>0.330566145833333</v>
      </c>
      <c r="M155" s="0" t="n">
        <f aca="false">04_回帰ANOVA!$K$19*04_回帰ANOVA!$K$14*SQRT(1+L155)</f>
        <v>1.5631289515927</v>
      </c>
      <c r="N155" s="0" t="n">
        <f aca="false">K155-M155</f>
        <v>43.1532668817406</v>
      </c>
      <c r="O155" s="0" t="n">
        <f aca="false">K155+M155</f>
        <v>46.279524784926</v>
      </c>
      <c r="P155" s="54" t="b">
        <f aca="false">AND(C155&gt;=01_因子設定!$L$5-0.000000001,C155&lt;=01_因子設定!$M$5+0.000000001,D155&gt;=01_因子設定!$L$6-0.000000001,D155&lt;=01_因子設定!$M$6+0.000000001,IF(01_因子設定!$B$20="Box-Behnken",C155^2+D155^2&lt;=2+0.000000001,TRUE()))</f>
        <v>1</v>
      </c>
      <c r="Q155" s="55" t="n">
        <f aca="false">IF(P155,IF(01_因子設定!$B$13="最大化",N155-01_因子設定!$B$14,IF(01_因子設定!$B$13="最小化",01_因子設定!$B$15-O155,MIN(N155-01_因子設定!$B$14,01_因子設定!$B$15-O155))),-1E+030)</f>
        <v>-3.34673311825938</v>
      </c>
      <c r="R155" s="55" t="n">
        <f aca="false">IF(P155,IF(01_因子設定!$B$13="最大化",K155,IF(01_因子設定!$B$13="最小化",-K155,-ABS(K155-01_因子設定!$B$16))),-1E+030)</f>
        <v>44.7163958333333</v>
      </c>
      <c r="S155" s="55" t="n">
        <f aca="false">Q155+ROW()*0.000000001</f>
        <v>-3.34673296325938</v>
      </c>
      <c r="T155" s="55" t="n">
        <f aca="false">R155+ROW()*0.000000001</f>
        <v>44.7163959883333</v>
      </c>
    </row>
    <row r="156" customFormat="false" ht="15" hidden="false" customHeight="false" outlineLevel="0" collapsed="false">
      <c r="A156" s="0" t="n">
        <v>3</v>
      </c>
      <c r="B156" s="0" t="n">
        <v>28</v>
      </c>
      <c r="C156" s="0" t="n">
        <f aca="false">-1+A156*0.05</f>
        <v>-0.85</v>
      </c>
      <c r="D156" s="0" t="n">
        <f aca="false">-1+B156*0.05</f>
        <v>0.4</v>
      </c>
      <c r="E156" s="0" t="n">
        <f aca="false">1</f>
        <v>1</v>
      </c>
      <c r="F156" s="0" t="n">
        <f aca="false">C156</f>
        <v>-0.85</v>
      </c>
      <c r="G156" s="0" t="n">
        <f aca="false">D156</f>
        <v>0.4</v>
      </c>
      <c r="H156" s="0" t="n">
        <f aca="false">C156*D156</f>
        <v>-0.34</v>
      </c>
      <c r="I156" s="0" t="n">
        <f aca="false">C156*C156</f>
        <v>0.7225</v>
      </c>
      <c r="J156" s="0" t="n">
        <f aca="false">D156*D156</f>
        <v>0.16</v>
      </c>
      <c r="K156" s="0" t="n">
        <f aca="false">SUMPRODUCT(E156:J156,_XtX!$B$53:$G$53)</f>
        <v>44.748716954023</v>
      </c>
      <c r="L156" s="0" t="n">
        <f aca="false">SUMPRODUCT(MMULT(E156:J156,_XtX!$B$44:$G$49),E156:J156)</f>
        <v>0.332192492816092</v>
      </c>
      <c r="M156" s="0" t="n">
        <f aca="false">04_回帰ANOVA!$K$19*04_回帰ANOVA!$K$14*SQRT(1+L156)</f>
        <v>1.56408396375374</v>
      </c>
      <c r="N156" s="0" t="n">
        <f aca="false">K156-M156</f>
        <v>43.1846329902692</v>
      </c>
      <c r="O156" s="0" t="n">
        <f aca="false">K156+M156</f>
        <v>46.3128009177767</v>
      </c>
      <c r="P156" s="54" t="b">
        <f aca="false">AND(C156&gt;=01_因子設定!$L$5-0.000000001,C156&lt;=01_因子設定!$M$5+0.000000001,D156&gt;=01_因子設定!$L$6-0.000000001,D156&lt;=01_因子設定!$M$6+0.000000001,IF(01_因子設定!$B$20="Box-Behnken",C156^2+D156^2&lt;=2+0.000000001,TRUE()))</f>
        <v>1</v>
      </c>
      <c r="Q156" s="55" t="n">
        <f aca="false">IF(P156,IF(01_因子設定!$B$13="最大化",N156-01_因子設定!$B$14,IF(01_因子設定!$B$13="最小化",01_因子設定!$B$15-O156,MIN(N156-01_因子設定!$B$14,01_因子設定!$B$15-O156))),-1E+030)</f>
        <v>-3.31536700973076</v>
      </c>
      <c r="R156" s="55" t="n">
        <f aca="false">IF(P156,IF(01_因子設定!$B$13="最大化",K156,IF(01_因子設定!$B$13="最小化",-K156,-ABS(K156-01_因子設定!$B$16))),-1E+030)</f>
        <v>44.748716954023</v>
      </c>
      <c r="S156" s="55" t="n">
        <f aca="false">Q156+ROW()*0.000000001</f>
        <v>-3.31536685373076</v>
      </c>
      <c r="T156" s="55" t="n">
        <f aca="false">R156+ROW()*0.000000001</f>
        <v>44.748717110023</v>
      </c>
    </row>
    <row r="157" customFormat="false" ht="15" hidden="false" customHeight="false" outlineLevel="0" collapsed="false">
      <c r="A157" s="0" t="n">
        <v>3</v>
      </c>
      <c r="B157" s="0" t="n">
        <v>29</v>
      </c>
      <c r="C157" s="0" t="n">
        <f aca="false">-1+A157*0.05</f>
        <v>-0.85</v>
      </c>
      <c r="D157" s="0" t="n">
        <f aca="false">-1+B157*0.05</f>
        <v>0.45</v>
      </c>
      <c r="E157" s="0" t="n">
        <f aca="false">1</f>
        <v>1</v>
      </c>
      <c r="F157" s="0" t="n">
        <f aca="false">C157</f>
        <v>-0.85</v>
      </c>
      <c r="G157" s="0" t="n">
        <f aca="false">D157</f>
        <v>0.45</v>
      </c>
      <c r="H157" s="0" t="n">
        <f aca="false">C157*D157</f>
        <v>-0.3825</v>
      </c>
      <c r="I157" s="0" t="n">
        <f aca="false">C157*C157</f>
        <v>0.7225</v>
      </c>
      <c r="J157" s="0" t="n">
        <f aca="false">D157*D157</f>
        <v>0.2025</v>
      </c>
      <c r="K157" s="0" t="n">
        <f aca="false">SUMPRODUCT(E157:J157,_XtX!$B$53:$G$53)</f>
        <v>44.7733225574712</v>
      </c>
      <c r="L157" s="0" t="n">
        <f aca="false">SUMPRODUCT(MMULT(E157:J157,_XtX!$B$44:$G$49),E157:J157)</f>
        <v>0.335266720545977</v>
      </c>
      <c r="M157" s="0" t="n">
        <f aca="false">04_回帰ANOVA!$K$19*04_回帰ANOVA!$K$14*SQRT(1+L157)</f>
        <v>1.56588759931073</v>
      </c>
      <c r="N157" s="0" t="n">
        <f aca="false">K157-M157</f>
        <v>43.2074349581605</v>
      </c>
      <c r="O157" s="0" t="n">
        <f aca="false">K157+M157</f>
        <v>46.339210156782</v>
      </c>
      <c r="P157" s="54" t="b">
        <f aca="false">AND(C157&gt;=01_因子設定!$L$5-0.000000001,C157&lt;=01_因子設定!$M$5+0.000000001,D157&gt;=01_因子設定!$L$6-0.000000001,D157&lt;=01_因子設定!$M$6+0.000000001,IF(01_因子設定!$B$20="Box-Behnken",C157^2+D157^2&lt;=2+0.000000001,TRUE()))</f>
        <v>1</v>
      </c>
      <c r="Q157" s="55" t="n">
        <f aca="false">IF(P157,IF(01_因子設定!$B$13="最大化",N157-01_因子設定!$B$14,IF(01_因子設定!$B$13="最小化",01_因子設定!$B$15-O157,MIN(N157-01_因子設定!$B$14,01_因子設定!$B$15-O157))),-1E+030)</f>
        <v>-3.29256504183948</v>
      </c>
      <c r="R157" s="55" t="n">
        <f aca="false">IF(P157,IF(01_因子設定!$B$13="最大化",K157,IF(01_因子設定!$B$13="最小化",-K157,-ABS(K157-01_因子設定!$B$16))),-1E+030)</f>
        <v>44.7733225574712</v>
      </c>
      <c r="S157" s="55" t="n">
        <f aca="false">Q157+ROW()*0.000000001</f>
        <v>-3.29256488483948</v>
      </c>
      <c r="T157" s="55" t="n">
        <f aca="false">R157+ROW()*0.000000001</f>
        <v>44.7733227144713</v>
      </c>
    </row>
    <row r="158" customFormat="false" ht="15" hidden="false" customHeight="false" outlineLevel="0" collapsed="false">
      <c r="A158" s="0" t="n">
        <v>3</v>
      </c>
      <c r="B158" s="0" t="n">
        <v>30</v>
      </c>
      <c r="C158" s="0" t="n">
        <f aca="false">-1+A158*0.05</f>
        <v>-0.85</v>
      </c>
      <c r="D158" s="0" t="n">
        <f aca="false">-1+B158*0.05</f>
        <v>0.5</v>
      </c>
      <c r="E158" s="0" t="n">
        <f aca="false">1</f>
        <v>1</v>
      </c>
      <c r="F158" s="0" t="n">
        <f aca="false">C158</f>
        <v>-0.85</v>
      </c>
      <c r="G158" s="0" t="n">
        <f aca="false">D158</f>
        <v>0.5</v>
      </c>
      <c r="H158" s="0" t="n">
        <f aca="false">C158*D158</f>
        <v>-0.425</v>
      </c>
      <c r="I158" s="0" t="n">
        <f aca="false">C158*C158</f>
        <v>0.7225</v>
      </c>
      <c r="J158" s="0" t="n">
        <f aca="false">D158*D158</f>
        <v>0.25</v>
      </c>
      <c r="K158" s="0" t="n">
        <f aca="false">SUMPRODUCT(E158:J158,_XtX!$B$53:$G$53)</f>
        <v>44.7902126436781</v>
      </c>
      <c r="L158" s="0" t="n">
        <f aca="false">SUMPRODUCT(MMULT(E158:J158,_XtX!$B$44:$G$49),E158:J158)</f>
        <v>0.340250466954023</v>
      </c>
      <c r="M158" s="0" t="n">
        <f aca="false">04_回帰ANOVA!$K$19*04_回帰ANOVA!$K$14*SQRT(1+L158)</f>
        <v>1.56880713525096</v>
      </c>
      <c r="N158" s="0" t="n">
        <f aca="false">K158-M158</f>
        <v>43.2214055084272</v>
      </c>
      <c r="O158" s="0" t="n">
        <f aca="false">K158+M158</f>
        <v>46.3590197789291</v>
      </c>
      <c r="P158" s="54" t="b">
        <f aca="false">AND(C158&gt;=01_因子設定!$L$5-0.000000001,C158&lt;=01_因子設定!$M$5+0.000000001,D158&gt;=01_因子設定!$L$6-0.000000001,D158&lt;=01_因子設定!$M$6+0.000000001,IF(01_因子設定!$B$20="Box-Behnken",C158^2+D158^2&lt;=2+0.000000001,TRUE()))</f>
        <v>1</v>
      </c>
      <c r="Q158" s="55" t="n">
        <f aca="false">IF(P158,IF(01_因子設定!$B$13="最大化",N158-01_因子設定!$B$14,IF(01_因子設定!$B$13="最小化",01_因子設定!$B$15-O158,MIN(N158-01_因子設定!$B$14,01_因子設定!$B$15-O158))),-1E+030)</f>
        <v>-3.27859449157281</v>
      </c>
      <c r="R158" s="55" t="n">
        <f aca="false">IF(P158,IF(01_因子設定!$B$13="最大化",K158,IF(01_因子設定!$B$13="最小化",-K158,-ABS(K158-01_因子設定!$B$16))),-1E+030)</f>
        <v>44.7902126436781</v>
      </c>
      <c r="S158" s="55" t="n">
        <f aca="false">Q158+ROW()*0.000000001</f>
        <v>-3.27859433357281</v>
      </c>
      <c r="T158" s="55" t="n">
        <f aca="false">R158+ROW()*0.000000001</f>
        <v>44.7902128016781</v>
      </c>
    </row>
    <row r="159" customFormat="false" ht="15" hidden="false" customHeight="false" outlineLevel="0" collapsed="false">
      <c r="A159" s="0" t="n">
        <v>3</v>
      </c>
      <c r="B159" s="0" t="n">
        <v>31</v>
      </c>
      <c r="C159" s="0" t="n">
        <f aca="false">-1+A159*0.05</f>
        <v>-0.85</v>
      </c>
      <c r="D159" s="0" t="n">
        <f aca="false">-1+B159*0.05</f>
        <v>0.55</v>
      </c>
      <c r="E159" s="0" t="n">
        <f aca="false">1</f>
        <v>1</v>
      </c>
      <c r="F159" s="0" t="n">
        <f aca="false">C159</f>
        <v>-0.85</v>
      </c>
      <c r="G159" s="0" t="n">
        <f aca="false">D159</f>
        <v>0.55</v>
      </c>
      <c r="H159" s="0" t="n">
        <f aca="false">C159*D159</f>
        <v>-0.4675</v>
      </c>
      <c r="I159" s="0" t="n">
        <f aca="false">C159*C159</f>
        <v>0.7225</v>
      </c>
      <c r="J159" s="0" t="n">
        <f aca="false">D159*D159</f>
        <v>0.3025</v>
      </c>
      <c r="K159" s="0" t="n">
        <f aca="false">SUMPRODUCT(E159:J159,_XtX!$B$53:$G$53)</f>
        <v>44.7993872126437</v>
      </c>
      <c r="L159" s="0" t="n">
        <f aca="false">SUMPRODUCT(MMULT(E159:J159,_XtX!$B$44:$G$49),E159:J159)</f>
        <v>0.347659680316092</v>
      </c>
      <c r="M159" s="0" t="n">
        <f aca="false">04_回帰ANOVA!$K$19*04_回帰ANOVA!$K$14*SQRT(1+L159)</f>
        <v>1.57313752229609</v>
      </c>
      <c r="N159" s="0" t="n">
        <f aca="false">K159-M159</f>
        <v>43.2262496903476</v>
      </c>
      <c r="O159" s="0" t="n">
        <f aca="false">K159+M159</f>
        <v>46.3725247349398</v>
      </c>
      <c r="P159" s="54" t="b">
        <f aca="false">AND(C159&gt;=01_因子設定!$L$5-0.000000001,C159&lt;=01_因子設定!$M$5+0.000000001,D159&gt;=01_因子設定!$L$6-0.000000001,D159&lt;=01_因子設定!$M$6+0.000000001,IF(01_因子設定!$B$20="Box-Behnken",C159^2+D159^2&lt;=2+0.000000001,TRUE()))</f>
        <v>1</v>
      </c>
      <c r="Q159" s="55" t="n">
        <f aca="false">IF(P159,IF(01_因子設定!$B$13="最大化",N159-01_因子設定!$B$14,IF(01_因子設定!$B$13="最小化",01_因子設定!$B$15-O159,MIN(N159-01_因子設定!$B$14,01_因子設定!$B$15-O159))),-1E+030)</f>
        <v>-3.27375030965242</v>
      </c>
      <c r="R159" s="55" t="n">
        <f aca="false">IF(P159,IF(01_因子設定!$B$13="最大化",K159,IF(01_因子設定!$B$13="最小化",-K159,-ABS(K159-01_因子設定!$B$16))),-1E+030)</f>
        <v>44.7993872126437</v>
      </c>
      <c r="S159" s="55" t="n">
        <f aca="false">Q159+ROW()*0.000000001</f>
        <v>-3.27375015065242</v>
      </c>
      <c r="T159" s="55" t="n">
        <f aca="false">R159+ROW()*0.000000001</f>
        <v>44.7993873716437</v>
      </c>
    </row>
    <row r="160" customFormat="false" ht="15" hidden="false" customHeight="false" outlineLevel="0" collapsed="false">
      <c r="A160" s="0" t="n">
        <v>3</v>
      </c>
      <c r="B160" s="0" t="n">
        <v>32</v>
      </c>
      <c r="C160" s="0" t="n">
        <f aca="false">-1+A160*0.05</f>
        <v>-0.85</v>
      </c>
      <c r="D160" s="0" t="n">
        <f aca="false">-1+B160*0.05</f>
        <v>0.6</v>
      </c>
      <c r="E160" s="0" t="n">
        <f aca="false">1</f>
        <v>1</v>
      </c>
      <c r="F160" s="0" t="n">
        <f aca="false">C160</f>
        <v>-0.85</v>
      </c>
      <c r="G160" s="0" t="n">
        <f aca="false">D160</f>
        <v>0.6</v>
      </c>
      <c r="H160" s="0" t="n">
        <f aca="false">C160*D160</f>
        <v>-0.51</v>
      </c>
      <c r="I160" s="0" t="n">
        <f aca="false">C160*C160</f>
        <v>0.7225</v>
      </c>
      <c r="J160" s="0" t="n">
        <f aca="false">D160*D160</f>
        <v>0.36</v>
      </c>
      <c r="K160" s="0" t="n">
        <f aca="false">SUMPRODUCT(E160:J160,_XtX!$B$53:$G$53)</f>
        <v>44.8008462643678</v>
      </c>
      <c r="L160" s="0" t="n">
        <f aca="false">SUMPRODUCT(MMULT(E160:J160,_XtX!$B$44:$G$49),E160:J160)</f>
        <v>0.358064619252874</v>
      </c>
      <c r="M160" s="0" t="n">
        <f aca="false">04_回帰ANOVA!$K$19*04_回帰ANOVA!$K$14*SQRT(1+L160)</f>
        <v>1.57919874361545</v>
      </c>
      <c r="N160" s="0" t="n">
        <f aca="false">K160-M160</f>
        <v>43.2216475207524</v>
      </c>
      <c r="O160" s="0" t="n">
        <f aca="false">K160+M160</f>
        <v>46.3800450079833</v>
      </c>
      <c r="P160" s="54" t="b">
        <f aca="false">AND(C160&gt;=01_因子設定!$L$5-0.000000001,C160&lt;=01_因子設定!$M$5+0.000000001,D160&gt;=01_因子設定!$L$6-0.000000001,D160&lt;=01_因子設定!$M$6+0.000000001,IF(01_因子設定!$B$20="Box-Behnken",C160^2+D160^2&lt;=2+0.000000001,TRUE()))</f>
        <v>1</v>
      </c>
      <c r="Q160" s="55" t="n">
        <f aca="false">IF(P160,IF(01_因子設定!$B$13="最大化",N160-01_因子設定!$B$14,IF(01_因子設定!$B$13="最小化",01_因子設定!$B$15-O160,MIN(N160-01_因子設定!$B$14,01_因子設定!$B$15-O160))),-1E+030)</f>
        <v>-3.27835247924765</v>
      </c>
      <c r="R160" s="55" t="n">
        <f aca="false">IF(P160,IF(01_因子設定!$B$13="最大化",K160,IF(01_因子設定!$B$13="最小化",-K160,-ABS(K160-01_因子設定!$B$16))),-1E+030)</f>
        <v>44.8008462643678</v>
      </c>
      <c r="S160" s="55" t="n">
        <f aca="false">Q160+ROW()*0.000000001</f>
        <v>-3.27835231924765</v>
      </c>
      <c r="T160" s="55" t="n">
        <f aca="false">R160+ROW()*0.000000001</f>
        <v>44.8008464243678</v>
      </c>
    </row>
    <row r="161" customFormat="false" ht="15" hidden="false" customHeight="false" outlineLevel="0" collapsed="false">
      <c r="A161" s="0" t="n">
        <v>3</v>
      </c>
      <c r="B161" s="0" t="n">
        <v>33</v>
      </c>
      <c r="C161" s="0" t="n">
        <f aca="false">-1+A161*0.05</f>
        <v>-0.85</v>
      </c>
      <c r="D161" s="0" t="n">
        <f aca="false">-1+B161*0.05</f>
        <v>0.65</v>
      </c>
      <c r="E161" s="0" t="n">
        <f aca="false">1</f>
        <v>1</v>
      </c>
      <c r="F161" s="0" t="n">
        <f aca="false">C161</f>
        <v>-0.85</v>
      </c>
      <c r="G161" s="0" t="n">
        <f aca="false">D161</f>
        <v>0.65</v>
      </c>
      <c r="H161" s="0" t="n">
        <f aca="false">C161*D161</f>
        <v>-0.5525</v>
      </c>
      <c r="I161" s="0" t="n">
        <f aca="false">C161*C161</f>
        <v>0.7225</v>
      </c>
      <c r="J161" s="0" t="n">
        <f aca="false">D161*D161</f>
        <v>0.4225</v>
      </c>
      <c r="K161" s="0" t="n">
        <f aca="false">SUMPRODUCT(E161:J161,_XtX!$B$53:$G$53)</f>
        <v>44.7945897988506</v>
      </c>
      <c r="L161" s="0" t="n">
        <f aca="false">SUMPRODUCT(MMULT(E161:J161,_XtX!$B$44:$G$49),E161:J161)</f>
        <v>0.372089852729885</v>
      </c>
      <c r="M161" s="0" t="n">
        <f aca="false">04_回帰ANOVA!$K$19*04_回帰ANOVA!$K$14*SQRT(1+L161)</f>
        <v>1.58733228155404</v>
      </c>
      <c r="N161" s="0" t="n">
        <f aca="false">K161-M161</f>
        <v>43.2072575172965</v>
      </c>
      <c r="O161" s="0" t="n">
        <f aca="false">K161+M161</f>
        <v>46.3819220804046</v>
      </c>
      <c r="P161" s="54" t="b">
        <f aca="false">AND(C161&gt;=01_因子設定!$L$5-0.000000001,C161&lt;=01_因子設定!$M$5+0.000000001,D161&gt;=01_因子設定!$L$6-0.000000001,D161&lt;=01_因子設定!$M$6+0.000000001,IF(01_因子設定!$B$20="Box-Behnken",C161^2+D161^2&lt;=2+0.000000001,TRUE()))</f>
        <v>1</v>
      </c>
      <c r="Q161" s="55" t="n">
        <f aca="false">IF(P161,IF(01_因子設定!$B$13="最大化",N161-01_因子設定!$B$14,IF(01_因子設定!$B$13="最小化",01_因子設定!$B$15-O161,MIN(N161-01_因子設定!$B$14,01_因子設定!$B$15-O161))),-1E+030)</f>
        <v>-3.29274248270348</v>
      </c>
      <c r="R161" s="55" t="n">
        <f aca="false">IF(P161,IF(01_因子設定!$B$13="最大化",K161,IF(01_因子設定!$B$13="最小化",-K161,-ABS(K161-01_因子設定!$B$16))),-1E+030)</f>
        <v>44.7945897988506</v>
      </c>
      <c r="S161" s="55" t="n">
        <f aca="false">Q161+ROW()*0.000000001</f>
        <v>-3.29274232170348</v>
      </c>
      <c r="T161" s="55" t="n">
        <f aca="false">R161+ROW()*0.000000001</f>
        <v>44.7945899598506</v>
      </c>
    </row>
    <row r="162" customFormat="false" ht="15" hidden="false" customHeight="false" outlineLevel="0" collapsed="false">
      <c r="A162" s="0" t="n">
        <v>3</v>
      </c>
      <c r="B162" s="0" t="n">
        <v>34</v>
      </c>
      <c r="C162" s="0" t="n">
        <f aca="false">-1+A162*0.05</f>
        <v>-0.85</v>
      </c>
      <c r="D162" s="0" t="n">
        <f aca="false">-1+B162*0.05</f>
        <v>0.7</v>
      </c>
      <c r="E162" s="0" t="n">
        <f aca="false">1</f>
        <v>1</v>
      </c>
      <c r="F162" s="0" t="n">
        <f aca="false">C162</f>
        <v>-0.85</v>
      </c>
      <c r="G162" s="0" t="n">
        <f aca="false">D162</f>
        <v>0.7</v>
      </c>
      <c r="H162" s="0" t="n">
        <f aca="false">C162*D162</f>
        <v>-0.595</v>
      </c>
      <c r="I162" s="0" t="n">
        <f aca="false">C162*C162</f>
        <v>0.7225</v>
      </c>
      <c r="J162" s="0" t="n">
        <f aca="false">D162*D162</f>
        <v>0.49</v>
      </c>
      <c r="K162" s="0" t="n">
        <f aca="false">SUMPRODUCT(E162:J162,_XtX!$B$53:$G$53)</f>
        <v>44.7806178160919</v>
      </c>
      <c r="L162" s="0" t="n">
        <f aca="false">SUMPRODUCT(MMULT(E162:J162,_XtX!$B$44:$G$49),E162:J162)</f>
        <v>0.390414260057471</v>
      </c>
      <c r="M162" s="0" t="n">
        <f aca="false">04_回帰ANOVA!$K$19*04_回帰ANOVA!$K$14*SQRT(1+L162)</f>
        <v>1.59789662309984</v>
      </c>
      <c r="N162" s="0" t="n">
        <f aca="false">K162-M162</f>
        <v>43.1827211929921</v>
      </c>
      <c r="O162" s="0" t="n">
        <f aca="false">K162+M162</f>
        <v>46.3785144391918</v>
      </c>
      <c r="P162" s="54" t="b">
        <f aca="false">AND(C162&gt;=01_因子設定!$L$5-0.000000001,C162&lt;=01_因子設定!$M$5+0.000000001,D162&gt;=01_因子設定!$L$6-0.000000001,D162&lt;=01_因子設定!$M$6+0.000000001,IF(01_因子設定!$B$20="Box-Behnken",C162^2+D162^2&lt;=2+0.000000001,TRUE()))</f>
        <v>1</v>
      </c>
      <c r="Q162" s="55" t="n">
        <f aca="false">IF(P162,IF(01_因子設定!$B$13="最大化",N162-01_因子設定!$B$14,IF(01_因子設定!$B$13="最小化",01_因子設定!$B$15-O162,MIN(N162-01_因子設定!$B$14,01_因子設定!$B$15-O162))),-1E+030)</f>
        <v>-3.3172788070079</v>
      </c>
      <c r="R162" s="55" t="n">
        <f aca="false">IF(P162,IF(01_因子設定!$B$13="最大化",K162,IF(01_因子設定!$B$13="最小化",-K162,-ABS(K162-01_因子設定!$B$16))),-1E+030)</f>
        <v>44.7806178160919</v>
      </c>
      <c r="S162" s="55" t="n">
        <f aca="false">Q162+ROW()*0.000000001</f>
        <v>-3.3172786450079</v>
      </c>
      <c r="T162" s="55" t="n">
        <f aca="false">R162+ROW()*0.000000001</f>
        <v>44.7806179780919</v>
      </c>
    </row>
    <row r="163" customFormat="false" ht="15" hidden="false" customHeight="false" outlineLevel="0" collapsed="false">
      <c r="A163" s="0" t="n">
        <v>3</v>
      </c>
      <c r="B163" s="0" t="n">
        <v>35</v>
      </c>
      <c r="C163" s="0" t="n">
        <f aca="false">-1+A163*0.05</f>
        <v>-0.85</v>
      </c>
      <c r="D163" s="0" t="n">
        <f aca="false">-1+B163*0.05</f>
        <v>0.75</v>
      </c>
      <c r="E163" s="0" t="n">
        <f aca="false">1</f>
        <v>1</v>
      </c>
      <c r="F163" s="0" t="n">
        <f aca="false">C163</f>
        <v>-0.85</v>
      </c>
      <c r="G163" s="0" t="n">
        <f aca="false">D163</f>
        <v>0.75</v>
      </c>
      <c r="H163" s="0" t="n">
        <f aca="false">C163*D163</f>
        <v>-0.6375</v>
      </c>
      <c r="I163" s="0" t="n">
        <f aca="false">C163*C163</f>
        <v>0.7225</v>
      </c>
      <c r="J163" s="0" t="n">
        <f aca="false">D163*D163</f>
        <v>0.5625</v>
      </c>
      <c r="K163" s="0" t="n">
        <f aca="false">SUMPRODUCT(E163:J163,_XtX!$B$53:$G$53)</f>
        <v>44.7589303160919</v>
      </c>
      <c r="L163" s="0" t="n">
        <f aca="false">SUMPRODUCT(MMULT(E163:J163,_XtX!$B$44:$G$49),E163:J163)</f>
        <v>0.413771030890805</v>
      </c>
      <c r="M163" s="0" t="n">
        <f aca="false">04_回帰ANOVA!$K$19*04_回帰ANOVA!$K$14*SQRT(1+L163)</f>
        <v>1.61126180232603</v>
      </c>
      <c r="N163" s="0" t="n">
        <f aca="false">K163-M163</f>
        <v>43.1476685137659</v>
      </c>
      <c r="O163" s="0" t="n">
        <f aca="false">K163+M163</f>
        <v>46.370192118418</v>
      </c>
      <c r="P163" s="54" t="b">
        <f aca="false">AND(C163&gt;=01_因子設定!$L$5-0.000000001,C163&lt;=01_因子設定!$M$5+0.000000001,D163&gt;=01_因子設定!$L$6-0.000000001,D163&lt;=01_因子設定!$M$6+0.000000001,IF(01_因子設定!$B$20="Box-Behnken",C163^2+D163^2&lt;=2+0.000000001,TRUE()))</f>
        <v>1</v>
      </c>
      <c r="Q163" s="55" t="n">
        <f aca="false">IF(P163,IF(01_因子設定!$B$13="最大化",N163-01_因子設定!$B$14,IF(01_因子設定!$B$13="最小化",01_因子設定!$B$15-O163,MIN(N163-01_因子設定!$B$14,01_因子設定!$B$15-O163))),-1E+030)</f>
        <v>-3.35233148623409</v>
      </c>
      <c r="R163" s="55" t="n">
        <f aca="false">IF(P163,IF(01_因子設定!$B$13="最大化",K163,IF(01_因子設定!$B$13="最小化",-K163,-ABS(K163-01_因子設定!$B$16))),-1E+030)</f>
        <v>44.7589303160919</v>
      </c>
      <c r="S163" s="55" t="n">
        <f aca="false">Q163+ROW()*0.000000001</f>
        <v>-3.35233132323409</v>
      </c>
      <c r="T163" s="55" t="n">
        <f aca="false">R163+ROW()*0.000000001</f>
        <v>44.7589304790919</v>
      </c>
    </row>
    <row r="164" customFormat="false" ht="15" hidden="false" customHeight="false" outlineLevel="0" collapsed="false">
      <c r="A164" s="0" t="n">
        <v>3</v>
      </c>
      <c r="B164" s="0" t="n">
        <v>36</v>
      </c>
      <c r="C164" s="0" t="n">
        <f aca="false">-1+A164*0.05</f>
        <v>-0.85</v>
      </c>
      <c r="D164" s="0" t="n">
        <f aca="false">-1+B164*0.05</f>
        <v>0.8</v>
      </c>
      <c r="E164" s="0" t="n">
        <f aca="false">1</f>
        <v>1</v>
      </c>
      <c r="F164" s="0" t="n">
        <f aca="false">C164</f>
        <v>-0.85</v>
      </c>
      <c r="G164" s="0" t="n">
        <f aca="false">D164</f>
        <v>0.8</v>
      </c>
      <c r="H164" s="0" t="n">
        <f aca="false">C164*D164</f>
        <v>-0.68</v>
      </c>
      <c r="I164" s="0" t="n">
        <f aca="false">C164*C164</f>
        <v>0.7225</v>
      </c>
      <c r="J164" s="0" t="n">
        <f aca="false">D164*D164</f>
        <v>0.64</v>
      </c>
      <c r="K164" s="0" t="n">
        <f aca="false">SUMPRODUCT(E164:J164,_XtX!$B$53:$G$53)</f>
        <v>44.7295272988506</v>
      </c>
      <c r="L164" s="0" t="n">
        <f aca="false">SUMPRODUCT(MMULT(E164:J164,_XtX!$B$44:$G$49),E164:J164)</f>
        <v>0.442947665229885</v>
      </c>
      <c r="M164" s="0" t="n">
        <f aca="false">04_回帰ANOVA!$K$19*04_回帰ANOVA!$K$14*SQRT(1+L164)</f>
        <v>1.62780306626577</v>
      </c>
      <c r="N164" s="0" t="n">
        <f aca="false">K164-M164</f>
        <v>43.1017242325848</v>
      </c>
      <c r="O164" s="0" t="n">
        <f aca="false">K164+M164</f>
        <v>46.3573303651163</v>
      </c>
      <c r="P164" s="54" t="b">
        <f aca="false">AND(C164&gt;=01_因子設定!$L$5-0.000000001,C164&lt;=01_因子設定!$M$5+0.000000001,D164&gt;=01_因子設定!$L$6-0.000000001,D164&lt;=01_因子設定!$M$6+0.000000001,IF(01_因子設定!$B$20="Box-Behnken",C164^2+D164^2&lt;=2+0.000000001,TRUE()))</f>
        <v>1</v>
      </c>
      <c r="Q164" s="55" t="n">
        <f aca="false">IF(P164,IF(01_因子設定!$B$13="最大化",N164-01_因子設定!$B$14,IF(01_因子設定!$B$13="最小化",01_因子設定!$B$15-O164,MIN(N164-01_因子設定!$B$14,01_因子設定!$B$15-O164))),-1E+030)</f>
        <v>-3.39827576741521</v>
      </c>
      <c r="R164" s="55" t="n">
        <f aca="false">IF(P164,IF(01_因子設定!$B$13="最大化",K164,IF(01_因子設定!$B$13="最小化",-K164,-ABS(K164-01_因子設定!$B$16))),-1E+030)</f>
        <v>44.7295272988506</v>
      </c>
      <c r="S164" s="55" t="n">
        <f aca="false">Q164+ROW()*0.000000001</f>
        <v>-3.39827560341521</v>
      </c>
      <c r="T164" s="55" t="n">
        <f aca="false">R164+ROW()*0.000000001</f>
        <v>44.7295274628506</v>
      </c>
    </row>
    <row r="165" customFormat="false" ht="15" hidden="false" customHeight="false" outlineLevel="0" collapsed="false">
      <c r="A165" s="0" t="n">
        <v>3</v>
      </c>
      <c r="B165" s="0" t="n">
        <v>37</v>
      </c>
      <c r="C165" s="0" t="n">
        <f aca="false">-1+A165*0.05</f>
        <v>-0.85</v>
      </c>
      <c r="D165" s="0" t="n">
        <f aca="false">-1+B165*0.05</f>
        <v>0.85</v>
      </c>
      <c r="E165" s="0" t="n">
        <f aca="false">1</f>
        <v>1</v>
      </c>
      <c r="F165" s="0" t="n">
        <f aca="false">C165</f>
        <v>-0.85</v>
      </c>
      <c r="G165" s="0" t="n">
        <f aca="false">D165</f>
        <v>0.85</v>
      </c>
      <c r="H165" s="0" t="n">
        <f aca="false">C165*D165</f>
        <v>-0.7225</v>
      </c>
      <c r="I165" s="0" t="n">
        <f aca="false">C165*C165</f>
        <v>0.7225</v>
      </c>
      <c r="J165" s="0" t="n">
        <f aca="false">D165*D165</f>
        <v>0.7225</v>
      </c>
      <c r="K165" s="0" t="n">
        <f aca="false">SUMPRODUCT(E165:J165,_XtX!$B$53:$G$53)</f>
        <v>44.6924087643678</v>
      </c>
      <c r="L165" s="0" t="n">
        <f aca="false">SUMPRODUCT(MMULT(E165:J165,_XtX!$B$44:$G$49),E165:J165)</f>
        <v>0.47878597341954</v>
      </c>
      <c r="M165" s="0" t="n">
        <f aca="false">04_回帰ANOVA!$K$19*04_回帰ANOVA!$K$14*SQRT(1+L165)</f>
        <v>1.64789385247642</v>
      </c>
      <c r="N165" s="0" t="n">
        <f aca="false">K165-M165</f>
        <v>43.0445149118914</v>
      </c>
      <c r="O165" s="0" t="n">
        <f aca="false">K165+M165</f>
        <v>46.3403026168442</v>
      </c>
      <c r="P165" s="54" t="b">
        <f aca="false">AND(C165&gt;=01_因子設定!$L$5-0.000000001,C165&lt;=01_因子設定!$M$5+0.000000001,D165&gt;=01_因子設定!$L$6-0.000000001,D165&lt;=01_因子設定!$M$6+0.000000001,IF(01_因子設定!$B$20="Box-Behnken",C165^2+D165^2&lt;=2+0.000000001,TRUE()))</f>
        <v>1</v>
      </c>
      <c r="Q165" s="55" t="n">
        <f aca="false">IF(P165,IF(01_因子設定!$B$13="最大化",N165-01_因子設定!$B$14,IF(01_因子設定!$B$13="最小化",01_因子設定!$B$15-O165,MIN(N165-01_因子設定!$B$14,01_因子設定!$B$15-O165))),-1E+030)</f>
        <v>-3.45548508810862</v>
      </c>
      <c r="R165" s="55" t="n">
        <f aca="false">IF(P165,IF(01_因子設定!$B$13="最大化",K165,IF(01_因子設定!$B$13="最小化",-K165,-ABS(K165-01_因子設定!$B$16))),-1E+030)</f>
        <v>44.6924087643678</v>
      </c>
      <c r="S165" s="55" t="n">
        <f aca="false">Q165+ROW()*0.000000001</f>
        <v>-3.45548492310862</v>
      </c>
      <c r="T165" s="55" t="n">
        <f aca="false">R165+ROW()*0.000000001</f>
        <v>44.6924089293678</v>
      </c>
    </row>
    <row r="166" customFormat="false" ht="15" hidden="false" customHeight="false" outlineLevel="0" collapsed="false">
      <c r="A166" s="0" t="n">
        <v>3</v>
      </c>
      <c r="B166" s="0" t="n">
        <v>38</v>
      </c>
      <c r="C166" s="0" t="n">
        <f aca="false">-1+A166*0.05</f>
        <v>-0.85</v>
      </c>
      <c r="D166" s="0" t="n">
        <f aca="false">-1+B166*0.05</f>
        <v>0.9</v>
      </c>
      <c r="E166" s="0" t="n">
        <f aca="false">1</f>
        <v>1</v>
      </c>
      <c r="F166" s="0" t="n">
        <f aca="false">C166</f>
        <v>-0.85</v>
      </c>
      <c r="G166" s="0" t="n">
        <f aca="false">D166</f>
        <v>0.9</v>
      </c>
      <c r="H166" s="0" t="n">
        <f aca="false">C166*D166</f>
        <v>-0.765</v>
      </c>
      <c r="I166" s="0" t="n">
        <f aca="false">C166*C166</f>
        <v>0.7225</v>
      </c>
      <c r="J166" s="0" t="n">
        <f aca="false">D166*D166</f>
        <v>0.81</v>
      </c>
      <c r="K166" s="0" t="n">
        <f aca="false">SUMPRODUCT(E166:J166,_XtX!$B$53:$G$53)</f>
        <v>44.6475747126437</v>
      </c>
      <c r="L166" s="0" t="n">
        <f aca="false">SUMPRODUCT(MMULT(E166:J166,_XtX!$B$44:$G$49),E166:J166)</f>
        <v>0.522182076149425</v>
      </c>
      <c r="M166" s="0" t="n">
        <f aca="false">04_回帰ANOVA!$K$19*04_回帰ANOVA!$K$14*SQRT(1+L166)</f>
        <v>1.67189836938396</v>
      </c>
      <c r="N166" s="0" t="n">
        <f aca="false">K166-M166</f>
        <v>42.9756763432597</v>
      </c>
      <c r="O166" s="0" t="n">
        <f aca="false">K166+M166</f>
        <v>46.3194730820276</v>
      </c>
      <c r="P166" s="54" t="b">
        <f aca="false">AND(C166&gt;=01_因子設定!$L$5-0.000000001,C166&lt;=01_因子設定!$M$5+0.000000001,D166&gt;=01_因子設定!$L$6-0.000000001,D166&lt;=01_因子設定!$M$6+0.000000001,IF(01_因子設定!$B$20="Box-Behnken",C166^2+D166^2&lt;=2+0.000000001,TRUE()))</f>
        <v>1</v>
      </c>
      <c r="Q166" s="55" t="n">
        <f aca="false">IF(P166,IF(01_因子設定!$B$13="最大化",N166-01_因子設定!$B$14,IF(01_因子設定!$B$13="最小化",01_因子設定!$B$15-O166,MIN(N166-01_因子設定!$B$14,01_因子設定!$B$15-O166))),-1E+030)</f>
        <v>-3.52432365674029</v>
      </c>
      <c r="R166" s="55" t="n">
        <f aca="false">IF(P166,IF(01_因子設定!$B$13="最大化",K166,IF(01_因子設定!$B$13="最小化",-K166,-ABS(K166-01_因子設定!$B$16))),-1E+030)</f>
        <v>44.6475747126437</v>
      </c>
      <c r="S166" s="55" t="n">
        <f aca="false">Q166+ROW()*0.000000001</f>
        <v>-3.52432349074029</v>
      </c>
      <c r="T166" s="55" t="n">
        <f aca="false">R166+ROW()*0.000000001</f>
        <v>44.6475748786437</v>
      </c>
    </row>
    <row r="167" customFormat="false" ht="15" hidden="false" customHeight="false" outlineLevel="0" collapsed="false">
      <c r="A167" s="0" t="n">
        <v>3</v>
      </c>
      <c r="B167" s="0" t="n">
        <v>39</v>
      </c>
      <c r="C167" s="0" t="n">
        <f aca="false">-1+A167*0.05</f>
        <v>-0.85</v>
      </c>
      <c r="D167" s="0" t="n">
        <f aca="false">-1+B167*0.05</f>
        <v>0.95</v>
      </c>
      <c r="E167" s="0" t="n">
        <f aca="false">1</f>
        <v>1</v>
      </c>
      <c r="F167" s="0" t="n">
        <f aca="false">C167</f>
        <v>-0.85</v>
      </c>
      <c r="G167" s="0" t="n">
        <f aca="false">D167</f>
        <v>0.95</v>
      </c>
      <c r="H167" s="0" t="n">
        <f aca="false">C167*D167</f>
        <v>-0.8075</v>
      </c>
      <c r="I167" s="0" t="n">
        <f aca="false">C167*C167</f>
        <v>0.7225</v>
      </c>
      <c r="J167" s="0" t="n">
        <f aca="false">D167*D167</f>
        <v>0.9025</v>
      </c>
      <c r="K167" s="0" t="n">
        <f aca="false">SUMPRODUCT(E167:J167,_XtX!$B$53:$G$53)</f>
        <v>44.5950251436782</v>
      </c>
      <c r="L167" s="0" t="n">
        <f aca="false">SUMPRODUCT(MMULT(E167:J167,_XtX!$B$44:$G$49),E167:J167)</f>
        <v>0.574086404454023</v>
      </c>
      <c r="M167" s="0" t="n">
        <f aca="false">04_回帰ANOVA!$K$19*04_回帰ANOVA!$K$14*SQRT(1+L167)</f>
        <v>1.7001641576124</v>
      </c>
      <c r="N167" s="0" t="n">
        <f aca="false">K167-M167</f>
        <v>42.8948609860658</v>
      </c>
      <c r="O167" s="0" t="n">
        <f aca="false">K167+M167</f>
        <v>46.2951893012906</v>
      </c>
      <c r="P167" s="54" t="b">
        <f aca="false">AND(C167&gt;=01_因子設定!$L$5-0.000000001,C167&lt;=01_因子設定!$M$5+0.000000001,D167&gt;=01_因子設定!$L$6-0.000000001,D167&lt;=01_因子設定!$M$6+0.000000001,IF(01_因子設定!$B$20="Box-Behnken",C167^2+D167^2&lt;=2+0.000000001,TRUE()))</f>
        <v>1</v>
      </c>
      <c r="Q167" s="55" t="n">
        <f aca="false">IF(P167,IF(01_因子設定!$B$13="最大化",N167-01_因子設定!$B$14,IF(01_因子設定!$B$13="最小化",01_因子設定!$B$15-O167,MIN(N167-01_因子設定!$B$14,01_因子設定!$B$15-O167))),-1E+030)</f>
        <v>-3.60513901393425</v>
      </c>
      <c r="R167" s="55" t="n">
        <f aca="false">IF(P167,IF(01_因子設定!$B$13="最大化",K167,IF(01_因子設定!$B$13="最小化",-K167,-ABS(K167-01_因子設定!$B$16))),-1E+030)</f>
        <v>44.5950251436782</v>
      </c>
      <c r="S167" s="55" t="n">
        <f aca="false">Q167+ROW()*0.000000001</f>
        <v>-3.60513884693425</v>
      </c>
      <c r="T167" s="55" t="n">
        <f aca="false">R167+ROW()*0.000000001</f>
        <v>44.5950253106782</v>
      </c>
    </row>
    <row r="168" customFormat="false" ht="15" hidden="false" customHeight="false" outlineLevel="0" collapsed="false">
      <c r="A168" s="0" t="n">
        <v>3</v>
      </c>
      <c r="B168" s="0" t="n">
        <v>40</v>
      </c>
      <c r="C168" s="0" t="n">
        <f aca="false">-1+A168*0.05</f>
        <v>-0.85</v>
      </c>
      <c r="D168" s="0" t="n">
        <f aca="false">-1+B168*0.05</f>
        <v>1</v>
      </c>
      <c r="E168" s="0" t="n">
        <f aca="false">1</f>
        <v>1</v>
      </c>
      <c r="F168" s="0" t="n">
        <f aca="false">C168</f>
        <v>-0.85</v>
      </c>
      <c r="G168" s="0" t="n">
        <f aca="false">D168</f>
        <v>1</v>
      </c>
      <c r="H168" s="0" t="n">
        <f aca="false">C168*D168</f>
        <v>-0.85</v>
      </c>
      <c r="I168" s="0" t="n">
        <f aca="false">C168*C168</f>
        <v>0.7225</v>
      </c>
      <c r="J168" s="0" t="n">
        <f aca="false">D168*D168</f>
        <v>1</v>
      </c>
      <c r="K168" s="0" t="n">
        <f aca="false">SUMPRODUCT(E168:J168,_XtX!$B$53:$G$53)</f>
        <v>44.5347600574713</v>
      </c>
      <c r="L168" s="0" t="n">
        <f aca="false">SUMPRODUCT(MMULT(E168:J168,_XtX!$B$44:$G$49),E168:J168)</f>
        <v>0.635503699712644</v>
      </c>
      <c r="M168" s="0" t="n">
        <f aca="false">04_回帰ANOVA!$K$19*04_回帰ANOVA!$K$14*SQRT(1+L168)</f>
        <v>1.73301506394813</v>
      </c>
      <c r="N168" s="0" t="n">
        <f aca="false">K168-M168</f>
        <v>42.8017449935231</v>
      </c>
      <c r="O168" s="0" t="n">
        <f aca="false">K168+M168</f>
        <v>46.2677751214194</v>
      </c>
      <c r="P168" s="54" t="b">
        <f aca="false">AND(C168&gt;=01_因子設定!$L$5-0.000000001,C168&lt;=01_因子設定!$M$5+0.000000001,D168&gt;=01_因子設定!$L$6-0.000000001,D168&lt;=01_因子設定!$M$6+0.000000001,IF(01_因子設定!$B$20="Box-Behnken",C168^2+D168^2&lt;=2+0.000000001,TRUE()))</f>
        <v>1</v>
      </c>
      <c r="Q168" s="55" t="n">
        <f aca="false">IF(P168,IF(01_因子設定!$B$13="最大化",N168-01_因子設定!$B$14,IF(01_因子設定!$B$13="最小化",01_因子設定!$B$15-O168,MIN(N168-01_因子設定!$B$14,01_因子設定!$B$15-O168))),-1E+030)</f>
        <v>-3.69825500647688</v>
      </c>
      <c r="R168" s="55" t="n">
        <f aca="false">IF(P168,IF(01_因子設定!$B$13="最大化",K168,IF(01_因子設定!$B$13="最小化",-K168,-ABS(K168-01_因子設定!$B$16))),-1E+030)</f>
        <v>44.5347600574713</v>
      </c>
      <c r="S168" s="55" t="n">
        <f aca="false">Q168+ROW()*0.000000001</f>
        <v>-3.69825483847688</v>
      </c>
      <c r="T168" s="55" t="n">
        <f aca="false">R168+ROW()*0.000000001</f>
        <v>44.5347602254713</v>
      </c>
    </row>
    <row r="169" customFormat="false" ht="15" hidden="false" customHeight="false" outlineLevel="0" collapsed="false">
      <c r="A169" s="0" t="n">
        <v>4</v>
      </c>
      <c r="B169" s="0" t="n">
        <v>0</v>
      </c>
      <c r="C169" s="0" t="n">
        <f aca="false">-1+A169*0.05</f>
        <v>-0.8</v>
      </c>
      <c r="D169" s="0" t="n">
        <f aca="false">-1+B169*0.05</f>
        <v>-1</v>
      </c>
      <c r="E169" s="0" t="n">
        <f aca="false">1</f>
        <v>1</v>
      </c>
      <c r="F169" s="0" t="n">
        <f aca="false">C169</f>
        <v>-0.8</v>
      </c>
      <c r="G169" s="0" t="n">
        <f aca="false">D169</f>
        <v>-1</v>
      </c>
      <c r="H169" s="0" t="n">
        <f aca="false">C169*D169</f>
        <v>0.8</v>
      </c>
      <c r="I169" s="0" t="n">
        <f aca="false">C169*C169</f>
        <v>0.64</v>
      </c>
      <c r="J169" s="0" t="n">
        <f aca="false">D169*D169</f>
        <v>1</v>
      </c>
      <c r="K169" s="0" t="n">
        <f aca="false">SUMPRODUCT(E169:J169,_XtX!$B$53:$G$53)</f>
        <v>41.2331494252873</v>
      </c>
      <c r="L169" s="0" t="n">
        <f aca="false">SUMPRODUCT(MMULT(E169:J169,_XtX!$B$44:$G$49),E169:J169)</f>
        <v>0.600257471264368</v>
      </c>
      <c r="M169" s="0" t="n">
        <f aca="false">04_回帰ANOVA!$K$19*04_回帰ANOVA!$K$14*SQRT(1+L169)</f>
        <v>1.71423952387759</v>
      </c>
      <c r="N169" s="0" t="n">
        <f aca="false">K169-M169</f>
        <v>39.5189099014098</v>
      </c>
      <c r="O169" s="0" t="n">
        <f aca="false">K169+M169</f>
        <v>42.9473889491649</v>
      </c>
      <c r="P169" s="54" t="b">
        <f aca="false">AND(C169&gt;=01_因子設定!$L$5-0.000000001,C169&lt;=01_因子設定!$M$5+0.000000001,D169&gt;=01_因子設定!$L$6-0.000000001,D169&lt;=01_因子設定!$M$6+0.000000001,IF(01_因子設定!$B$20="Box-Behnken",C169^2+D169^2&lt;=2+0.000000001,TRUE()))</f>
        <v>1</v>
      </c>
      <c r="Q169" s="55" t="n">
        <f aca="false">IF(P169,IF(01_因子設定!$B$13="最大化",N169-01_因子設定!$B$14,IF(01_因子設定!$B$13="最小化",01_因子設定!$B$15-O169,MIN(N169-01_因子設定!$B$14,01_因子設定!$B$15-O169))),-1E+030)</f>
        <v>-6.98109009859024</v>
      </c>
      <c r="R169" s="55" t="n">
        <f aca="false">IF(P169,IF(01_因子設定!$B$13="最大化",K169,IF(01_因子設定!$B$13="最小化",-K169,-ABS(K169-01_因子設定!$B$16))),-1E+030)</f>
        <v>41.2331494252873</v>
      </c>
      <c r="S169" s="55" t="n">
        <f aca="false">Q169+ROW()*0.000000001</f>
        <v>-6.98108992959024</v>
      </c>
      <c r="T169" s="55" t="n">
        <f aca="false">R169+ROW()*0.000000001</f>
        <v>41.2331495942874</v>
      </c>
    </row>
    <row r="170" customFormat="false" ht="15" hidden="false" customHeight="false" outlineLevel="0" collapsed="false">
      <c r="A170" s="0" t="n">
        <v>4</v>
      </c>
      <c r="B170" s="0" t="n">
        <v>1</v>
      </c>
      <c r="C170" s="0" t="n">
        <f aca="false">-1+A170*0.05</f>
        <v>-0.8</v>
      </c>
      <c r="D170" s="0" t="n">
        <f aca="false">-1+B170*0.05</f>
        <v>-0.95</v>
      </c>
      <c r="E170" s="0" t="n">
        <f aca="false">1</f>
        <v>1</v>
      </c>
      <c r="F170" s="0" t="n">
        <f aca="false">C170</f>
        <v>-0.8</v>
      </c>
      <c r="G170" s="0" t="n">
        <f aca="false">D170</f>
        <v>-0.95</v>
      </c>
      <c r="H170" s="0" t="n">
        <f aca="false">C170*D170</f>
        <v>0.76</v>
      </c>
      <c r="I170" s="0" t="n">
        <f aca="false">C170*C170</f>
        <v>0.64</v>
      </c>
      <c r="J170" s="0" t="n">
        <f aca="false">D170*D170</f>
        <v>0.9025</v>
      </c>
      <c r="K170" s="0" t="n">
        <f aca="false">SUMPRODUCT(E170:J170,_XtX!$B$53:$G$53)</f>
        <v>41.4751020114942</v>
      </c>
      <c r="L170" s="0" t="n">
        <f aca="false">SUMPRODUCT(MMULT(E170:J170,_XtX!$B$44:$G$49),E170:J170)</f>
        <v>0.538632147988506</v>
      </c>
      <c r="M170" s="0" t="n">
        <f aca="false">04_回帰ANOVA!$K$19*04_回帰ANOVA!$K$14*SQRT(1+L170)</f>
        <v>1.68090811348192</v>
      </c>
      <c r="N170" s="0" t="n">
        <f aca="false">K170-M170</f>
        <v>39.7941938980123</v>
      </c>
      <c r="O170" s="0" t="n">
        <f aca="false">K170+M170</f>
        <v>43.1560101249762</v>
      </c>
      <c r="P170" s="54" t="b">
        <f aca="false">AND(C170&gt;=01_因子設定!$L$5-0.000000001,C170&lt;=01_因子設定!$M$5+0.000000001,D170&gt;=01_因子設定!$L$6-0.000000001,D170&lt;=01_因子設定!$M$6+0.000000001,IF(01_因子設定!$B$20="Box-Behnken",C170^2+D170^2&lt;=2+0.000000001,TRUE()))</f>
        <v>1</v>
      </c>
      <c r="Q170" s="55" t="n">
        <f aca="false">IF(P170,IF(01_因子設定!$B$13="最大化",N170-01_因子設定!$B$14,IF(01_因子設定!$B$13="最小化",01_因子設定!$B$15-O170,MIN(N170-01_因子設定!$B$14,01_因子設定!$B$15-O170))),-1E+030)</f>
        <v>-6.70580610198768</v>
      </c>
      <c r="R170" s="55" t="n">
        <f aca="false">IF(P170,IF(01_因子設定!$B$13="最大化",K170,IF(01_因子設定!$B$13="最小化",-K170,-ABS(K170-01_因子設定!$B$16))),-1E+030)</f>
        <v>41.4751020114942</v>
      </c>
      <c r="S170" s="55" t="n">
        <f aca="false">Q170+ROW()*0.000000001</f>
        <v>-6.70580593198768</v>
      </c>
      <c r="T170" s="55" t="n">
        <f aca="false">R170+ROW()*0.000000001</f>
        <v>41.4751021814942</v>
      </c>
    </row>
    <row r="171" customFormat="false" ht="15" hidden="false" customHeight="false" outlineLevel="0" collapsed="false">
      <c r="A171" s="0" t="n">
        <v>4</v>
      </c>
      <c r="B171" s="0" t="n">
        <v>2</v>
      </c>
      <c r="C171" s="0" t="n">
        <f aca="false">-1+A171*0.05</f>
        <v>-0.8</v>
      </c>
      <c r="D171" s="0" t="n">
        <f aca="false">-1+B171*0.05</f>
        <v>-0.9</v>
      </c>
      <c r="E171" s="0" t="n">
        <f aca="false">1</f>
        <v>1</v>
      </c>
      <c r="F171" s="0" t="n">
        <f aca="false">C171</f>
        <v>-0.8</v>
      </c>
      <c r="G171" s="0" t="n">
        <f aca="false">D171</f>
        <v>-0.9</v>
      </c>
      <c r="H171" s="0" t="n">
        <f aca="false">C171*D171</f>
        <v>0.72</v>
      </c>
      <c r="I171" s="0" t="n">
        <f aca="false">C171*C171</f>
        <v>0.64</v>
      </c>
      <c r="J171" s="0" t="n">
        <f aca="false">D171*D171</f>
        <v>0.81</v>
      </c>
      <c r="K171" s="0" t="n">
        <f aca="false">SUMPRODUCT(E171:J171,_XtX!$B$53:$G$53)</f>
        <v>41.7093390804598</v>
      </c>
      <c r="L171" s="0" t="n">
        <f aca="false">SUMPRODUCT(MMULT(E171:J171,_XtX!$B$44:$G$49),E171:J171)</f>
        <v>0.486530459770115</v>
      </c>
      <c r="M171" s="0" t="n">
        <f aca="false">04_回帰ANOVA!$K$19*04_回帰ANOVA!$K$14*SQRT(1+L171)</f>
        <v>1.65220327464334</v>
      </c>
      <c r="N171" s="0" t="n">
        <f aca="false">K171-M171</f>
        <v>40.0571358058164</v>
      </c>
      <c r="O171" s="0" t="n">
        <f aca="false">K171+M171</f>
        <v>43.3615423551031</v>
      </c>
      <c r="P171" s="54" t="b">
        <f aca="false">AND(C171&gt;=01_因子設定!$L$5-0.000000001,C171&lt;=01_因子設定!$M$5+0.000000001,D171&gt;=01_因子設定!$L$6-0.000000001,D171&lt;=01_因子設定!$M$6+0.000000001,IF(01_因子設定!$B$20="Box-Behnken",C171^2+D171^2&lt;=2+0.000000001,TRUE()))</f>
        <v>1</v>
      </c>
      <c r="Q171" s="55" t="n">
        <f aca="false">IF(P171,IF(01_因子設定!$B$13="最大化",N171-01_因子設定!$B$14,IF(01_因子設定!$B$13="最小化",01_因子設定!$B$15-O171,MIN(N171-01_因子設定!$B$14,01_因子設定!$B$15-O171))),-1E+030)</f>
        <v>-6.44286419418358</v>
      </c>
      <c r="R171" s="55" t="n">
        <f aca="false">IF(P171,IF(01_因子設定!$B$13="最大化",K171,IF(01_因子設定!$B$13="最小化",-K171,-ABS(K171-01_因子設定!$B$16))),-1E+030)</f>
        <v>41.7093390804598</v>
      </c>
      <c r="S171" s="55" t="n">
        <f aca="false">Q171+ROW()*0.000000001</f>
        <v>-6.44286402318358</v>
      </c>
      <c r="T171" s="55" t="n">
        <f aca="false">R171+ROW()*0.000000001</f>
        <v>41.7093392514598</v>
      </c>
    </row>
    <row r="172" customFormat="false" ht="15" hidden="false" customHeight="false" outlineLevel="0" collapsed="false">
      <c r="A172" s="0" t="n">
        <v>4</v>
      </c>
      <c r="B172" s="0" t="n">
        <v>3</v>
      </c>
      <c r="C172" s="0" t="n">
        <f aca="false">-1+A172*0.05</f>
        <v>-0.8</v>
      </c>
      <c r="D172" s="0" t="n">
        <f aca="false">-1+B172*0.05</f>
        <v>-0.85</v>
      </c>
      <c r="E172" s="0" t="n">
        <f aca="false">1</f>
        <v>1</v>
      </c>
      <c r="F172" s="0" t="n">
        <f aca="false">C172</f>
        <v>-0.8</v>
      </c>
      <c r="G172" s="0" t="n">
        <f aca="false">D172</f>
        <v>-0.85</v>
      </c>
      <c r="H172" s="0" t="n">
        <f aca="false">C172*D172</f>
        <v>0.68</v>
      </c>
      <c r="I172" s="0" t="n">
        <f aca="false">C172*C172</f>
        <v>0.64</v>
      </c>
      <c r="J172" s="0" t="n">
        <f aca="false">D172*D172</f>
        <v>0.7225</v>
      </c>
      <c r="K172" s="0" t="n">
        <f aca="false">SUMPRODUCT(E172:J172,_XtX!$B$53:$G$53)</f>
        <v>41.9358606321839</v>
      </c>
      <c r="L172" s="0" t="n">
        <f aca="false">SUMPRODUCT(MMULT(E172:J172,_XtX!$B$44:$G$49),E172:J172)</f>
        <v>0.442947665229885</v>
      </c>
      <c r="M172" s="0" t="n">
        <f aca="false">04_回帰ANOVA!$K$19*04_回帰ANOVA!$K$14*SQRT(1+L172)</f>
        <v>1.62780306626577</v>
      </c>
      <c r="N172" s="0" t="n">
        <f aca="false">K172-M172</f>
        <v>40.3080575659181</v>
      </c>
      <c r="O172" s="0" t="n">
        <f aca="false">K172+M172</f>
        <v>43.5636636984497</v>
      </c>
      <c r="P172" s="54" t="b">
        <f aca="false">AND(C172&gt;=01_因子設定!$L$5-0.000000001,C172&lt;=01_因子設定!$M$5+0.000000001,D172&gt;=01_因子設定!$L$6-0.000000001,D172&lt;=01_因子設定!$M$6+0.000000001,IF(01_因子設定!$B$20="Box-Behnken",C172^2+D172^2&lt;=2+0.000000001,TRUE()))</f>
        <v>1</v>
      </c>
      <c r="Q172" s="55" t="n">
        <f aca="false">IF(P172,IF(01_因子設定!$B$13="最大化",N172-01_因子設定!$B$14,IF(01_因子設定!$B$13="最小化",01_因子設定!$B$15-O172,MIN(N172-01_因子設定!$B$14,01_因子設定!$B$15-O172))),-1E+030)</f>
        <v>-6.19194243408188</v>
      </c>
      <c r="R172" s="55" t="n">
        <f aca="false">IF(P172,IF(01_因子設定!$B$13="最大化",K172,IF(01_因子設定!$B$13="最小化",-K172,-ABS(K172-01_因子設定!$B$16))),-1E+030)</f>
        <v>41.9358606321839</v>
      </c>
      <c r="S172" s="55" t="n">
        <f aca="false">Q172+ROW()*0.000000001</f>
        <v>-6.19194226208188</v>
      </c>
      <c r="T172" s="55" t="n">
        <f aca="false">R172+ROW()*0.000000001</f>
        <v>41.9358608041839</v>
      </c>
    </row>
    <row r="173" customFormat="false" ht="15" hidden="false" customHeight="false" outlineLevel="0" collapsed="false">
      <c r="A173" s="0" t="n">
        <v>4</v>
      </c>
      <c r="B173" s="0" t="n">
        <v>4</v>
      </c>
      <c r="C173" s="0" t="n">
        <f aca="false">-1+A173*0.05</f>
        <v>-0.8</v>
      </c>
      <c r="D173" s="0" t="n">
        <f aca="false">-1+B173*0.05</f>
        <v>-0.8</v>
      </c>
      <c r="E173" s="0" t="n">
        <f aca="false">1</f>
        <v>1</v>
      </c>
      <c r="F173" s="0" t="n">
        <f aca="false">C173</f>
        <v>-0.8</v>
      </c>
      <c r="G173" s="0" t="n">
        <f aca="false">D173</f>
        <v>-0.8</v>
      </c>
      <c r="H173" s="0" t="n">
        <f aca="false">C173*D173</f>
        <v>0.64</v>
      </c>
      <c r="I173" s="0" t="n">
        <f aca="false">C173*C173</f>
        <v>0.64</v>
      </c>
      <c r="J173" s="0" t="n">
        <f aca="false">D173*D173</f>
        <v>0.64</v>
      </c>
      <c r="K173" s="0" t="n">
        <f aca="false">SUMPRODUCT(E173:J173,_XtX!$B$53:$G$53)</f>
        <v>42.1546666666667</v>
      </c>
      <c r="L173" s="0" t="n">
        <f aca="false">SUMPRODUCT(MMULT(E173:J173,_XtX!$B$44:$G$49),E173:J173)</f>
        <v>0.406933333333333</v>
      </c>
      <c r="M173" s="0" t="n">
        <f aca="false">04_回帰ANOVA!$K$19*04_回帰ANOVA!$K$14*SQRT(1+L173)</f>
        <v>1.60736064921584</v>
      </c>
      <c r="N173" s="0" t="n">
        <f aca="false">K173-M173</f>
        <v>40.5473060174508</v>
      </c>
      <c r="O173" s="0" t="n">
        <f aca="false">K173+M173</f>
        <v>43.7620273158825</v>
      </c>
      <c r="P173" s="54" t="b">
        <f aca="false">AND(C173&gt;=01_因子設定!$L$5-0.000000001,C173&lt;=01_因子設定!$M$5+0.000000001,D173&gt;=01_因子設定!$L$6-0.000000001,D173&lt;=01_因子設定!$M$6+0.000000001,IF(01_因子設定!$B$20="Box-Behnken",C173^2+D173^2&lt;=2+0.000000001,TRUE()))</f>
        <v>1</v>
      </c>
      <c r="Q173" s="55" t="n">
        <f aca="false">IF(P173,IF(01_因子設定!$B$13="最大化",N173-01_因子設定!$B$14,IF(01_因子設定!$B$13="最小化",01_因子設定!$B$15-O173,MIN(N173-01_因子設定!$B$14,01_因子設定!$B$15-O173))),-1E+030)</f>
        <v>-5.95269398254919</v>
      </c>
      <c r="R173" s="55" t="n">
        <f aca="false">IF(P173,IF(01_因子設定!$B$13="最大化",K173,IF(01_因子設定!$B$13="最小化",-K173,-ABS(K173-01_因子設定!$B$16))),-1E+030)</f>
        <v>42.1546666666667</v>
      </c>
      <c r="S173" s="55" t="n">
        <f aca="false">Q173+ROW()*0.000000001</f>
        <v>-5.95269380954919</v>
      </c>
      <c r="T173" s="55" t="n">
        <f aca="false">R173+ROW()*0.000000001</f>
        <v>42.1546668396667</v>
      </c>
    </row>
    <row r="174" customFormat="false" ht="15" hidden="false" customHeight="false" outlineLevel="0" collapsed="false">
      <c r="A174" s="0" t="n">
        <v>4</v>
      </c>
      <c r="B174" s="0" t="n">
        <v>5</v>
      </c>
      <c r="C174" s="0" t="n">
        <f aca="false">-1+A174*0.05</f>
        <v>-0.8</v>
      </c>
      <c r="D174" s="0" t="n">
        <f aca="false">-1+B174*0.05</f>
        <v>-0.75</v>
      </c>
      <c r="E174" s="0" t="n">
        <f aca="false">1</f>
        <v>1</v>
      </c>
      <c r="F174" s="0" t="n">
        <f aca="false">C174</f>
        <v>-0.8</v>
      </c>
      <c r="G174" s="0" t="n">
        <f aca="false">D174</f>
        <v>-0.75</v>
      </c>
      <c r="H174" s="0" t="n">
        <f aca="false">C174*D174</f>
        <v>0.6</v>
      </c>
      <c r="I174" s="0" t="n">
        <f aca="false">C174*C174</f>
        <v>0.64</v>
      </c>
      <c r="J174" s="0" t="n">
        <f aca="false">D174*D174</f>
        <v>0.5625</v>
      </c>
      <c r="K174" s="0" t="n">
        <f aca="false">SUMPRODUCT(E174:J174,_XtX!$B$53:$G$53)</f>
        <v>42.365757183908</v>
      </c>
      <c r="L174" s="0" t="n">
        <f aca="false">SUMPRODUCT(MMULT(E174:J174,_XtX!$B$44:$G$49),E174:J174)</f>
        <v>0.377591343390805</v>
      </c>
      <c r="M174" s="0" t="n">
        <f aca="false">04_回帰ANOVA!$K$19*04_回帰ANOVA!$K$14*SQRT(1+L174)</f>
        <v>1.59051135820975</v>
      </c>
      <c r="N174" s="0" t="n">
        <f aca="false">K174-M174</f>
        <v>40.7752458256983</v>
      </c>
      <c r="O174" s="0" t="n">
        <f aca="false">K174+M174</f>
        <v>43.9562685421178</v>
      </c>
      <c r="P174" s="54" t="b">
        <f aca="false">AND(C174&gt;=01_因子設定!$L$5-0.000000001,C174&lt;=01_因子設定!$M$5+0.000000001,D174&gt;=01_因子設定!$L$6-0.000000001,D174&lt;=01_因子設定!$M$6+0.000000001,IF(01_因子設定!$B$20="Box-Behnken",C174^2+D174^2&lt;=2+0.000000001,TRUE()))</f>
        <v>1</v>
      </c>
      <c r="Q174" s="55" t="n">
        <f aca="false">IF(P174,IF(01_因子設定!$B$13="最大化",N174-01_因子設定!$B$14,IF(01_因子設定!$B$13="最小化",01_因子設定!$B$15-O174,MIN(N174-01_因子設定!$B$14,01_因子設定!$B$15-O174))),-1E+030)</f>
        <v>-5.72475417430172</v>
      </c>
      <c r="R174" s="55" t="n">
        <f aca="false">IF(P174,IF(01_因子設定!$B$13="最大化",K174,IF(01_因子設定!$B$13="最小化",-K174,-ABS(K174-01_因子設定!$B$16))),-1E+030)</f>
        <v>42.365757183908</v>
      </c>
      <c r="S174" s="55" t="n">
        <f aca="false">Q174+ROW()*0.000000001</f>
        <v>-5.72475400030172</v>
      </c>
      <c r="T174" s="55" t="n">
        <f aca="false">R174+ROW()*0.000000001</f>
        <v>42.365757357908</v>
      </c>
    </row>
    <row r="175" customFormat="false" ht="15" hidden="false" customHeight="false" outlineLevel="0" collapsed="false">
      <c r="A175" s="0" t="n">
        <v>4</v>
      </c>
      <c r="B175" s="0" t="n">
        <v>6</v>
      </c>
      <c r="C175" s="0" t="n">
        <f aca="false">-1+A175*0.05</f>
        <v>-0.8</v>
      </c>
      <c r="D175" s="0" t="n">
        <f aca="false">-1+B175*0.05</f>
        <v>-0.7</v>
      </c>
      <c r="E175" s="0" t="n">
        <f aca="false">1</f>
        <v>1</v>
      </c>
      <c r="F175" s="0" t="n">
        <f aca="false">C175</f>
        <v>-0.8</v>
      </c>
      <c r="G175" s="0" t="n">
        <f aca="false">D175</f>
        <v>-0.7</v>
      </c>
      <c r="H175" s="0" t="n">
        <f aca="false">C175*D175</f>
        <v>0.56</v>
      </c>
      <c r="I175" s="0" t="n">
        <f aca="false">C175*C175</f>
        <v>0.64</v>
      </c>
      <c r="J175" s="0" t="n">
        <f aca="false">D175*D175</f>
        <v>0.49</v>
      </c>
      <c r="K175" s="0" t="n">
        <f aca="false">SUMPRODUCT(E175:J175,_XtX!$B$53:$G$53)</f>
        <v>42.569132183908</v>
      </c>
      <c r="L175" s="0" t="n">
        <f aca="false">SUMPRODUCT(MMULT(E175:J175,_XtX!$B$44:$G$49),E175:J175)</f>
        <v>0.354079885057471</v>
      </c>
      <c r="M175" s="0" t="n">
        <f aca="false">04_回帰ANOVA!$K$19*04_回帰ANOVA!$K$14*SQRT(1+L175)</f>
        <v>1.57688025677174</v>
      </c>
      <c r="N175" s="0" t="n">
        <f aca="false">K175-M175</f>
        <v>40.9922519271363</v>
      </c>
      <c r="O175" s="0" t="n">
        <f aca="false">K175+M175</f>
        <v>44.1460124406798</v>
      </c>
      <c r="P175" s="54" t="b">
        <f aca="false">AND(C175&gt;=01_因子設定!$L$5-0.000000001,C175&lt;=01_因子設定!$M$5+0.000000001,D175&gt;=01_因子設定!$L$6-0.000000001,D175&lt;=01_因子設定!$M$6+0.000000001,IF(01_因子設定!$B$20="Box-Behnken",C175^2+D175^2&lt;=2+0.000000001,TRUE()))</f>
        <v>1</v>
      </c>
      <c r="Q175" s="55" t="n">
        <f aca="false">IF(P175,IF(01_因子設定!$B$13="最大化",N175-01_因子設定!$B$14,IF(01_因子設定!$B$13="最小化",01_因子設定!$B$15-O175,MIN(N175-01_因子設定!$B$14,01_因子設定!$B$15-O175))),-1E+030)</f>
        <v>-5.50774807286371</v>
      </c>
      <c r="R175" s="55" t="n">
        <f aca="false">IF(P175,IF(01_因子設定!$B$13="最大化",K175,IF(01_因子設定!$B$13="最小化",-K175,-ABS(K175-01_因子設定!$B$16))),-1E+030)</f>
        <v>42.569132183908</v>
      </c>
      <c r="S175" s="55" t="n">
        <f aca="false">Q175+ROW()*0.000000001</f>
        <v>-5.50774789786371</v>
      </c>
      <c r="T175" s="55" t="n">
        <f aca="false">R175+ROW()*0.000000001</f>
        <v>42.569132358908</v>
      </c>
    </row>
    <row r="176" customFormat="false" ht="15" hidden="false" customHeight="false" outlineLevel="0" collapsed="false">
      <c r="A176" s="0" t="n">
        <v>4</v>
      </c>
      <c r="B176" s="0" t="n">
        <v>7</v>
      </c>
      <c r="C176" s="0" t="n">
        <f aca="false">-1+A176*0.05</f>
        <v>-0.8</v>
      </c>
      <c r="D176" s="0" t="n">
        <f aca="false">-1+B176*0.05</f>
        <v>-0.65</v>
      </c>
      <c r="E176" s="0" t="n">
        <f aca="false">1</f>
        <v>1</v>
      </c>
      <c r="F176" s="0" t="n">
        <f aca="false">C176</f>
        <v>-0.8</v>
      </c>
      <c r="G176" s="0" t="n">
        <f aca="false">D176</f>
        <v>-0.65</v>
      </c>
      <c r="H176" s="0" t="n">
        <f aca="false">C176*D176</f>
        <v>0.52</v>
      </c>
      <c r="I176" s="0" t="n">
        <f aca="false">C176*C176</f>
        <v>0.64</v>
      </c>
      <c r="J176" s="0" t="n">
        <f aca="false">D176*D176</f>
        <v>0.4225</v>
      </c>
      <c r="K176" s="0" t="n">
        <f aca="false">SUMPRODUCT(E176:J176,_XtX!$B$53:$G$53)</f>
        <v>42.7647916666667</v>
      </c>
      <c r="L176" s="0" t="n">
        <f aca="false">SUMPRODUCT(MMULT(E176:J176,_XtX!$B$44:$G$49),E176:J176)</f>
        <v>0.335611458333333</v>
      </c>
      <c r="M176" s="0" t="n">
        <f aca="false">04_回帰ANOVA!$K$19*04_回帰ANOVA!$K$14*SQRT(1+L176)</f>
        <v>1.56608972588958</v>
      </c>
      <c r="N176" s="0" t="n">
        <f aca="false">K176-M176</f>
        <v>41.1987019407771</v>
      </c>
      <c r="O176" s="0" t="n">
        <f aca="false">K176+M176</f>
        <v>44.3308813925562</v>
      </c>
      <c r="P176" s="54" t="b">
        <f aca="false">AND(C176&gt;=01_因子設定!$L$5-0.000000001,C176&lt;=01_因子設定!$M$5+0.000000001,D176&gt;=01_因子設定!$L$6-0.000000001,D176&lt;=01_因子設定!$M$6+0.000000001,IF(01_因子設定!$B$20="Box-Behnken",C176^2+D176^2&lt;=2+0.000000001,TRUE()))</f>
        <v>1</v>
      </c>
      <c r="Q176" s="55" t="n">
        <f aca="false">IF(P176,IF(01_因子設定!$B$13="最大化",N176-01_因子設定!$B$14,IF(01_因子設定!$B$13="最小化",01_因子設定!$B$15-O176,MIN(N176-01_因子設定!$B$14,01_因子設定!$B$15-O176))),-1E+030)</f>
        <v>-5.30129805922292</v>
      </c>
      <c r="R176" s="55" t="n">
        <f aca="false">IF(P176,IF(01_因子設定!$B$13="最大化",K176,IF(01_因子設定!$B$13="最小化",-K176,-ABS(K176-01_因子設定!$B$16))),-1E+030)</f>
        <v>42.7647916666667</v>
      </c>
      <c r="S176" s="55" t="n">
        <f aca="false">Q176+ROW()*0.000000001</f>
        <v>-5.30129788322292</v>
      </c>
      <c r="T176" s="55" t="n">
        <f aca="false">R176+ROW()*0.000000001</f>
        <v>42.7647918426667</v>
      </c>
    </row>
    <row r="177" customFormat="false" ht="15" hidden="false" customHeight="false" outlineLevel="0" collapsed="false">
      <c r="A177" s="0" t="n">
        <v>4</v>
      </c>
      <c r="B177" s="0" t="n">
        <v>8</v>
      </c>
      <c r="C177" s="0" t="n">
        <f aca="false">-1+A177*0.05</f>
        <v>-0.8</v>
      </c>
      <c r="D177" s="0" t="n">
        <f aca="false">-1+B177*0.05</f>
        <v>-0.6</v>
      </c>
      <c r="E177" s="0" t="n">
        <f aca="false">1</f>
        <v>1</v>
      </c>
      <c r="F177" s="0" t="n">
        <f aca="false">C177</f>
        <v>-0.8</v>
      </c>
      <c r="G177" s="0" t="n">
        <f aca="false">D177</f>
        <v>-0.6</v>
      </c>
      <c r="H177" s="0" t="n">
        <f aca="false">C177*D177</f>
        <v>0.48</v>
      </c>
      <c r="I177" s="0" t="n">
        <f aca="false">C177*C177</f>
        <v>0.64</v>
      </c>
      <c r="J177" s="0" t="n">
        <f aca="false">D177*D177</f>
        <v>0.36</v>
      </c>
      <c r="K177" s="0" t="n">
        <f aca="false">SUMPRODUCT(E177:J177,_XtX!$B$53:$G$53)</f>
        <v>42.9527356321839</v>
      </c>
      <c r="L177" s="0" t="n">
        <f aca="false">SUMPRODUCT(MMULT(E177:J177,_XtX!$B$44:$G$49),E177:J177)</f>
        <v>0.321452873563218</v>
      </c>
      <c r="M177" s="0" t="n">
        <f aca="false">04_回帰ANOVA!$K$19*04_回帰ANOVA!$K$14*SQRT(1+L177)</f>
        <v>1.55776668694898</v>
      </c>
      <c r="N177" s="0" t="n">
        <f aca="false">K177-M177</f>
        <v>41.3949689452349</v>
      </c>
      <c r="O177" s="0" t="n">
        <f aca="false">K177+M177</f>
        <v>44.5105023191329</v>
      </c>
      <c r="P177" s="54" t="b">
        <f aca="false">AND(C177&gt;=01_因子設定!$L$5-0.000000001,C177&lt;=01_因子設定!$M$5+0.000000001,D177&gt;=01_因子設定!$L$6-0.000000001,D177&lt;=01_因子設定!$M$6+0.000000001,IF(01_因子設定!$B$20="Box-Behnken",C177^2+D177^2&lt;=2+0.000000001,TRUE()))</f>
        <v>1</v>
      </c>
      <c r="Q177" s="55" t="n">
        <f aca="false">IF(P177,IF(01_因子設定!$B$13="最大化",N177-01_因子設定!$B$14,IF(01_因子設定!$B$13="最小化",01_因子設定!$B$15-O177,MIN(N177-01_因子設定!$B$14,01_因子設定!$B$15-O177))),-1E+030)</f>
        <v>-5.10503105476509</v>
      </c>
      <c r="R177" s="55" t="n">
        <f aca="false">IF(P177,IF(01_因子設定!$B$13="最大化",K177,IF(01_因子設定!$B$13="最小化",-K177,-ABS(K177-01_因子設定!$B$16))),-1E+030)</f>
        <v>42.9527356321839</v>
      </c>
      <c r="S177" s="55" t="n">
        <f aca="false">Q177+ROW()*0.000000001</f>
        <v>-5.10503087776509</v>
      </c>
      <c r="T177" s="55" t="n">
        <f aca="false">R177+ROW()*0.000000001</f>
        <v>42.9527358091839</v>
      </c>
    </row>
    <row r="178" customFormat="false" ht="15" hidden="false" customHeight="false" outlineLevel="0" collapsed="false">
      <c r="A178" s="0" t="n">
        <v>4</v>
      </c>
      <c r="B178" s="0" t="n">
        <v>9</v>
      </c>
      <c r="C178" s="0" t="n">
        <f aca="false">-1+A178*0.05</f>
        <v>-0.8</v>
      </c>
      <c r="D178" s="0" t="n">
        <f aca="false">-1+B178*0.05</f>
        <v>-0.55</v>
      </c>
      <c r="E178" s="0" t="n">
        <f aca="false">1</f>
        <v>1</v>
      </c>
      <c r="F178" s="0" t="n">
        <f aca="false">C178</f>
        <v>-0.8</v>
      </c>
      <c r="G178" s="0" t="n">
        <f aca="false">D178</f>
        <v>-0.55</v>
      </c>
      <c r="H178" s="0" t="n">
        <f aca="false">C178*D178</f>
        <v>0.44</v>
      </c>
      <c r="I178" s="0" t="n">
        <f aca="false">C178*C178</f>
        <v>0.64</v>
      </c>
      <c r="J178" s="0" t="n">
        <f aca="false">D178*D178</f>
        <v>0.3025</v>
      </c>
      <c r="K178" s="0" t="n">
        <f aca="false">SUMPRODUCT(E178:J178,_XtX!$B$53:$G$53)</f>
        <v>43.1329640804598</v>
      </c>
      <c r="L178" s="0" t="n">
        <f aca="false">SUMPRODUCT(MMULT(E178:J178,_XtX!$B$44:$G$49),E178:J178)</f>
        <v>0.310925251436782</v>
      </c>
      <c r="M178" s="0" t="n">
        <f aca="false">04_回帰ANOVA!$K$19*04_回帰ANOVA!$K$14*SQRT(1+L178)</f>
        <v>1.551549146857</v>
      </c>
      <c r="N178" s="0" t="n">
        <f aca="false">K178-M178</f>
        <v>41.5814149336028</v>
      </c>
      <c r="O178" s="0" t="n">
        <f aca="false">K178+M178</f>
        <v>44.6845132273168</v>
      </c>
      <c r="P178" s="54" t="b">
        <f aca="false">AND(C178&gt;=01_因子設定!$L$5-0.000000001,C178&lt;=01_因子設定!$M$5+0.000000001,D178&gt;=01_因子設定!$L$6-0.000000001,D178&lt;=01_因子設定!$M$6+0.000000001,IF(01_因子設定!$B$20="Box-Behnken",C178^2+D178^2&lt;=2+0.000000001,TRUE()))</f>
        <v>1</v>
      </c>
      <c r="Q178" s="55" t="n">
        <f aca="false">IF(P178,IF(01_因子設定!$B$13="最大化",N178-01_因子設定!$B$14,IF(01_因子設定!$B$13="最小化",01_因子設定!$B$15-O178,MIN(N178-01_因子設定!$B$14,01_因子設定!$B$15-O178))),-1E+030)</f>
        <v>-4.91858506639724</v>
      </c>
      <c r="R178" s="55" t="n">
        <f aca="false">IF(P178,IF(01_因子設定!$B$13="最大化",K178,IF(01_因子設定!$B$13="最小化",-K178,-ABS(K178-01_因子設定!$B$16))),-1E+030)</f>
        <v>43.1329640804598</v>
      </c>
      <c r="S178" s="55" t="n">
        <f aca="false">Q178+ROW()*0.000000001</f>
        <v>-4.91858488839724</v>
      </c>
      <c r="T178" s="55" t="n">
        <f aca="false">R178+ROW()*0.000000001</f>
        <v>43.1329642584598</v>
      </c>
    </row>
    <row r="179" customFormat="false" ht="15" hidden="false" customHeight="false" outlineLevel="0" collapsed="false">
      <c r="A179" s="0" t="n">
        <v>4</v>
      </c>
      <c r="B179" s="0" t="n">
        <v>10</v>
      </c>
      <c r="C179" s="0" t="n">
        <f aca="false">-1+A179*0.05</f>
        <v>-0.8</v>
      </c>
      <c r="D179" s="0" t="n">
        <f aca="false">-1+B179*0.05</f>
        <v>-0.5</v>
      </c>
      <c r="E179" s="0" t="n">
        <f aca="false">1</f>
        <v>1</v>
      </c>
      <c r="F179" s="0" t="n">
        <f aca="false">C179</f>
        <v>-0.8</v>
      </c>
      <c r="G179" s="0" t="n">
        <f aca="false">D179</f>
        <v>-0.5</v>
      </c>
      <c r="H179" s="0" t="n">
        <f aca="false">C179*D179</f>
        <v>0.4</v>
      </c>
      <c r="I179" s="0" t="n">
        <f aca="false">C179*C179</f>
        <v>0.64</v>
      </c>
      <c r="J179" s="0" t="n">
        <f aca="false">D179*D179</f>
        <v>0.25</v>
      </c>
      <c r="K179" s="0" t="n">
        <f aca="false">SUMPRODUCT(E179:J179,_XtX!$B$53:$G$53)</f>
        <v>43.3054770114942</v>
      </c>
      <c r="L179" s="0" t="n">
        <f aca="false">SUMPRODUCT(MMULT(E179:J179,_XtX!$B$44:$G$49),E179:J179)</f>
        <v>0.303404022988506</v>
      </c>
      <c r="M179" s="0" t="n">
        <f aca="false">04_回帰ANOVA!$K$19*04_回帰ANOVA!$K$14*SQRT(1+L179)</f>
        <v>1.54709185921971</v>
      </c>
      <c r="N179" s="0" t="n">
        <f aca="false">K179-M179</f>
        <v>41.7583851522745</v>
      </c>
      <c r="O179" s="0" t="n">
        <f aca="false">K179+M179</f>
        <v>44.8525688707139</v>
      </c>
      <c r="P179" s="54" t="b">
        <f aca="false">AND(C179&gt;=01_因子設定!$L$5-0.000000001,C179&lt;=01_因子設定!$M$5+0.000000001,D179&gt;=01_因子設定!$L$6-0.000000001,D179&lt;=01_因子設定!$M$6+0.000000001,IF(01_因子設定!$B$20="Box-Behnken",C179^2+D179^2&lt;=2+0.000000001,TRUE()))</f>
        <v>1</v>
      </c>
      <c r="Q179" s="55" t="n">
        <f aca="false">IF(P179,IF(01_因子設定!$B$13="最大化",N179-01_因子設定!$B$14,IF(01_因子設定!$B$13="最小化",01_因子設定!$B$15-O179,MIN(N179-01_因子設定!$B$14,01_因子設定!$B$15-O179))),-1E+030)</f>
        <v>-4.74161484772547</v>
      </c>
      <c r="R179" s="55" t="n">
        <f aca="false">IF(P179,IF(01_因子設定!$B$13="最大化",K179,IF(01_因子設定!$B$13="最小化",-K179,-ABS(K179-01_因子設定!$B$16))),-1E+030)</f>
        <v>43.3054770114942</v>
      </c>
      <c r="S179" s="55" t="n">
        <f aca="false">Q179+ROW()*0.000000001</f>
        <v>-4.74161466872547</v>
      </c>
      <c r="T179" s="55" t="n">
        <f aca="false">R179+ROW()*0.000000001</f>
        <v>43.3054771904942</v>
      </c>
    </row>
    <row r="180" customFormat="false" ht="15" hidden="false" customHeight="false" outlineLevel="0" collapsed="false">
      <c r="A180" s="0" t="n">
        <v>4</v>
      </c>
      <c r="B180" s="0" t="n">
        <v>11</v>
      </c>
      <c r="C180" s="0" t="n">
        <f aca="false">-1+A180*0.05</f>
        <v>-0.8</v>
      </c>
      <c r="D180" s="0" t="n">
        <f aca="false">-1+B180*0.05</f>
        <v>-0.45</v>
      </c>
      <c r="E180" s="0" t="n">
        <f aca="false">1</f>
        <v>1</v>
      </c>
      <c r="F180" s="0" t="n">
        <f aca="false">C180</f>
        <v>-0.8</v>
      </c>
      <c r="G180" s="0" t="n">
        <f aca="false">D180</f>
        <v>-0.45</v>
      </c>
      <c r="H180" s="0" t="n">
        <f aca="false">C180*D180</f>
        <v>0.36</v>
      </c>
      <c r="I180" s="0" t="n">
        <f aca="false">C180*C180</f>
        <v>0.64</v>
      </c>
      <c r="J180" s="0" t="n">
        <f aca="false">D180*D180</f>
        <v>0.2025</v>
      </c>
      <c r="K180" s="0" t="n">
        <f aca="false">SUMPRODUCT(E180:J180,_XtX!$B$53:$G$53)</f>
        <v>43.4702744252873</v>
      </c>
      <c r="L180" s="0" t="n">
        <f aca="false">SUMPRODUCT(MMULT(E180:J180,_XtX!$B$44:$G$49),E180:J180)</f>
        <v>0.298318929597701</v>
      </c>
      <c r="M180" s="0" t="n">
        <f aca="false">04_回帰ANOVA!$K$19*04_回帰ANOVA!$K$14*SQRT(1+L180)</f>
        <v>1.54407100205425</v>
      </c>
      <c r="N180" s="0" t="n">
        <f aca="false">K180-M180</f>
        <v>41.9262034232331</v>
      </c>
      <c r="O180" s="0" t="n">
        <f aca="false">K180+M180</f>
        <v>45.0143454273416</v>
      </c>
      <c r="P180" s="54" t="b">
        <f aca="false">AND(C180&gt;=01_因子設定!$L$5-0.000000001,C180&lt;=01_因子設定!$M$5+0.000000001,D180&gt;=01_因子設定!$L$6-0.000000001,D180&lt;=01_因子設定!$M$6+0.000000001,IF(01_因子設定!$B$20="Box-Behnken",C180^2+D180^2&lt;=2+0.000000001,TRUE()))</f>
        <v>1</v>
      </c>
      <c r="Q180" s="55" t="n">
        <f aca="false">IF(P180,IF(01_因子設定!$B$13="最大化",N180-01_因子設定!$B$14,IF(01_因子設定!$B$13="最小化",01_因子設定!$B$15-O180,MIN(N180-01_因子設定!$B$14,01_因子設定!$B$15-O180))),-1E+030)</f>
        <v>-4.5737965767669</v>
      </c>
      <c r="R180" s="55" t="n">
        <f aca="false">IF(P180,IF(01_因子設定!$B$13="最大化",K180,IF(01_因子設定!$B$13="最小化",-K180,-ABS(K180-01_因子設定!$B$16))),-1E+030)</f>
        <v>43.4702744252873</v>
      </c>
      <c r="S180" s="55" t="n">
        <f aca="false">Q180+ROW()*0.000000001</f>
        <v>-4.5737963967669</v>
      </c>
      <c r="T180" s="55" t="n">
        <f aca="false">R180+ROW()*0.000000001</f>
        <v>43.4702746052873</v>
      </c>
    </row>
    <row r="181" customFormat="false" ht="15" hidden="false" customHeight="false" outlineLevel="0" collapsed="false">
      <c r="A181" s="0" t="n">
        <v>4</v>
      </c>
      <c r="B181" s="0" t="n">
        <v>12</v>
      </c>
      <c r="C181" s="0" t="n">
        <f aca="false">-1+A181*0.05</f>
        <v>-0.8</v>
      </c>
      <c r="D181" s="0" t="n">
        <f aca="false">-1+B181*0.05</f>
        <v>-0.4</v>
      </c>
      <c r="E181" s="0" t="n">
        <f aca="false">1</f>
        <v>1</v>
      </c>
      <c r="F181" s="0" t="n">
        <f aca="false">C181</f>
        <v>-0.8</v>
      </c>
      <c r="G181" s="0" t="n">
        <f aca="false">D181</f>
        <v>-0.4</v>
      </c>
      <c r="H181" s="0" t="n">
        <f aca="false">C181*D181</f>
        <v>0.32</v>
      </c>
      <c r="I181" s="0" t="n">
        <f aca="false">C181*C181</f>
        <v>0.64</v>
      </c>
      <c r="J181" s="0" t="n">
        <f aca="false">D181*D181</f>
        <v>0.16</v>
      </c>
      <c r="K181" s="0" t="n">
        <f aca="false">SUMPRODUCT(E181:J181,_XtX!$B$53:$G$53)</f>
        <v>43.6273563218391</v>
      </c>
      <c r="L181" s="0" t="n">
        <f aca="false">SUMPRODUCT(MMULT(E181:J181,_XtX!$B$44:$G$49),E181:J181)</f>
        <v>0.295154022988506</v>
      </c>
      <c r="M181" s="0" t="n">
        <f aca="false">04_回帰ANOVA!$K$19*04_回帰ANOVA!$K$14*SQRT(1+L181)</f>
        <v>1.54218786602306</v>
      </c>
      <c r="N181" s="0" t="n">
        <f aca="false">K181-M181</f>
        <v>42.085168455816</v>
      </c>
      <c r="O181" s="0" t="n">
        <f aca="false">K181+M181</f>
        <v>45.1695441878621</v>
      </c>
      <c r="P181" s="54" t="b">
        <f aca="false">AND(C181&gt;=01_因子設定!$L$5-0.000000001,C181&lt;=01_因子設定!$M$5+0.000000001,D181&gt;=01_因子設定!$L$6-0.000000001,D181&lt;=01_因子設定!$M$6+0.000000001,IF(01_因子設定!$B$20="Box-Behnken",C181^2+D181^2&lt;=2+0.000000001,TRUE()))</f>
        <v>1</v>
      </c>
      <c r="Q181" s="55" t="n">
        <f aca="false">IF(P181,IF(01_因子設定!$B$13="最大化",N181-01_因子設定!$B$14,IF(01_因子設定!$B$13="最小化",01_因子設定!$B$15-O181,MIN(N181-01_因子設定!$B$14,01_因子設定!$B$15-O181))),-1E+030)</f>
        <v>-4.414831544184</v>
      </c>
      <c r="R181" s="55" t="n">
        <f aca="false">IF(P181,IF(01_因子設定!$B$13="最大化",K181,IF(01_因子設定!$B$13="最小化",-K181,-ABS(K181-01_因子設定!$B$16))),-1E+030)</f>
        <v>43.6273563218391</v>
      </c>
      <c r="S181" s="55" t="n">
        <f aca="false">Q181+ROW()*0.000000001</f>
        <v>-4.414831363184</v>
      </c>
      <c r="T181" s="55" t="n">
        <f aca="false">R181+ROW()*0.000000001</f>
        <v>43.6273565028391</v>
      </c>
    </row>
    <row r="182" customFormat="false" ht="15" hidden="false" customHeight="false" outlineLevel="0" collapsed="false">
      <c r="A182" s="0" t="n">
        <v>4</v>
      </c>
      <c r="B182" s="0" t="n">
        <v>13</v>
      </c>
      <c r="C182" s="0" t="n">
        <f aca="false">-1+A182*0.05</f>
        <v>-0.8</v>
      </c>
      <c r="D182" s="0" t="n">
        <f aca="false">-1+B182*0.05</f>
        <v>-0.35</v>
      </c>
      <c r="E182" s="0" t="n">
        <f aca="false">1</f>
        <v>1</v>
      </c>
      <c r="F182" s="0" t="n">
        <f aca="false">C182</f>
        <v>-0.8</v>
      </c>
      <c r="G182" s="0" t="n">
        <f aca="false">D182</f>
        <v>-0.35</v>
      </c>
      <c r="H182" s="0" t="n">
        <f aca="false">C182*D182</f>
        <v>0.28</v>
      </c>
      <c r="I182" s="0" t="n">
        <f aca="false">C182*C182</f>
        <v>0.64</v>
      </c>
      <c r="J182" s="0" t="n">
        <f aca="false">D182*D182</f>
        <v>0.1225</v>
      </c>
      <c r="K182" s="0" t="n">
        <f aca="false">SUMPRODUCT(E182:J182,_XtX!$B$53:$G$53)</f>
        <v>43.7767227011494</v>
      </c>
      <c r="L182" s="0" t="n">
        <f aca="false">SUMPRODUCT(MMULT(E182:J182,_XtX!$B$44:$G$49),E182:J182)</f>
        <v>0.293447665229885</v>
      </c>
      <c r="M182" s="0" t="n">
        <f aca="false">04_回帰ANOVA!$K$19*04_回帰ANOVA!$K$14*SQRT(1+L182)</f>
        <v>1.54117161949579</v>
      </c>
      <c r="N182" s="0" t="n">
        <f aca="false">K182-M182</f>
        <v>42.2355510816536</v>
      </c>
      <c r="O182" s="0" t="n">
        <f aca="false">K182+M182</f>
        <v>45.3178943206452</v>
      </c>
      <c r="P182" s="54" t="b">
        <f aca="false">AND(C182&gt;=01_因子設定!$L$5-0.000000001,C182&lt;=01_因子設定!$M$5+0.000000001,D182&gt;=01_因子設定!$L$6-0.000000001,D182&lt;=01_因子設定!$M$6+0.000000001,IF(01_因子設定!$B$20="Box-Behnken",C182^2+D182^2&lt;=2+0.000000001,TRUE()))</f>
        <v>1</v>
      </c>
      <c r="Q182" s="55" t="n">
        <f aca="false">IF(P182,IF(01_因子設定!$B$13="最大化",N182-01_因子設定!$B$14,IF(01_因子設定!$B$13="最小化",01_因子設定!$B$15-O182,MIN(N182-01_因子設定!$B$14,01_因子設定!$B$15-O182))),-1E+030)</f>
        <v>-4.26444891834638</v>
      </c>
      <c r="R182" s="55" t="n">
        <f aca="false">IF(P182,IF(01_因子設定!$B$13="最大化",K182,IF(01_因子設定!$B$13="最小化",-K182,-ABS(K182-01_因子設定!$B$16))),-1E+030)</f>
        <v>43.7767227011494</v>
      </c>
      <c r="S182" s="55" t="n">
        <f aca="false">Q182+ROW()*0.000000001</f>
        <v>-4.26444873634638</v>
      </c>
      <c r="T182" s="55" t="n">
        <f aca="false">R182+ROW()*0.000000001</f>
        <v>43.7767228831494</v>
      </c>
    </row>
    <row r="183" customFormat="false" ht="15" hidden="false" customHeight="false" outlineLevel="0" collapsed="false">
      <c r="A183" s="0" t="n">
        <v>4</v>
      </c>
      <c r="B183" s="0" t="n">
        <v>14</v>
      </c>
      <c r="C183" s="0" t="n">
        <f aca="false">-1+A183*0.05</f>
        <v>-0.8</v>
      </c>
      <c r="D183" s="0" t="n">
        <f aca="false">-1+B183*0.05</f>
        <v>-0.3</v>
      </c>
      <c r="E183" s="0" t="n">
        <f aca="false">1</f>
        <v>1</v>
      </c>
      <c r="F183" s="0" t="n">
        <f aca="false">C183</f>
        <v>-0.8</v>
      </c>
      <c r="G183" s="0" t="n">
        <f aca="false">D183</f>
        <v>-0.3</v>
      </c>
      <c r="H183" s="0" t="n">
        <f aca="false">C183*D183</f>
        <v>0.24</v>
      </c>
      <c r="I183" s="0" t="n">
        <f aca="false">C183*C183</f>
        <v>0.64</v>
      </c>
      <c r="J183" s="0" t="n">
        <f aca="false">D183*D183</f>
        <v>0.09</v>
      </c>
      <c r="K183" s="0" t="n">
        <f aca="false">SUMPRODUCT(E183:J183,_XtX!$B$53:$G$53)</f>
        <v>43.9183735632184</v>
      </c>
      <c r="L183" s="0" t="n">
        <f aca="false">SUMPRODUCT(MMULT(E183:J183,_XtX!$B$44:$G$49),E183:J183)</f>
        <v>0.292792528735632</v>
      </c>
      <c r="M183" s="0" t="n">
        <f aca="false">04_回帰ANOVA!$K$19*04_回帰ANOVA!$K$14*SQRT(1+L183)</f>
        <v>1.54078126521906</v>
      </c>
      <c r="N183" s="0" t="n">
        <f aca="false">K183-M183</f>
        <v>42.3775922979993</v>
      </c>
      <c r="O183" s="0" t="n">
        <f aca="false">K183+M183</f>
        <v>45.4591548284374</v>
      </c>
      <c r="P183" s="54" t="b">
        <f aca="false">AND(C183&gt;=01_因子設定!$L$5-0.000000001,C183&lt;=01_因子設定!$M$5+0.000000001,D183&gt;=01_因子設定!$L$6-0.000000001,D183&lt;=01_因子設定!$M$6+0.000000001,IF(01_因子設定!$B$20="Box-Behnken",C183^2+D183^2&lt;=2+0.000000001,TRUE()))</f>
        <v>1</v>
      </c>
      <c r="Q183" s="55" t="n">
        <f aca="false">IF(P183,IF(01_因子設定!$B$13="最大化",N183-01_因子設定!$B$14,IF(01_因子設定!$B$13="最小化",01_因子設定!$B$15-O183,MIN(N183-01_因子設定!$B$14,01_因子設定!$B$15-O183))),-1E+030)</f>
        <v>-4.12240770200069</v>
      </c>
      <c r="R183" s="55" t="n">
        <f aca="false">IF(P183,IF(01_因子設定!$B$13="最大化",K183,IF(01_因子設定!$B$13="最小化",-K183,-ABS(K183-01_因子設定!$B$16))),-1E+030)</f>
        <v>43.9183735632184</v>
      </c>
      <c r="S183" s="55" t="n">
        <f aca="false">Q183+ROW()*0.000000001</f>
        <v>-4.12240751900069</v>
      </c>
      <c r="T183" s="55" t="n">
        <f aca="false">R183+ROW()*0.000000001</f>
        <v>43.9183737462184</v>
      </c>
    </row>
    <row r="184" customFormat="false" ht="15" hidden="false" customHeight="false" outlineLevel="0" collapsed="false">
      <c r="A184" s="0" t="n">
        <v>4</v>
      </c>
      <c r="B184" s="0" t="n">
        <v>15</v>
      </c>
      <c r="C184" s="0" t="n">
        <f aca="false">-1+A184*0.05</f>
        <v>-0.8</v>
      </c>
      <c r="D184" s="0" t="n">
        <f aca="false">-1+B184*0.05</f>
        <v>-0.25</v>
      </c>
      <c r="E184" s="0" t="n">
        <f aca="false">1</f>
        <v>1</v>
      </c>
      <c r="F184" s="0" t="n">
        <f aca="false">C184</f>
        <v>-0.8</v>
      </c>
      <c r="G184" s="0" t="n">
        <f aca="false">D184</f>
        <v>-0.25</v>
      </c>
      <c r="H184" s="0" t="n">
        <f aca="false">C184*D184</f>
        <v>0.2</v>
      </c>
      <c r="I184" s="0" t="n">
        <f aca="false">C184*C184</f>
        <v>0.64</v>
      </c>
      <c r="J184" s="0" t="n">
        <f aca="false">D184*D184</f>
        <v>0.0625</v>
      </c>
      <c r="K184" s="0" t="n">
        <f aca="false">SUMPRODUCT(E184:J184,_XtX!$B$53:$G$53)</f>
        <v>44.052308908046</v>
      </c>
      <c r="L184" s="0" t="n">
        <f aca="false">SUMPRODUCT(MMULT(E184:J184,_XtX!$B$44:$G$49),E184:J184)</f>
        <v>0.292835596264368</v>
      </c>
      <c r="M184" s="0" t="n">
        <f aca="false">04_回帰ANOVA!$K$19*04_回帰ANOVA!$K$14*SQRT(1+L184)</f>
        <v>1.54080692946421</v>
      </c>
      <c r="N184" s="0" t="n">
        <f aca="false">K184-M184</f>
        <v>42.5115019785818</v>
      </c>
      <c r="O184" s="0" t="n">
        <f aca="false">K184+M184</f>
        <v>45.5931158375102</v>
      </c>
      <c r="P184" s="54" t="b">
        <f aca="false">AND(C184&gt;=01_因子設定!$L$5-0.000000001,C184&lt;=01_因子設定!$M$5+0.000000001,D184&gt;=01_因子設定!$L$6-0.000000001,D184&lt;=01_因子設定!$M$6+0.000000001,IF(01_因子設定!$B$20="Box-Behnken",C184^2+D184^2&lt;=2+0.000000001,TRUE()))</f>
        <v>1</v>
      </c>
      <c r="Q184" s="55" t="n">
        <f aca="false">IF(P184,IF(01_因子設定!$B$13="最大化",N184-01_因子設定!$B$14,IF(01_因子設定!$B$13="最小化",01_因子設定!$B$15-O184,MIN(N184-01_因子設定!$B$14,01_因子設定!$B$15-O184))),-1E+030)</f>
        <v>-3.98849802141825</v>
      </c>
      <c r="R184" s="55" t="n">
        <f aca="false">IF(P184,IF(01_因子設定!$B$13="最大化",K184,IF(01_因子設定!$B$13="最小化",-K184,-ABS(K184-01_因子設定!$B$16))),-1E+030)</f>
        <v>44.052308908046</v>
      </c>
      <c r="S184" s="55" t="n">
        <f aca="false">Q184+ROW()*0.000000001</f>
        <v>-3.98849783741824</v>
      </c>
      <c r="T184" s="55" t="n">
        <f aca="false">R184+ROW()*0.000000001</f>
        <v>44.052309092046</v>
      </c>
    </row>
    <row r="185" customFormat="false" ht="15" hidden="false" customHeight="false" outlineLevel="0" collapsed="false">
      <c r="A185" s="0" t="n">
        <v>4</v>
      </c>
      <c r="B185" s="0" t="n">
        <v>16</v>
      </c>
      <c r="C185" s="0" t="n">
        <f aca="false">-1+A185*0.05</f>
        <v>-0.8</v>
      </c>
      <c r="D185" s="0" t="n">
        <f aca="false">-1+B185*0.05</f>
        <v>-0.2</v>
      </c>
      <c r="E185" s="0" t="n">
        <f aca="false">1</f>
        <v>1</v>
      </c>
      <c r="F185" s="0" t="n">
        <f aca="false">C185</f>
        <v>-0.8</v>
      </c>
      <c r="G185" s="0" t="n">
        <f aca="false">D185</f>
        <v>-0.2</v>
      </c>
      <c r="H185" s="0" t="n">
        <f aca="false">C185*D185</f>
        <v>0.16</v>
      </c>
      <c r="I185" s="0" t="n">
        <f aca="false">C185*C185</f>
        <v>0.64</v>
      </c>
      <c r="J185" s="0" t="n">
        <f aca="false">D185*D185</f>
        <v>0.04</v>
      </c>
      <c r="K185" s="0" t="n">
        <f aca="false">SUMPRODUCT(E185:J185,_XtX!$B$53:$G$53)</f>
        <v>44.1785287356322</v>
      </c>
      <c r="L185" s="0" t="n">
        <f aca="false">SUMPRODUCT(MMULT(E185:J185,_XtX!$B$44:$G$49),E185:J185)</f>
        <v>0.29327816091954</v>
      </c>
      <c r="M185" s="0" t="n">
        <f aca="false">04_回帰ANOVA!$K$19*04_回帰ANOVA!$K$14*SQRT(1+L185)</f>
        <v>1.54107063211196</v>
      </c>
      <c r="N185" s="0" t="n">
        <f aca="false">K185-M185</f>
        <v>42.6374581035202</v>
      </c>
      <c r="O185" s="0" t="n">
        <f aca="false">K185+M185</f>
        <v>45.7195993677441</v>
      </c>
      <c r="P185" s="54" t="b">
        <f aca="false">AND(C185&gt;=01_因子設定!$L$5-0.000000001,C185&lt;=01_因子設定!$M$5+0.000000001,D185&gt;=01_因子設定!$L$6-0.000000001,D185&lt;=01_因子設定!$M$6+0.000000001,IF(01_因子設定!$B$20="Box-Behnken",C185^2+D185^2&lt;=2+0.000000001,TRUE()))</f>
        <v>1</v>
      </c>
      <c r="Q185" s="55" t="n">
        <f aca="false">IF(P185,IF(01_因子設定!$B$13="最大化",N185-01_因子設定!$B$14,IF(01_因子設定!$B$13="最小化",01_因子設定!$B$15-O185,MIN(N185-01_因子設定!$B$14,01_因子設定!$B$15-O185))),-1E+030)</f>
        <v>-3.86254189647979</v>
      </c>
      <c r="R185" s="55" t="n">
        <f aca="false">IF(P185,IF(01_因子設定!$B$13="最大化",K185,IF(01_因子設定!$B$13="最小化",-K185,-ABS(K185-01_因子設定!$B$16))),-1E+030)</f>
        <v>44.1785287356322</v>
      </c>
      <c r="S185" s="55" t="n">
        <f aca="false">Q185+ROW()*0.000000001</f>
        <v>-3.86254171147979</v>
      </c>
      <c r="T185" s="55" t="n">
        <f aca="false">R185+ROW()*0.000000001</f>
        <v>44.1785289206322</v>
      </c>
    </row>
    <row r="186" customFormat="false" ht="15" hidden="false" customHeight="false" outlineLevel="0" collapsed="false">
      <c r="A186" s="0" t="n">
        <v>4</v>
      </c>
      <c r="B186" s="0" t="n">
        <v>17</v>
      </c>
      <c r="C186" s="0" t="n">
        <f aca="false">-1+A186*0.05</f>
        <v>-0.8</v>
      </c>
      <c r="D186" s="0" t="n">
        <f aca="false">-1+B186*0.05</f>
        <v>-0.15</v>
      </c>
      <c r="E186" s="0" t="n">
        <f aca="false">1</f>
        <v>1</v>
      </c>
      <c r="F186" s="0" t="n">
        <f aca="false">C186</f>
        <v>-0.8</v>
      </c>
      <c r="G186" s="0" t="n">
        <f aca="false">D186</f>
        <v>-0.15</v>
      </c>
      <c r="H186" s="0" t="n">
        <f aca="false">C186*D186</f>
        <v>0.12</v>
      </c>
      <c r="I186" s="0" t="n">
        <f aca="false">C186*C186</f>
        <v>0.64</v>
      </c>
      <c r="J186" s="0" t="n">
        <f aca="false">D186*D186</f>
        <v>0.0225</v>
      </c>
      <c r="K186" s="0" t="n">
        <f aca="false">SUMPRODUCT(E186:J186,_XtX!$B$53:$G$53)</f>
        <v>44.297033045977</v>
      </c>
      <c r="L186" s="0" t="n">
        <f aca="false">SUMPRODUCT(MMULT(E186:J186,_XtX!$B$44:$G$49),E186:J186)</f>
        <v>0.293875826149425</v>
      </c>
      <c r="M186" s="0" t="n">
        <f aca="false">04_回帰ANOVA!$K$19*04_回帰ANOVA!$K$14*SQRT(1+L186)</f>
        <v>1.54142668001218</v>
      </c>
      <c r="N186" s="0" t="n">
        <f aca="false">K186-M186</f>
        <v>42.7556063659648</v>
      </c>
      <c r="O186" s="0" t="n">
        <f aca="false">K186+M186</f>
        <v>45.8384597259892</v>
      </c>
      <c r="P186" s="54" t="b">
        <f aca="false">AND(C186&gt;=01_因子設定!$L$5-0.000000001,C186&lt;=01_因子設定!$M$5+0.000000001,D186&gt;=01_因子設定!$L$6-0.000000001,D186&lt;=01_因子設定!$M$6+0.000000001,IF(01_因子設定!$B$20="Box-Behnken",C186^2+D186^2&lt;=2+0.000000001,TRUE()))</f>
        <v>1</v>
      </c>
      <c r="Q186" s="55" t="n">
        <f aca="false">IF(P186,IF(01_因子設定!$B$13="最大化",N186-01_因子設定!$B$14,IF(01_因子設定!$B$13="最小化",01_因子設定!$B$15-O186,MIN(N186-01_因子設定!$B$14,01_因子設定!$B$15-O186))),-1E+030)</f>
        <v>-3.74439363403518</v>
      </c>
      <c r="R186" s="55" t="n">
        <f aca="false">IF(P186,IF(01_因子設定!$B$13="最大化",K186,IF(01_因子設定!$B$13="最小化",-K186,-ABS(K186-01_因子設定!$B$16))),-1E+030)</f>
        <v>44.297033045977</v>
      </c>
      <c r="S186" s="55" t="n">
        <f aca="false">Q186+ROW()*0.000000001</f>
        <v>-3.74439344803518</v>
      </c>
      <c r="T186" s="55" t="n">
        <f aca="false">R186+ROW()*0.000000001</f>
        <v>44.297033231977</v>
      </c>
    </row>
    <row r="187" customFormat="false" ht="15" hidden="false" customHeight="false" outlineLevel="0" collapsed="false">
      <c r="A187" s="0" t="n">
        <v>4</v>
      </c>
      <c r="B187" s="0" t="n">
        <v>18</v>
      </c>
      <c r="C187" s="0" t="n">
        <f aca="false">-1+A187*0.05</f>
        <v>-0.8</v>
      </c>
      <c r="D187" s="0" t="n">
        <f aca="false">-1+B187*0.05</f>
        <v>-0.1</v>
      </c>
      <c r="E187" s="0" t="n">
        <f aca="false">1</f>
        <v>1</v>
      </c>
      <c r="F187" s="0" t="n">
        <f aca="false">C187</f>
        <v>-0.8</v>
      </c>
      <c r="G187" s="0" t="n">
        <f aca="false">D187</f>
        <v>-0.1</v>
      </c>
      <c r="H187" s="0" t="n">
        <f aca="false">C187*D187</f>
        <v>0.08</v>
      </c>
      <c r="I187" s="0" t="n">
        <f aca="false">C187*C187</f>
        <v>0.64</v>
      </c>
      <c r="J187" s="0" t="n">
        <f aca="false">D187*D187</f>
        <v>0.01</v>
      </c>
      <c r="K187" s="0" t="n">
        <f aca="false">SUMPRODUCT(E187:J187,_XtX!$B$53:$G$53)</f>
        <v>44.4078218390805</v>
      </c>
      <c r="L187" s="0" t="n">
        <f aca="false">SUMPRODUCT(MMULT(E187:J187,_XtX!$B$44:$G$49),E187:J187)</f>
        <v>0.294438505747126</v>
      </c>
      <c r="M187" s="0" t="n">
        <f aca="false">04_回帰ANOVA!$K$19*04_回帰ANOVA!$K$14*SQRT(1+L187)</f>
        <v>1.54176181073002</v>
      </c>
      <c r="N187" s="0" t="n">
        <f aca="false">K187-M187</f>
        <v>42.8660600283504</v>
      </c>
      <c r="O187" s="0" t="n">
        <f aca="false">K187+M187</f>
        <v>45.9495836498105</v>
      </c>
      <c r="P187" s="54" t="b">
        <f aca="false">AND(C187&gt;=01_因子設定!$L$5-0.000000001,C187&lt;=01_因子設定!$M$5+0.000000001,D187&gt;=01_因子設定!$L$6-0.000000001,D187&lt;=01_因子設定!$M$6+0.000000001,IF(01_因子設定!$B$20="Box-Behnken",C187^2+D187^2&lt;=2+0.000000001,TRUE()))</f>
        <v>1</v>
      </c>
      <c r="Q187" s="55" t="n">
        <f aca="false">IF(P187,IF(01_因子設定!$B$13="最大化",N187-01_因子設定!$B$14,IF(01_因子設定!$B$13="最小化",01_因子設定!$B$15-O187,MIN(N187-01_因子設定!$B$14,01_因子設定!$B$15-O187))),-1E+030)</f>
        <v>-3.63393997164957</v>
      </c>
      <c r="R187" s="55" t="n">
        <f aca="false">IF(P187,IF(01_因子設定!$B$13="最大化",K187,IF(01_因子設定!$B$13="最小化",-K187,-ABS(K187-01_因子設定!$B$16))),-1E+030)</f>
        <v>44.4078218390805</v>
      </c>
      <c r="S187" s="55" t="n">
        <f aca="false">Q187+ROW()*0.000000001</f>
        <v>-3.63393978464957</v>
      </c>
      <c r="T187" s="55" t="n">
        <f aca="false">R187+ROW()*0.000000001</f>
        <v>44.4078220260804</v>
      </c>
    </row>
    <row r="188" customFormat="false" ht="15" hidden="false" customHeight="false" outlineLevel="0" collapsed="false">
      <c r="A188" s="0" t="n">
        <v>4</v>
      </c>
      <c r="B188" s="0" t="n">
        <v>19</v>
      </c>
      <c r="C188" s="0" t="n">
        <f aca="false">-1+A188*0.05</f>
        <v>-0.8</v>
      </c>
      <c r="D188" s="0" t="n">
        <f aca="false">-1+B188*0.05</f>
        <v>-0.0499999999999999</v>
      </c>
      <c r="E188" s="0" t="n">
        <f aca="false">1</f>
        <v>1</v>
      </c>
      <c r="F188" s="0" t="n">
        <f aca="false">C188</f>
        <v>-0.8</v>
      </c>
      <c r="G188" s="0" t="n">
        <f aca="false">D188</f>
        <v>-0.0499999999999999</v>
      </c>
      <c r="H188" s="0" t="n">
        <f aca="false">C188*D188</f>
        <v>0.04</v>
      </c>
      <c r="I188" s="0" t="n">
        <f aca="false">C188*C188</f>
        <v>0.64</v>
      </c>
      <c r="J188" s="0" t="n">
        <f aca="false">D188*D188</f>
        <v>0.00249999999999999</v>
      </c>
      <c r="K188" s="0" t="n">
        <f aca="false">SUMPRODUCT(E188:J188,_XtX!$B$53:$G$53)</f>
        <v>44.5108951149425</v>
      </c>
      <c r="L188" s="0" t="n">
        <f aca="false">SUMPRODUCT(MMULT(E188:J188,_XtX!$B$44:$G$49),E188:J188)</f>
        <v>0.294830423850575</v>
      </c>
      <c r="M188" s="0" t="n">
        <f aca="false">04_回帰ANOVA!$K$19*04_回帰ANOVA!$K$14*SQRT(1+L188)</f>
        <v>1.54199519324769</v>
      </c>
      <c r="N188" s="0" t="n">
        <f aca="false">K188-M188</f>
        <v>42.9688999216948</v>
      </c>
      <c r="O188" s="0" t="n">
        <f aca="false">K188+M188</f>
        <v>46.0528903081902</v>
      </c>
      <c r="P188" s="54" t="b">
        <f aca="false">AND(C188&gt;=01_因子設定!$L$5-0.000000001,C188&lt;=01_因子設定!$M$5+0.000000001,D188&gt;=01_因子設定!$L$6-0.000000001,D188&lt;=01_因子設定!$M$6+0.000000001,IF(01_因子設定!$B$20="Box-Behnken",C188^2+D188^2&lt;=2+0.000000001,TRUE()))</f>
        <v>1</v>
      </c>
      <c r="Q188" s="55" t="n">
        <f aca="false">IF(P188,IF(01_因子設定!$B$13="最大化",N188-01_因子設定!$B$14,IF(01_因子設定!$B$13="最小化",01_因子設定!$B$15-O188,MIN(N188-01_因子設定!$B$14,01_因子設定!$B$15-O188))),-1E+030)</f>
        <v>-3.53110007830517</v>
      </c>
      <c r="R188" s="55" t="n">
        <f aca="false">IF(P188,IF(01_因子設定!$B$13="最大化",K188,IF(01_因子設定!$B$13="最小化",-K188,-ABS(K188-01_因子設定!$B$16))),-1E+030)</f>
        <v>44.5108951149425</v>
      </c>
      <c r="S188" s="55" t="n">
        <f aca="false">Q188+ROW()*0.000000001</f>
        <v>-3.53109989030517</v>
      </c>
      <c r="T188" s="55" t="n">
        <f aca="false">R188+ROW()*0.000000001</f>
        <v>44.5108953029425</v>
      </c>
    </row>
    <row r="189" customFormat="false" ht="15" hidden="false" customHeight="false" outlineLevel="0" collapsed="false">
      <c r="A189" s="0" t="n">
        <v>4</v>
      </c>
      <c r="B189" s="0" t="n">
        <v>20</v>
      </c>
      <c r="C189" s="0" t="n">
        <f aca="false">-1+A189*0.05</f>
        <v>-0.8</v>
      </c>
      <c r="D189" s="0" t="n">
        <f aca="false">-1+B189*0.05</f>
        <v>0</v>
      </c>
      <c r="E189" s="0" t="n">
        <f aca="false">1</f>
        <v>1</v>
      </c>
      <c r="F189" s="0" t="n">
        <f aca="false">C189</f>
        <v>-0.8</v>
      </c>
      <c r="G189" s="0" t="n">
        <f aca="false">D189</f>
        <v>0</v>
      </c>
      <c r="H189" s="0" t="n">
        <f aca="false">C189*D189</f>
        <v>-0</v>
      </c>
      <c r="I189" s="0" t="n">
        <f aca="false">C189*C189</f>
        <v>0.64</v>
      </c>
      <c r="J189" s="0" t="n">
        <f aca="false">D189*D189</f>
        <v>0</v>
      </c>
      <c r="K189" s="0" t="n">
        <f aca="false">SUMPRODUCT(E189:J189,_XtX!$B$53:$G$53)</f>
        <v>44.6062528735632</v>
      </c>
      <c r="L189" s="0" t="n">
        <f aca="false">SUMPRODUCT(MMULT(E189:J189,_XtX!$B$44:$G$49),E189:J189)</f>
        <v>0.294970114942529</v>
      </c>
      <c r="M189" s="0" t="n">
        <f aca="false">04_回帰ANOVA!$K$19*04_回帰ANOVA!$K$14*SQRT(1+L189)</f>
        <v>1.54207836907483</v>
      </c>
      <c r="N189" s="0" t="n">
        <f aca="false">K189-M189</f>
        <v>43.0641745044884</v>
      </c>
      <c r="O189" s="0" t="n">
        <f aca="false">K189+M189</f>
        <v>46.148331242638</v>
      </c>
      <c r="P189" s="54" t="b">
        <f aca="false">AND(C189&gt;=01_因子設定!$L$5-0.000000001,C189&lt;=01_因子設定!$M$5+0.000000001,D189&gt;=01_因子設定!$L$6-0.000000001,D189&lt;=01_因子設定!$M$6+0.000000001,IF(01_因子設定!$B$20="Box-Behnken",C189^2+D189^2&lt;=2+0.000000001,TRUE()))</f>
        <v>1</v>
      </c>
      <c r="Q189" s="55" t="n">
        <f aca="false">IF(P189,IF(01_因子設定!$B$13="最大化",N189-01_因子設定!$B$14,IF(01_因子設定!$B$13="最小化",01_因子設定!$B$15-O189,MIN(N189-01_因子設定!$B$14,01_因子設定!$B$15-O189))),-1E+030)</f>
        <v>-3.43582549551163</v>
      </c>
      <c r="R189" s="55" t="n">
        <f aca="false">IF(P189,IF(01_因子設定!$B$13="最大化",K189,IF(01_因子設定!$B$13="最小化",-K189,-ABS(K189-01_因子設定!$B$16))),-1E+030)</f>
        <v>44.6062528735632</v>
      </c>
      <c r="S189" s="55" t="n">
        <f aca="false">Q189+ROW()*0.000000001</f>
        <v>-3.43582530651163</v>
      </c>
      <c r="T189" s="55" t="n">
        <f aca="false">R189+ROW()*0.000000001</f>
        <v>44.6062530625632</v>
      </c>
    </row>
    <row r="190" customFormat="false" ht="15" hidden="false" customHeight="false" outlineLevel="0" collapsed="false">
      <c r="A190" s="0" t="n">
        <v>4</v>
      </c>
      <c r="B190" s="0" t="n">
        <v>21</v>
      </c>
      <c r="C190" s="0" t="n">
        <f aca="false">-1+A190*0.05</f>
        <v>-0.8</v>
      </c>
      <c r="D190" s="0" t="n">
        <f aca="false">-1+B190*0.05</f>
        <v>0.05</v>
      </c>
      <c r="E190" s="0" t="n">
        <f aca="false">1</f>
        <v>1</v>
      </c>
      <c r="F190" s="0" t="n">
        <f aca="false">C190</f>
        <v>-0.8</v>
      </c>
      <c r="G190" s="0" t="n">
        <f aca="false">D190</f>
        <v>0.05</v>
      </c>
      <c r="H190" s="0" t="n">
        <f aca="false">C190*D190</f>
        <v>-0.04</v>
      </c>
      <c r="I190" s="0" t="n">
        <f aca="false">C190*C190</f>
        <v>0.64</v>
      </c>
      <c r="J190" s="0" t="n">
        <f aca="false">D190*D190</f>
        <v>0.0025</v>
      </c>
      <c r="K190" s="0" t="n">
        <f aca="false">SUMPRODUCT(E190:J190,_XtX!$B$53:$G$53)</f>
        <v>44.6938951149425</v>
      </c>
      <c r="L190" s="0" t="n">
        <f aca="false">SUMPRODUCT(MMULT(E190:J190,_XtX!$B$44:$G$49),E190:J190)</f>
        <v>0.294830423850575</v>
      </c>
      <c r="M190" s="0" t="n">
        <f aca="false">04_回帰ANOVA!$K$19*04_回帰ANOVA!$K$14*SQRT(1+L190)</f>
        <v>1.54199519324769</v>
      </c>
      <c r="N190" s="0" t="n">
        <f aca="false">K190-M190</f>
        <v>43.1518999216948</v>
      </c>
      <c r="O190" s="0" t="n">
        <f aca="false">K190+M190</f>
        <v>46.2358903081902</v>
      </c>
      <c r="P190" s="54" t="b">
        <f aca="false">AND(C190&gt;=01_因子設定!$L$5-0.000000001,C190&lt;=01_因子設定!$M$5+0.000000001,D190&gt;=01_因子設定!$L$6-0.000000001,D190&lt;=01_因子設定!$M$6+0.000000001,IF(01_因子設定!$B$20="Box-Behnken",C190^2+D190^2&lt;=2+0.000000001,TRUE()))</f>
        <v>1</v>
      </c>
      <c r="Q190" s="55" t="n">
        <f aca="false">IF(P190,IF(01_因子設定!$B$13="最大化",N190-01_因子設定!$B$14,IF(01_因子設定!$B$13="最小化",01_因子設定!$B$15-O190,MIN(N190-01_因子設定!$B$14,01_因子設定!$B$15-O190))),-1E+030)</f>
        <v>-3.34810007830517</v>
      </c>
      <c r="R190" s="55" t="n">
        <f aca="false">IF(P190,IF(01_因子設定!$B$13="最大化",K190,IF(01_因子設定!$B$13="最小化",-K190,-ABS(K190-01_因子設定!$B$16))),-1E+030)</f>
        <v>44.6938951149425</v>
      </c>
      <c r="S190" s="55" t="n">
        <f aca="false">Q190+ROW()*0.000000001</f>
        <v>-3.34809988830517</v>
      </c>
      <c r="T190" s="55" t="n">
        <f aca="false">R190+ROW()*0.000000001</f>
        <v>44.6938953049425</v>
      </c>
    </row>
    <row r="191" customFormat="false" ht="15" hidden="false" customHeight="false" outlineLevel="0" collapsed="false">
      <c r="A191" s="0" t="n">
        <v>4</v>
      </c>
      <c r="B191" s="0" t="n">
        <v>22</v>
      </c>
      <c r="C191" s="0" t="n">
        <f aca="false">-1+A191*0.05</f>
        <v>-0.8</v>
      </c>
      <c r="D191" s="0" t="n">
        <f aca="false">-1+B191*0.05</f>
        <v>0.1</v>
      </c>
      <c r="E191" s="0" t="n">
        <f aca="false">1</f>
        <v>1</v>
      </c>
      <c r="F191" s="0" t="n">
        <f aca="false">C191</f>
        <v>-0.8</v>
      </c>
      <c r="G191" s="0" t="n">
        <f aca="false">D191</f>
        <v>0.1</v>
      </c>
      <c r="H191" s="0" t="n">
        <f aca="false">C191*D191</f>
        <v>-0.0800000000000001</v>
      </c>
      <c r="I191" s="0" t="n">
        <f aca="false">C191*C191</f>
        <v>0.64</v>
      </c>
      <c r="J191" s="0" t="n">
        <f aca="false">D191*D191</f>
        <v>0.01</v>
      </c>
      <c r="K191" s="0" t="n">
        <f aca="false">SUMPRODUCT(E191:J191,_XtX!$B$53:$G$53)</f>
        <v>44.7738218390805</v>
      </c>
      <c r="L191" s="0" t="n">
        <f aca="false">SUMPRODUCT(MMULT(E191:J191,_XtX!$B$44:$G$49),E191:J191)</f>
        <v>0.294438505747126</v>
      </c>
      <c r="M191" s="0" t="n">
        <f aca="false">04_回帰ANOVA!$K$19*04_回帰ANOVA!$K$14*SQRT(1+L191)</f>
        <v>1.54176181073002</v>
      </c>
      <c r="N191" s="0" t="n">
        <f aca="false">K191-M191</f>
        <v>43.2320600283504</v>
      </c>
      <c r="O191" s="0" t="n">
        <f aca="false">K191+M191</f>
        <v>46.3155836498105</v>
      </c>
      <c r="P191" s="54" t="b">
        <f aca="false">AND(C191&gt;=01_因子設定!$L$5-0.000000001,C191&lt;=01_因子設定!$M$5+0.000000001,D191&gt;=01_因子設定!$L$6-0.000000001,D191&lt;=01_因子設定!$M$6+0.000000001,IF(01_因子設定!$B$20="Box-Behnken",C191^2+D191^2&lt;=2+0.000000001,TRUE()))</f>
        <v>1</v>
      </c>
      <c r="Q191" s="55" t="n">
        <f aca="false">IF(P191,IF(01_因子設定!$B$13="最大化",N191-01_因子設定!$B$14,IF(01_因子設定!$B$13="最小化",01_因子設定!$B$15-O191,MIN(N191-01_因子設定!$B$14,01_因子設定!$B$15-O191))),-1E+030)</f>
        <v>-3.26793997164957</v>
      </c>
      <c r="R191" s="55" t="n">
        <f aca="false">IF(P191,IF(01_因子設定!$B$13="最大化",K191,IF(01_因子設定!$B$13="最小化",-K191,-ABS(K191-01_因子設定!$B$16))),-1E+030)</f>
        <v>44.7738218390805</v>
      </c>
      <c r="S191" s="55" t="n">
        <f aca="false">Q191+ROW()*0.000000001</f>
        <v>-3.26793978064957</v>
      </c>
      <c r="T191" s="55" t="n">
        <f aca="false">R191+ROW()*0.000000001</f>
        <v>44.7738220300804</v>
      </c>
    </row>
    <row r="192" customFormat="false" ht="15" hidden="false" customHeight="false" outlineLevel="0" collapsed="false">
      <c r="A192" s="0" t="n">
        <v>4</v>
      </c>
      <c r="B192" s="0" t="n">
        <v>23</v>
      </c>
      <c r="C192" s="0" t="n">
        <f aca="false">-1+A192*0.05</f>
        <v>-0.8</v>
      </c>
      <c r="D192" s="0" t="n">
        <f aca="false">-1+B192*0.05</f>
        <v>0.15</v>
      </c>
      <c r="E192" s="0" t="n">
        <f aca="false">1</f>
        <v>1</v>
      </c>
      <c r="F192" s="0" t="n">
        <f aca="false">C192</f>
        <v>-0.8</v>
      </c>
      <c r="G192" s="0" t="n">
        <f aca="false">D192</f>
        <v>0.15</v>
      </c>
      <c r="H192" s="0" t="n">
        <f aca="false">C192*D192</f>
        <v>-0.12</v>
      </c>
      <c r="I192" s="0" t="n">
        <f aca="false">C192*C192</f>
        <v>0.64</v>
      </c>
      <c r="J192" s="0" t="n">
        <f aca="false">D192*D192</f>
        <v>0.0225</v>
      </c>
      <c r="K192" s="0" t="n">
        <f aca="false">SUMPRODUCT(E192:J192,_XtX!$B$53:$G$53)</f>
        <v>44.846033045977</v>
      </c>
      <c r="L192" s="0" t="n">
        <f aca="false">SUMPRODUCT(MMULT(E192:J192,_XtX!$B$44:$G$49),E192:J192)</f>
        <v>0.293875826149425</v>
      </c>
      <c r="M192" s="0" t="n">
        <f aca="false">04_回帰ANOVA!$K$19*04_回帰ANOVA!$K$14*SQRT(1+L192)</f>
        <v>1.54142668001218</v>
      </c>
      <c r="N192" s="0" t="n">
        <f aca="false">K192-M192</f>
        <v>43.3046063659648</v>
      </c>
      <c r="O192" s="0" t="n">
        <f aca="false">K192+M192</f>
        <v>46.3874597259892</v>
      </c>
      <c r="P192" s="54" t="b">
        <f aca="false">AND(C192&gt;=01_因子設定!$L$5-0.000000001,C192&lt;=01_因子設定!$M$5+0.000000001,D192&gt;=01_因子設定!$L$6-0.000000001,D192&lt;=01_因子設定!$M$6+0.000000001,IF(01_因子設定!$B$20="Box-Behnken",C192^2+D192^2&lt;=2+0.000000001,TRUE()))</f>
        <v>1</v>
      </c>
      <c r="Q192" s="55" t="n">
        <f aca="false">IF(P192,IF(01_因子設定!$B$13="最大化",N192-01_因子設定!$B$14,IF(01_因子設定!$B$13="最小化",01_因子設定!$B$15-O192,MIN(N192-01_因子設定!$B$14,01_因子設定!$B$15-O192))),-1E+030)</f>
        <v>-3.19539363403518</v>
      </c>
      <c r="R192" s="55" t="n">
        <f aca="false">IF(P192,IF(01_因子設定!$B$13="最大化",K192,IF(01_因子設定!$B$13="最小化",-K192,-ABS(K192-01_因子設定!$B$16))),-1E+030)</f>
        <v>44.846033045977</v>
      </c>
      <c r="S192" s="55" t="n">
        <f aca="false">Q192+ROW()*0.000000001</f>
        <v>-3.19539344203518</v>
      </c>
      <c r="T192" s="55" t="n">
        <f aca="false">R192+ROW()*0.000000001</f>
        <v>44.846033237977</v>
      </c>
    </row>
    <row r="193" customFormat="false" ht="15" hidden="false" customHeight="false" outlineLevel="0" collapsed="false">
      <c r="A193" s="0" t="n">
        <v>4</v>
      </c>
      <c r="B193" s="0" t="n">
        <v>24</v>
      </c>
      <c r="C193" s="0" t="n">
        <f aca="false">-1+A193*0.05</f>
        <v>-0.8</v>
      </c>
      <c r="D193" s="0" t="n">
        <f aca="false">-1+B193*0.05</f>
        <v>0.2</v>
      </c>
      <c r="E193" s="0" t="n">
        <f aca="false">1</f>
        <v>1</v>
      </c>
      <c r="F193" s="0" t="n">
        <f aca="false">C193</f>
        <v>-0.8</v>
      </c>
      <c r="G193" s="0" t="n">
        <f aca="false">D193</f>
        <v>0.2</v>
      </c>
      <c r="H193" s="0" t="n">
        <f aca="false">C193*D193</f>
        <v>-0.16</v>
      </c>
      <c r="I193" s="0" t="n">
        <f aca="false">C193*C193</f>
        <v>0.64</v>
      </c>
      <c r="J193" s="0" t="n">
        <f aca="false">D193*D193</f>
        <v>0.0400000000000001</v>
      </c>
      <c r="K193" s="0" t="n">
        <f aca="false">SUMPRODUCT(E193:J193,_XtX!$B$53:$G$53)</f>
        <v>44.9105287356322</v>
      </c>
      <c r="L193" s="0" t="n">
        <f aca="false">SUMPRODUCT(MMULT(E193:J193,_XtX!$B$44:$G$49),E193:J193)</f>
        <v>0.29327816091954</v>
      </c>
      <c r="M193" s="0" t="n">
        <f aca="false">04_回帰ANOVA!$K$19*04_回帰ANOVA!$K$14*SQRT(1+L193)</f>
        <v>1.54107063211196</v>
      </c>
      <c r="N193" s="0" t="n">
        <f aca="false">K193-M193</f>
        <v>43.3694581035202</v>
      </c>
      <c r="O193" s="0" t="n">
        <f aca="false">K193+M193</f>
        <v>46.4515993677441</v>
      </c>
      <c r="P193" s="54" t="b">
        <f aca="false">AND(C193&gt;=01_因子設定!$L$5-0.000000001,C193&lt;=01_因子設定!$M$5+0.000000001,D193&gt;=01_因子設定!$L$6-0.000000001,D193&lt;=01_因子設定!$M$6+0.000000001,IF(01_因子設定!$B$20="Box-Behnken",C193^2+D193^2&lt;=2+0.000000001,TRUE()))</f>
        <v>1</v>
      </c>
      <c r="Q193" s="55" t="n">
        <f aca="false">IF(P193,IF(01_因子設定!$B$13="最大化",N193-01_因子設定!$B$14,IF(01_因子設定!$B$13="最小化",01_因子設定!$B$15-O193,MIN(N193-01_因子設定!$B$14,01_因子設定!$B$15-O193))),-1E+030)</f>
        <v>-3.13054189647979</v>
      </c>
      <c r="R193" s="55" t="n">
        <f aca="false">IF(P193,IF(01_因子設定!$B$13="最大化",K193,IF(01_因子設定!$B$13="最小化",-K193,-ABS(K193-01_因子設定!$B$16))),-1E+030)</f>
        <v>44.9105287356322</v>
      </c>
      <c r="S193" s="55" t="n">
        <f aca="false">Q193+ROW()*0.000000001</f>
        <v>-3.13054170347979</v>
      </c>
      <c r="T193" s="55" t="n">
        <f aca="false">R193+ROW()*0.000000001</f>
        <v>44.9105289286322</v>
      </c>
    </row>
    <row r="194" customFormat="false" ht="15" hidden="false" customHeight="false" outlineLevel="0" collapsed="false">
      <c r="A194" s="0" t="n">
        <v>4</v>
      </c>
      <c r="B194" s="0" t="n">
        <v>25</v>
      </c>
      <c r="C194" s="0" t="n">
        <f aca="false">-1+A194*0.05</f>
        <v>-0.8</v>
      </c>
      <c r="D194" s="0" t="n">
        <f aca="false">-1+B194*0.05</f>
        <v>0.25</v>
      </c>
      <c r="E194" s="0" t="n">
        <f aca="false">1</f>
        <v>1</v>
      </c>
      <c r="F194" s="0" t="n">
        <f aca="false">C194</f>
        <v>-0.8</v>
      </c>
      <c r="G194" s="0" t="n">
        <f aca="false">D194</f>
        <v>0.25</v>
      </c>
      <c r="H194" s="0" t="n">
        <f aca="false">C194*D194</f>
        <v>-0.2</v>
      </c>
      <c r="I194" s="0" t="n">
        <f aca="false">C194*C194</f>
        <v>0.64</v>
      </c>
      <c r="J194" s="0" t="n">
        <f aca="false">D194*D194</f>
        <v>0.0625</v>
      </c>
      <c r="K194" s="0" t="n">
        <f aca="false">SUMPRODUCT(E194:J194,_XtX!$B$53:$G$53)</f>
        <v>44.967308908046</v>
      </c>
      <c r="L194" s="0" t="n">
        <f aca="false">SUMPRODUCT(MMULT(E194:J194,_XtX!$B$44:$G$49),E194:J194)</f>
        <v>0.292835596264368</v>
      </c>
      <c r="M194" s="0" t="n">
        <f aca="false">04_回帰ANOVA!$K$19*04_回帰ANOVA!$K$14*SQRT(1+L194)</f>
        <v>1.54080692946421</v>
      </c>
      <c r="N194" s="0" t="n">
        <f aca="false">K194-M194</f>
        <v>43.4265019785818</v>
      </c>
      <c r="O194" s="0" t="n">
        <f aca="false">K194+M194</f>
        <v>46.5081158375102</v>
      </c>
      <c r="P194" s="54" t="b">
        <f aca="false">AND(C194&gt;=01_因子設定!$L$5-0.000000001,C194&lt;=01_因子設定!$M$5+0.000000001,D194&gt;=01_因子設定!$L$6-0.000000001,D194&lt;=01_因子設定!$M$6+0.000000001,IF(01_因子設定!$B$20="Box-Behnken",C194^2+D194^2&lt;=2+0.000000001,TRUE()))</f>
        <v>1</v>
      </c>
      <c r="Q194" s="55" t="n">
        <f aca="false">IF(P194,IF(01_因子設定!$B$13="最大化",N194-01_因子設定!$B$14,IF(01_因子設定!$B$13="最小化",01_因子設定!$B$15-O194,MIN(N194-01_因子設定!$B$14,01_因子設定!$B$15-O194))),-1E+030)</f>
        <v>-3.07349802141825</v>
      </c>
      <c r="R194" s="55" t="n">
        <f aca="false">IF(P194,IF(01_因子設定!$B$13="最大化",K194,IF(01_因子設定!$B$13="最小化",-K194,-ABS(K194-01_因子設定!$B$16))),-1E+030)</f>
        <v>44.967308908046</v>
      </c>
      <c r="S194" s="55" t="n">
        <f aca="false">Q194+ROW()*0.000000001</f>
        <v>-3.07349782741825</v>
      </c>
      <c r="T194" s="55" t="n">
        <f aca="false">R194+ROW()*0.000000001</f>
        <v>44.967309102046</v>
      </c>
    </row>
    <row r="195" customFormat="false" ht="15" hidden="false" customHeight="false" outlineLevel="0" collapsed="false">
      <c r="A195" s="0" t="n">
        <v>4</v>
      </c>
      <c r="B195" s="0" t="n">
        <v>26</v>
      </c>
      <c r="C195" s="0" t="n">
        <f aca="false">-1+A195*0.05</f>
        <v>-0.8</v>
      </c>
      <c r="D195" s="0" t="n">
        <f aca="false">-1+B195*0.05</f>
        <v>0.3</v>
      </c>
      <c r="E195" s="0" t="n">
        <f aca="false">1</f>
        <v>1</v>
      </c>
      <c r="F195" s="0" t="n">
        <f aca="false">C195</f>
        <v>-0.8</v>
      </c>
      <c r="G195" s="0" t="n">
        <f aca="false">D195</f>
        <v>0.3</v>
      </c>
      <c r="H195" s="0" t="n">
        <f aca="false">C195*D195</f>
        <v>-0.24</v>
      </c>
      <c r="I195" s="0" t="n">
        <f aca="false">C195*C195</f>
        <v>0.64</v>
      </c>
      <c r="J195" s="0" t="n">
        <f aca="false">D195*D195</f>
        <v>0.09</v>
      </c>
      <c r="K195" s="0" t="n">
        <f aca="false">SUMPRODUCT(E195:J195,_XtX!$B$53:$G$53)</f>
        <v>45.0163735632184</v>
      </c>
      <c r="L195" s="0" t="n">
        <f aca="false">SUMPRODUCT(MMULT(E195:J195,_XtX!$B$44:$G$49),E195:J195)</f>
        <v>0.292792528735632</v>
      </c>
      <c r="M195" s="0" t="n">
        <f aca="false">04_回帰ANOVA!$K$19*04_回帰ANOVA!$K$14*SQRT(1+L195)</f>
        <v>1.54078126521906</v>
      </c>
      <c r="N195" s="0" t="n">
        <f aca="false">K195-M195</f>
        <v>43.4755922979993</v>
      </c>
      <c r="O195" s="0" t="n">
        <f aca="false">K195+M195</f>
        <v>46.5571548284374</v>
      </c>
      <c r="P195" s="54" t="b">
        <f aca="false">AND(C195&gt;=01_因子設定!$L$5-0.000000001,C195&lt;=01_因子設定!$M$5+0.000000001,D195&gt;=01_因子設定!$L$6-0.000000001,D195&lt;=01_因子設定!$M$6+0.000000001,IF(01_因子設定!$B$20="Box-Behnken",C195^2+D195^2&lt;=2+0.000000001,TRUE()))</f>
        <v>1</v>
      </c>
      <c r="Q195" s="55" t="n">
        <f aca="false">IF(P195,IF(01_因子設定!$B$13="最大化",N195-01_因子設定!$B$14,IF(01_因子設定!$B$13="最小化",01_因子設定!$B$15-O195,MIN(N195-01_因子設定!$B$14,01_因子設定!$B$15-O195))),-1E+030)</f>
        <v>-3.02440770200069</v>
      </c>
      <c r="R195" s="55" t="n">
        <f aca="false">IF(P195,IF(01_因子設定!$B$13="最大化",K195,IF(01_因子設定!$B$13="最小化",-K195,-ABS(K195-01_因子設定!$B$16))),-1E+030)</f>
        <v>45.0163735632184</v>
      </c>
      <c r="S195" s="55" t="n">
        <f aca="false">Q195+ROW()*0.000000001</f>
        <v>-3.02440750700069</v>
      </c>
      <c r="T195" s="55" t="n">
        <f aca="false">R195+ROW()*0.000000001</f>
        <v>45.0163737582184</v>
      </c>
    </row>
    <row r="196" customFormat="false" ht="15" hidden="false" customHeight="false" outlineLevel="0" collapsed="false">
      <c r="A196" s="0" t="n">
        <v>4</v>
      </c>
      <c r="B196" s="0" t="n">
        <v>27</v>
      </c>
      <c r="C196" s="0" t="n">
        <f aca="false">-1+A196*0.05</f>
        <v>-0.8</v>
      </c>
      <c r="D196" s="0" t="n">
        <f aca="false">-1+B196*0.05</f>
        <v>0.35</v>
      </c>
      <c r="E196" s="0" t="n">
        <f aca="false">1</f>
        <v>1</v>
      </c>
      <c r="F196" s="0" t="n">
        <f aca="false">C196</f>
        <v>-0.8</v>
      </c>
      <c r="G196" s="0" t="n">
        <f aca="false">D196</f>
        <v>0.35</v>
      </c>
      <c r="H196" s="0" t="n">
        <f aca="false">C196*D196</f>
        <v>-0.28</v>
      </c>
      <c r="I196" s="0" t="n">
        <f aca="false">C196*C196</f>
        <v>0.64</v>
      </c>
      <c r="J196" s="0" t="n">
        <f aca="false">D196*D196</f>
        <v>0.1225</v>
      </c>
      <c r="K196" s="0" t="n">
        <f aca="false">SUMPRODUCT(E196:J196,_XtX!$B$53:$G$53)</f>
        <v>45.0577227011494</v>
      </c>
      <c r="L196" s="0" t="n">
        <f aca="false">SUMPRODUCT(MMULT(E196:J196,_XtX!$B$44:$G$49),E196:J196)</f>
        <v>0.293447665229885</v>
      </c>
      <c r="M196" s="0" t="n">
        <f aca="false">04_回帰ANOVA!$K$19*04_回帰ANOVA!$K$14*SQRT(1+L196)</f>
        <v>1.54117161949579</v>
      </c>
      <c r="N196" s="0" t="n">
        <f aca="false">K196-M196</f>
        <v>43.5165510816536</v>
      </c>
      <c r="O196" s="0" t="n">
        <f aca="false">K196+M196</f>
        <v>46.5988943206452</v>
      </c>
      <c r="P196" s="54" t="b">
        <f aca="false">AND(C196&gt;=01_因子設定!$L$5-0.000000001,C196&lt;=01_因子設定!$M$5+0.000000001,D196&gt;=01_因子設定!$L$6-0.000000001,D196&lt;=01_因子設定!$M$6+0.000000001,IF(01_因子設定!$B$20="Box-Behnken",C196^2+D196^2&lt;=2+0.000000001,TRUE()))</f>
        <v>1</v>
      </c>
      <c r="Q196" s="55" t="n">
        <f aca="false">IF(P196,IF(01_因子設定!$B$13="最大化",N196-01_因子設定!$B$14,IF(01_因子設定!$B$13="最小化",01_因子設定!$B$15-O196,MIN(N196-01_因子設定!$B$14,01_因子設定!$B$15-O196))),-1E+030)</f>
        <v>-2.98344891834638</v>
      </c>
      <c r="R196" s="55" t="n">
        <f aca="false">IF(P196,IF(01_因子設定!$B$13="最大化",K196,IF(01_因子設定!$B$13="最小化",-K196,-ABS(K196-01_因子設定!$B$16))),-1E+030)</f>
        <v>45.0577227011494</v>
      </c>
      <c r="S196" s="55" t="n">
        <f aca="false">Q196+ROW()*0.000000001</f>
        <v>-2.98344872234638</v>
      </c>
      <c r="T196" s="55" t="n">
        <f aca="false">R196+ROW()*0.000000001</f>
        <v>45.0577228971494</v>
      </c>
    </row>
    <row r="197" customFormat="false" ht="15" hidden="false" customHeight="false" outlineLevel="0" collapsed="false">
      <c r="A197" s="0" t="n">
        <v>4</v>
      </c>
      <c r="B197" s="0" t="n">
        <v>28</v>
      </c>
      <c r="C197" s="0" t="n">
        <f aca="false">-1+A197*0.05</f>
        <v>-0.8</v>
      </c>
      <c r="D197" s="0" t="n">
        <f aca="false">-1+B197*0.05</f>
        <v>0.4</v>
      </c>
      <c r="E197" s="0" t="n">
        <f aca="false">1</f>
        <v>1</v>
      </c>
      <c r="F197" s="0" t="n">
        <f aca="false">C197</f>
        <v>-0.8</v>
      </c>
      <c r="G197" s="0" t="n">
        <f aca="false">D197</f>
        <v>0.4</v>
      </c>
      <c r="H197" s="0" t="n">
        <f aca="false">C197*D197</f>
        <v>-0.32</v>
      </c>
      <c r="I197" s="0" t="n">
        <f aca="false">C197*C197</f>
        <v>0.64</v>
      </c>
      <c r="J197" s="0" t="n">
        <f aca="false">D197*D197</f>
        <v>0.16</v>
      </c>
      <c r="K197" s="0" t="n">
        <f aca="false">SUMPRODUCT(E197:J197,_XtX!$B$53:$G$53)</f>
        <v>45.0913563218391</v>
      </c>
      <c r="L197" s="0" t="n">
        <f aca="false">SUMPRODUCT(MMULT(E197:J197,_XtX!$B$44:$G$49),E197:J197)</f>
        <v>0.295154022988506</v>
      </c>
      <c r="M197" s="0" t="n">
        <f aca="false">04_回帰ANOVA!$K$19*04_回帰ANOVA!$K$14*SQRT(1+L197)</f>
        <v>1.54218786602306</v>
      </c>
      <c r="N197" s="0" t="n">
        <f aca="false">K197-M197</f>
        <v>43.549168455816</v>
      </c>
      <c r="O197" s="0" t="n">
        <f aca="false">K197+M197</f>
        <v>46.6335441878621</v>
      </c>
      <c r="P197" s="54" t="b">
        <f aca="false">AND(C197&gt;=01_因子設定!$L$5-0.000000001,C197&lt;=01_因子設定!$M$5+0.000000001,D197&gt;=01_因子設定!$L$6-0.000000001,D197&lt;=01_因子設定!$M$6+0.000000001,IF(01_因子設定!$B$20="Box-Behnken",C197^2+D197^2&lt;=2+0.000000001,TRUE()))</f>
        <v>1</v>
      </c>
      <c r="Q197" s="55" t="n">
        <f aca="false">IF(P197,IF(01_因子設定!$B$13="最大化",N197-01_因子設定!$B$14,IF(01_因子設定!$B$13="最小化",01_因子設定!$B$15-O197,MIN(N197-01_因子設定!$B$14,01_因子設定!$B$15-O197))),-1E+030)</f>
        <v>-2.950831544184</v>
      </c>
      <c r="R197" s="55" t="n">
        <f aca="false">IF(P197,IF(01_因子設定!$B$13="最大化",K197,IF(01_因子設定!$B$13="最小化",-K197,-ABS(K197-01_因子設定!$B$16))),-1E+030)</f>
        <v>45.0913563218391</v>
      </c>
      <c r="S197" s="55" t="n">
        <f aca="false">Q197+ROW()*0.000000001</f>
        <v>-2.950831347184</v>
      </c>
      <c r="T197" s="55" t="n">
        <f aca="false">R197+ROW()*0.000000001</f>
        <v>45.0913565188391</v>
      </c>
    </row>
    <row r="198" customFormat="false" ht="15" hidden="false" customHeight="false" outlineLevel="0" collapsed="false">
      <c r="A198" s="0" t="n">
        <v>4</v>
      </c>
      <c r="B198" s="0" t="n">
        <v>29</v>
      </c>
      <c r="C198" s="0" t="n">
        <f aca="false">-1+A198*0.05</f>
        <v>-0.8</v>
      </c>
      <c r="D198" s="0" t="n">
        <f aca="false">-1+B198*0.05</f>
        <v>0.45</v>
      </c>
      <c r="E198" s="0" t="n">
        <f aca="false">1</f>
        <v>1</v>
      </c>
      <c r="F198" s="0" t="n">
        <f aca="false">C198</f>
        <v>-0.8</v>
      </c>
      <c r="G198" s="0" t="n">
        <f aca="false">D198</f>
        <v>0.45</v>
      </c>
      <c r="H198" s="0" t="n">
        <f aca="false">C198*D198</f>
        <v>-0.36</v>
      </c>
      <c r="I198" s="0" t="n">
        <f aca="false">C198*C198</f>
        <v>0.64</v>
      </c>
      <c r="J198" s="0" t="n">
        <f aca="false">D198*D198</f>
        <v>0.2025</v>
      </c>
      <c r="K198" s="0" t="n">
        <f aca="false">SUMPRODUCT(E198:J198,_XtX!$B$53:$G$53)</f>
        <v>45.1172744252873</v>
      </c>
      <c r="L198" s="0" t="n">
        <f aca="false">SUMPRODUCT(MMULT(E198:J198,_XtX!$B$44:$G$49),E198:J198)</f>
        <v>0.298318929597701</v>
      </c>
      <c r="M198" s="0" t="n">
        <f aca="false">04_回帰ANOVA!$K$19*04_回帰ANOVA!$K$14*SQRT(1+L198)</f>
        <v>1.54407100205425</v>
      </c>
      <c r="N198" s="0" t="n">
        <f aca="false">K198-M198</f>
        <v>43.5732034232331</v>
      </c>
      <c r="O198" s="0" t="n">
        <f aca="false">K198+M198</f>
        <v>46.6613454273416</v>
      </c>
      <c r="P198" s="54" t="b">
        <f aca="false">AND(C198&gt;=01_因子設定!$L$5-0.000000001,C198&lt;=01_因子設定!$M$5+0.000000001,D198&gt;=01_因子設定!$L$6-0.000000001,D198&lt;=01_因子設定!$M$6+0.000000001,IF(01_因子設定!$B$20="Box-Behnken",C198^2+D198^2&lt;=2+0.000000001,TRUE()))</f>
        <v>1</v>
      </c>
      <c r="Q198" s="55" t="n">
        <f aca="false">IF(P198,IF(01_因子設定!$B$13="最大化",N198-01_因子設定!$B$14,IF(01_因子設定!$B$13="最小化",01_因子設定!$B$15-O198,MIN(N198-01_因子設定!$B$14,01_因子設定!$B$15-O198))),-1E+030)</f>
        <v>-2.9267965767669</v>
      </c>
      <c r="R198" s="55" t="n">
        <f aca="false">IF(P198,IF(01_因子設定!$B$13="最大化",K198,IF(01_因子設定!$B$13="最小化",-K198,-ABS(K198-01_因子設定!$B$16))),-1E+030)</f>
        <v>45.1172744252873</v>
      </c>
      <c r="S198" s="55" t="n">
        <f aca="false">Q198+ROW()*0.000000001</f>
        <v>-2.9267963787669</v>
      </c>
      <c r="T198" s="55" t="n">
        <f aca="false">R198+ROW()*0.000000001</f>
        <v>45.1172746232873</v>
      </c>
    </row>
    <row r="199" customFormat="false" ht="15" hidden="false" customHeight="false" outlineLevel="0" collapsed="false">
      <c r="A199" s="0" t="n">
        <v>4</v>
      </c>
      <c r="B199" s="0" t="n">
        <v>30</v>
      </c>
      <c r="C199" s="0" t="n">
        <f aca="false">-1+A199*0.05</f>
        <v>-0.8</v>
      </c>
      <c r="D199" s="0" t="n">
        <f aca="false">-1+B199*0.05</f>
        <v>0.5</v>
      </c>
      <c r="E199" s="0" t="n">
        <f aca="false">1</f>
        <v>1</v>
      </c>
      <c r="F199" s="0" t="n">
        <f aca="false">C199</f>
        <v>-0.8</v>
      </c>
      <c r="G199" s="0" t="n">
        <f aca="false">D199</f>
        <v>0.5</v>
      </c>
      <c r="H199" s="0" t="n">
        <f aca="false">C199*D199</f>
        <v>-0.4</v>
      </c>
      <c r="I199" s="0" t="n">
        <f aca="false">C199*C199</f>
        <v>0.64</v>
      </c>
      <c r="J199" s="0" t="n">
        <f aca="false">D199*D199</f>
        <v>0.25</v>
      </c>
      <c r="K199" s="0" t="n">
        <f aca="false">SUMPRODUCT(E199:J199,_XtX!$B$53:$G$53)</f>
        <v>45.1354770114942</v>
      </c>
      <c r="L199" s="0" t="n">
        <f aca="false">SUMPRODUCT(MMULT(E199:J199,_XtX!$B$44:$G$49),E199:J199)</f>
        <v>0.303404022988506</v>
      </c>
      <c r="M199" s="0" t="n">
        <f aca="false">04_回帰ANOVA!$K$19*04_回帰ANOVA!$K$14*SQRT(1+L199)</f>
        <v>1.54709185921971</v>
      </c>
      <c r="N199" s="0" t="n">
        <f aca="false">K199-M199</f>
        <v>43.5883851522745</v>
      </c>
      <c r="O199" s="0" t="n">
        <f aca="false">K199+M199</f>
        <v>46.6825688707139</v>
      </c>
      <c r="P199" s="54" t="b">
        <f aca="false">AND(C199&gt;=01_因子設定!$L$5-0.000000001,C199&lt;=01_因子設定!$M$5+0.000000001,D199&gt;=01_因子設定!$L$6-0.000000001,D199&lt;=01_因子設定!$M$6+0.000000001,IF(01_因子設定!$B$20="Box-Behnken",C199^2+D199^2&lt;=2+0.000000001,TRUE()))</f>
        <v>1</v>
      </c>
      <c r="Q199" s="55" t="n">
        <f aca="false">IF(P199,IF(01_因子設定!$B$13="最大化",N199-01_因子設定!$B$14,IF(01_因子設定!$B$13="最小化",01_因子設定!$B$15-O199,MIN(N199-01_因子設定!$B$14,01_因子設定!$B$15-O199))),-1E+030)</f>
        <v>-2.91161484772547</v>
      </c>
      <c r="R199" s="55" t="n">
        <f aca="false">IF(P199,IF(01_因子設定!$B$13="最大化",K199,IF(01_因子設定!$B$13="最小化",-K199,-ABS(K199-01_因子設定!$B$16))),-1E+030)</f>
        <v>45.1354770114942</v>
      </c>
      <c r="S199" s="55" t="n">
        <f aca="false">Q199+ROW()*0.000000001</f>
        <v>-2.91161464872547</v>
      </c>
      <c r="T199" s="55" t="n">
        <f aca="false">R199+ROW()*0.000000001</f>
        <v>45.1354772104942</v>
      </c>
    </row>
    <row r="200" customFormat="false" ht="15" hidden="false" customHeight="false" outlineLevel="0" collapsed="false">
      <c r="A200" s="0" t="n">
        <v>4</v>
      </c>
      <c r="B200" s="0" t="n">
        <v>31</v>
      </c>
      <c r="C200" s="0" t="n">
        <f aca="false">-1+A200*0.05</f>
        <v>-0.8</v>
      </c>
      <c r="D200" s="0" t="n">
        <f aca="false">-1+B200*0.05</f>
        <v>0.55</v>
      </c>
      <c r="E200" s="0" t="n">
        <f aca="false">1</f>
        <v>1</v>
      </c>
      <c r="F200" s="0" t="n">
        <f aca="false">C200</f>
        <v>-0.8</v>
      </c>
      <c r="G200" s="0" t="n">
        <f aca="false">D200</f>
        <v>0.55</v>
      </c>
      <c r="H200" s="0" t="n">
        <f aca="false">C200*D200</f>
        <v>-0.44</v>
      </c>
      <c r="I200" s="0" t="n">
        <f aca="false">C200*C200</f>
        <v>0.64</v>
      </c>
      <c r="J200" s="0" t="n">
        <f aca="false">D200*D200</f>
        <v>0.3025</v>
      </c>
      <c r="K200" s="0" t="n">
        <f aca="false">SUMPRODUCT(E200:J200,_XtX!$B$53:$G$53)</f>
        <v>45.1459640804598</v>
      </c>
      <c r="L200" s="0" t="n">
        <f aca="false">SUMPRODUCT(MMULT(E200:J200,_XtX!$B$44:$G$49),E200:J200)</f>
        <v>0.310925251436782</v>
      </c>
      <c r="M200" s="0" t="n">
        <f aca="false">04_回帰ANOVA!$K$19*04_回帰ANOVA!$K$14*SQRT(1+L200)</f>
        <v>1.551549146857</v>
      </c>
      <c r="N200" s="0" t="n">
        <f aca="false">K200-M200</f>
        <v>43.5944149336028</v>
      </c>
      <c r="O200" s="0" t="n">
        <f aca="false">K200+M200</f>
        <v>46.6975132273168</v>
      </c>
      <c r="P200" s="54" t="b">
        <f aca="false">AND(C200&gt;=01_因子設定!$L$5-0.000000001,C200&lt;=01_因子設定!$M$5+0.000000001,D200&gt;=01_因子設定!$L$6-0.000000001,D200&lt;=01_因子設定!$M$6+0.000000001,IF(01_因子設定!$B$20="Box-Behnken",C200^2+D200^2&lt;=2+0.000000001,TRUE()))</f>
        <v>1</v>
      </c>
      <c r="Q200" s="55" t="n">
        <f aca="false">IF(P200,IF(01_因子設定!$B$13="最大化",N200-01_因子設定!$B$14,IF(01_因子設定!$B$13="最小化",01_因子設定!$B$15-O200,MIN(N200-01_因子設定!$B$14,01_因子設定!$B$15-O200))),-1E+030)</f>
        <v>-2.90558506639724</v>
      </c>
      <c r="R200" s="55" t="n">
        <f aca="false">IF(P200,IF(01_因子設定!$B$13="最大化",K200,IF(01_因子設定!$B$13="最小化",-K200,-ABS(K200-01_因子設定!$B$16))),-1E+030)</f>
        <v>45.1459640804598</v>
      </c>
      <c r="S200" s="55" t="n">
        <f aca="false">Q200+ROW()*0.000000001</f>
        <v>-2.90558486639724</v>
      </c>
      <c r="T200" s="55" t="n">
        <f aca="false">R200+ROW()*0.000000001</f>
        <v>45.1459642804598</v>
      </c>
    </row>
    <row r="201" customFormat="false" ht="15" hidden="false" customHeight="false" outlineLevel="0" collapsed="false">
      <c r="A201" s="0" t="n">
        <v>4</v>
      </c>
      <c r="B201" s="0" t="n">
        <v>32</v>
      </c>
      <c r="C201" s="0" t="n">
        <f aca="false">-1+A201*0.05</f>
        <v>-0.8</v>
      </c>
      <c r="D201" s="0" t="n">
        <f aca="false">-1+B201*0.05</f>
        <v>0.6</v>
      </c>
      <c r="E201" s="0" t="n">
        <f aca="false">1</f>
        <v>1</v>
      </c>
      <c r="F201" s="0" t="n">
        <f aca="false">C201</f>
        <v>-0.8</v>
      </c>
      <c r="G201" s="0" t="n">
        <f aca="false">D201</f>
        <v>0.6</v>
      </c>
      <c r="H201" s="0" t="n">
        <f aca="false">C201*D201</f>
        <v>-0.48</v>
      </c>
      <c r="I201" s="0" t="n">
        <f aca="false">C201*C201</f>
        <v>0.64</v>
      </c>
      <c r="J201" s="0" t="n">
        <f aca="false">D201*D201</f>
        <v>0.36</v>
      </c>
      <c r="K201" s="0" t="n">
        <f aca="false">SUMPRODUCT(E201:J201,_XtX!$B$53:$G$53)</f>
        <v>45.1487356321839</v>
      </c>
      <c r="L201" s="0" t="n">
        <f aca="false">SUMPRODUCT(MMULT(E201:J201,_XtX!$B$44:$G$49),E201:J201)</f>
        <v>0.321452873563218</v>
      </c>
      <c r="M201" s="0" t="n">
        <f aca="false">04_回帰ANOVA!$K$19*04_回帰ANOVA!$K$14*SQRT(1+L201)</f>
        <v>1.55776668694898</v>
      </c>
      <c r="N201" s="0" t="n">
        <f aca="false">K201-M201</f>
        <v>43.5909689452349</v>
      </c>
      <c r="O201" s="0" t="n">
        <f aca="false">K201+M201</f>
        <v>46.7065023191329</v>
      </c>
      <c r="P201" s="54" t="b">
        <f aca="false">AND(C201&gt;=01_因子設定!$L$5-0.000000001,C201&lt;=01_因子設定!$M$5+0.000000001,D201&gt;=01_因子設定!$L$6-0.000000001,D201&lt;=01_因子設定!$M$6+0.000000001,IF(01_因子設定!$B$20="Box-Behnken",C201^2+D201^2&lt;=2+0.000000001,TRUE()))</f>
        <v>1</v>
      </c>
      <c r="Q201" s="55" t="n">
        <f aca="false">IF(P201,IF(01_因子設定!$B$13="最大化",N201-01_因子設定!$B$14,IF(01_因子設定!$B$13="最小化",01_因子設定!$B$15-O201,MIN(N201-01_因子設定!$B$14,01_因子設定!$B$15-O201))),-1E+030)</f>
        <v>-2.90903105476509</v>
      </c>
      <c r="R201" s="55" t="n">
        <f aca="false">IF(P201,IF(01_因子設定!$B$13="最大化",K201,IF(01_因子設定!$B$13="最小化",-K201,-ABS(K201-01_因子設定!$B$16))),-1E+030)</f>
        <v>45.1487356321839</v>
      </c>
      <c r="S201" s="55" t="n">
        <f aca="false">Q201+ROW()*0.000000001</f>
        <v>-2.90903085376509</v>
      </c>
      <c r="T201" s="55" t="n">
        <f aca="false">R201+ROW()*0.000000001</f>
        <v>45.1487358331839</v>
      </c>
    </row>
    <row r="202" customFormat="false" ht="15" hidden="false" customHeight="false" outlineLevel="0" collapsed="false">
      <c r="A202" s="0" t="n">
        <v>4</v>
      </c>
      <c r="B202" s="0" t="n">
        <v>33</v>
      </c>
      <c r="C202" s="0" t="n">
        <f aca="false">-1+A202*0.05</f>
        <v>-0.8</v>
      </c>
      <c r="D202" s="0" t="n">
        <f aca="false">-1+B202*0.05</f>
        <v>0.65</v>
      </c>
      <c r="E202" s="0" t="n">
        <f aca="false">1</f>
        <v>1</v>
      </c>
      <c r="F202" s="0" t="n">
        <f aca="false">C202</f>
        <v>-0.8</v>
      </c>
      <c r="G202" s="0" t="n">
        <f aca="false">D202</f>
        <v>0.65</v>
      </c>
      <c r="H202" s="0" t="n">
        <f aca="false">C202*D202</f>
        <v>-0.52</v>
      </c>
      <c r="I202" s="0" t="n">
        <f aca="false">C202*C202</f>
        <v>0.64</v>
      </c>
      <c r="J202" s="0" t="n">
        <f aca="false">D202*D202</f>
        <v>0.4225</v>
      </c>
      <c r="K202" s="0" t="n">
        <f aca="false">SUMPRODUCT(E202:J202,_XtX!$B$53:$G$53)</f>
        <v>45.1437916666667</v>
      </c>
      <c r="L202" s="0" t="n">
        <f aca="false">SUMPRODUCT(MMULT(E202:J202,_XtX!$B$44:$G$49),E202:J202)</f>
        <v>0.335611458333333</v>
      </c>
      <c r="M202" s="0" t="n">
        <f aca="false">04_回帰ANOVA!$K$19*04_回帰ANOVA!$K$14*SQRT(1+L202)</f>
        <v>1.56608972588958</v>
      </c>
      <c r="N202" s="0" t="n">
        <f aca="false">K202-M202</f>
        <v>43.5777019407771</v>
      </c>
      <c r="O202" s="0" t="n">
        <f aca="false">K202+M202</f>
        <v>46.7098813925562</v>
      </c>
      <c r="P202" s="54" t="b">
        <f aca="false">AND(C202&gt;=01_因子設定!$L$5-0.000000001,C202&lt;=01_因子設定!$M$5+0.000000001,D202&gt;=01_因子設定!$L$6-0.000000001,D202&lt;=01_因子設定!$M$6+0.000000001,IF(01_因子設定!$B$20="Box-Behnken",C202^2+D202^2&lt;=2+0.000000001,TRUE()))</f>
        <v>1</v>
      </c>
      <c r="Q202" s="55" t="n">
        <f aca="false">IF(P202,IF(01_因子設定!$B$13="最大化",N202-01_因子設定!$B$14,IF(01_因子設定!$B$13="最小化",01_因子設定!$B$15-O202,MIN(N202-01_因子設定!$B$14,01_因子設定!$B$15-O202))),-1E+030)</f>
        <v>-2.92229805922293</v>
      </c>
      <c r="R202" s="55" t="n">
        <f aca="false">IF(P202,IF(01_因子設定!$B$13="最大化",K202,IF(01_因子設定!$B$13="最小化",-K202,-ABS(K202-01_因子設定!$B$16))),-1E+030)</f>
        <v>45.1437916666667</v>
      </c>
      <c r="S202" s="55" t="n">
        <f aca="false">Q202+ROW()*0.000000001</f>
        <v>-2.92229785722293</v>
      </c>
      <c r="T202" s="55" t="n">
        <f aca="false">R202+ROW()*0.000000001</f>
        <v>45.1437918686667</v>
      </c>
    </row>
    <row r="203" customFormat="false" ht="15" hidden="false" customHeight="false" outlineLevel="0" collapsed="false">
      <c r="A203" s="0" t="n">
        <v>4</v>
      </c>
      <c r="B203" s="0" t="n">
        <v>34</v>
      </c>
      <c r="C203" s="0" t="n">
        <f aca="false">-1+A203*0.05</f>
        <v>-0.8</v>
      </c>
      <c r="D203" s="0" t="n">
        <f aca="false">-1+B203*0.05</f>
        <v>0.7</v>
      </c>
      <c r="E203" s="0" t="n">
        <f aca="false">1</f>
        <v>1</v>
      </c>
      <c r="F203" s="0" t="n">
        <f aca="false">C203</f>
        <v>-0.8</v>
      </c>
      <c r="G203" s="0" t="n">
        <f aca="false">D203</f>
        <v>0.7</v>
      </c>
      <c r="H203" s="0" t="n">
        <f aca="false">C203*D203</f>
        <v>-0.56</v>
      </c>
      <c r="I203" s="0" t="n">
        <f aca="false">C203*C203</f>
        <v>0.64</v>
      </c>
      <c r="J203" s="0" t="n">
        <f aca="false">D203*D203</f>
        <v>0.49</v>
      </c>
      <c r="K203" s="0" t="n">
        <f aca="false">SUMPRODUCT(E203:J203,_XtX!$B$53:$G$53)</f>
        <v>45.131132183908</v>
      </c>
      <c r="L203" s="0" t="n">
        <f aca="false">SUMPRODUCT(MMULT(E203:J203,_XtX!$B$44:$G$49),E203:J203)</f>
        <v>0.354079885057471</v>
      </c>
      <c r="M203" s="0" t="n">
        <f aca="false">04_回帰ANOVA!$K$19*04_回帰ANOVA!$K$14*SQRT(1+L203)</f>
        <v>1.57688025677174</v>
      </c>
      <c r="N203" s="0" t="n">
        <f aca="false">K203-M203</f>
        <v>43.5542519271363</v>
      </c>
      <c r="O203" s="0" t="n">
        <f aca="false">K203+M203</f>
        <v>46.7080124406798</v>
      </c>
      <c r="P203" s="54" t="b">
        <f aca="false">AND(C203&gt;=01_因子設定!$L$5-0.000000001,C203&lt;=01_因子設定!$M$5+0.000000001,D203&gt;=01_因子設定!$L$6-0.000000001,D203&lt;=01_因子設定!$M$6+0.000000001,IF(01_因子設定!$B$20="Box-Behnken",C203^2+D203^2&lt;=2+0.000000001,TRUE()))</f>
        <v>1</v>
      </c>
      <c r="Q203" s="55" t="n">
        <f aca="false">IF(P203,IF(01_因子設定!$B$13="最大化",N203-01_因子設定!$B$14,IF(01_因子設定!$B$13="最小化",01_因子設定!$B$15-O203,MIN(N203-01_因子設定!$B$14,01_因子設定!$B$15-O203))),-1E+030)</f>
        <v>-2.9457480728637</v>
      </c>
      <c r="R203" s="55" t="n">
        <f aca="false">IF(P203,IF(01_因子設定!$B$13="最大化",K203,IF(01_因子設定!$B$13="最小化",-K203,-ABS(K203-01_因子設定!$B$16))),-1E+030)</f>
        <v>45.131132183908</v>
      </c>
      <c r="S203" s="55" t="n">
        <f aca="false">Q203+ROW()*0.000000001</f>
        <v>-2.9457478698637</v>
      </c>
      <c r="T203" s="55" t="n">
        <f aca="false">R203+ROW()*0.000000001</f>
        <v>45.131132386908</v>
      </c>
    </row>
    <row r="204" customFormat="false" ht="15" hidden="false" customHeight="false" outlineLevel="0" collapsed="false">
      <c r="A204" s="0" t="n">
        <v>4</v>
      </c>
      <c r="B204" s="0" t="n">
        <v>35</v>
      </c>
      <c r="C204" s="0" t="n">
        <f aca="false">-1+A204*0.05</f>
        <v>-0.8</v>
      </c>
      <c r="D204" s="0" t="n">
        <f aca="false">-1+B204*0.05</f>
        <v>0.75</v>
      </c>
      <c r="E204" s="0" t="n">
        <f aca="false">1</f>
        <v>1</v>
      </c>
      <c r="F204" s="0" t="n">
        <f aca="false">C204</f>
        <v>-0.8</v>
      </c>
      <c r="G204" s="0" t="n">
        <f aca="false">D204</f>
        <v>0.75</v>
      </c>
      <c r="H204" s="0" t="n">
        <f aca="false">C204*D204</f>
        <v>-0.6</v>
      </c>
      <c r="I204" s="0" t="n">
        <f aca="false">C204*C204</f>
        <v>0.64</v>
      </c>
      <c r="J204" s="0" t="n">
        <f aca="false">D204*D204</f>
        <v>0.5625</v>
      </c>
      <c r="K204" s="0" t="n">
        <f aca="false">SUMPRODUCT(E204:J204,_XtX!$B$53:$G$53)</f>
        <v>45.110757183908</v>
      </c>
      <c r="L204" s="0" t="n">
        <f aca="false">SUMPRODUCT(MMULT(E204:J204,_XtX!$B$44:$G$49),E204:J204)</f>
        <v>0.377591343390805</v>
      </c>
      <c r="M204" s="0" t="n">
        <f aca="false">04_回帰ANOVA!$K$19*04_回帰ANOVA!$K$14*SQRT(1+L204)</f>
        <v>1.59051135820975</v>
      </c>
      <c r="N204" s="0" t="n">
        <f aca="false">K204-M204</f>
        <v>43.5202458256983</v>
      </c>
      <c r="O204" s="0" t="n">
        <f aca="false">K204+M204</f>
        <v>46.7012685421178</v>
      </c>
      <c r="P204" s="54" t="b">
        <f aca="false">AND(C204&gt;=01_因子設定!$L$5-0.000000001,C204&lt;=01_因子設定!$M$5+0.000000001,D204&gt;=01_因子設定!$L$6-0.000000001,D204&lt;=01_因子設定!$M$6+0.000000001,IF(01_因子設定!$B$20="Box-Behnken",C204^2+D204^2&lt;=2+0.000000001,TRUE()))</f>
        <v>1</v>
      </c>
      <c r="Q204" s="55" t="n">
        <f aca="false">IF(P204,IF(01_因子設定!$B$13="最大化",N204-01_因子設定!$B$14,IF(01_因子設定!$B$13="最小化",01_因子設定!$B$15-O204,MIN(N204-01_因子設定!$B$14,01_因子設定!$B$15-O204))),-1E+030)</f>
        <v>-2.97975417430172</v>
      </c>
      <c r="R204" s="55" t="n">
        <f aca="false">IF(P204,IF(01_因子設定!$B$13="最大化",K204,IF(01_因子設定!$B$13="最小化",-K204,-ABS(K204-01_因子設定!$B$16))),-1E+030)</f>
        <v>45.110757183908</v>
      </c>
      <c r="S204" s="55" t="n">
        <f aca="false">Q204+ROW()*0.000000001</f>
        <v>-2.97975397030172</v>
      </c>
      <c r="T204" s="55" t="n">
        <f aca="false">R204+ROW()*0.000000001</f>
        <v>45.110757387908</v>
      </c>
    </row>
    <row r="205" customFormat="false" ht="15" hidden="false" customHeight="false" outlineLevel="0" collapsed="false">
      <c r="A205" s="0" t="n">
        <v>4</v>
      </c>
      <c r="B205" s="0" t="n">
        <v>36</v>
      </c>
      <c r="C205" s="0" t="n">
        <f aca="false">-1+A205*0.05</f>
        <v>-0.8</v>
      </c>
      <c r="D205" s="0" t="n">
        <f aca="false">-1+B205*0.05</f>
        <v>0.8</v>
      </c>
      <c r="E205" s="0" t="n">
        <f aca="false">1</f>
        <v>1</v>
      </c>
      <c r="F205" s="0" t="n">
        <f aca="false">C205</f>
        <v>-0.8</v>
      </c>
      <c r="G205" s="0" t="n">
        <f aca="false">D205</f>
        <v>0.8</v>
      </c>
      <c r="H205" s="0" t="n">
        <f aca="false">C205*D205</f>
        <v>-0.64</v>
      </c>
      <c r="I205" s="0" t="n">
        <f aca="false">C205*C205</f>
        <v>0.64</v>
      </c>
      <c r="J205" s="0" t="n">
        <f aca="false">D205*D205</f>
        <v>0.64</v>
      </c>
      <c r="K205" s="0" t="n">
        <f aca="false">SUMPRODUCT(E205:J205,_XtX!$B$53:$G$53)</f>
        <v>45.0826666666667</v>
      </c>
      <c r="L205" s="0" t="n">
        <f aca="false">SUMPRODUCT(MMULT(E205:J205,_XtX!$B$44:$G$49),E205:J205)</f>
        <v>0.406933333333333</v>
      </c>
      <c r="M205" s="0" t="n">
        <f aca="false">04_回帰ANOVA!$K$19*04_回帰ANOVA!$K$14*SQRT(1+L205)</f>
        <v>1.60736064921584</v>
      </c>
      <c r="N205" s="0" t="n">
        <f aca="false">K205-M205</f>
        <v>43.4753060174508</v>
      </c>
      <c r="O205" s="0" t="n">
        <f aca="false">K205+M205</f>
        <v>46.6900273158825</v>
      </c>
      <c r="P205" s="54" t="b">
        <f aca="false">AND(C205&gt;=01_因子設定!$L$5-0.000000001,C205&lt;=01_因子設定!$M$5+0.000000001,D205&gt;=01_因子設定!$L$6-0.000000001,D205&lt;=01_因子設定!$M$6+0.000000001,IF(01_因子設定!$B$20="Box-Behnken",C205^2+D205^2&lt;=2+0.000000001,TRUE()))</f>
        <v>1</v>
      </c>
      <c r="Q205" s="55" t="n">
        <f aca="false">IF(P205,IF(01_因子設定!$B$13="最大化",N205-01_因子設定!$B$14,IF(01_因子設定!$B$13="最小化",01_因子設定!$B$15-O205,MIN(N205-01_因子設定!$B$14,01_因子設定!$B$15-O205))),-1E+030)</f>
        <v>-3.02469398254919</v>
      </c>
      <c r="R205" s="55" t="n">
        <f aca="false">IF(P205,IF(01_因子設定!$B$13="最大化",K205,IF(01_因子設定!$B$13="最小化",-K205,-ABS(K205-01_因子設定!$B$16))),-1E+030)</f>
        <v>45.0826666666667</v>
      </c>
      <c r="S205" s="55" t="n">
        <f aca="false">Q205+ROW()*0.000000001</f>
        <v>-3.02469377754919</v>
      </c>
      <c r="T205" s="55" t="n">
        <f aca="false">R205+ROW()*0.000000001</f>
        <v>45.0826668716667</v>
      </c>
    </row>
    <row r="206" customFormat="false" ht="15" hidden="false" customHeight="false" outlineLevel="0" collapsed="false">
      <c r="A206" s="0" t="n">
        <v>4</v>
      </c>
      <c r="B206" s="0" t="n">
        <v>37</v>
      </c>
      <c r="C206" s="0" t="n">
        <f aca="false">-1+A206*0.05</f>
        <v>-0.8</v>
      </c>
      <c r="D206" s="0" t="n">
        <f aca="false">-1+B206*0.05</f>
        <v>0.85</v>
      </c>
      <c r="E206" s="0" t="n">
        <f aca="false">1</f>
        <v>1</v>
      </c>
      <c r="F206" s="0" t="n">
        <f aca="false">C206</f>
        <v>-0.8</v>
      </c>
      <c r="G206" s="0" t="n">
        <f aca="false">D206</f>
        <v>0.85</v>
      </c>
      <c r="H206" s="0" t="n">
        <f aca="false">C206*D206</f>
        <v>-0.68</v>
      </c>
      <c r="I206" s="0" t="n">
        <f aca="false">C206*C206</f>
        <v>0.64</v>
      </c>
      <c r="J206" s="0" t="n">
        <f aca="false">D206*D206</f>
        <v>0.7225</v>
      </c>
      <c r="K206" s="0" t="n">
        <f aca="false">SUMPRODUCT(E206:J206,_XtX!$B$53:$G$53)</f>
        <v>45.0468606321839</v>
      </c>
      <c r="L206" s="0" t="n">
        <f aca="false">SUMPRODUCT(MMULT(E206:J206,_XtX!$B$44:$G$49),E206:J206)</f>
        <v>0.442947665229885</v>
      </c>
      <c r="M206" s="0" t="n">
        <f aca="false">04_回帰ANOVA!$K$19*04_回帰ANOVA!$K$14*SQRT(1+L206)</f>
        <v>1.62780306626577</v>
      </c>
      <c r="N206" s="0" t="n">
        <f aca="false">K206-M206</f>
        <v>43.4190575659181</v>
      </c>
      <c r="O206" s="0" t="n">
        <f aca="false">K206+M206</f>
        <v>46.6746636984497</v>
      </c>
      <c r="P206" s="54" t="b">
        <f aca="false">AND(C206&gt;=01_因子設定!$L$5-0.000000001,C206&lt;=01_因子設定!$M$5+0.000000001,D206&gt;=01_因子設定!$L$6-0.000000001,D206&lt;=01_因子設定!$M$6+0.000000001,IF(01_因子設定!$B$20="Box-Behnken",C206^2+D206^2&lt;=2+0.000000001,TRUE()))</f>
        <v>1</v>
      </c>
      <c r="Q206" s="55" t="n">
        <f aca="false">IF(P206,IF(01_因子設定!$B$13="最大化",N206-01_因子設定!$B$14,IF(01_因子設定!$B$13="最小化",01_因子設定!$B$15-O206,MIN(N206-01_因子設定!$B$14,01_因子設定!$B$15-O206))),-1E+030)</f>
        <v>-3.08094243408188</v>
      </c>
      <c r="R206" s="55" t="n">
        <f aca="false">IF(P206,IF(01_因子設定!$B$13="最大化",K206,IF(01_因子設定!$B$13="最小化",-K206,-ABS(K206-01_因子設定!$B$16))),-1E+030)</f>
        <v>45.0468606321839</v>
      </c>
      <c r="S206" s="55" t="n">
        <f aca="false">Q206+ROW()*0.000000001</f>
        <v>-3.08094222808188</v>
      </c>
      <c r="T206" s="55" t="n">
        <f aca="false">R206+ROW()*0.000000001</f>
        <v>45.0468608381839</v>
      </c>
    </row>
    <row r="207" customFormat="false" ht="15" hidden="false" customHeight="false" outlineLevel="0" collapsed="false">
      <c r="A207" s="0" t="n">
        <v>4</v>
      </c>
      <c r="B207" s="0" t="n">
        <v>38</v>
      </c>
      <c r="C207" s="0" t="n">
        <f aca="false">-1+A207*0.05</f>
        <v>-0.8</v>
      </c>
      <c r="D207" s="0" t="n">
        <f aca="false">-1+B207*0.05</f>
        <v>0.9</v>
      </c>
      <c r="E207" s="0" t="n">
        <f aca="false">1</f>
        <v>1</v>
      </c>
      <c r="F207" s="0" t="n">
        <f aca="false">C207</f>
        <v>-0.8</v>
      </c>
      <c r="G207" s="0" t="n">
        <f aca="false">D207</f>
        <v>0.9</v>
      </c>
      <c r="H207" s="0" t="n">
        <f aca="false">C207*D207</f>
        <v>-0.72</v>
      </c>
      <c r="I207" s="0" t="n">
        <f aca="false">C207*C207</f>
        <v>0.64</v>
      </c>
      <c r="J207" s="0" t="n">
        <f aca="false">D207*D207</f>
        <v>0.81</v>
      </c>
      <c r="K207" s="0" t="n">
        <f aca="false">SUMPRODUCT(E207:J207,_XtX!$B$53:$G$53)</f>
        <v>45.0033390804598</v>
      </c>
      <c r="L207" s="0" t="n">
        <f aca="false">SUMPRODUCT(MMULT(E207:J207,_XtX!$B$44:$G$49),E207:J207)</f>
        <v>0.486530459770115</v>
      </c>
      <c r="M207" s="0" t="n">
        <f aca="false">04_回帰ANOVA!$K$19*04_回帰ANOVA!$K$14*SQRT(1+L207)</f>
        <v>1.65220327464334</v>
      </c>
      <c r="N207" s="0" t="n">
        <f aca="false">K207-M207</f>
        <v>43.3511358058164</v>
      </c>
      <c r="O207" s="0" t="n">
        <f aca="false">K207+M207</f>
        <v>46.6555423551031</v>
      </c>
      <c r="P207" s="54" t="b">
        <f aca="false">AND(C207&gt;=01_因子設定!$L$5-0.000000001,C207&lt;=01_因子設定!$M$5+0.000000001,D207&gt;=01_因子設定!$L$6-0.000000001,D207&lt;=01_因子設定!$M$6+0.000000001,IF(01_因子設定!$B$20="Box-Behnken",C207^2+D207^2&lt;=2+0.000000001,TRUE()))</f>
        <v>1</v>
      </c>
      <c r="Q207" s="55" t="n">
        <f aca="false">IF(P207,IF(01_因子設定!$B$13="最大化",N207-01_因子設定!$B$14,IF(01_因子設定!$B$13="最小化",01_因子設定!$B$15-O207,MIN(N207-01_因子設定!$B$14,01_因子設定!$B$15-O207))),-1E+030)</f>
        <v>-3.14886419418357</v>
      </c>
      <c r="R207" s="55" t="n">
        <f aca="false">IF(P207,IF(01_因子設定!$B$13="最大化",K207,IF(01_因子設定!$B$13="最小化",-K207,-ABS(K207-01_因子設定!$B$16))),-1E+030)</f>
        <v>45.0033390804598</v>
      </c>
      <c r="S207" s="55" t="n">
        <f aca="false">Q207+ROW()*0.000000001</f>
        <v>-3.14886398718357</v>
      </c>
      <c r="T207" s="55" t="n">
        <f aca="false">R207+ROW()*0.000000001</f>
        <v>45.0033392874598</v>
      </c>
    </row>
    <row r="208" customFormat="false" ht="15" hidden="false" customHeight="false" outlineLevel="0" collapsed="false">
      <c r="A208" s="0" t="n">
        <v>4</v>
      </c>
      <c r="B208" s="0" t="n">
        <v>39</v>
      </c>
      <c r="C208" s="0" t="n">
        <f aca="false">-1+A208*0.05</f>
        <v>-0.8</v>
      </c>
      <c r="D208" s="0" t="n">
        <f aca="false">-1+B208*0.05</f>
        <v>0.95</v>
      </c>
      <c r="E208" s="0" t="n">
        <f aca="false">1</f>
        <v>1</v>
      </c>
      <c r="F208" s="0" t="n">
        <f aca="false">C208</f>
        <v>-0.8</v>
      </c>
      <c r="G208" s="0" t="n">
        <f aca="false">D208</f>
        <v>0.95</v>
      </c>
      <c r="H208" s="0" t="n">
        <f aca="false">C208*D208</f>
        <v>-0.76</v>
      </c>
      <c r="I208" s="0" t="n">
        <f aca="false">C208*C208</f>
        <v>0.64</v>
      </c>
      <c r="J208" s="0" t="n">
        <f aca="false">D208*D208</f>
        <v>0.9025</v>
      </c>
      <c r="K208" s="0" t="n">
        <f aca="false">SUMPRODUCT(E208:J208,_XtX!$B$53:$G$53)</f>
        <v>44.9521020114942</v>
      </c>
      <c r="L208" s="0" t="n">
        <f aca="false">SUMPRODUCT(MMULT(E208:J208,_XtX!$B$44:$G$49),E208:J208)</f>
        <v>0.538632147988506</v>
      </c>
      <c r="M208" s="0" t="n">
        <f aca="false">04_回帰ANOVA!$K$19*04_回帰ANOVA!$K$14*SQRT(1+L208)</f>
        <v>1.68090811348192</v>
      </c>
      <c r="N208" s="0" t="n">
        <f aca="false">K208-M208</f>
        <v>43.2711938980123</v>
      </c>
      <c r="O208" s="0" t="n">
        <f aca="false">K208+M208</f>
        <v>46.6330101249762</v>
      </c>
      <c r="P208" s="54" t="b">
        <f aca="false">AND(C208&gt;=01_因子設定!$L$5-0.000000001,C208&lt;=01_因子設定!$M$5+0.000000001,D208&gt;=01_因子設定!$L$6-0.000000001,D208&lt;=01_因子設定!$M$6+0.000000001,IF(01_因子設定!$B$20="Box-Behnken",C208^2+D208^2&lt;=2+0.000000001,TRUE()))</f>
        <v>1</v>
      </c>
      <c r="Q208" s="55" t="n">
        <f aca="false">IF(P208,IF(01_因子設定!$B$13="最大化",N208-01_因子設定!$B$14,IF(01_因子設定!$B$13="最小化",01_因子設定!$B$15-O208,MIN(N208-01_因子設定!$B$14,01_因子設定!$B$15-O208))),-1E+030)</f>
        <v>-3.22880610198769</v>
      </c>
      <c r="R208" s="55" t="n">
        <f aca="false">IF(P208,IF(01_因子設定!$B$13="最大化",K208,IF(01_因子設定!$B$13="最小化",-K208,-ABS(K208-01_因子設定!$B$16))),-1E+030)</f>
        <v>44.9521020114942</v>
      </c>
      <c r="S208" s="55" t="n">
        <f aca="false">Q208+ROW()*0.000000001</f>
        <v>-3.22880589398769</v>
      </c>
      <c r="T208" s="55" t="n">
        <f aca="false">R208+ROW()*0.000000001</f>
        <v>44.9521022194942</v>
      </c>
    </row>
    <row r="209" customFormat="false" ht="15" hidden="false" customHeight="false" outlineLevel="0" collapsed="false">
      <c r="A209" s="0" t="n">
        <v>4</v>
      </c>
      <c r="B209" s="0" t="n">
        <v>40</v>
      </c>
      <c r="C209" s="0" t="n">
        <f aca="false">-1+A209*0.05</f>
        <v>-0.8</v>
      </c>
      <c r="D209" s="0" t="n">
        <f aca="false">-1+B209*0.05</f>
        <v>1</v>
      </c>
      <c r="E209" s="0" t="n">
        <f aca="false">1</f>
        <v>1</v>
      </c>
      <c r="F209" s="0" t="n">
        <f aca="false">C209</f>
        <v>-0.8</v>
      </c>
      <c r="G209" s="0" t="n">
        <f aca="false">D209</f>
        <v>1</v>
      </c>
      <c r="H209" s="0" t="n">
        <f aca="false">C209*D209</f>
        <v>-0.8</v>
      </c>
      <c r="I209" s="0" t="n">
        <f aca="false">C209*C209</f>
        <v>0.64</v>
      </c>
      <c r="J209" s="0" t="n">
        <f aca="false">D209*D209</f>
        <v>1</v>
      </c>
      <c r="K209" s="0" t="n">
        <f aca="false">SUMPRODUCT(E209:J209,_XtX!$B$53:$G$53)</f>
        <v>44.8931494252874</v>
      </c>
      <c r="L209" s="0" t="n">
        <f aca="false">SUMPRODUCT(MMULT(E209:J209,_XtX!$B$44:$G$49),E209:J209)</f>
        <v>0.600257471264368</v>
      </c>
      <c r="M209" s="0" t="n">
        <f aca="false">04_回帰ANOVA!$K$19*04_回帰ANOVA!$K$14*SQRT(1+L209)</f>
        <v>1.71423952387759</v>
      </c>
      <c r="N209" s="0" t="n">
        <f aca="false">K209-M209</f>
        <v>43.1789099014098</v>
      </c>
      <c r="O209" s="0" t="n">
        <f aca="false">K209+M209</f>
        <v>46.6073889491649</v>
      </c>
      <c r="P209" s="54" t="b">
        <f aca="false">AND(C209&gt;=01_因子設定!$L$5-0.000000001,C209&lt;=01_因子設定!$M$5+0.000000001,D209&gt;=01_因子設定!$L$6-0.000000001,D209&lt;=01_因子設定!$M$6+0.000000001,IF(01_因子設定!$B$20="Box-Behnken",C209^2+D209^2&lt;=2+0.000000001,TRUE()))</f>
        <v>1</v>
      </c>
      <c r="Q209" s="55" t="n">
        <f aca="false">IF(P209,IF(01_因子設定!$B$13="最大化",N209-01_因子設定!$B$14,IF(01_因子設定!$B$13="最小化",01_因子設定!$B$15-O209,MIN(N209-01_因子設定!$B$14,01_因子設定!$B$15-O209))),-1E+030)</f>
        <v>-3.32109009859024</v>
      </c>
      <c r="R209" s="55" t="n">
        <f aca="false">IF(P209,IF(01_因子設定!$B$13="最大化",K209,IF(01_因子設定!$B$13="最小化",-K209,-ABS(K209-01_因子設定!$B$16))),-1E+030)</f>
        <v>44.8931494252874</v>
      </c>
      <c r="S209" s="55" t="n">
        <f aca="false">Q209+ROW()*0.000000001</f>
        <v>-3.32108988959024</v>
      </c>
      <c r="T209" s="55" t="n">
        <f aca="false">R209+ROW()*0.000000001</f>
        <v>44.8931496342874</v>
      </c>
    </row>
    <row r="210" customFormat="false" ht="15" hidden="false" customHeight="false" outlineLevel="0" collapsed="false">
      <c r="A210" s="0" t="n">
        <v>5</v>
      </c>
      <c r="B210" s="0" t="n">
        <v>0</v>
      </c>
      <c r="C210" s="0" t="n">
        <f aca="false">-1+A210*0.05</f>
        <v>-0.75</v>
      </c>
      <c r="D210" s="0" t="n">
        <f aca="false">-1+B210*0.05</f>
        <v>-1</v>
      </c>
      <c r="E210" s="0" t="n">
        <f aca="false">1</f>
        <v>1</v>
      </c>
      <c r="F210" s="0" t="n">
        <f aca="false">C210</f>
        <v>-0.75</v>
      </c>
      <c r="G210" s="0" t="n">
        <f aca="false">D210</f>
        <v>-1</v>
      </c>
      <c r="H210" s="0" t="n">
        <f aca="false">C210*D210</f>
        <v>0.75</v>
      </c>
      <c r="I210" s="0" t="n">
        <f aca="false">C210*C210</f>
        <v>0.5625</v>
      </c>
      <c r="J210" s="0" t="n">
        <f aca="false">D210*D210</f>
        <v>1</v>
      </c>
      <c r="K210" s="0" t="n">
        <f aca="false">SUMPRODUCT(E210:J210,_XtX!$B$53:$G$53)</f>
        <v>41.5253232758621</v>
      </c>
      <c r="L210" s="0" t="n">
        <f aca="false">SUMPRODUCT(MMULT(E210:J210,_XtX!$B$44:$G$49),E210:J210)</f>
        <v>0.571637033045977</v>
      </c>
      <c r="M210" s="0" t="n">
        <f aca="false">04_回帰ANOVA!$K$19*04_回帰ANOVA!$K$14*SQRT(1+L210)</f>
        <v>1.69884086471256</v>
      </c>
      <c r="N210" s="0" t="n">
        <f aca="false">K210-M210</f>
        <v>39.8264824111495</v>
      </c>
      <c r="O210" s="0" t="n">
        <f aca="false">K210+M210</f>
        <v>43.2241641405746</v>
      </c>
      <c r="P210" s="54" t="b">
        <f aca="false">AND(C210&gt;=01_因子設定!$L$5-0.000000001,C210&lt;=01_因子設定!$M$5+0.000000001,D210&gt;=01_因子設定!$L$6-0.000000001,D210&lt;=01_因子設定!$M$6+0.000000001,IF(01_因子設定!$B$20="Box-Behnken",C210^2+D210^2&lt;=2+0.000000001,TRUE()))</f>
        <v>1</v>
      </c>
      <c r="Q210" s="55" t="n">
        <f aca="false">IF(P210,IF(01_因子設定!$B$13="最大化",N210-01_因子設定!$B$14,IF(01_因子設定!$B$13="最小化",01_因子設定!$B$15-O210,MIN(N210-01_因子設定!$B$14,01_因子設定!$B$15-O210))),-1E+030)</f>
        <v>-6.6735175888505</v>
      </c>
      <c r="R210" s="55" t="n">
        <f aca="false">IF(P210,IF(01_因子設定!$B$13="最大化",K210,IF(01_因子設定!$B$13="最小化",-K210,-ABS(K210-01_因子設定!$B$16))),-1E+030)</f>
        <v>41.5253232758621</v>
      </c>
      <c r="S210" s="55" t="n">
        <f aca="false">Q210+ROW()*0.000000001</f>
        <v>-6.6735173788505</v>
      </c>
      <c r="T210" s="55" t="n">
        <f aca="false">R210+ROW()*0.000000001</f>
        <v>41.5253234858621</v>
      </c>
    </row>
    <row r="211" customFormat="false" ht="15" hidden="false" customHeight="false" outlineLevel="0" collapsed="false">
      <c r="A211" s="0" t="n">
        <v>5</v>
      </c>
      <c r="B211" s="0" t="n">
        <v>1</v>
      </c>
      <c r="C211" s="0" t="n">
        <f aca="false">-1+A211*0.05</f>
        <v>-0.75</v>
      </c>
      <c r="D211" s="0" t="n">
        <f aca="false">-1+B211*0.05</f>
        <v>-0.95</v>
      </c>
      <c r="E211" s="0" t="n">
        <f aca="false">1</f>
        <v>1</v>
      </c>
      <c r="F211" s="0" t="n">
        <f aca="false">C211</f>
        <v>-0.75</v>
      </c>
      <c r="G211" s="0" t="n">
        <f aca="false">D211</f>
        <v>-0.95</v>
      </c>
      <c r="H211" s="0" t="n">
        <f aca="false">C211*D211</f>
        <v>0.7125</v>
      </c>
      <c r="I211" s="0" t="n">
        <f aca="false">C211*C211</f>
        <v>0.5625</v>
      </c>
      <c r="J211" s="0" t="n">
        <f aca="false">D211*D211</f>
        <v>0.9025</v>
      </c>
      <c r="K211" s="0" t="n">
        <f aca="false">SUMPRODUCT(E211:J211,_XtX!$B$53:$G$53)</f>
        <v>41.768588362069</v>
      </c>
      <c r="L211" s="0" t="n">
        <f aca="false">SUMPRODUCT(MMULT(E211:J211,_XtX!$B$44:$G$49),E211:J211)</f>
        <v>0.509816289511494</v>
      </c>
      <c r="M211" s="0" t="n">
        <f aca="false">04_回帰ANOVA!$K$19*04_回帰ANOVA!$K$14*SQRT(1+L211)</f>
        <v>1.66509350076304</v>
      </c>
      <c r="N211" s="0" t="n">
        <f aca="false">K211-M211</f>
        <v>40.1034948613059</v>
      </c>
      <c r="O211" s="0" t="n">
        <f aca="false">K211+M211</f>
        <v>43.433681862832</v>
      </c>
      <c r="P211" s="54" t="b">
        <f aca="false">AND(C211&gt;=01_因子設定!$L$5-0.000000001,C211&lt;=01_因子設定!$M$5+0.000000001,D211&gt;=01_因子設定!$L$6-0.000000001,D211&lt;=01_因子設定!$M$6+0.000000001,IF(01_因子設定!$B$20="Box-Behnken",C211^2+D211^2&lt;=2+0.000000001,TRUE()))</f>
        <v>1</v>
      </c>
      <c r="Q211" s="55" t="n">
        <f aca="false">IF(P211,IF(01_因子設定!$B$13="最大化",N211-01_因子設定!$B$14,IF(01_因子設定!$B$13="最小化",01_因子設定!$B$15-O211,MIN(N211-01_因子設定!$B$14,01_因子設定!$B$15-O211))),-1E+030)</f>
        <v>-6.39650513869409</v>
      </c>
      <c r="R211" s="55" t="n">
        <f aca="false">IF(P211,IF(01_因子設定!$B$13="最大化",K211,IF(01_因子設定!$B$13="最小化",-K211,-ABS(K211-01_因子設定!$B$16))),-1E+030)</f>
        <v>41.768588362069</v>
      </c>
      <c r="S211" s="55" t="n">
        <f aca="false">Q211+ROW()*0.000000001</f>
        <v>-6.39650492769409</v>
      </c>
      <c r="T211" s="55" t="n">
        <f aca="false">R211+ROW()*0.000000001</f>
        <v>41.768588573069</v>
      </c>
    </row>
    <row r="212" customFormat="false" ht="15" hidden="false" customHeight="false" outlineLevel="0" collapsed="false">
      <c r="A212" s="0" t="n">
        <v>5</v>
      </c>
      <c r="B212" s="0" t="n">
        <v>2</v>
      </c>
      <c r="C212" s="0" t="n">
        <f aca="false">-1+A212*0.05</f>
        <v>-0.75</v>
      </c>
      <c r="D212" s="0" t="n">
        <f aca="false">-1+B212*0.05</f>
        <v>-0.9</v>
      </c>
      <c r="E212" s="0" t="n">
        <f aca="false">1</f>
        <v>1</v>
      </c>
      <c r="F212" s="0" t="n">
        <f aca="false">C212</f>
        <v>-0.75</v>
      </c>
      <c r="G212" s="0" t="n">
        <f aca="false">D212</f>
        <v>-0.9</v>
      </c>
      <c r="H212" s="0" t="n">
        <f aca="false">C212*D212</f>
        <v>0.675</v>
      </c>
      <c r="I212" s="0" t="n">
        <f aca="false">C212*C212</f>
        <v>0.5625</v>
      </c>
      <c r="J212" s="0" t="n">
        <f aca="false">D212*D212</f>
        <v>0.81</v>
      </c>
      <c r="K212" s="0" t="n">
        <f aca="false">SUMPRODUCT(E212:J212,_XtX!$B$53:$G$53)</f>
        <v>42.0041379310345</v>
      </c>
      <c r="L212" s="0" t="n">
        <f aca="false">SUMPRODUCT(MMULT(E212:J212,_XtX!$B$44:$G$49),E212:J212)</f>
        <v>0.457529202586207</v>
      </c>
      <c r="M212" s="0" t="n">
        <f aca="false">04_回帰ANOVA!$K$19*04_回帰ANOVA!$K$14*SQRT(1+L212)</f>
        <v>1.63600717784344</v>
      </c>
      <c r="N212" s="0" t="n">
        <f aca="false">K212-M212</f>
        <v>40.368130753191</v>
      </c>
      <c r="O212" s="0" t="n">
        <f aca="false">K212+M212</f>
        <v>43.6401451088779</v>
      </c>
      <c r="P212" s="54" t="b">
        <f aca="false">AND(C212&gt;=01_因子設定!$L$5-0.000000001,C212&lt;=01_因子設定!$M$5+0.000000001,D212&gt;=01_因子設定!$L$6-0.000000001,D212&lt;=01_因子設定!$M$6+0.000000001,IF(01_因子設定!$B$20="Box-Behnken",C212^2+D212^2&lt;=2+0.000000001,TRUE()))</f>
        <v>1</v>
      </c>
      <c r="Q212" s="55" t="n">
        <f aca="false">IF(P212,IF(01_因子設定!$B$13="最大化",N212-01_因子設定!$B$14,IF(01_因子設定!$B$13="最小化",01_因子設定!$B$15-O212,MIN(N212-01_因子設定!$B$14,01_因子設定!$B$15-O212))),-1E+030)</f>
        <v>-6.13186924680898</v>
      </c>
      <c r="R212" s="55" t="n">
        <f aca="false">IF(P212,IF(01_因子設定!$B$13="最大化",K212,IF(01_因子設定!$B$13="最小化",-K212,-ABS(K212-01_因子設定!$B$16))),-1E+030)</f>
        <v>42.0041379310345</v>
      </c>
      <c r="S212" s="55" t="n">
        <f aca="false">Q212+ROW()*0.000000001</f>
        <v>-6.13186903480898</v>
      </c>
      <c r="T212" s="55" t="n">
        <f aca="false">R212+ROW()*0.000000001</f>
        <v>42.0041381430345</v>
      </c>
    </row>
    <row r="213" customFormat="false" ht="15" hidden="false" customHeight="false" outlineLevel="0" collapsed="false">
      <c r="A213" s="0" t="n">
        <v>5</v>
      </c>
      <c r="B213" s="0" t="n">
        <v>3</v>
      </c>
      <c r="C213" s="0" t="n">
        <f aca="false">-1+A213*0.05</f>
        <v>-0.75</v>
      </c>
      <c r="D213" s="0" t="n">
        <f aca="false">-1+B213*0.05</f>
        <v>-0.85</v>
      </c>
      <c r="E213" s="0" t="n">
        <f aca="false">1</f>
        <v>1</v>
      </c>
      <c r="F213" s="0" t="n">
        <f aca="false">C213</f>
        <v>-0.75</v>
      </c>
      <c r="G213" s="0" t="n">
        <f aca="false">D213</f>
        <v>-0.85</v>
      </c>
      <c r="H213" s="0" t="n">
        <f aca="false">C213*D213</f>
        <v>0.6375</v>
      </c>
      <c r="I213" s="0" t="n">
        <f aca="false">C213*C213</f>
        <v>0.5625</v>
      </c>
      <c r="J213" s="0" t="n">
        <f aca="false">D213*D213</f>
        <v>0.7225</v>
      </c>
      <c r="K213" s="0" t="n">
        <f aca="false">SUMPRODUCT(E213:J213,_XtX!$B$53:$G$53)</f>
        <v>42.2319719827586</v>
      </c>
      <c r="L213" s="0" t="n">
        <f aca="false">SUMPRODUCT(MMULT(E213:J213,_XtX!$B$44:$G$49),E213:J213)</f>
        <v>0.413771030890805</v>
      </c>
      <c r="M213" s="0" t="n">
        <f aca="false">04_回帰ANOVA!$K$19*04_回帰ANOVA!$K$14*SQRT(1+L213)</f>
        <v>1.61126180232603</v>
      </c>
      <c r="N213" s="0" t="n">
        <f aca="false">K213-M213</f>
        <v>40.6207101804326</v>
      </c>
      <c r="O213" s="0" t="n">
        <f aca="false">K213+M213</f>
        <v>43.8432337850846</v>
      </c>
      <c r="P213" s="54" t="b">
        <f aca="false">AND(C213&gt;=01_因子設定!$L$5-0.000000001,C213&lt;=01_因子設定!$M$5+0.000000001,D213&gt;=01_因子設定!$L$6-0.000000001,D213&lt;=01_因子設定!$M$6+0.000000001,IF(01_因子設定!$B$20="Box-Behnken",C213^2+D213^2&lt;=2+0.000000001,TRUE()))</f>
        <v>1</v>
      </c>
      <c r="Q213" s="55" t="n">
        <f aca="false">IF(P213,IF(01_因子設定!$B$13="最大化",N213-01_因子設定!$B$14,IF(01_因子設定!$B$13="最小化",01_因子設定!$B$15-O213,MIN(N213-01_因子設定!$B$14,01_因子設定!$B$15-O213))),-1E+030)</f>
        <v>-5.87928981956742</v>
      </c>
      <c r="R213" s="55" t="n">
        <f aca="false">IF(P213,IF(01_因子設定!$B$13="最大化",K213,IF(01_因子設定!$B$13="最小化",-K213,-ABS(K213-01_因子設定!$B$16))),-1E+030)</f>
        <v>42.2319719827586</v>
      </c>
      <c r="S213" s="55" t="n">
        <f aca="false">Q213+ROW()*0.000000001</f>
        <v>-5.87928960656742</v>
      </c>
      <c r="T213" s="55" t="n">
        <f aca="false">R213+ROW()*0.000000001</f>
        <v>42.2319721957586</v>
      </c>
    </row>
    <row r="214" customFormat="false" ht="15" hidden="false" customHeight="false" outlineLevel="0" collapsed="false">
      <c r="A214" s="0" t="n">
        <v>5</v>
      </c>
      <c r="B214" s="0" t="n">
        <v>4</v>
      </c>
      <c r="C214" s="0" t="n">
        <f aca="false">-1+A214*0.05</f>
        <v>-0.75</v>
      </c>
      <c r="D214" s="0" t="n">
        <f aca="false">-1+B214*0.05</f>
        <v>-0.8</v>
      </c>
      <c r="E214" s="0" t="n">
        <f aca="false">1</f>
        <v>1</v>
      </c>
      <c r="F214" s="0" t="n">
        <f aca="false">C214</f>
        <v>-0.75</v>
      </c>
      <c r="G214" s="0" t="n">
        <f aca="false">D214</f>
        <v>-0.8</v>
      </c>
      <c r="H214" s="0" t="n">
        <f aca="false">C214*D214</f>
        <v>0.6</v>
      </c>
      <c r="I214" s="0" t="n">
        <f aca="false">C214*C214</f>
        <v>0.5625</v>
      </c>
      <c r="J214" s="0" t="n">
        <f aca="false">D214*D214</f>
        <v>0.64</v>
      </c>
      <c r="K214" s="0" t="n">
        <f aca="false">SUMPRODUCT(E214:J214,_XtX!$B$53:$G$53)</f>
        <v>42.4520905172414</v>
      </c>
      <c r="L214" s="0" t="n">
        <f aca="false">SUMPRODUCT(MMULT(E214:J214,_XtX!$B$44:$G$49),E214:J214)</f>
        <v>0.377591343390805</v>
      </c>
      <c r="M214" s="0" t="n">
        <f aca="false">04_回帰ANOVA!$K$19*04_回帰ANOVA!$K$14*SQRT(1+L214)</f>
        <v>1.59051135820975</v>
      </c>
      <c r="N214" s="0" t="n">
        <f aca="false">K214-M214</f>
        <v>40.8615791590316</v>
      </c>
      <c r="O214" s="0" t="n">
        <f aca="false">K214+M214</f>
        <v>44.0426018754511</v>
      </c>
      <c r="P214" s="54" t="b">
        <f aca="false">AND(C214&gt;=01_因子設定!$L$5-0.000000001,C214&lt;=01_因子設定!$M$5+0.000000001,D214&gt;=01_因子設定!$L$6-0.000000001,D214&lt;=01_因子設定!$M$6+0.000000001,IF(01_因子設定!$B$20="Box-Behnken",C214^2+D214^2&lt;=2+0.000000001,TRUE()))</f>
        <v>1</v>
      </c>
      <c r="Q214" s="55" t="n">
        <f aca="false">IF(P214,IF(01_因子設定!$B$13="最大化",N214-01_因子設定!$B$14,IF(01_因子設定!$B$13="最小化",01_因子設定!$B$15-O214,MIN(N214-01_因子設定!$B$14,01_因子設定!$B$15-O214))),-1E+030)</f>
        <v>-5.63842084096839</v>
      </c>
      <c r="R214" s="55" t="n">
        <f aca="false">IF(P214,IF(01_因子設定!$B$13="最大化",K214,IF(01_因子設定!$B$13="最小化",-K214,-ABS(K214-01_因子設定!$B$16))),-1E+030)</f>
        <v>42.4520905172414</v>
      </c>
      <c r="S214" s="55" t="n">
        <f aca="false">Q214+ROW()*0.000000001</f>
        <v>-5.63842062696839</v>
      </c>
      <c r="T214" s="55" t="n">
        <f aca="false">R214+ROW()*0.000000001</f>
        <v>42.4520907312414</v>
      </c>
    </row>
    <row r="215" customFormat="false" ht="15" hidden="false" customHeight="false" outlineLevel="0" collapsed="false">
      <c r="A215" s="0" t="n">
        <v>5</v>
      </c>
      <c r="B215" s="0" t="n">
        <v>5</v>
      </c>
      <c r="C215" s="0" t="n">
        <f aca="false">-1+A215*0.05</f>
        <v>-0.75</v>
      </c>
      <c r="D215" s="0" t="n">
        <f aca="false">-1+B215*0.05</f>
        <v>-0.75</v>
      </c>
      <c r="E215" s="0" t="n">
        <f aca="false">1</f>
        <v>1</v>
      </c>
      <c r="F215" s="0" t="n">
        <f aca="false">C215</f>
        <v>-0.75</v>
      </c>
      <c r="G215" s="0" t="n">
        <f aca="false">D215</f>
        <v>-0.75</v>
      </c>
      <c r="H215" s="0" t="n">
        <f aca="false">C215*D215</f>
        <v>0.5625</v>
      </c>
      <c r="I215" s="0" t="n">
        <f aca="false">C215*C215</f>
        <v>0.5625</v>
      </c>
      <c r="J215" s="0" t="n">
        <f aca="false">D215*D215</f>
        <v>0.5625</v>
      </c>
      <c r="K215" s="0" t="n">
        <f aca="false">SUMPRODUCT(E215:J215,_XtX!$B$53:$G$53)</f>
        <v>42.6644935344827</v>
      </c>
      <c r="L215" s="0" t="n">
        <f aca="false">SUMPRODUCT(MMULT(E215:J215,_XtX!$B$44:$G$49),E215:J215)</f>
        <v>0.348094019396552</v>
      </c>
      <c r="M215" s="0" t="n">
        <f aca="false">04_回帰ANOVA!$K$19*04_回帰ANOVA!$K$14*SQRT(1+L215)</f>
        <v>1.57339100619499</v>
      </c>
      <c r="N215" s="0" t="n">
        <f aca="false">K215-M215</f>
        <v>41.0911025282878</v>
      </c>
      <c r="O215" s="0" t="n">
        <f aca="false">K215+M215</f>
        <v>44.2378845406777</v>
      </c>
      <c r="P215" s="54" t="b">
        <f aca="false">AND(C215&gt;=01_因子設定!$L$5-0.000000001,C215&lt;=01_因子設定!$M$5+0.000000001,D215&gt;=01_因子設定!$L$6-0.000000001,D215&lt;=01_因子設定!$M$6+0.000000001,IF(01_因子設定!$B$20="Box-Behnken",C215^2+D215^2&lt;=2+0.000000001,TRUE()))</f>
        <v>1</v>
      </c>
      <c r="Q215" s="55" t="n">
        <f aca="false">IF(P215,IF(01_因子設定!$B$13="最大化",N215-01_因子設定!$B$14,IF(01_因子設定!$B$13="最小化",01_因子設定!$B$15-O215,MIN(N215-01_因子設定!$B$14,01_因子設定!$B$15-O215))),-1E+030)</f>
        <v>-5.40889747171224</v>
      </c>
      <c r="R215" s="55" t="n">
        <f aca="false">IF(P215,IF(01_因子設定!$B$13="最大化",K215,IF(01_因子設定!$B$13="最小化",-K215,-ABS(K215-01_因子設定!$B$16))),-1E+030)</f>
        <v>42.6644935344827</v>
      </c>
      <c r="S215" s="55" t="n">
        <f aca="false">Q215+ROW()*0.000000001</f>
        <v>-5.40889725671224</v>
      </c>
      <c r="T215" s="55" t="n">
        <f aca="false">R215+ROW()*0.000000001</f>
        <v>42.6644937494827</v>
      </c>
    </row>
    <row r="216" customFormat="false" ht="15" hidden="false" customHeight="false" outlineLevel="0" collapsed="false">
      <c r="A216" s="0" t="n">
        <v>5</v>
      </c>
      <c r="B216" s="0" t="n">
        <v>6</v>
      </c>
      <c r="C216" s="0" t="n">
        <f aca="false">-1+A216*0.05</f>
        <v>-0.75</v>
      </c>
      <c r="D216" s="0" t="n">
        <f aca="false">-1+B216*0.05</f>
        <v>-0.7</v>
      </c>
      <c r="E216" s="0" t="n">
        <f aca="false">1</f>
        <v>1</v>
      </c>
      <c r="F216" s="0" t="n">
        <f aca="false">C216</f>
        <v>-0.75</v>
      </c>
      <c r="G216" s="0" t="n">
        <f aca="false">D216</f>
        <v>-0.7</v>
      </c>
      <c r="H216" s="0" t="n">
        <f aca="false">C216*D216</f>
        <v>0.525</v>
      </c>
      <c r="I216" s="0" t="n">
        <f aca="false">C216*C216</f>
        <v>0.5625</v>
      </c>
      <c r="J216" s="0" t="n">
        <f aca="false">D216*D216</f>
        <v>0.49</v>
      </c>
      <c r="K216" s="0" t="n">
        <f aca="false">SUMPRODUCT(E216:J216,_XtX!$B$53:$G$53)</f>
        <v>42.8691810344828</v>
      </c>
      <c r="L216" s="0" t="n">
        <f aca="false">SUMPRODUCT(MMULT(E216:J216,_XtX!$B$44:$G$49),E216:J216)</f>
        <v>0.324437248563218</v>
      </c>
      <c r="M216" s="0" t="n">
        <f aca="false">04_回帰ANOVA!$K$19*04_回帰ANOVA!$K$14*SQRT(1+L216)</f>
        <v>1.55952472849596</v>
      </c>
      <c r="N216" s="0" t="n">
        <f aca="false">K216-M216</f>
        <v>41.3096563059868</v>
      </c>
      <c r="O216" s="0" t="n">
        <f aca="false">K216+M216</f>
        <v>44.4287057629787</v>
      </c>
      <c r="P216" s="54" t="b">
        <f aca="false">AND(C216&gt;=01_因子設定!$L$5-0.000000001,C216&lt;=01_因子設定!$M$5+0.000000001,D216&gt;=01_因子設定!$L$6-0.000000001,D216&lt;=01_因子設定!$M$6+0.000000001,IF(01_因子設定!$B$20="Box-Behnken",C216^2+D216^2&lt;=2+0.000000001,TRUE()))</f>
        <v>1</v>
      </c>
      <c r="Q216" s="55" t="n">
        <f aca="false">IF(P216,IF(01_因子設定!$B$13="最大化",N216-01_因子設定!$B$14,IF(01_因子設定!$B$13="最小化",01_因子設定!$B$15-O216,MIN(N216-01_因子設定!$B$14,01_因子設定!$B$15-O216))),-1E+030)</f>
        <v>-5.19034369401322</v>
      </c>
      <c r="R216" s="55" t="n">
        <f aca="false">IF(P216,IF(01_因子設定!$B$13="最大化",K216,IF(01_因子設定!$B$13="最小化",-K216,-ABS(K216-01_因子設定!$B$16))),-1E+030)</f>
        <v>42.8691810344828</v>
      </c>
      <c r="S216" s="55" t="n">
        <f aca="false">Q216+ROW()*0.000000001</f>
        <v>-5.19034347801322</v>
      </c>
      <c r="T216" s="55" t="n">
        <f aca="false">R216+ROW()*0.000000001</f>
        <v>42.8691812504828</v>
      </c>
    </row>
    <row r="217" customFormat="false" ht="15" hidden="false" customHeight="false" outlineLevel="0" collapsed="false">
      <c r="A217" s="0" t="n">
        <v>5</v>
      </c>
      <c r="B217" s="0" t="n">
        <v>7</v>
      </c>
      <c r="C217" s="0" t="n">
        <f aca="false">-1+A217*0.05</f>
        <v>-0.75</v>
      </c>
      <c r="D217" s="0" t="n">
        <f aca="false">-1+B217*0.05</f>
        <v>-0.65</v>
      </c>
      <c r="E217" s="0" t="n">
        <f aca="false">1</f>
        <v>1</v>
      </c>
      <c r="F217" s="0" t="n">
        <f aca="false">C217</f>
        <v>-0.75</v>
      </c>
      <c r="G217" s="0" t="n">
        <f aca="false">D217</f>
        <v>-0.65</v>
      </c>
      <c r="H217" s="0" t="n">
        <f aca="false">C217*D217</f>
        <v>0.4875</v>
      </c>
      <c r="I217" s="0" t="n">
        <f aca="false">C217*C217</f>
        <v>0.5625</v>
      </c>
      <c r="J217" s="0" t="n">
        <f aca="false">D217*D217</f>
        <v>0.4225</v>
      </c>
      <c r="K217" s="0" t="n">
        <f aca="false">SUMPRODUCT(E217:J217,_XtX!$B$53:$G$53)</f>
        <v>43.0661530172414</v>
      </c>
      <c r="L217" s="0" t="n">
        <f aca="false">SUMPRODUCT(MMULT(E217:J217,_XtX!$B$44:$G$49),E217:J217)</f>
        <v>0.305833530890805</v>
      </c>
      <c r="M217" s="0" t="n">
        <f aca="false">04_回帰ANOVA!$K$19*04_回帰ANOVA!$K$14*SQRT(1+L217)</f>
        <v>1.54853305548253</v>
      </c>
      <c r="N217" s="0" t="n">
        <f aca="false">K217-M217</f>
        <v>41.5176199617588</v>
      </c>
      <c r="O217" s="0" t="n">
        <f aca="false">K217+M217</f>
        <v>44.6146860727239</v>
      </c>
      <c r="P217" s="54" t="b">
        <f aca="false">AND(C217&gt;=01_因子設定!$L$5-0.000000001,C217&lt;=01_因子設定!$M$5+0.000000001,D217&gt;=01_因子設定!$L$6-0.000000001,D217&lt;=01_因子設定!$M$6+0.000000001,IF(01_因子設定!$B$20="Box-Behnken",C217^2+D217^2&lt;=2+0.000000001,TRUE()))</f>
        <v>1</v>
      </c>
      <c r="Q217" s="55" t="n">
        <f aca="false">IF(P217,IF(01_因子設定!$B$13="最大化",N217-01_因子設定!$B$14,IF(01_因子設定!$B$13="最小化",01_因子設定!$B$15-O217,MIN(N217-01_因子設定!$B$14,01_因子設定!$B$15-O217))),-1E+030)</f>
        <v>-4.98238003824116</v>
      </c>
      <c r="R217" s="55" t="n">
        <f aca="false">IF(P217,IF(01_因子設定!$B$13="最大化",K217,IF(01_因子設定!$B$13="最小化",-K217,-ABS(K217-01_因子設定!$B$16))),-1E+030)</f>
        <v>43.0661530172414</v>
      </c>
      <c r="S217" s="55" t="n">
        <f aca="false">Q217+ROW()*0.000000001</f>
        <v>-4.98237982124116</v>
      </c>
      <c r="T217" s="55" t="n">
        <f aca="false">R217+ROW()*0.000000001</f>
        <v>43.0661532342414</v>
      </c>
    </row>
    <row r="218" customFormat="false" ht="15" hidden="false" customHeight="false" outlineLevel="0" collapsed="false">
      <c r="A218" s="0" t="n">
        <v>5</v>
      </c>
      <c r="B218" s="0" t="n">
        <v>8</v>
      </c>
      <c r="C218" s="0" t="n">
        <f aca="false">-1+A218*0.05</f>
        <v>-0.75</v>
      </c>
      <c r="D218" s="0" t="n">
        <f aca="false">-1+B218*0.05</f>
        <v>-0.6</v>
      </c>
      <c r="E218" s="0" t="n">
        <f aca="false">1</f>
        <v>1</v>
      </c>
      <c r="F218" s="0" t="n">
        <f aca="false">C218</f>
        <v>-0.75</v>
      </c>
      <c r="G218" s="0" t="n">
        <f aca="false">D218</f>
        <v>-0.6</v>
      </c>
      <c r="H218" s="0" t="n">
        <f aca="false">C218*D218</f>
        <v>0.45</v>
      </c>
      <c r="I218" s="0" t="n">
        <f aca="false">C218*C218</f>
        <v>0.5625</v>
      </c>
      <c r="J218" s="0" t="n">
        <f aca="false">D218*D218</f>
        <v>0.36</v>
      </c>
      <c r="K218" s="0" t="n">
        <f aca="false">SUMPRODUCT(E218:J218,_XtX!$B$53:$G$53)</f>
        <v>43.2554094827586</v>
      </c>
      <c r="L218" s="0" t="n">
        <f aca="false">SUMPRODUCT(MMULT(E218:J218,_XtX!$B$44:$G$49),E218:J218)</f>
        <v>0.291549676724138</v>
      </c>
      <c r="M218" s="0" t="n">
        <f aca="false">04_回帰ANOVA!$K$19*04_回帰ANOVA!$K$14*SQRT(1+L218)</f>
        <v>1.54004045665134</v>
      </c>
      <c r="N218" s="0" t="n">
        <f aca="false">K218-M218</f>
        <v>41.7153690261073</v>
      </c>
      <c r="O218" s="0" t="n">
        <f aca="false">K218+M218</f>
        <v>44.7954499394099</v>
      </c>
      <c r="P218" s="54" t="b">
        <f aca="false">AND(C218&gt;=01_因子設定!$L$5-0.000000001,C218&lt;=01_因子設定!$M$5+0.000000001,D218&gt;=01_因子設定!$L$6-0.000000001,D218&lt;=01_因子設定!$M$6+0.000000001,IF(01_因子設定!$B$20="Box-Behnken",C218^2+D218^2&lt;=2+0.000000001,TRUE()))</f>
        <v>1</v>
      </c>
      <c r="Q218" s="55" t="n">
        <f aca="false">IF(P218,IF(01_因子設定!$B$13="最大化",N218-01_因子設定!$B$14,IF(01_因子設定!$B$13="最小化",01_因子設定!$B$15-O218,MIN(N218-01_因子設定!$B$14,01_因子設定!$B$15-O218))),-1E+030)</f>
        <v>-4.78463097389273</v>
      </c>
      <c r="R218" s="55" t="n">
        <f aca="false">IF(P218,IF(01_因子設定!$B$13="最大化",K218,IF(01_因子設定!$B$13="最小化",-K218,-ABS(K218-01_因子設定!$B$16))),-1E+030)</f>
        <v>43.2554094827586</v>
      </c>
      <c r="S218" s="55" t="n">
        <f aca="false">Q218+ROW()*0.000000001</f>
        <v>-4.78463075589272</v>
      </c>
      <c r="T218" s="55" t="n">
        <f aca="false">R218+ROW()*0.000000001</f>
        <v>43.2554097007586</v>
      </c>
    </row>
    <row r="219" customFormat="false" ht="15" hidden="false" customHeight="false" outlineLevel="0" collapsed="false">
      <c r="A219" s="0" t="n">
        <v>5</v>
      </c>
      <c r="B219" s="0" t="n">
        <v>9</v>
      </c>
      <c r="C219" s="0" t="n">
        <f aca="false">-1+A219*0.05</f>
        <v>-0.75</v>
      </c>
      <c r="D219" s="0" t="n">
        <f aca="false">-1+B219*0.05</f>
        <v>-0.55</v>
      </c>
      <c r="E219" s="0" t="n">
        <f aca="false">1</f>
        <v>1</v>
      </c>
      <c r="F219" s="0" t="n">
        <f aca="false">C219</f>
        <v>-0.75</v>
      </c>
      <c r="G219" s="0" t="n">
        <f aca="false">D219</f>
        <v>-0.55</v>
      </c>
      <c r="H219" s="0" t="n">
        <f aca="false">C219*D219</f>
        <v>0.4125</v>
      </c>
      <c r="I219" s="0" t="n">
        <f aca="false">C219*C219</f>
        <v>0.5625</v>
      </c>
      <c r="J219" s="0" t="n">
        <f aca="false">D219*D219</f>
        <v>0.3025</v>
      </c>
      <c r="K219" s="0" t="n">
        <f aca="false">SUMPRODUCT(E219:J219,_XtX!$B$53:$G$53)</f>
        <v>43.4369504310345</v>
      </c>
      <c r="L219" s="0" t="n">
        <f aca="false">SUMPRODUCT(MMULT(E219:J219,_XtX!$B$44:$G$49),E219:J219)</f>
        <v>0.280906806752874</v>
      </c>
      <c r="M219" s="0" t="n">
        <f aca="false">04_回帰ANOVA!$K$19*04_回帰ANOVA!$K$14*SQRT(1+L219)</f>
        <v>1.53368206549325</v>
      </c>
      <c r="N219" s="0" t="n">
        <f aca="false">K219-M219</f>
        <v>41.9032683655412</v>
      </c>
      <c r="O219" s="0" t="n">
        <f aca="false">K219+M219</f>
        <v>44.9706324965277</v>
      </c>
      <c r="P219" s="54" t="b">
        <f aca="false">AND(C219&gt;=01_因子設定!$L$5-0.000000001,C219&lt;=01_因子設定!$M$5+0.000000001,D219&gt;=01_因子設定!$L$6-0.000000001,D219&lt;=01_因子設定!$M$6+0.000000001,IF(01_因子設定!$B$20="Box-Behnken",C219^2+D219^2&lt;=2+0.000000001,TRUE()))</f>
        <v>1</v>
      </c>
      <c r="Q219" s="55" t="n">
        <f aca="false">IF(P219,IF(01_因子設定!$B$13="最大化",N219-01_因子設定!$B$14,IF(01_因子設定!$B$13="最小化",01_因子設定!$B$15-O219,MIN(N219-01_因子設定!$B$14,01_因子設定!$B$15-O219))),-1E+030)</f>
        <v>-4.59673163445878</v>
      </c>
      <c r="R219" s="55" t="n">
        <f aca="false">IF(P219,IF(01_因子設定!$B$13="最大化",K219,IF(01_因子設定!$B$13="最小化",-K219,-ABS(K219-01_因子設定!$B$16))),-1E+030)</f>
        <v>43.4369504310345</v>
      </c>
      <c r="S219" s="55" t="n">
        <f aca="false">Q219+ROW()*0.000000001</f>
        <v>-4.59673141545878</v>
      </c>
      <c r="T219" s="55" t="n">
        <f aca="false">R219+ROW()*0.000000001</f>
        <v>43.4369506500345</v>
      </c>
    </row>
    <row r="220" customFormat="false" ht="15" hidden="false" customHeight="false" outlineLevel="0" collapsed="false">
      <c r="A220" s="0" t="n">
        <v>5</v>
      </c>
      <c r="B220" s="0" t="n">
        <v>10</v>
      </c>
      <c r="C220" s="0" t="n">
        <f aca="false">-1+A220*0.05</f>
        <v>-0.75</v>
      </c>
      <c r="D220" s="0" t="n">
        <f aca="false">-1+B220*0.05</f>
        <v>-0.5</v>
      </c>
      <c r="E220" s="0" t="n">
        <f aca="false">1</f>
        <v>1</v>
      </c>
      <c r="F220" s="0" t="n">
        <f aca="false">C220</f>
        <v>-0.75</v>
      </c>
      <c r="G220" s="0" t="n">
        <f aca="false">D220</f>
        <v>-0.5</v>
      </c>
      <c r="H220" s="0" t="n">
        <f aca="false">C220*D220</f>
        <v>0.375</v>
      </c>
      <c r="I220" s="0" t="n">
        <f aca="false">C220*C220</f>
        <v>0.5625</v>
      </c>
      <c r="J220" s="0" t="n">
        <f aca="false">D220*D220</f>
        <v>0.25</v>
      </c>
      <c r="K220" s="0" t="n">
        <f aca="false">SUMPRODUCT(E220:J220,_XtX!$B$53:$G$53)</f>
        <v>43.610775862069</v>
      </c>
      <c r="L220" s="0" t="n">
        <f aca="false">SUMPRODUCT(MMULT(E220:J220,_XtX!$B$44:$G$49),E220:J220)</f>
        <v>0.273280352011494</v>
      </c>
      <c r="M220" s="0" t="n">
        <f aca="false">04_回帰ANOVA!$K$19*04_回帰ANOVA!$K$14*SQRT(1+L220)</f>
        <v>1.52910951618691</v>
      </c>
      <c r="N220" s="0" t="n">
        <f aca="false">K220-M220</f>
        <v>42.081666345882</v>
      </c>
      <c r="O220" s="0" t="n">
        <f aca="false">K220+M220</f>
        <v>45.1398853782559</v>
      </c>
      <c r="P220" s="54" t="b">
        <f aca="false">AND(C220&gt;=01_因子設定!$L$5-0.000000001,C220&lt;=01_因子設定!$M$5+0.000000001,D220&gt;=01_因子設定!$L$6-0.000000001,D220&lt;=01_因子設定!$M$6+0.000000001,IF(01_因子設定!$B$20="Box-Behnken",C220^2+D220^2&lt;=2+0.000000001,TRUE()))</f>
        <v>1</v>
      </c>
      <c r="Q220" s="55" t="n">
        <f aca="false">IF(P220,IF(01_因子設定!$B$13="最大化",N220-01_因子設定!$B$14,IF(01_因子設定!$B$13="最小化",01_因子設定!$B$15-O220,MIN(N220-01_因子設定!$B$14,01_因子設定!$B$15-O220))),-1E+030)</f>
        <v>-4.41833365411796</v>
      </c>
      <c r="R220" s="55" t="n">
        <f aca="false">IF(P220,IF(01_因子設定!$B$13="最大化",K220,IF(01_因子設定!$B$13="最小化",-K220,-ABS(K220-01_因子設定!$B$16))),-1E+030)</f>
        <v>43.610775862069</v>
      </c>
      <c r="S220" s="55" t="n">
        <f aca="false">Q220+ROW()*0.000000001</f>
        <v>-4.41833343411796</v>
      </c>
      <c r="T220" s="55" t="n">
        <f aca="false">R220+ROW()*0.000000001</f>
        <v>43.610776082069</v>
      </c>
    </row>
    <row r="221" customFormat="false" ht="15" hidden="false" customHeight="false" outlineLevel="0" collapsed="false">
      <c r="A221" s="0" t="n">
        <v>5</v>
      </c>
      <c r="B221" s="0" t="n">
        <v>11</v>
      </c>
      <c r="C221" s="0" t="n">
        <f aca="false">-1+A221*0.05</f>
        <v>-0.75</v>
      </c>
      <c r="D221" s="0" t="n">
        <f aca="false">-1+B221*0.05</f>
        <v>-0.45</v>
      </c>
      <c r="E221" s="0" t="n">
        <f aca="false">1</f>
        <v>1</v>
      </c>
      <c r="F221" s="0" t="n">
        <f aca="false">C221</f>
        <v>-0.75</v>
      </c>
      <c r="G221" s="0" t="n">
        <f aca="false">D221</f>
        <v>-0.45</v>
      </c>
      <c r="H221" s="0" t="n">
        <f aca="false">C221*D221</f>
        <v>0.3375</v>
      </c>
      <c r="I221" s="0" t="n">
        <f aca="false">C221*C221</f>
        <v>0.5625</v>
      </c>
      <c r="J221" s="0" t="n">
        <f aca="false">D221*D221</f>
        <v>0.2025</v>
      </c>
      <c r="K221" s="0" t="n">
        <f aca="false">SUMPRODUCT(E221:J221,_XtX!$B$53:$G$53)</f>
        <v>43.7768857758621</v>
      </c>
      <c r="L221" s="0" t="n">
        <f aca="false">SUMPRODUCT(MMULT(E221:J221,_XtX!$B$44:$G$49),E221:J221)</f>
        <v>0.26810005387931</v>
      </c>
      <c r="M221" s="0" t="n">
        <f aca="false">04_回帰ANOVA!$K$19*04_回帰ANOVA!$K$14*SQRT(1+L221)</f>
        <v>1.52599578070166</v>
      </c>
      <c r="N221" s="0" t="n">
        <f aca="false">K221-M221</f>
        <v>42.2508899951604</v>
      </c>
      <c r="O221" s="0" t="n">
        <f aca="false">K221+M221</f>
        <v>45.3028815565637</v>
      </c>
      <c r="P221" s="54" t="b">
        <f aca="false">AND(C221&gt;=01_因子設定!$L$5-0.000000001,C221&lt;=01_因子設定!$M$5+0.000000001,D221&gt;=01_因子設定!$L$6-0.000000001,D221&lt;=01_因子設定!$M$6+0.000000001,IF(01_因子設定!$B$20="Box-Behnken",C221^2+D221^2&lt;=2+0.000000001,TRUE()))</f>
        <v>1</v>
      </c>
      <c r="Q221" s="55" t="n">
        <f aca="false">IF(P221,IF(01_因子設定!$B$13="最大化",N221-01_因子設定!$B$14,IF(01_因子設定!$B$13="最小化",01_因子設定!$B$15-O221,MIN(N221-01_因子設定!$B$14,01_因子設定!$B$15-O221))),-1E+030)</f>
        <v>-4.2491100048396</v>
      </c>
      <c r="R221" s="55" t="n">
        <f aca="false">IF(P221,IF(01_因子設定!$B$13="最大化",K221,IF(01_因子設定!$B$13="最小化",-K221,-ABS(K221-01_因子設定!$B$16))),-1E+030)</f>
        <v>43.7768857758621</v>
      </c>
      <c r="S221" s="55" t="n">
        <f aca="false">Q221+ROW()*0.000000001</f>
        <v>-4.2491097838396</v>
      </c>
      <c r="T221" s="55" t="n">
        <f aca="false">R221+ROW()*0.000000001</f>
        <v>43.7768859968621</v>
      </c>
    </row>
    <row r="222" customFormat="false" ht="15" hidden="false" customHeight="false" outlineLevel="0" collapsed="false">
      <c r="A222" s="0" t="n">
        <v>5</v>
      </c>
      <c r="B222" s="0" t="n">
        <v>12</v>
      </c>
      <c r="C222" s="0" t="n">
        <f aca="false">-1+A222*0.05</f>
        <v>-0.75</v>
      </c>
      <c r="D222" s="0" t="n">
        <f aca="false">-1+B222*0.05</f>
        <v>-0.4</v>
      </c>
      <c r="E222" s="0" t="n">
        <f aca="false">1</f>
        <v>1</v>
      </c>
      <c r="F222" s="0" t="n">
        <f aca="false">C222</f>
        <v>-0.75</v>
      </c>
      <c r="G222" s="0" t="n">
        <f aca="false">D222</f>
        <v>-0.4</v>
      </c>
      <c r="H222" s="0" t="n">
        <f aca="false">C222*D222</f>
        <v>0.3</v>
      </c>
      <c r="I222" s="0" t="n">
        <f aca="false">C222*C222</f>
        <v>0.5625</v>
      </c>
      <c r="J222" s="0" t="n">
        <f aca="false">D222*D222</f>
        <v>0.16</v>
      </c>
      <c r="K222" s="0" t="n">
        <f aca="false">SUMPRODUCT(E222:J222,_XtX!$B$53:$G$53)</f>
        <v>43.9352801724138</v>
      </c>
      <c r="L222" s="0" t="n">
        <f aca="false">SUMPRODUCT(MMULT(E222:J222,_XtX!$B$44:$G$49),E222:J222)</f>
        <v>0.26484996408046</v>
      </c>
      <c r="M222" s="0" t="n">
        <f aca="false">04_回帰ANOVA!$K$19*04_回帰ANOVA!$K$14*SQRT(1+L222)</f>
        <v>1.52403899298102</v>
      </c>
      <c r="N222" s="0" t="n">
        <f aca="false">K222-M222</f>
        <v>42.4112411794328</v>
      </c>
      <c r="O222" s="0" t="n">
        <f aca="false">K222+M222</f>
        <v>45.4593191653948</v>
      </c>
      <c r="P222" s="54" t="b">
        <f aca="false">AND(C222&gt;=01_因子設定!$L$5-0.000000001,C222&lt;=01_因子設定!$M$5+0.000000001,D222&gt;=01_因子設定!$L$6-0.000000001,D222&lt;=01_因子設定!$M$6+0.000000001,IF(01_因子設定!$B$20="Box-Behnken",C222^2+D222^2&lt;=2+0.000000001,TRUE()))</f>
        <v>1</v>
      </c>
      <c r="Q222" s="55" t="n">
        <f aca="false">IF(P222,IF(01_因子設定!$B$13="最大化",N222-01_因子設定!$B$14,IF(01_因子設定!$B$13="最小化",01_因子設定!$B$15-O222,MIN(N222-01_因子設定!$B$14,01_因子設定!$B$15-O222))),-1E+030)</f>
        <v>-4.08875882056724</v>
      </c>
      <c r="R222" s="55" t="n">
        <f aca="false">IF(P222,IF(01_因子設定!$B$13="最大化",K222,IF(01_因子設定!$B$13="最小化",-K222,-ABS(K222-01_因子設定!$B$16))),-1E+030)</f>
        <v>43.9352801724138</v>
      </c>
      <c r="S222" s="55" t="n">
        <f aca="false">Q222+ROW()*0.000000001</f>
        <v>-4.08875859856724</v>
      </c>
      <c r="T222" s="55" t="n">
        <f aca="false">R222+ROW()*0.000000001</f>
        <v>43.9352803944138</v>
      </c>
    </row>
    <row r="223" customFormat="false" ht="15" hidden="false" customHeight="false" outlineLevel="0" collapsed="false">
      <c r="A223" s="0" t="n">
        <v>5</v>
      </c>
      <c r="B223" s="0" t="n">
        <v>13</v>
      </c>
      <c r="C223" s="0" t="n">
        <f aca="false">-1+A223*0.05</f>
        <v>-0.75</v>
      </c>
      <c r="D223" s="0" t="n">
        <f aca="false">-1+B223*0.05</f>
        <v>-0.35</v>
      </c>
      <c r="E223" s="0" t="n">
        <f aca="false">1</f>
        <v>1</v>
      </c>
      <c r="F223" s="0" t="n">
        <f aca="false">C223</f>
        <v>-0.75</v>
      </c>
      <c r="G223" s="0" t="n">
        <f aca="false">D223</f>
        <v>-0.35</v>
      </c>
      <c r="H223" s="0" t="n">
        <f aca="false">C223*D223</f>
        <v>0.2625</v>
      </c>
      <c r="I223" s="0" t="n">
        <f aca="false">C223*C223</f>
        <v>0.5625</v>
      </c>
      <c r="J223" s="0" t="n">
        <f aca="false">D223*D223</f>
        <v>0.1225</v>
      </c>
      <c r="K223" s="0" t="n">
        <f aca="false">SUMPRODUCT(E223:J223,_XtX!$B$53:$G$53)</f>
        <v>44.0859590517241</v>
      </c>
      <c r="L223" s="0" t="n">
        <f aca="false">SUMPRODUCT(MMULT(E223:J223,_XtX!$B$44:$G$49),E223:J223)</f>
        <v>0.263068444683908</v>
      </c>
      <c r="M223" s="0" t="n">
        <f aca="false">04_回帰ANOVA!$K$19*04_回帰ANOVA!$K$14*SQRT(1+L223)</f>
        <v>1.52296532344599</v>
      </c>
      <c r="N223" s="0" t="n">
        <f aca="false">K223-M223</f>
        <v>42.5629937282781</v>
      </c>
      <c r="O223" s="0" t="n">
        <f aca="false">K223+M223</f>
        <v>45.6089243751701</v>
      </c>
      <c r="P223" s="54" t="b">
        <f aca="false">AND(C223&gt;=01_因子設定!$L$5-0.000000001,C223&lt;=01_因子設定!$M$5+0.000000001,D223&gt;=01_因子設定!$L$6-0.000000001,D223&lt;=01_因子設定!$M$6+0.000000001,IF(01_因子設定!$B$20="Box-Behnken",C223^2+D223^2&lt;=2+0.000000001,TRUE()))</f>
        <v>1</v>
      </c>
      <c r="Q223" s="55" t="n">
        <f aca="false">IF(P223,IF(01_因子設定!$B$13="最大化",N223-01_因子設定!$B$14,IF(01_因子設定!$B$13="最小化",01_因子設定!$B$15-O223,MIN(N223-01_因子設定!$B$14,01_因子設定!$B$15-O223))),-1E+030)</f>
        <v>-3.93700627172186</v>
      </c>
      <c r="R223" s="55" t="n">
        <f aca="false">IF(P223,IF(01_因子設定!$B$13="最大化",K223,IF(01_因子設定!$B$13="最小化",-K223,-ABS(K223-01_因子設定!$B$16))),-1E+030)</f>
        <v>44.0859590517241</v>
      </c>
      <c r="S223" s="55" t="n">
        <f aca="false">Q223+ROW()*0.000000001</f>
        <v>-3.93700604872186</v>
      </c>
      <c r="T223" s="55" t="n">
        <f aca="false">R223+ROW()*0.000000001</f>
        <v>44.0859592747241</v>
      </c>
    </row>
    <row r="224" customFormat="false" ht="15" hidden="false" customHeight="false" outlineLevel="0" collapsed="false">
      <c r="A224" s="0" t="n">
        <v>5</v>
      </c>
      <c r="B224" s="0" t="n">
        <v>14</v>
      </c>
      <c r="C224" s="0" t="n">
        <f aca="false">-1+A224*0.05</f>
        <v>-0.75</v>
      </c>
      <c r="D224" s="0" t="n">
        <f aca="false">-1+B224*0.05</f>
        <v>-0.3</v>
      </c>
      <c r="E224" s="0" t="n">
        <f aca="false">1</f>
        <v>1</v>
      </c>
      <c r="F224" s="0" t="n">
        <f aca="false">C224</f>
        <v>-0.75</v>
      </c>
      <c r="G224" s="0" t="n">
        <f aca="false">D224</f>
        <v>-0.3</v>
      </c>
      <c r="H224" s="0" t="n">
        <f aca="false">C224*D224</f>
        <v>0.225</v>
      </c>
      <c r="I224" s="0" t="n">
        <f aca="false">C224*C224</f>
        <v>0.5625</v>
      </c>
      <c r="J224" s="0" t="n">
        <f aca="false">D224*D224</f>
        <v>0.09</v>
      </c>
      <c r="K224" s="0" t="n">
        <f aca="false">SUMPRODUCT(E224:J224,_XtX!$B$53:$G$53)</f>
        <v>44.2289224137931</v>
      </c>
      <c r="L224" s="0" t="n">
        <f aca="false">SUMPRODUCT(MMULT(E224:J224,_XtX!$B$44:$G$49),E224:J224)</f>
        <v>0.262348168103448</v>
      </c>
      <c r="M224" s="0" t="n">
        <f aca="false">04_回帰ANOVA!$K$19*04_回帰ANOVA!$K$14*SQRT(1+L224)</f>
        <v>1.52253101891881</v>
      </c>
      <c r="N224" s="0" t="n">
        <f aca="false">K224-M224</f>
        <v>42.7063913948743</v>
      </c>
      <c r="O224" s="0" t="n">
        <f aca="false">K224+M224</f>
        <v>45.7514534327119</v>
      </c>
      <c r="P224" s="54" t="b">
        <f aca="false">AND(C224&gt;=01_因子設定!$L$5-0.000000001,C224&lt;=01_因子設定!$M$5+0.000000001,D224&gt;=01_因子設定!$L$6-0.000000001,D224&lt;=01_因子設定!$M$6+0.000000001,IF(01_因子設定!$B$20="Box-Behnken",C224^2+D224^2&lt;=2+0.000000001,TRUE()))</f>
        <v>1</v>
      </c>
      <c r="Q224" s="55" t="n">
        <f aca="false">IF(P224,IF(01_因子設定!$B$13="最大化",N224-01_因子設定!$B$14,IF(01_因子設定!$B$13="最小化",01_因子設定!$B$15-O224,MIN(N224-01_因子設定!$B$14,01_因子設定!$B$15-O224))),-1E+030)</f>
        <v>-3.79360860512571</v>
      </c>
      <c r="R224" s="55" t="n">
        <f aca="false">IF(P224,IF(01_因子設定!$B$13="最大化",K224,IF(01_因子設定!$B$13="最小化",-K224,-ABS(K224-01_因子設定!$B$16))),-1E+030)</f>
        <v>44.2289224137931</v>
      </c>
      <c r="S224" s="55" t="n">
        <f aca="false">Q224+ROW()*0.000000001</f>
        <v>-3.79360838112571</v>
      </c>
      <c r="T224" s="55" t="n">
        <f aca="false">R224+ROW()*0.000000001</f>
        <v>44.2289226377931</v>
      </c>
    </row>
    <row r="225" customFormat="false" ht="15" hidden="false" customHeight="false" outlineLevel="0" collapsed="false">
      <c r="A225" s="0" t="n">
        <v>5</v>
      </c>
      <c r="B225" s="0" t="n">
        <v>15</v>
      </c>
      <c r="C225" s="0" t="n">
        <f aca="false">-1+A225*0.05</f>
        <v>-0.75</v>
      </c>
      <c r="D225" s="0" t="n">
        <f aca="false">-1+B225*0.05</f>
        <v>-0.25</v>
      </c>
      <c r="E225" s="0" t="n">
        <f aca="false">1</f>
        <v>1</v>
      </c>
      <c r="F225" s="0" t="n">
        <f aca="false">C225</f>
        <v>-0.75</v>
      </c>
      <c r="G225" s="0" t="n">
        <f aca="false">D225</f>
        <v>-0.25</v>
      </c>
      <c r="H225" s="0" t="n">
        <f aca="false">C225*D225</f>
        <v>0.1875</v>
      </c>
      <c r="I225" s="0" t="n">
        <f aca="false">C225*C225</f>
        <v>0.5625</v>
      </c>
      <c r="J225" s="0" t="n">
        <f aca="false">D225*D225</f>
        <v>0.0625</v>
      </c>
      <c r="K225" s="0" t="n">
        <f aca="false">SUMPRODUCT(E225:J225,_XtX!$B$53:$G$53)</f>
        <v>44.3641702586207</v>
      </c>
      <c r="L225" s="0" t="n">
        <f aca="false">SUMPRODUCT(MMULT(E225:J225,_XtX!$B$44:$G$49),E225:J225)</f>
        <v>0.262336117097701</v>
      </c>
      <c r="M225" s="0" t="n">
        <f aca="false">04_回帰ANOVA!$K$19*04_回帰ANOVA!$K$14*SQRT(1+L225)</f>
        <v>1.5225237514809</v>
      </c>
      <c r="N225" s="0" t="n">
        <f aca="false">K225-M225</f>
        <v>42.8416465071398</v>
      </c>
      <c r="O225" s="0" t="n">
        <f aca="false">K225+M225</f>
        <v>45.8866940101016</v>
      </c>
      <c r="P225" s="54" t="b">
        <f aca="false">AND(C225&gt;=01_因子設定!$L$5-0.000000001,C225&lt;=01_因子設定!$M$5+0.000000001,D225&gt;=01_因子設定!$L$6-0.000000001,D225&lt;=01_因子設定!$M$6+0.000000001,IF(01_因子設定!$B$20="Box-Behnken",C225^2+D225^2&lt;=2+0.000000001,TRUE()))</f>
        <v>1</v>
      </c>
      <c r="Q225" s="55" t="n">
        <f aca="false">IF(P225,IF(01_因子設定!$B$13="最大化",N225-01_因子設定!$B$14,IF(01_因子設定!$B$13="最小化",01_因子設定!$B$15-O225,MIN(N225-01_因子設定!$B$14,01_因子設定!$B$15-O225))),-1E+030)</f>
        <v>-3.65835349286023</v>
      </c>
      <c r="R225" s="55" t="n">
        <f aca="false">IF(P225,IF(01_因子設定!$B$13="最大化",K225,IF(01_因子設定!$B$13="最小化",-K225,-ABS(K225-01_因子設定!$B$16))),-1E+030)</f>
        <v>44.3641702586207</v>
      </c>
      <c r="S225" s="55" t="n">
        <f aca="false">Q225+ROW()*0.000000001</f>
        <v>-3.65835326786023</v>
      </c>
      <c r="T225" s="55" t="n">
        <f aca="false">R225+ROW()*0.000000001</f>
        <v>44.3641704836207</v>
      </c>
    </row>
    <row r="226" customFormat="false" ht="15" hidden="false" customHeight="false" outlineLevel="0" collapsed="false">
      <c r="A226" s="0" t="n">
        <v>5</v>
      </c>
      <c r="B226" s="0" t="n">
        <v>16</v>
      </c>
      <c r="C226" s="0" t="n">
        <f aca="false">-1+A226*0.05</f>
        <v>-0.75</v>
      </c>
      <c r="D226" s="0" t="n">
        <f aca="false">-1+B226*0.05</f>
        <v>-0.2</v>
      </c>
      <c r="E226" s="0" t="n">
        <f aca="false">1</f>
        <v>1</v>
      </c>
      <c r="F226" s="0" t="n">
        <f aca="false">C226</f>
        <v>-0.75</v>
      </c>
      <c r="G226" s="0" t="n">
        <f aca="false">D226</f>
        <v>-0.2</v>
      </c>
      <c r="H226" s="0" t="n">
        <f aca="false">C226*D226</f>
        <v>0.15</v>
      </c>
      <c r="I226" s="0" t="n">
        <f aca="false">C226*C226</f>
        <v>0.5625</v>
      </c>
      <c r="J226" s="0" t="n">
        <f aca="false">D226*D226</f>
        <v>0.04</v>
      </c>
      <c r="K226" s="0" t="n">
        <f aca="false">SUMPRODUCT(E226:J226,_XtX!$B$53:$G$53)</f>
        <v>44.4917025862069</v>
      </c>
      <c r="L226" s="0" t="n">
        <f aca="false">SUMPRODUCT(MMULT(E226:J226,_XtX!$B$44:$G$49),E226:J226)</f>
        <v>0.262733584770115</v>
      </c>
      <c r="M226" s="0" t="n">
        <f aca="false">04_回帰ANOVA!$K$19*04_回帰ANOVA!$K$14*SQRT(1+L226)</f>
        <v>1.5227634286696</v>
      </c>
      <c r="N226" s="0" t="n">
        <f aca="false">K226-M226</f>
        <v>42.9689391575373</v>
      </c>
      <c r="O226" s="0" t="n">
        <f aca="false">K226+M226</f>
        <v>46.0144660148765</v>
      </c>
      <c r="P226" s="54" t="b">
        <f aca="false">AND(C226&gt;=01_因子設定!$L$5-0.000000001,C226&lt;=01_因子設定!$M$5+0.000000001,D226&gt;=01_因子設定!$L$6-0.000000001,D226&lt;=01_因子設定!$M$6+0.000000001,IF(01_因子設定!$B$20="Box-Behnken",C226^2+D226^2&lt;=2+0.000000001,TRUE()))</f>
        <v>1</v>
      </c>
      <c r="Q226" s="55" t="n">
        <f aca="false">IF(P226,IF(01_因子設定!$B$13="最大化",N226-01_因子設定!$B$14,IF(01_因子設定!$B$13="最小化",01_因子設定!$B$15-O226,MIN(N226-01_因子設定!$B$14,01_因子設定!$B$15-O226))),-1E+030)</f>
        <v>-3.53106084246272</v>
      </c>
      <c r="R226" s="55" t="n">
        <f aca="false">IF(P226,IF(01_因子設定!$B$13="最大化",K226,IF(01_因子設定!$B$13="最小化",-K226,-ABS(K226-01_因子設定!$B$16))),-1E+030)</f>
        <v>44.4917025862069</v>
      </c>
      <c r="S226" s="55" t="n">
        <f aca="false">Q226+ROW()*0.000000001</f>
        <v>-3.53106061646271</v>
      </c>
      <c r="T226" s="55" t="n">
        <f aca="false">R226+ROW()*0.000000001</f>
        <v>44.4917028122069</v>
      </c>
    </row>
    <row r="227" customFormat="false" ht="15" hidden="false" customHeight="false" outlineLevel="0" collapsed="false">
      <c r="A227" s="0" t="n">
        <v>5</v>
      </c>
      <c r="B227" s="0" t="n">
        <v>17</v>
      </c>
      <c r="C227" s="0" t="n">
        <f aca="false">-1+A227*0.05</f>
        <v>-0.75</v>
      </c>
      <c r="D227" s="0" t="n">
        <f aca="false">-1+B227*0.05</f>
        <v>-0.15</v>
      </c>
      <c r="E227" s="0" t="n">
        <f aca="false">1</f>
        <v>1</v>
      </c>
      <c r="F227" s="0" t="n">
        <f aca="false">C227</f>
        <v>-0.75</v>
      </c>
      <c r="G227" s="0" t="n">
        <f aca="false">D227</f>
        <v>-0.15</v>
      </c>
      <c r="H227" s="0" t="n">
        <f aca="false">C227*D227</f>
        <v>0.1125</v>
      </c>
      <c r="I227" s="0" t="n">
        <f aca="false">C227*C227</f>
        <v>0.5625</v>
      </c>
      <c r="J227" s="0" t="n">
        <f aca="false">D227*D227</f>
        <v>0.0225</v>
      </c>
      <c r="K227" s="0" t="n">
        <f aca="false">SUMPRODUCT(E227:J227,_XtX!$B$53:$G$53)</f>
        <v>44.6115193965517</v>
      </c>
      <c r="L227" s="0" t="n">
        <f aca="false">SUMPRODUCT(MMULT(E227:J227,_XtX!$B$44:$G$49),E227:J227)</f>
        <v>0.263296174568966</v>
      </c>
      <c r="M227" s="0" t="n">
        <f aca="false">04_回帰ANOVA!$K$19*04_回帰ANOVA!$K$14*SQRT(1+L227)</f>
        <v>1.52310261176472</v>
      </c>
      <c r="N227" s="0" t="n">
        <f aca="false">K227-M227</f>
        <v>43.088416784787</v>
      </c>
      <c r="O227" s="0" t="n">
        <f aca="false">K227+M227</f>
        <v>46.1346220083164</v>
      </c>
      <c r="P227" s="54" t="b">
        <f aca="false">AND(C227&gt;=01_因子設定!$L$5-0.000000001,C227&lt;=01_因子設定!$M$5+0.000000001,D227&gt;=01_因子設定!$L$6-0.000000001,D227&lt;=01_因子設定!$M$6+0.000000001,IF(01_因子設定!$B$20="Box-Behnken",C227^2+D227^2&lt;=2+0.000000001,TRUE()))</f>
        <v>1</v>
      </c>
      <c r="Q227" s="55" t="n">
        <f aca="false">IF(P227,IF(01_因子設定!$B$13="最大化",N227-01_因子設定!$B$14,IF(01_因子設定!$B$13="最小化",01_因子設定!$B$15-O227,MIN(N227-01_因子設定!$B$14,01_因子設定!$B$15-O227))),-1E+030)</f>
        <v>-3.41158321521301</v>
      </c>
      <c r="R227" s="55" t="n">
        <f aca="false">IF(P227,IF(01_因子設定!$B$13="最大化",K227,IF(01_因子設定!$B$13="最小化",-K227,-ABS(K227-01_因子設定!$B$16))),-1E+030)</f>
        <v>44.6115193965517</v>
      </c>
      <c r="S227" s="55" t="n">
        <f aca="false">Q227+ROW()*0.000000001</f>
        <v>-3.41158298821301</v>
      </c>
      <c r="T227" s="55" t="n">
        <f aca="false">R227+ROW()*0.000000001</f>
        <v>44.6115196235517</v>
      </c>
    </row>
    <row r="228" customFormat="false" ht="15" hidden="false" customHeight="false" outlineLevel="0" collapsed="false">
      <c r="A228" s="0" t="n">
        <v>5</v>
      </c>
      <c r="B228" s="0" t="n">
        <v>18</v>
      </c>
      <c r="C228" s="0" t="n">
        <f aca="false">-1+A228*0.05</f>
        <v>-0.75</v>
      </c>
      <c r="D228" s="0" t="n">
        <f aca="false">-1+B228*0.05</f>
        <v>-0.1</v>
      </c>
      <c r="E228" s="0" t="n">
        <f aca="false">1</f>
        <v>1</v>
      </c>
      <c r="F228" s="0" t="n">
        <f aca="false">C228</f>
        <v>-0.75</v>
      </c>
      <c r="G228" s="0" t="n">
        <f aca="false">D228</f>
        <v>-0.1</v>
      </c>
      <c r="H228" s="0" t="n">
        <f aca="false">C228*D228</f>
        <v>0.075</v>
      </c>
      <c r="I228" s="0" t="n">
        <f aca="false">C228*C228</f>
        <v>0.5625</v>
      </c>
      <c r="J228" s="0" t="n">
        <f aca="false">D228*D228</f>
        <v>0.01</v>
      </c>
      <c r="K228" s="0" t="n">
        <f aca="false">SUMPRODUCT(E228:J228,_XtX!$B$53:$G$53)</f>
        <v>44.7236206896552</v>
      </c>
      <c r="L228" s="0" t="n">
        <f aca="false">SUMPRODUCT(MMULT(E228:J228,_XtX!$B$44:$G$49),E228:J228)</f>
        <v>0.263833800287356</v>
      </c>
      <c r="M228" s="0" t="n">
        <f aca="false">04_回帰ANOVA!$K$19*04_回帰ANOVA!$K$14*SQRT(1+L228)</f>
        <v>1.52342667355229</v>
      </c>
      <c r="N228" s="0" t="n">
        <f aca="false">K228-M228</f>
        <v>43.2001940161029</v>
      </c>
      <c r="O228" s="0" t="n">
        <f aca="false">K228+M228</f>
        <v>46.2470473632074</v>
      </c>
      <c r="P228" s="54" t="b">
        <f aca="false">AND(C228&gt;=01_因子設定!$L$5-0.000000001,C228&lt;=01_因子設定!$M$5+0.000000001,D228&gt;=01_因子設定!$L$6-0.000000001,D228&lt;=01_因子設定!$M$6+0.000000001,IF(01_因子設定!$B$20="Box-Behnken",C228^2+D228^2&lt;=2+0.000000001,TRUE()))</f>
        <v>1</v>
      </c>
      <c r="Q228" s="55" t="n">
        <f aca="false">IF(P228,IF(01_因子設定!$B$13="最大化",N228-01_因子設定!$B$14,IF(01_因子設定!$B$13="最小化",01_因子設定!$B$15-O228,MIN(N228-01_因子設定!$B$14,01_因子設定!$B$15-O228))),-1E+030)</f>
        <v>-3.29980598389713</v>
      </c>
      <c r="R228" s="55" t="n">
        <f aca="false">IF(P228,IF(01_因子設定!$B$13="最大化",K228,IF(01_因子設定!$B$13="最小化",-K228,-ABS(K228-01_因子設定!$B$16))),-1E+030)</f>
        <v>44.7236206896552</v>
      </c>
      <c r="S228" s="55" t="n">
        <f aca="false">Q228+ROW()*0.000000001</f>
        <v>-3.29980575589713</v>
      </c>
      <c r="T228" s="55" t="n">
        <f aca="false">R228+ROW()*0.000000001</f>
        <v>44.7236209176552</v>
      </c>
    </row>
    <row r="229" customFormat="false" ht="15" hidden="false" customHeight="false" outlineLevel="0" collapsed="false">
      <c r="A229" s="0" t="n">
        <v>5</v>
      </c>
      <c r="B229" s="0" t="n">
        <v>19</v>
      </c>
      <c r="C229" s="0" t="n">
        <f aca="false">-1+A229*0.05</f>
        <v>-0.75</v>
      </c>
      <c r="D229" s="0" t="n">
        <f aca="false">-1+B229*0.05</f>
        <v>-0.0499999999999999</v>
      </c>
      <c r="E229" s="0" t="n">
        <f aca="false">1</f>
        <v>1</v>
      </c>
      <c r="F229" s="0" t="n">
        <f aca="false">C229</f>
        <v>-0.75</v>
      </c>
      <c r="G229" s="0" t="n">
        <f aca="false">D229</f>
        <v>-0.0499999999999999</v>
      </c>
      <c r="H229" s="0" t="n">
        <f aca="false">C229*D229</f>
        <v>0.0375</v>
      </c>
      <c r="I229" s="0" t="n">
        <f aca="false">C229*C229</f>
        <v>0.5625</v>
      </c>
      <c r="J229" s="0" t="n">
        <f aca="false">D229*D229</f>
        <v>0.00249999999999999</v>
      </c>
      <c r="K229" s="0" t="n">
        <f aca="false">SUMPRODUCT(E229:J229,_XtX!$B$53:$G$53)</f>
        <v>44.8280064655172</v>
      </c>
      <c r="L229" s="0" t="n">
        <f aca="false">SUMPRODUCT(MMULT(E229:J229,_XtX!$B$44:$G$49),E229:J229)</f>
        <v>0.264210686063218</v>
      </c>
      <c r="M229" s="0" t="n">
        <f aca="false">04_回帰ANOVA!$K$19*04_回帰ANOVA!$K$14*SQRT(1+L229)</f>
        <v>1.52365380588781</v>
      </c>
      <c r="N229" s="0" t="n">
        <f aca="false">K229-M229</f>
        <v>43.3043526596294</v>
      </c>
      <c r="O229" s="0" t="n">
        <f aca="false">K229+M229</f>
        <v>46.351660271405</v>
      </c>
      <c r="P229" s="54" t="b">
        <f aca="false">AND(C229&gt;=01_因子設定!$L$5-0.000000001,C229&lt;=01_因子設定!$M$5+0.000000001,D229&gt;=01_因子設定!$L$6-0.000000001,D229&lt;=01_因子設定!$M$6+0.000000001,IF(01_因子設定!$B$20="Box-Behnken",C229^2+D229^2&lt;=2+0.000000001,TRUE()))</f>
        <v>1</v>
      </c>
      <c r="Q229" s="55" t="n">
        <f aca="false">IF(P229,IF(01_因子設定!$B$13="最大化",N229-01_因子設定!$B$14,IF(01_因子設定!$B$13="最小化",01_因子設定!$B$15-O229,MIN(N229-01_因子設定!$B$14,01_因子設定!$B$15-O229))),-1E+030)</f>
        <v>-3.19564734037058</v>
      </c>
      <c r="R229" s="55" t="n">
        <f aca="false">IF(P229,IF(01_因子設定!$B$13="最大化",K229,IF(01_因子設定!$B$13="最小化",-K229,-ABS(K229-01_因子設定!$B$16))),-1E+030)</f>
        <v>44.8280064655172</v>
      </c>
      <c r="S229" s="55" t="n">
        <f aca="false">Q229+ROW()*0.000000001</f>
        <v>-3.19564711137058</v>
      </c>
      <c r="T229" s="55" t="n">
        <f aca="false">R229+ROW()*0.000000001</f>
        <v>44.8280066945172</v>
      </c>
    </row>
    <row r="230" customFormat="false" ht="15" hidden="false" customHeight="false" outlineLevel="0" collapsed="false">
      <c r="A230" s="0" t="n">
        <v>5</v>
      </c>
      <c r="B230" s="0" t="n">
        <v>20</v>
      </c>
      <c r="C230" s="0" t="n">
        <f aca="false">-1+A230*0.05</f>
        <v>-0.75</v>
      </c>
      <c r="D230" s="0" t="n">
        <f aca="false">-1+B230*0.05</f>
        <v>0</v>
      </c>
      <c r="E230" s="0" t="n">
        <f aca="false">1</f>
        <v>1</v>
      </c>
      <c r="F230" s="0" t="n">
        <f aca="false">C230</f>
        <v>-0.75</v>
      </c>
      <c r="G230" s="0" t="n">
        <f aca="false">D230</f>
        <v>0</v>
      </c>
      <c r="H230" s="0" t="n">
        <f aca="false">C230*D230</f>
        <v>-0</v>
      </c>
      <c r="I230" s="0" t="n">
        <f aca="false">C230*C230</f>
        <v>0.5625</v>
      </c>
      <c r="J230" s="0" t="n">
        <f aca="false">D230*D230</f>
        <v>0</v>
      </c>
      <c r="K230" s="0" t="n">
        <f aca="false">SUMPRODUCT(E230:J230,_XtX!$B$53:$G$53)</f>
        <v>44.9246767241379</v>
      </c>
      <c r="L230" s="0" t="n">
        <f aca="false">SUMPRODUCT(MMULT(E230:J230,_XtX!$B$44:$G$49),E230:J230)</f>
        <v>0.26434536637931</v>
      </c>
      <c r="M230" s="0" t="n">
        <f aca="false">04_回帰ANOVA!$K$19*04_回帰ANOVA!$K$14*SQRT(1+L230)</f>
        <v>1.52373496352769</v>
      </c>
      <c r="N230" s="0" t="n">
        <f aca="false">K230-M230</f>
        <v>43.4009417606102</v>
      </c>
      <c r="O230" s="0" t="n">
        <f aca="false">K230+M230</f>
        <v>46.4484116876656</v>
      </c>
      <c r="P230" s="54" t="b">
        <f aca="false">AND(C230&gt;=01_因子設定!$L$5-0.000000001,C230&lt;=01_因子設定!$M$5+0.000000001,D230&gt;=01_因子設定!$L$6-0.000000001,D230&lt;=01_因子設定!$M$6+0.000000001,IF(01_因子設定!$B$20="Box-Behnken",C230^2+D230^2&lt;=2+0.000000001,TRUE()))</f>
        <v>1</v>
      </c>
      <c r="Q230" s="55" t="n">
        <f aca="false">IF(P230,IF(01_因子設定!$B$13="最大化",N230-01_因子設定!$B$14,IF(01_因子設定!$B$13="最小化",01_因子設定!$B$15-O230,MIN(N230-01_因子設定!$B$14,01_因子設定!$B$15-O230))),-1E+030)</f>
        <v>-3.09905823938977</v>
      </c>
      <c r="R230" s="55" t="n">
        <f aca="false">IF(P230,IF(01_因子設定!$B$13="最大化",K230,IF(01_因子設定!$B$13="最小化",-K230,-ABS(K230-01_因子設定!$B$16))),-1E+030)</f>
        <v>44.9246767241379</v>
      </c>
      <c r="S230" s="55" t="n">
        <f aca="false">Q230+ROW()*0.000000001</f>
        <v>-3.09905800938977</v>
      </c>
      <c r="T230" s="55" t="n">
        <f aca="false">R230+ROW()*0.000000001</f>
        <v>44.9246769541379</v>
      </c>
    </row>
    <row r="231" customFormat="false" ht="15" hidden="false" customHeight="false" outlineLevel="0" collapsed="false">
      <c r="A231" s="0" t="n">
        <v>5</v>
      </c>
      <c r="B231" s="0" t="n">
        <v>21</v>
      </c>
      <c r="C231" s="0" t="n">
        <f aca="false">-1+A231*0.05</f>
        <v>-0.75</v>
      </c>
      <c r="D231" s="0" t="n">
        <f aca="false">-1+B231*0.05</f>
        <v>0.05</v>
      </c>
      <c r="E231" s="0" t="n">
        <f aca="false">1</f>
        <v>1</v>
      </c>
      <c r="F231" s="0" t="n">
        <f aca="false">C231</f>
        <v>-0.75</v>
      </c>
      <c r="G231" s="0" t="n">
        <f aca="false">D231</f>
        <v>0.05</v>
      </c>
      <c r="H231" s="0" t="n">
        <f aca="false">C231*D231</f>
        <v>-0.0375</v>
      </c>
      <c r="I231" s="0" t="n">
        <f aca="false">C231*C231</f>
        <v>0.5625</v>
      </c>
      <c r="J231" s="0" t="n">
        <f aca="false">D231*D231</f>
        <v>0.0025</v>
      </c>
      <c r="K231" s="0" t="n">
        <f aca="false">SUMPRODUCT(E231:J231,_XtX!$B$53:$G$53)</f>
        <v>45.0136314655172</v>
      </c>
      <c r="L231" s="0" t="n">
        <f aca="false">SUMPRODUCT(MMULT(E231:J231,_XtX!$B$44:$G$49),E231:J231)</f>
        <v>0.264210686063218</v>
      </c>
      <c r="M231" s="0" t="n">
        <f aca="false">04_回帰ANOVA!$K$19*04_回帰ANOVA!$K$14*SQRT(1+L231)</f>
        <v>1.52365380588781</v>
      </c>
      <c r="N231" s="0" t="n">
        <f aca="false">K231-M231</f>
        <v>43.4899776596294</v>
      </c>
      <c r="O231" s="0" t="n">
        <f aca="false">K231+M231</f>
        <v>46.537285271405</v>
      </c>
      <c r="P231" s="54" t="b">
        <f aca="false">AND(C231&gt;=01_因子設定!$L$5-0.000000001,C231&lt;=01_因子設定!$M$5+0.000000001,D231&gt;=01_因子設定!$L$6-0.000000001,D231&lt;=01_因子設定!$M$6+0.000000001,IF(01_因子設定!$B$20="Box-Behnken",C231^2+D231^2&lt;=2+0.000000001,TRUE()))</f>
        <v>1</v>
      </c>
      <c r="Q231" s="55" t="n">
        <f aca="false">IF(P231,IF(01_因子設定!$B$13="最大化",N231-01_因子設定!$B$14,IF(01_因子設定!$B$13="最小化",01_因子設定!$B$15-O231,MIN(N231-01_因子設定!$B$14,01_因子設定!$B$15-O231))),-1E+030)</f>
        <v>-3.01002234037058</v>
      </c>
      <c r="R231" s="55" t="n">
        <f aca="false">IF(P231,IF(01_因子設定!$B$13="最大化",K231,IF(01_因子設定!$B$13="最小化",-K231,-ABS(K231-01_因子設定!$B$16))),-1E+030)</f>
        <v>45.0136314655172</v>
      </c>
      <c r="S231" s="55" t="n">
        <f aca="false">Q231+ROW()*0.000000001</f>
        <v>-3.01002210937058</v>
      </c>
      <c r="T231" s="55" t="n">
        <f aca="false">R231+ROW()*0.000000001</f>
        <v>45.0136316965172</v>
      </c>
    </row>
    <row r="232" customFormat="false" ht="15" hidden="false" customHeight="false" outlineLevel="0" collapsed="false">
      <c r="A232" s="0" t="n">
        <v>5</v>
      </c>
      <c r="B232" s="0" t="n">
        <v>22</v>
      </c>
      <c r="C232" s="0" t="n">
        <f aca="false">-1+A232*0.05</f>
        <v>-0.75</v>
      </c>
      <c r="D232" s="0" t="n">
        <f aca="false">-1+B232*0.05</f>
        <v>0.1</v>
      </c>
      <c r="E232" s="0" t="n">
        <f aca="false">1</f>
        <v>1</v>
      </c>
      <c r="F232" s="0" t="n">
        <f aca="false">C232</f>
        <v>-0.75</v>
      </c>
      <c r="G232" s="0" t="n">
        <f aca="false">D232</f>
        <v>0.1</v>
      </c>
      <c r="H232" s="0" t="n">
        <f aca="false">C232*D232</f>
        <v>-0.0750000000000001</v>
      </c>
      <c r="I232" s="0" t="n">
        <f aca="false">C232*C232</f>
        <v>0.5625</v>
      </c>
      <c r="J232" s="0" t="n">
        <f aca="false">D232*D232</f>
        <v>0.01</v>
      </c>
      <c r="K232" s="0" t="n">
        <f aca="false">SUMPRODUCT(E232:J232,_XtX!$B$53:$G$53)</f>
        <v>45.0948706896552</v>
      </c>
      <c r="L232" s="0" t="n">
        <f aca="false">SUMPRODUCT(MMULT(E232:J232,_XtX!$B$44:$G$49),E232:J232)</f>
        <v>0.263833800287356</v>
      </c>
      <c r="M232" s="0" t="n">
        <f aca="false">04_回帰ANOVA!$K$19*04_回帰ANOVA!$K$14*SQRT(1+L232)</f>
        <v>1.52342667355229</v>
      </c>
      <c r="N232" s="0" t="n">
        <f aca="false">K232-M232</f>
        <v>43.5714440161029</v>
      </c>
      <c r="O232" s="0" t="n">
        <f aca="false">K232+M232</f>
        <v>46.6182973632074</v>
      </c>
      <c r="P232" s="54" t="b">
        <f aca="false">AND(C232&gt;=01_因子設定!$L$5-0.000000001,C232&lt;=01_因子設定!$M$5+0.000000001,D232&gt;=01_因子設定!$L$6-0.000000001,D232&lt;=01_因子設定!$M$6+0.000000001,IF(01_因子設定!$B$20="Box-Behnken",C232^2+D232^2&lt;=2+0.000000001,TRUE()))</f>
        <v>1</v>
      </c>
      <c r="Q232" s="55" t="n">
        <f aca="false">IF(P232,IF(01_因子設定!$B$13="最大化",N232-01_因子設定!$B$14,IF(01_因子設定!$B$13="最小化",01_因子設定!$B$15-O232,MIN(N232-01_因子設定!$B$14,01_因子設定!$B$15-O232))),-1E+030)</f>
        <v>-2.92855598389713</v>
      </c>
      <c r="R232" s="55" t="n">
        <f aca="false">IF(P232,IF(01_因子設定!$B$13="最大化",K232,IF(01_因子設定!$B$13="最小化",-K232,-ABS(K232-01_因子設定!$B$16))),-1E+030)</f>
        <v>45.0948706896552</v>
      </c>
      <c r="S232" s="55" t="n">
        <f aca="false">Q232+ROW()*0.000000001</f>
        <v>-2.92855575189713</v>
      </c>
      <c r="T232" s="55" t="n">
        <f aca="false">R232+ROW()*0.000000001</f>
        <v>45.0948709216552</v>
      </c>
    </row>
    <row r="233" customFormat="false" ht="15" hidden="false" customHeight="false" outlineLevel="0" collapsed="false">
      <c r="A233" s="0" t="n">
        <v>5</v>
      </c>
      <c r="B233" s="0" t="n">
        <v>23</v>
      </c>
      <c r="C233" s="0" t="n">
        <f aca="false">-1+A233*0.05</f>
        <v>-0.75</v>
      </c>
      <c r="D233" s="0" t="n">
        <f aca="false">-1+B233*0.05</f>
        <v>0.15</v>
      </c>
      <c r="E233" s="0" t="n">
        <f aca="false">1</f>
        <v>1</v>
      </c>
      <c r="F233" s="0" t="n">
        <f aca="false">C233</f>
        <v>-0.75</v>
      </c>
      <c r="G233" s="0" t="n">
        <f aca="false">D233</f>
        <v>0.15</v>
      </c>
      <c r="H233" s="0" t="n">
        <f aca="false">C233*D233</f>
        <v>-0.1125</v>
      </c>
      <c r="I233" s="0" t="n">
        <f aca="false">C233*C233</f>
        <v>0.5625</v>
      </c>
      <c r="J233" s="0" t="n">
        <f aca="false">D233*D233</f>
        <v>0.0225</v>
      </c>
      <c r="K233" s="0" t="n">
        <f aca="false">SUMPRODUCT(E233:J233,_XtX!$B$53:$G$53)</f>
        <v>45.1683943965517</v>
      </c>
      <c r="L233" s="0" t="n">
        <f aca="false">SUMPRODUCT(MMULT(E233:J233,_XtX!$B$44:$G$49),E233:J233)</f>
        <v>0.263296174568966</v>
      </c>
      <c r="M233" s="0" t="n">
        <f aca="false">04_回帰ANOVA!$K$19*04_回帰ANOVA!$K$14*SQRT(1+L233)</f>
        <v>1.52310261176472</v>
      </c>
      <c r="N233" s="0" t="n">
        <f aca="false">K233-M233</f>
        <v>43.645291784787</v>
      </c>
      <c r="O233" s="0" t="n">
        <f aca="false">K233+M233</f>
        <v>46.6914970083164</v>
      </c>
      <c r="P233" s="54" t="b">
        <f aca="false">AND(C233&gt;=01_因子設定!$L$5-0.000000001,C233&lt;=01_因子設定!$M$5+0.000000001,D233&gt;=01_因子設定!$L$6-0.000000001,D233&lt;=01_因子設定!$M$6+0.000000001,IF(01_因子設定!$B$20="Box-Behnken",C233^2+D233^2&lt;=2+0.000000001,TRUE()))</f>
        <v>1</v>
      </c>
      <c r="Q233" s="55" t="n">
        <f aca="false">IF(P233,IF(01_因子設定!$B$13="最大化",N233-01_因子設定!$B$14,IF(01_因子設定!$B$13="最小化",01_因子設定!$B$15-O233,MIN(N233-01_因子設定!$B$14,01_因子設定!$B$15-O233))),-1E+030)</f>
        <v>-2.85470821521301</v>
      </c>
      <c r="R233" s="55" t="n">
        <f aca="false">IF(P233,IF(01_因子設定!$B$13="最大化",K233,IF(01_因子設定!$B$13="最小化",-K233,-ABS(K233-01_因子設定!$B$16))),-1E+030)</f>
        <v>45.1683943965517</v>
      </c>
      <c r="S233" s="55" t="n">
        <f aca="false">Q233+ROW()*0.000000001</f>
        <v>-2.85470798221301</v>
      </c>
      <c r="T233" s="55" t="n">
        <f aca="false">R233+ROW()*0.000000001</f>
        <v>45.1683946295517</v>
      </c>
    </row>
    <row r="234" customFormat="false" ht="15" hidden="false" customHeight="false" outlineLevel="0" collapsed="false">
      <c r="A234" s="0" t="n">
        <v>5</v>
      </c>
      <c r="B234" s="0" t="n">
        <v>24</v>
      </c>
      <c r="C234" s="0" t="n">
        <f aca="false">-1+A234*0.05</f>
        <v>-0.75</v>
      </c>
      <c r="D234" s="0" t="n">
        <f aca="false">-1+B234*0.05</f>
        <v>0.2</v>
      </c>
      <c r="E234" s="0" t="n">
        <f aca="false">1</f>
        <v>1</v>
      </c>
      <c r="F234" s="0" t="n">
        <f aca="false">C234</f>
        <v>-0.75</v>
      </c>
      <c r="G234" s="0" t="n">
        <f aca="false">D234</f>
        <v>0.2</v>
      </c>
      <c r="H234" s="0" t="n">
        <f aca="false">C234*D234</f>
        <v>-0.15</v>
      </c>
      <c r="I234" s="0" t="n">
        <f aca="false">C234*C234</f>
        <v>0.5625</v>
      </c>
      <c r="J234" s="0" t="n">
        <f aca="false">D234*D234</f>
        <v>0.0400000000000001</v>
      </c>
      <c r="K234" s="0" t="n">
        <f aca="false">SUMPRODUCT(E234:J234,_XtX!$B$53:$G$53)</f>
        <v>45.2342025862069</v>
      </c>
      <c r="L234" s="0" t="n">
        <f aca="false">SUMPRODUCT(MMULT(E234:J234,_XtX!$B$44:$G$49),E234:J234)</f>
        <v>0.262733584770115</v>
      </c>
      <c r="M234" s="0" t="n">
        <f aca="false">04_回帰ANOVA!$K$19*04_回帰ANOVA!$K$14*SQRT(1+L234)</f>
        <v>1.5227634286696</v>
      </c>
      <c r="N234" s="0" t="n">
        <f aca="false">K234-M234</f>
        <v>43.7114391575373</v>
      </c>
      <c r="O234" s="0" t="n">
        <f aca="false">K234+M234</f>
        <v>46.7569660148765</v>
      </c>
      <c r="P234" s="54" t="b">
        <f aca="false">AND(C234&gt;=01_因子設定!$L$5-0.000000001,C234&lt;=01_因子設定!$M$5+0.000000001,D234&gt;=01_因子設定!$L$6-0.000000001,D234&lt;=01_因子設定!$M$6+0.000000001,IF(01_因子設定!$B$20="Box-Behnken",C234^2+D234^2&lt;=2+0.000000001,TRUE()))</f>
        <v>1</v>
      </c>
      <c r="Q234" s="55" t="n">
        <f aca="false">IF(P234,IF(01_因子設定!$B$13="最大化",N234-01_因子設定!$B$14,IF(01_因子設定!$B$13="最小化",01_因子設定!$B$15-O234,MIN(N234-01_因子設定!$B$14,01_因子設定!$B$15-O234))),-1E+030)</f>
        <v>-2.78856084246272</v>
      </c>
      <c r="R234" s="55" t="n">
        <f aca="false">IF(P234,IF(01_因子設定!$B$13="最大化",K234,IF(01_因子設定!$B$13="最小化",-K234,-ABS(K234-01_因子設定!$B$16))),-1E+030)</f>
        <v>45.2342025862069</v>
      </c>
      <c r="S234" s="55" t="n">
        <f aca="false">Q234+ROW()*0.000000001</f>
        <v>-2.78856060846272</v>
      </c>
      <c r="T234" s="55" t="n">
        <f aca="false">R234+ROW()*0.000000001</f>
        <v>45.2342028202069</v>
      </c>
    </row>
    <row r="235" customFormat="false" ht="15" hidden="false" customHeight="false" outlineLevel="0" collapsed="false">
      <c r="A235" s="0" t="n">
        <v>5</v>
      </c>
      <c r="B235" s="0" t="n">
        <v>25</v>
      </c>
      <c r="C235" s="0" t="n">
        <f aca="false">-1+A235*0.05</f>
        <v>-0.75</v>
      </c>
      <c r="D235" s="0" t="n">
        <f aca="false">-1+B235*0.05</f>
        <v>0.25</v>
      </c>
      <c r="E235" s="0" t="n">
        <f aca="false">1</f>
        <v>1</v>
      </c>
      <c r="F235" s="0" t="n">
        <f aca="false">C235</f>
        <v>-0.75</v>
      </c>
      <c r="G235" s="0" t="n">
        <f aca="false">D235</f>
        <v>0.25</v>
      </c>
      <c r="H235" s="0" t="n">
        <f aca="false">C235*D235</f>
        <v>-0.1875</v>
      </c>
      <c r="I235" s="0" t="n">
        <f aca="false">C235*C235</f>
        <v>0.5625</v>
      </c>
      <c r="J235" s="0" t="n">
        <f aca="false">D235*D235</f>
        <v>0.0625</v>
      </c>
      <c r="K235" s="0" t="n">
        <f aca="false">SUMPRODUCT(E235:J235,_XtX!$B$53:$G$53)</f>
        <v>45.2922952586207</v>
      </c>
      <c r="L235" s="0" t="n">
        <f aca="false">SUMPRODUCT(MMULT(E235:J235,_XtX!$B$44:$G$49),E235:J235)</f>
        <v>0.262336117097701</v>
      </c>
      <c r="M235" s="0" t="n">
        <f aca="false">04_回帰ANOVA!$K$19*04_回帰ANOVA!$K$14*SQRT(1+L235)</f>
        <v>1.5225237514809</v>
      </c>
      <c r="N235" s="0" t="n">
        <f aca="false">K235-M235</f>
        <v>43.7697715071398</v>
      </c>
      <c r="O235" s="0" t="n">
        <f aca="false">K235+M235</f>
        <v>46.8148190101016</v>
      </c>
      <c r="P235" s="54" t="b">
        <f aca="false">AND(C235&gt;=01_因子設定!$L$5-0.000000001,C235&lt;=01_因子設定!$M$5+0.000000001,D235&gt;=01_因子設定!$L$6-0.000000001,D235&lt;=01_因子設定!$M$6+0.000000001,IF(01_因子設定!$B$20="Box-Behnken",C235^2+D235^2&lt;=2+0.000000001,TRUE()))</f>
        <v>1</v>
      </c>
      <c r="Q235" s="55" t="n">
        <f aca="false">IF(P235,IF(01_因子設定!$B$13="最大化",N235-01_因子設定!$B$14,IF(01_因子設定!$B$13="最小化",01_因子設定!$B$15-O235,MIN(N235-01_因子設定!$B$14,01_因子設定!$B$15-O235))),-1E+030)</f>
        <v>-2.73022849286023</v>
      </c>
      <c r="R235" s="55" t="n">
        <f aca="false">IF(P235,IF(01_因子設定!$B$13="最大化",K235,IF(01_因子設定!$B$13="最小化",-K235,-ABS(K235-01_因子設定!$B$16))),-1E+030)</f>
        <v>45.2922952586207</v>
      </c>
      <c r="S235" s="55" t="n">
        <f aca="false">Q235+ROW()*0.000000001</f>
        <v>-2.73022825786023</v>
      </c>
      <c r="T235" s="55" t="n">
        <f aca="false">R235+ROW()*0.000000001</f>
        <v>45.2922954936207</v>
      </c>
    </row>
    <row r="236" customFormat="false" ht="15" hidden="false" customHeight="false" outlineLevel="0" collapsed="false">
      <c r="A236" s="0" t="n">
        <v>5</v>
      </c>
      <c r="B236" s="0" t="n">
        <v>26</v>
      </c>
      <c r="C236" s="0" t="n">
        <f aca="false">-1+A236*0.05</f>
        <v>-0.75</v>
      </c>
      <c r="D236" s="0" t="n">
        <f aca="false">-1+B236*0.05</f>
        <v>0.3</v>
      </c>
      <c r="E236" s="0" t="n">
        <f aca="false">1</f>
        <v>1</v>
      </c>
      <c r="F236" s="0" t="n">
        <f aca="false">C236</f>
        <v>-0.75</v>
      </c>
      <c r="G236" s="0" t="n">
        <f aca="false">D236</f>
        <v>0.3</v>
      </c>
      <c r="H236" s="0" t="n">
        <f aca="false">C236*D236</f>
        <v>-0.225</v>
      </c>
      <c r="I236" s="0" t="n">
        <f aca="false">C236*C236</f>
        <v>0.5625</v>
      </c>
      <c r="J236" s="0" t="n">
        <f aca="false">D236*D236</f>
        <v>0.09</v>
      </c>
      <c r="K236" s="0" t="n">
        <f aca="false">SUMPRODUCT(E236:J236,_XtX!$B$53:$G$53)</f>
        <v>45.3426724137931</v>
      </c>
      <c r="L236" s="0" t="n">
        <f aca="false">SUMPRODUCT(MMULT(E236:J236,_XtX!$B$44:$G$49),E236:J236)</f>
        <v>0.262348168103448</v>
      </c>
      <c r="M236" s="0" t="n">
        <f aca="false">04_回帰ANOVA!$K$19*04_回帰ANOVA!$K$14*SQRT(1+L236)</f>
        <v>1.52253101891881</v>
      </c>
      <c r="N236" s="0" t="n">
        <f aca="false">K236-M236</f>
        <v>43.8201413948743</v>
      </c>
      <c r="O236" s="0" t="n">
        <f aca="false">K236+M236</f>
        <v>46.8652034327119</v>
      </c>
      <c r="P236" s="54" t="b">
        <f aca="false">AND(C236&gt;=01_因子設定!$L$5-0.000000001,C236&lt;=01_因子設定!$M$5+0.000000001,D236&gt;=01_因子設定!$L$6-0.000000001,D236&lt;=01_因子設定!$M$6+0.000000001,IF(01_因子設定!$B$20="Box-Behnken",C236^2+D236^2&lt;=2+0.000000001,TRUE()))</f>
        <v>1</v>
      </c>
      <c r="Q236" s="55" t="n">
        <f aca="false">IF(P236,IF(01_因子設定!$B$13="最大化",N236-01_因子設定!$B$14,IF(01_因子設定!$B$13="最小化",01_因子設定!$B$15-O236,MIN(N236-01_因子設定!$B$14,01_因子設定!$B$15-O236))),-1E+030)</f>
        <v>-2.67985860512572</v>
      </c>
      <c r="R236" s="55" t="n">
        <f aca="false">IF(P236,IF(01_因子設定!$B$13="最大化",K236,IF(01_因子設定!$B$13="最小化",-K236,-ABS(K236-01_因子設定!$B$16))),-1E+030)</f>
        <v>45.3426724137931</v>
      </c>
      <c r="S236" s="55" t="n">
        <f aca="false">Q236+ROW()*0.000000001</f>
        <v>-2.67985836912572</v>
      </c>
      <c r="T236" s="55" t="n">
        <f aca="false">R236+ROW()*0.000000001</f>
        <v>45.3426726497931</v>
      </c>
    </row>
    <row r="237" customFormat="false" ht="15" hidden="false" customHeight="false" outlineLevel="0" collapsed="false">
      <c r="A237" s="0" t="n">
        <v>5</v>
      </c>
      <c r="B237" s="0" t="n">
        <v>27</v>
      </c>
      <c r="C237" s="0" t="n">
        <f aca="false">-1+A237*0.05</f>
        <v>-0.75</v>
      </c>
      <c r="D237" s="0" t="n">
        <f aca="false">-1+B237*0.05</f>
        <v>0.35</v>
      </c>
      <c r="E237" s="0" t="n">
        <f aca="false">1</f>
        <v>1</v>
      </c>
      <c r="F237" s="0" t="n">
        <f aca="false">C237</f>
        <v>-0.75</v>
      </c>
      <c r="G237" s="0" t="n">
        <f aca="false">D237</f>
        <v>0.35</v>
      </c>
      <c r="H237" s="0" t="n">
        <f aca="false">C237*D237</f>
        <v>-0.2625</v>
      </c>
      <c r="I237" s="0" t="n">
        <f aca="false">C237*C237</f>
        <v>0.5625</v>
      </c>
      <c r="J237" s="0" t="n">
        <f aca="false">D237*D237</f>
        <v>0.1225</v>
      </c>
      <c r="K237" s="0" t="n">
        <f aca="false">SUMPRODUCT(E237:J237,_XtX!$B$53:$G$53)</f>
        <v>45.3853340517241</v>
      </c>
      <c r="L237" s="0" t="n">
        <f aca="false">SUMPRODUCT(MMULT(E237:J237,_XtX!$B$44:$G$49),E237:J237)</f>
        <v>0.263068444683908</v>
      </c>
      <c r="M237" s="0" t="n">
        <f aca="false">04_回帰ANOVA!$K$19*04_回帰ANOVA!$K$14*SQRT(1+L237)</f>
        <v>1.52296532344599</v>
      </c>
      <c r="N237" s="0" t="n">
        <f aca="false">K237-M237</f>
        <v>43.8623687282781</v>
      </c>
      <c r="O237" s="0" t="n">
        <f aca="false">K237+M237</f>
        <v>46.9082993751701</v>
      </c>
      <c r="P237" s="54" t="b">
        <f aca="false">AND(C237&gt;=01_因子設定!$L$5-0.000000001,C237&lt;=01_因子設定!$M$5+0.000000001,D237&gt;=01_因子設定!$L$6-0.000000001,D237&lt;=01_因子設定!$M$6+0.000000001,IF(01_因子設定!$B$20="Box-Behnken",C237^2+D237^2&lt;=2+0.000000001,TRUE()))</f>
        <v>1</v>
      </c>
      <c r="Q237" s="55" t="n">
        <f aca="false">IF(P237,IF(01_因子設定!$B$13="最大化",N237-01_因子設定!$B$14,IF(01_因子設定!$B$13="最小化",01_因子設定!$B$15-O237,MIN(N237-01_因子設定!$B$14,01_因子設定!$B$15-O237))),-1E+030)</f>
        <v>-2.63763127172187</v>
      </c>
      <c r="R237" s="55" t="n">
        <f aca="false">IF(P237,IF(01_因子設定!$B$13="最大化",K237,IF(01_因子設定!$B$13="最小化",-K237,-ABS(K237-01_因子設定!$B$16))),-1E+030)</f>
        <v>45.3853340517241</v>
      </c>
      <c r="S237" s="55" t="n">
        <f aca="false">Q237+ROW()*0.000000001</f>
        <v>-2.63763103472187</v>
      </c>
      <c r="T237" s="55" t="n">
        <f aca="false">R237+ROW()*0.000000001</f>
        <v>45.3853342887241</v>
      </c>
    </row>
    <row r="238" customFormat="false" ht="15" hidden="false" customHeight="false" outlineLevel="0" collapsed="false">
      <c r="A238" s="0" t="n">
        <v>5</v>
      </c>
      <c r="B238" s="0" t="n">
        <v>28</v>
      </c>
      <c r="C238" s="0" t="n">
        <f aca="false">-1+A238*0.05</f>
        <v>-0.75</v>
      </c>
      <c r="D238" s="0" t="n">
        <f aca="false">-1+B238*0.05</f>
        <v>0.4</v>
      </c>
      <c r="E238" s="0" t="n">
        <f aca="false">1</f>
        <v>1</v>
      </c>
      <c r="F238" s="0" t="n">
        <f aca="false">C238</f>
        <v>-0.75</v>
      </c>
      <c r="G238" s="0" t="n">
        <f aca="false">D238</f>
        <v>0.4</v>
      </c>
      <c r="H238" s="0" t="n">
        <f aca="false">C238*D238</f>
        <v>-0.3</v>
      </c>
      <c r="I238" s="0" t="n">
        <f aca="false">C238*C238</f>
        <v>0.5625</v>
      </c>
      <c r="J238" s="0" t="n">
        <f aca="false">D238*D238</f>
        <v>0.16</v>
      </c>
      <c r="K238" s="0" t="n">
        <f aca="false">SUMPRODUCT(E238:J238,_XtX!$B$53:$G$53)</f>
        <v>45.4202801724138</v>
      </c>
      <c r="L238" s="0" t="n">
        <f aca="false">SUMPRODUCT(MMULT(E238:J238,_XtX!$B$44:$G$49),E238:J238)</f>
        <v>0.26484996408046</v>
      </c>
      <c r="M238" s="0" t="n">
        <f aca="false">04_回帰ANOVA!$K$19*04_回帰ANOVA!$K$14*SQRT(1+L238)</f>
        <v>1.52403899298102</v>
      </c>
      <c r="N238" s="0" t="n">
        <f aca="false">K238-M238</f>
        <v>43.8962411794328</v>
      </c>
      <c r="O238" s="0" t="n">
        <f aca="false">K238+M238</f>
        <v>46.9443191653948</v>
      </c>
      <c r="P238" s="54" t="b">
        <f aca="false">AND(C238&gt;=01_因子設定!$L$5-0.000000001,C238&lt;=01_因子設定!$M$5+0.000000001,D238&gt;=01_因子設定!$L$6-0.000000001,D238&lt;=01_因子設定!$M$6+0.000000001,IF(01_因子設定!$B$20="Box-Behnken",C238^2+D238^2&lt;=2+0.000000001,TRUE()))</f>
        <v>1</v>
      </c>
      <c r="Q238" s="55" t="n">
        <f aca="false">IF(P238,IF(01_因子設定!$B$13="最大化",N238-01_因子設定!$B$14,IF(01_因子設定!$B$13="最小化",01_因子設定!$B$15-O238,MIN(N238-01_因子設定!$B$14,01_因子設定!$B$15-O238))),-1E+030)</f>
        <v>-2.60375882056724</v>
      </c>
      <c r="R238" s="55" t="n">
        <f aca="false">IF(P238,IF(01_因子設定!$B$13="最大化",K238,IF(01_因子設定!$B$13="最小化",-K238,-ABS(K238-01_因子設定!$B$16))),-1E+030)</f>
        <v>45.4202801724138</v>
      </c>
      <c r="S238" s="55" t="n">
        <f aca="false">Q238+ROW()*0.000000001</f>
        <v>-2.60375858256724</v>
      </c>
      <c r="T238" s="55" t="n">
        <f aca="false">R238+ROW()*0.000000001</f>
        <v>45.4202804104138</v>
      </c>
    </row>
    <row r="239" customFormat="false" ht="15" hidden="false" customHeight="false" outlineLevel="0" collapsed="false">
      <c r="A239" s="0" t="n">
        <v>5</v>
      </c>
      <c r="B239" s="0" t="n">
        <v>29</v>
      </c>
      <c r="C239" s="0" t="n">
        <f aca="false">-1+A239*0.05</f>
        <v>-0.75</v>
      </c>
      <c r="D239" s="0" t="n">
        <f aca="false">-1+B239*0.05</f>
        <v>0.45</v>
      </c>
      <c r="E239" s="0" t="n">
        <f aca="false">1</f>
        <v>1</v>
      </c>
      <c r="F239" s="0" t="n">
        <f aca="false">C239</f>
        <v>-0.75</v>
      </c>
      <c r="G239" s="0" t="n">
        <f aca="false">D239</f>
        <v>0.45</v>
      </c>
      <c r="H239" s="0" t="n">
        <f aca="false">C239*D239</f>
        <v>-0.3375</v>
      </c>
      <c r="I239" s="0" t="n">
        <f aca="false">C239*C239</f>
        <v>0.5625</v>
      </c>
      <c r="J239" s="0" t="n">
        <f aca="false">D239*D239</f>
        <v>0.2025</v>
      </c>
      <c r="K239" s="0" t="n">
        <f aca="false">SUMPRODUCT(E239:J239,_XtX!$B$53:$G$53)</f>
        <v>45.4475107758621</v>
      </c>
      <c r="L239" s="0" t="n">
        <f aca="false">SUMPRODUCT(MMULT(E239:J239,_XtX!$B$44:$G$49),E239:J239)</f>
        <v>0.26810005387931</v>
      </c>
      <c r="M239" s="0" t="n">
        <f aca="false">04_回帰ANOVA!$K$19*04_回帰ANOVA!$K$14*SQRT(1+L239)</f>
        <v>1.52599578070166</v>
      </c>
      <c r="N239" s="0" t="n">
        <f aca="false">K239-M239</f>
        <v>43.9215149951604</v>
      </c>
      <c r="O239" s="0" t="n">
        <f aca="false">K239+M239</f>
        <v>46.9735065565637</v>
      </c>
      <c r="P239" s="54" t="b">
        <f aca="false">AND(C239&gt;=01_因子設定!$L$5-0.000000001,C239&lt;=01_因子設定!$M$5+0.000000001,D239&gt;=01_因子設定!$L$6-0.000000001,D239&lt;=01_因子設定!$M$6+0.000000001,IF(01_因子設定!$B$20="Box-Behnken",C239^2+D239^2&lt;=2+0.000000001,TRUE()))</f>
        <v>1</v>
      </c>
      <c r="Q239" s="55" t="n">
        <f aca="false">IF(P239,IF(01_因子設定!$B$13="最大化",N239-01_因子設定!$B$14,IF(01_因子設定!$B$13="最小化",01_因子設定!$B$15-O239,MIN(N239-01_因子設定!$B$14,01_因子設定!$B$15-O239))),-1E+030)</f>
        <v>-2.5784850048396</v>
      </c>
      <c r="R239" s="55" t="n">
        <f aca="false">IF(P239,IF(01_因子設定!$B$13="最大化",K239,IF(01_因子設定!$B$13="最小化",-K239,-ABS(K239-01_因子設定!$B$16))),-1E+030)</f>
        <v>45.4475107758621</v>
      </c>
      <c r="S239" s="55" t="n">
        <f aca="false">Q239+ROW()*0.000000001</f>
        <v>-2.5784847658396</v>
      </c>
      <c r="T239" s="55" t="n">
        <f aca="false">R239+ROW()*0.000000001</f>
        <v>45.4475110148621</v>
      </c>
    </row>
    <row r="240" customFormat="false" ht="15" hidden="false" customHeight="false" outlineLevel="0" collapsed="false">
      <c r="A240" s="0" t="n">
        <v>5</v>
      </c>
      <c r="B240" s="0" t="n">
        <v>30</v>
      </c>
      <c r="C240" s="0" t="n">
        <f aca="false">-1+A240*0.05</f>
        <v>-0.75</v>
      </c>
      <c r="D240" s="0" t="n">
        <f aca="false">-1+B240*0.05</f>
        <v>0.5</v>
      </c>
      <c r="E240" s="0" t="n">
        <f aca="false">1</f>
        <v>1</v>
      </c>
      <c r="F240" s="0" t="n">
        <f aca="false">C240</f>
        <v>-0.75</v>
      </c>
      <c r="G240" s="0" t="n">
        <f aca="false">D240</f>
        <v>0.5</v>
      </c>
      <c r="H240" s="0" t="n">
        <f aca="false">C240*D240</f>
        <v>-0.375</v>
      </c>
      <c r="I240" s="0" t="n">
        <f aca="false">C240*C240</f>
        <v>0.5625</v>
      </c>
      <c r="J240" s="0" t="n">
        <f aca="false">D240*D240</f>
        <v>0.25</v>
      </c>
      <c r="K240" s="0" t="n">
        <f aca="false">SUMPRODUCT(E240:J240,_XtX!$B$53:$G$53)</f>
        <v>45.467025862069</v>
      </c>
      <c r="L240" s="0" t="n">
        <f aca="false">SUMPRODUCT(MMULT(E240:J240,_XtX!$B$44:$G$49),E240:J240)</f>
        <v>0.273280352011494</v>
      </c>
      <c r="M240" s="0" t="n">
        <f aca="false">04_回帰ANOVA!$K$19*04_回帰ANOVA!$K$14*SQRT(1+L240)</f>
        <v>1.52910951618691</v>
      </c>
      <c r="N240" s="0" t="n">
        <f aca="false">K240-M240</f>
        <v>43.937916345882</v>
      </c>
      <c r="O240" s="0" t="n">
        <f aca="false">K240+M240</f>
        <v>46.9961353782559</v>
      </c>
      <c r="P240" s="54" t="b">
        <f aca="false">AND(C240&gt;=01_因子設定!$L$5-0.000000001,C240&lt;=01_因子設定!$M$5+0.000000001,D240&gt;=01_因子設定!$L$6-0.000000001,D240&lt;=01_因子設定!$M$6+0.000000001,IF(01_因子設定!$B$20="Box-Behnken",C240^2+D240^2&lt;=2+0.000000001,TRUE()))</f>
        <v>1</v>
      </c>
      <c r="Q240" s="55" t="n">
        <f aca="false">IF(P240,IF(01_因子設定!$B$13="最大化",N240-01_因子設定!$B$14,IF(01_因子設定!$B$13="最小化",01_因子設定!$B$15-O240,MIN(N240-01_因子設定!$B$14,01_因子設定!$B$15-O240))),-1E+030)</f>
        <v>-2.56208365411796</v>
      </c>
      <c r="R240" s="55" t="n">
        <f aca="false">IF(P240,IF(01_因子設定!$B$13="最大化",K240,IF(01_因子設定!$B$13="最小化",-K240,-ABS(K240-01_因子設定!$B$16))),-1E+030)</f>
        <v>45.467025862069</v>
      </c>
      <c r="S240" s="55" t="n">
        <f aca="false">Q240+ROW()*0.000000001</f>
        <v>-2.56208341411796</v>
      </c>
      <c r="T240" s="55" t="n">
        <f aca="false">R240+ROW()*0.000000001</f>
        <v>45.467026102069</v>
      </c>
    </row>
    <row r="241" customFormat="false" ht="15" hidden="false" customHeight="false" outlineLevel="0" collapsed="false">
      <c r="A241" s="0" t="n">
        <v>5</v>
      </c>
      <c r="B241" s="0" t="n">
        <v>31</v>
      </c>
      <c r="C241" s="0" t="n">
        <f aca="false">-1+A241*0.05</f>
        <v>-0.75</v>
      </c>
      <c r="D241" s="0" t="n">
        <f aca="false">-1+B241*0.05</f>
        <v>0.55</v>
      </c>
      <c r="E241" s="0" t="n">
        <f aca="false">1</f>
        <v>1</v>
      </c>
      <c r="F241" s="0" t="n">
        <f aca="false">C241</f>
        <v>-0.75</v>
      </c>
      <c r="G241" s="0" t="n">
        <f aca="false">D241</f>
        <v>0.55</v>
      </c>
      <c r="H241" s="0" t="n">
        <f aca="false">C241*D241</f>
        <v>-0.4125</v>
      </c>
      <c r="I241" s="0" t="n">
        <f aca="false">C241*C241</f>
        <v>0.5625</v>
      </c>
      <c r="J241" s="0" t="n">
        <f aca="false">D241*D241</f>
        <v>0.3025</v>
      </c>
      <c r="K241" s="0" t="n">
        <f aca="false">SUMPRODUCT(E241:J241,_XtX!$B$53:$G$53)</f>
        <v>45.4788254310345</v>
      </c>
      <c r="L241" s="0" t="n">
        <f aca="false">SUMPRODUCT(MMULT(E241:J241,_XtX!$B$44:$G$49),E241:J241)</f>
        <v>0.280906806752874</v>
      </c>
      <c r="M241" s="0" t="n">
        <f aca="false">04_回帰ANOVA!$K$19*04_回帰ANOVA!$K$14*SQRT(1+L241)</f>
        <v>1.53368206549325</v>
      </c>
      <c r="N241" s="0" t="n">
        <f aca="false">K241-M241</f>
        <v>43.9451433655412</v>
      </c>
      <c r="O241" s="0" t="n">
        <f aca="false">K241+M241</f>
        <v>47.0125074965277</v>
      </c>
      <c r="P241" s="54" t="b">
        <f aca="false">AND(C241&gt;=01_因子設定!$L$5-0.000000001,C241&lt;=01_因子設定!$M$5+0.000000001,D241&gt;=01_因子設定!$L$6-0.000000001,D241&lt;=01_因子設定!$M$6+0.000000001,IF(01_因子設定!$B$20="Box-Behnken",C241^2+D241^2&lt;=2+0.000000001,TRUE()))</f>
        <v>1</v>
      </c>
      <c r="Q241" s="55" t="n">
        <f aca="false">IF(P241,IF(01_因子設定!$B$13="最大化",N241-01_因子設定!$B$14,IF(01_因子設定!$B$13="最小化",01_因子設定!$B$15-O241,MIN(N241-01_因子設定!$B$14,01_因子設定!$B$15-O241))),-1E+030)</f>
        <v>-2.55485663445877</v>
      </c>
      <c r="R241" s="55" t="n">
        <f aca="false">IF(P241,IF(01_因子設定!$B$13="最大化",K241,IF(01_因子設定!$B$13="最小化",-K241,-ABS(K241-01_因子設定!$B$16))),-1E+030)</f>
        <v>45.4788254310345</v>
      </c>
      <c r="S241" s="55" t="n">
        <f aca="false">Q241+ROW()*0.000000001</f>
        <v>-2.55485639345877</v>
      </c>
      <c r="T241" s="55" t="n">
        <f aca="false">R241+ROW()*0.000000001</f>
        <v>45.4788256720345</v>
      </c>
    </row>
    <row r="242" customFormat="false" ht="15" hidden="false" customHeight="false" outlineLevel="0" collapsed="false">
      <c r="A242" s="0" t="n">
        <v>5</v>
      </c>
      <c r="B242" s="0" t="n">
        <v>32</v>
      </c>
      <c r="C242" s="0" t="n">
        <f aca="false">-1+A242*0.05</f>
        <v>-0.75</v>
      </c>
      <c r="D242" s="0" t="n">
        <f aca="false">-1+B242*0.05</f>
        <v>0.6</v>
      </c>
      <c r="E242" s="0" t="n">
        <f aca="false">1</f>
        <v>1</v>
      </c>
      <c r="F242" s="0" t="n">
        <f aca="false">C242</f>
        <v>-0.75</v>
      </c>
      <c r="G242" s="0" t="n">
        <f aca="false">D242</f>
        <v>0.6</v>
      </c>
      <c r="H242" s="0" t="n">
        <f aca="false">C242*D242</f>
        <v>-0.45</v>
      </c>
      <c r="I242" s="0" t="n">
        <f aca="false">C242*C242</f>
        <v>0.5625</v>
      </c>
      <c r="J242" s="0" t="n">
        <f aca="false">D242*D242</f>
        <v>0.36</v>
      </c>
      <c r="K242" s="0" t="n">
        <f aca="false">SUMPRODUCT(E242:J242,_XtX!$B$53:$G$53)</f>
        <v>45.4829094827586</v>
      </c>
      <c r="L242" s="0" t="n">
        <f aca="false">SUMPRODUCT(MMULT(E242:J242,_XtX!$B$44:$G$49),E242:J242)</f>
        <v>0.291549676724138</v>
      </c>
      <c r="M242" s="0" t="n">
        <f aca="false">04_回帰ANOVA!$K$19*04_回帰ANOVA!$K$14*SQRT(1+L242)</f>
        <v>1.54004045665134</v>
      </c>
      <c r="N242" s="0" t="n">
        <f aca="false">K242-M242</f>
        <v>43.9428690261073</v>
      </c>
      <c r="O242" s="0" t="n">
        <f aca="false">K242+M242</f>
        <v>47.0229499394099</v>
      </c>
      <c r="P242" s="54" t="b">
        <f aca="false">AND(C242&gt;=01_因子設定!$L$5-0.000000001,C242&lt;=01_因子設定!$M$5+0.000000001,D242&gt;=01_因子設定!$L$6-0.000000001,D242&lt;=01_因子設定!$M$6+0.000000001,IF(01_因子設定!$B$20="Box-Behnken",C242^2+D242^2&lt;=2+0.000000001,TRUE()))</f>
        <v>1</v>
      </c>
      <c r="Q242" s="55" t="n">
        <f aca="false">IF(P242,IF(01_因子設定!$B$13="最大化",N242-01_因子設定!$B$14,IF(01_因子設定!$B$13="最小化",01_因子設定!$B$15-O242,MIN(N242-01_因子設定!$B$14,01_因子設定!$B$15-O242))),-1E+030)</f>
        <v>-2.55713097389273</v>
      </c>
      <c r="R242" s="55" t="n">
        <f aca="false">IF(P242,IF(01_因子設定!$B$13="最大化",K242,IF(01_因子設定!$B$13="最小化",-K242,-ABS(K242-01_因子設定!$B$16))),-1E+030)</f>
        <v>45.4829094827586</v>
      </c>
      <c r="S242" s="55" t="n">
        <f aca="false">Q242+ROW()*0.000000001</f>
        <v>-2.55713073189273</v>
      </c>
      <c r="T242" s="55" t="n">
        <f aca="false">R242+ROW()*0.000000001</f>
        <v>45.4829097247586</v>
      </c>
    </row>
    <row r="243" customFormat="false" ht="15" hidden="false" customHeight="false" outlineLevel="0" collapsed="false">
      <c r="A243" s="0" t="n">
        <v>5</v>
      </c>
      <c r="B243" s="0" t="n">
        <v>33</v>
      </c>
      <c r="C243" s="0" t="n">
        <f aca="false">-1+A243*0.05</f>
        <v>-0.75</v>
      </c>
      <c r="D243" s="0" t="n">
        <f aca="false">-1+B243*0.05</f>
        <v>0.65</v>
      </c>
      <c r="E243" s="0" t="n">
        <f aca="false">1</f>
        <v>1</v>
      </c>
      <c r="F243" s="0" t="n">
        <f aca="false">C243</f>
        <v>-0.75</v>
      </c>
      <c r="G243" s="0" t="n">
        <f aca="false">D243</f>
        <v>0.65</v>
      </c>
      <c r="H243" s="0" t="n">
        <f aca="false">C243*D243</f>
        <v>-0.4875</v>
      </c>
      <c r="I243" s="0" t="n">
        <f aca="false">C243*C243</f>
        <v>0.5625</v>
      </c>
      <c r="J243" s="0" t="n">
        <f aca="false">D243*D243</f>
        <v>0.4225</v>
      </c>
      <c r="K243" s="0" t="n">
        <f aca="false">SUMPRODUCT(E243:J243,_XtX!$B$53:$G$53)</f>
        <v>45.4792780172414</v>
      </c>
      <c r="L243" s="0" t="n">
        <f aca="false">SUMPRODUCT(MMULT(E243:J243,_XtX!$B$44:$G$49),E243:J243)</f>
        <v>0.305833530890805</v>
      </c>
      <c r="M243" s="0" t="n">
        <f aca="false">04_回帰ANOVA!$K$19*04_回帰ANOVA!$K$14*SQRT(1+L243)</f>
        <v>1.54853305548253</v>
      </c>
      <c r="N243" s="0" t="n">
        <f aca="false">K243-M243</f>
        <v>43.9307449617588</v>
      </c>
      <c r="O243" s="0" t="n">
        <f aca="false">K243+M243</f>
        <v>47.0278110727239</v>
      </c>
      <c r="P243" s="54" t="b">
        <f aca="false">AND(C243&gt;=01_因子設定!$L$5-0.000000001,C243&lt;=01_因子設定!$M$5+0.000000001,D243&gt;=01_因子設定!$L$6-0.000000001,D243&lt;=01_因子設定!$M$6+0.000000001,IF(01_因子設定!$B$20="Box-Behnken",C243^2+D243^2&lt;=2+0.000000001,TRUE()))</f>
        <v>1</v>
      </c>
      <c r="Q243" s="55" t="n">
        <f aca="false">IF(P243,IF(01_因子設定!$B$13="最大化",N243-01_因子設定!$B$14,IF(01_因子設定!$B$13="最小化",01_因子設定!$B$15-O243,MIN(N243-01_因子設定!$B$14,01_因子設定!$B$15-O243))),-1E+030)</f>
        <v>-2.56925503824116</v>
      </c>
      <c r="R243" s="55" t="n">
        <f aca="false">IF(P243,IF(01_因子設定!$B$13="最大化",K243,IF(01_因子設定!$B$13="最小化",-K243,-ABS(K243-01_因子設定!$B$16))),-1E+030)</f>
        <v>45.4792780172414</v>
      </c>
      <c r="S243" s="55" t="n">
        <f aca="false">Q243+ROW()*0.000000001</f>
        <v>-2.56925479524116</v>
      </c>
      <c r="T243" s="55" t="n">
        <f aca="false">R243+ROW()*0.000000001</f>
        <v>45.4792782602414</v>
      </c>
    </row>
    <row r="244" customFormat="false" ht="15" hidden="false" customHeight="false" outlineLevel="0" collapsed="false">
      <c r="A244" s="0" t="n">
        <v>5</v>
      </c>
      <c r="B244" s="0" t="n">
        <v>34</v>
      </c>
      <c r="C244" s="0" t="n">
        <f aca="false">-1+A244*0.05</f>
        <v>-0.75</v>
      </c>
      <c r="D244" s="0" t="n">
        <f aca="false">-1+B244*0.05</f>
        <v>0.7</v>
      </c>
      <c r="E244" s="0" t="n">
        <f aca="false">1</f>
        <v>1</v>
      </c>
      <c r="F244" s="0" t="n">
        <f aca="false">C244</f>
        <v>-0.75</v>
      </c>
      <c r="G244" s="0" t="n">
        <f aca="false">D244</f>
        <v>0.7</v>
      </c>
      <c r="H244" s="0" t="n">
        <f aca="false">C244*D244</f>
        <v>-0.525</v>
      </c>
      <c r="I244" s="0" t="n">
        <f aca="false">C244*C244</f>
        <v>0.5625</v>
      </c>
      <c r="J244" s="0" t="n">
        <f aca="false">D244*D244</f>
        <v>0.49</v>
      </c>
      <c r="K244" s="0" t="n">
        <f aca="false">SUMPRODUCT(E244:J244,_XtX!$B$53:$G$53)</f>
        <v>45.4679310344827</v>
      </c>
      <c r="L244" s="0" t="n">
        <f aca="false">SUMPRODUCT(MMULT(E244:J244,_XtX!$B$44:$G$49),E244:J244)</f>
        <v>0.324437248563218</v>
      </c>
      <c r="M244" s="0" t="n">
        <f aca="false">04_回帰ANOVA!$K$19*04_回帰ANOVA!$K$14*SQRT(1+L244)</f>
        <v>1.55952472849596</v>
      </c>
      <c r="N244" s="0" t="n">
        <f aca="false">K244-M244</f>
        <v>43.9084063059868</v>
      </c>
      <c r="O244" s="0" t="n">
        <f aca="false">K244+M244</f>
        <v>47.0274557629787</v>
      </c>
      <c r="P244" s="54" t="b">
        <f aca="false">AND(C244&gt;=01_因子設定!$L$5-0.000000001,C244&lt;=01_因子設定!$M$5+0.000000001,D244&gt;=01_因子設定!$L$6-0.000000001,D244&lt;=01_因子設定!$M$6+0.000000001,IF(01_因子設定!$B$20="Box-Behnken",C244^2+D244^2&lt;=2+0.000000001,TRUE()))</f>
        <v>1</v>
      </c>
      <c r="Q244" s="55" t="n">
        <f aca="false">IF(P244,IF(01_因子設定!$B$13="最大化",N244-01_因子設定!$B$14,IF(01_因子設定!$B$13="最小化",01_因子設定!$B$15-O244,MIN(N244-01_因子設定!$B$14,01_因子設定!$B$15-O244))),-1E+030)</f>
        <v>-2.59159369401322</v>
      </c>
      <c r="R244" s="55" t="n">
        <f aca="false">IF(P244,IF(01_因子設定!$B$13="最大化",K244,IF(01_因子設定!$B$13="最小化",-K244,-ABS(K244-01_因子設定!$B$16))),-1E+030)</f>
        <v>45.4679310344827</v>
      </c>
      <c r="S244" s="55" t="n">
        <f aca="false">Q244+ROW()*0.000000001</f>
        <v>-2.59159345001322</v>
      </c>
      <c r="T244" s="55" t="n">
        <f aca="false">R244+ROW()*0.000000001</f>
        <v>45.4679312784827</v>
      </c>
    </row>
    <row r="245" customFormat="false" ht="15" hidden="false" customHeight="false" outlineLevel="0" collapsed="false">
      <c r="A245" s="0" t="n">
        <v>5</v>
      </c>
      <c r="B245" s="0" t="n">
        <v>35</v>
      </c>
      <c r="C245" s="0" t="n">
        <f aca="false">-1+A245*0.05</f>
        <v>-0.75</v>
      </c>
      <c r="D245" s="0" t="n">
        <f aca="false">-1+B245*0.05</f>
        <v>0.75</v>
      </c>
      <c r="E245" s="0" t="n">
        <f aca="false">1</f>
        <v>1</v>
      </c>
      <c r="F245" s="0" t="n">
        <f aca="false">C245</f>
        <v>-0.75</v>
      </c>
      <c r="G245" s="0" t="n">
        <f aca="false">D245</f>
        <v>0.75</v>
      </c>
      <c r="H245" s="0" t="n">
        <f aca="false">C245*D245</f>
        <v>-0.5625</v>
      </c>
      <c r="I245" s="0" t="n">
        <f aca="false">C245*C245</f>
        <v>0.5625</v>
      </c>
      <c r="J245" s="0" t="n">
        <f aca="false">D245*D245</f>
        <v>0.5625</v>
      </c>
      <c r="K245" s="0" t="n">
        <f aca="false">SUMPRODUCT(E245:J245,_XtX!$B$53:$G$53)</f>
        <v>45.4488685344828</v>
      </c>
      <c r="L245" s="0" t="n">
        <f aca="false">SUMPRODUCT(MMULT(E245:J245,_XtX!$B$44:$G$49),E245:J245)</f>
        <v>0.348094019396552</v>
      </c>
      <c r="M245" s="0" t="n">
        <f aca="false">04_回帰ANOVA!$K$19*04_回帰ANOVA!$K$14*SQRT(1+L245)</f>
        <v>1.57339100619499</v>
      </c>
      <c r="N245" s="0" t="n">
        <f aca="false">K245-M245</f>
        <v>43.8754775282878</v>
      </c>
      <c r="O245" s="0" t="n">
        <f aca="false">K245+M245</f>
        <v>47.0222595406777</v>
      </c>
      <c r="P245" s="54" t="b">
        <f aca="false">AND(C245&gt;=01_因子設定!$L$5-0.000000001,C245&lt;=01_因子設定!$M$5+0.000000001,D245&gt;=01_因子設定!$L$6-0.000000001,D245&lt;=01_因子設定!$M$6+0.000000001,IF(01_因子設定!$B$20="Box-Behnken",C245^2+D245^2&lt;=2+0.000000001,TRUE()))</f>
        <v>1</v>
      </c>
      <c r="Q245" s="55" t="n">
        <f aca="false">IF(P245,IF(01_因子設定!$B$13="最大化",N245-01_因子設定!$B$14,IF(01_因子設定!$B$13="最小化",01_因子設定!$B$15-O245,MIN(N245-01_因子設定!$B$14,01_因子設定!$B$15-O245))),-1E+030)</f>
        <v>-2.62452247171224</v>
      </c>
      <c r="R245" s="55" t="n">
        <f aca="false">IF(P245,IF(01_因子設定!$B$13="最大化",K245,IF(01_因子設定!$B$13="最小化",-K245,-ABS(K245-01_因子設定!$B$16))),-1E+030)</f>
        <v>45.4488685344828</v>
      </c>
      <c r="S245" s="55" t="n">
        <f aca="false">Q245+ROW()*0.000000001</f>
        <v>-2.62452222671224</v>
      </c>
      <c r="T245" s="55" t="n">
        <f aca="false">R245+ROW()*0.000000001</f>
        <v>45.4488687794828</v>
      </c>
    </row>
    <row r="246" customFormat="false" ht="15" hidden="false" customHeight="false" outlineLevel="0" collapsed="false">
      <c r="A246" s="0" t="n">
        <v>5</v>
      </c>
      <c r="B246" s="0" t="n">
        <v>36</v>
      </c>
      <c r="C246" s="0" t="n">
        <f aca="false">-1+A246*0.05</f>
        <v>-0.75</v>
      </c>
      <c r="D246" s="0" t="n">
        <f aca="false">-1+B246*0.05</f>
        <v>0.8</v>
      </c>
      <c r="E246" s="0" t="n">
        <f aca="false">1</f>
        <v>1</v>
      </c>
      <c r="F246" s="0" t="n">
        <f aca="false">C246</f>
        <v>-0.75</v>
      </c>
      <c r="G246" s="0" t="n">
        <f aca="false">D246</f>
        <v>0.8</v>
      </c>
      <c r="H246" s="0" t="n">
        <f aca="false">C246*D246</f>
        <v>-0.6</v>
      </c>
      <c r="I246" s="0" t="n">
        <f aca="false">C246*C246</f>
        <v>0.5625</v>
      </c>
      <c r="J246" s="0" t="n">
        <f aca="false">D246*D246</f>
        <v>0.64</v>
      </c>
      <c r="K246" s="0" t="n">
        <f aca="false">SUMPRODUCT(E246:J246,_XtX!$B$53:$G$53)</f>
        <v>45.4220905172414</v>
      </c>
      <c r="L246" s="0" t="n">
        <f aca="false">SUMPRODUCT(MMULT(E246:J246,_XtX!$B$44:$G$49),E246:J246)</f>
        <v>0.377591343390805</v>
      </c>
      <c r="M246" s="0" t="n">
        <f aca="false">04_回帰ANOVA!$K$19*04_回帰ANOVA!$K$14*SQRT(1+L246)</f>
        <v>1.59051135820975</v>
      </c>
      <c r="N246" s="0" t="n">
        <f aca="false">K246-M246</f>
        <v>43.8315791590316</v>
      </c>
      <c r="O246" s="0" t="n">
        <f aca="false">K246+M246</f>
        <v>47.0126018754511</v>
      </c>
      <c r="P246" s="54" t="b">
        <f aca="false">AND(C246&gt;=01_因子設定!$L$5-0.000000001,C246&lt;=01_因子設定!$M$5+0.000000001,D246&gt;=01_因子設定!$L$6-0.000000001,D246&lt;=01_因子設定!$M$6+0.000000001,IF(01_因子設定!$B$20="Box-Behnken",C246^2+D246^2&lt;=2+0.000000001,TRUE()))</f>
        <v>1</v>
      </c>
      <c r="Q246" s="55" t="n">
        <f aca="false">IF(P246,IF(01_因子設定!$B$13="最大化",N246-01_因子設定!$B$14,IF(01_因子設定!$B$13="最小化",01_因子設定!$B$15-O246,MIN(N246-01_因子設定!$B$14,01_因子設定!$B$15-O246))),-1E+030)</f>
        <v>-2.66842084096839</v>
      </c>
      <c r="R246" s="55" t="n">
        <f aca="false">IF(P246,IF(01_因子設定!$B$13="最大化",K246,IF(01_因子設定!$B$13="最小化",-K246,-ABS(K246-01_因子設定!$B$16))),-1E+030)</f>
        <v>45.4220905172414</v>
      </c>
      <c r="S246" s="55" t="n">
        <f aca="false">Q246+ROW()*0.000000001</f>
        <v>-2.66842059496839</v>
      </c>
      <c r="T246" s="55" t="n">
        <f aca="false">R246+ROW()*0.000000001</f>
        <v>45.4220907632414</v>
      </c>
    </row>
    <row r="247" customFormat="false" ht="15" hidden="false" customHeight="false" outlineLevel="0" collapsed="false">
      <c r="A247" s="0" t="n">
        <v>5</v>
      </c>
      <c r="B247" s="0" t="n">
        <v>37</v>
      </c>
      <c r="C247" s="0" t="n">
        <f aca="false">-1+A247*0.05</f>
        <v>-0.75</v>
      </c>
      <c r="D247" s="0" t="n">
        <f aca="false">-1+B247*0.05</f>
        <v>0.85</v>
      </c>
      <c r="E247" s="0" t="n">
        <f aca="false">1</f>
        <v>1</v>
      </c>
      <c r="F247" s="0" t="n">
        <f aca="false">C247</f>
        <v>-0.75</v>
      </c>
      <c r="G247" s="0" t="n">
        <f aca="false">D247</f>
        <v>0.85</v>
      </c>
      <c r="H247" s="0" t="n">
        <f aca="false">C247*D247</f>
        <v>-0.6375</v>
      </c>
      <c r="I247" s="0" t="n">
        <f aca="false">C247*C247</f>
        <v>0.5625</v>
      </c>
      <c r="J247" s="0" t="n">
        <f aca="false">D247*D247</f>
        <v>0.7225</v>
      </c>
      <c r="K247" s="0" t="n">
        <f aca="false">SUMPRODUCT(E247:J247,_XtX!$B$53:$G$53)</f>
        <v>45.3875969827586</v>
      </c>
      <c r="L247" s="0" t="n">
        <f aca="false">SUMPRODUCT(MMULT(E247:J247,_XtX!$B$44:$G$49),E247:J247)</f>
        <v>0.413771030890805</v>
      </c>
      <c r="M247" s="0" t="n">
        <f aca="false">04_回帰ANOVA!$K$19*04_回帰ANOVA!$K$14*SQRT(1+L247)</f>
        <v>1.61126180232603</v>
      </c>
      <c r="N247" s="0" t="n">
        <f aca="false">K247-M247</f>
        <v>43.7763351804326</v>
      </c>
      <c r="O247" s="0" t="n">
        <f aca="false">K247+M247</f>
        <v>46.9988587850846</v>
      </c>
      <c r="P247" s="54" t="b">
        <f aca="false">AND(C247&gt;=01_因子設定!$L$5-0.000000001,C247&lt;=01_因子設定!$M$5+0.000000001,D247&gt;=01_因子設定!$L$6-0.000000001,D247&lt;=01_因子設定!$M$6+0.000000001,IF(01_因子設定!$B$20="Box-Behnken",C247^2+D247^2&lt;=2+0.000000001,TRUE()))</f>
        <v>1</v>
      </c>
      <c r="Q247" s="55" t="n">
        <f aca="false">IF(P247,IF(01_因子設定!$B$13="最大化",N247-01_因子設定!$B$14,IF(01_因子設定!$B$13="最小化",01_因子設定!$B$15-O247,MIN(N247-01_因子設定!$B$14,01_因子設定!$B$15-O247))),-1E+030)</f>
        <v>-2.72366481956742</v>
      </c>
      <c r="R247" s="55" t="n">
        <f aca="false">IF(P247,IF(01_因子設定!$B$13="最大化",K247,IF(01_因子設定!$B$13="最小化",-K247,-ABS(K247-01_因子設定!$B$16))),-1E+030)</f>
        <v>45.3875969827586</v>
      </c>
      <c r="S247" s="55" t="n">
        <f aca="false">Q247+ROW()*0.000000001</f>
        <v>-2.72366457256742</v>
      </c>
      <c r="T247" s="55" t="n">
        <f aca="false">R247+ROW()*0.000000001</f>
        <v>45.3875972297586</v>
      </c>
    </row>
    <row r="248" customFormat="false" ht="15" hidden="false" customHeight="false" outlineLevel="0" collapsed="false">
      <c r="A248" s="0" t="n">
        <v>5</v>
      </c>
      <c r="B248" s="0" t="n">
        <v>38</v>
      </c>
      <c r="C248" s="0" t="n">
        <f aca="false">-1+A248*0.05</f>
        <v>-0.75</v>
      </c>
      <c r="D248" s="0" t="n">
        <f aca="false">-1+B248*0.05</f>
        <v>0.9</v>
      </c>
      <c r="E248" s="0" t="n">
        <f aca="false">1</f>
        <v>1</v>
      </c>
      <c r="F248" s="0" t="n">
        <f aca="false">C248</f>
        <v>-0.75</v>
      </c>
      <c r="G248" s="0" t="n">
        <f aca="false">D248</f>
        <v>0.9</v>
      </c>
      <c r="H248" s="0" t="n">
        <f aca="false">C248*D248</f>
        <v>-0.675</v>
      </c>
      <c r="I248" s="0" t="n">
        <f aca="false">C248*C248</f>
        <v>0.5625</v>
      </c>
      <c r="J248" s="0" t="n">
        <f aca="false">D248*D248</f>
        <v>0.81</v>
      </c>
      <c r="K248" s="0" t="n">
        <f aca="false">SUMPRODUCT(E248:J248,_XtX!$B$53:$G$53)</f>
        <v>45.3453879310345</v>
      </c>
      <c r="L248" s="0" t="n">
        <f aca="false">SUMPRODUCT(MMULT(E248:J248,_XtX!$B$44:$G$49),E248:J248)</f>
        <v>0.457529202586207</v>
      </c>
      <c r="M248" s="0" t="n">
        <f aca="false">04_回帰ANOVA!$K$19*04_回帰ANOVA!$K$14*SQRT(1+L248)</f>
        <v>1.63600717784344</v>
      </c>
      <c r="N248" s="0" t="n">
        <f aca="false">K248-M248</f>
        <v>43.709380753191</v>
      </c>
      <c r="O248" s="0" t="n">
        <f aca="false">K248+M248</f>
        <v>46.9813951088779</v>
      </c>
      <c r="P248" s="54" t="b">
        <f aca="false">AND(C248&gt;=01_因子設定!$L$5-0.000000001,C248&lt;=01_因子設定!$M$5+0.000000001,D248&gt;=01_因子設定!$L$6-0.000000001,D248&lt;=01_因子設定!$M$6+0.000000001,IF(01_因子設定!$B$20="Box-Behnken",C248^2+D248^2&lt;=2+0.000000001,TRUE()))</f>
        <v>1</v>
      </c>
      <c r="Q248" s="55" t="n">
        <f aca="false">IF(P248,IF(01_因子設定!$B$13="最大化",N248-01_因子設定!$B$14,IF(01_因子設定!$B$13="最小化",01_因子設定!$B$15-O248,MIN(N248-01_因子設定!$B$14,01_因子設定!$B$15-O248))),-1E+030)</f>
        <v>-2.79061924680897</v>
      </c>
      <c r="R248" s="55" t="n">
        <f aca="false">IF(P248,IF(01_因子設定!$B$13="最大化",K248,IF(01_因子設定!$B$13="最小化",-K248,-ABS(K248-01_因子設定!$B$16))),-1E+030)</f>
        <v>45.3453879310345</v>
      </c>
      <c r="S248" s="55" t="n">
        <f aca="false">Q248+ROW()*0.000000001</f>
        <v>-2.79061899880897</v>
      </c>
      <c r="T248" s="55" t="n">
        <f aca="false">R248+ROW()*0.000000001</f>
        <v>45.3453881790345</v>
      </c>
    </row>
    <row r="249" customFormat="false" ht="15" hidden="false" customHeight="false" outlineLevel="0" collapsed="false">
      <c r="A249" s="0" t="n">
        <v>5</v>
      </c>
      <c r="B249" s="0" t="n">
        <v>39</v>
      </c>
      <c r="C249" s="0" t="n">
        <f aca="false">-1+A249*0.05</f>
        <v>-0.75</v>
      </c>
      <c r="D249" s="0" t="n">
        <f aca="false">-1+B249*0.05</f>
        <v>0.95</v>
      </c>
      <c r="E249" s="0" t="n">
        <f aca="false">1</f>
        <v>1</v>
      </c>
      <c r="F249" s="0" t="n">
        <f aca="false">C249</f>
        <v>-0.75</v>
      </c>
      <c r="G249" s="0" t="n">
        <f aca="false">D249</f>
        <v>0.95</v>
      </c>
      <c r="H249" s="0" t="n">
        <f aca="false">C249*D249</f>
        <v>-0.7125</v>
      </c>
      <c r="I249" s="0" t="n">
        <f aca="false">C249*C249</f>
        <v>0.5625</v>
      </c>
      <c r="J249" s="0" t="n">
        <f aca="false">D249*D249</f>
        <v>0.9025</v>
      </c>
      <c r="K249" s="0" t="n">
        <f aca="false">SUMPRODUCT(E249:J249,_XtX!$B$53:$G$53)</f>
        <v>45.295463362069</v>
      </c>
      <c r="L249" s="0" t="n">
        <f aca="false">SUMPRODUCT(MMULT(E249:J249,_XtX!$B$44:$G$49),E249:J249)</f>
        <v>0.509816289511494</v>
      </c>
      <c r="M249" s="0" t="n">
        <f aca="false">04_回帰ANOVA!$K$19*04_回帰ANOVA!$K$14*SQRT(1+L249)</f>
        <v>1.66509350076304</v>
      </c>
      <c r="N249" s="0" t="n">
        <f aca="false">K249-M249</f>
        <v>43.6303698613059</v>
      </c>
      <c r="O249" s="0" t="n">
        <f aca="false">K249+M249</f>
        <v>46.960556862832</v>
      </c>
      <c r="P249" s="54" t="b">
        <f aca="false">AND(C249&gt;=01_因子設定!$L$5-0.000000001,C249&lt;=01_因子設定!$M$5+0.000000001,D249&gt;=01_因子設定!$L$6-0.000000001,D249&lt;=01_因子設定!$M$6+0.000000001,IF(01_因子設定!$B$20="Box-Behnken",C249^2+D249^2&lt;=2+0.000000001,TRUE()))</f>
        <v>1</v>
      </c>
      <c r="Q249" s="55" t="n">
        <f aca="false">IF(P249,IF(01_因子設定!$B$13="最大化",N249-01_因子設定!$B$14,IF(01_因子設定!$B$13="最小化",01_因子設定!$B$15-O249,MIN(N249-01_因子設定!$B$14,01_因子設定!$B$15-O249))),-1E+030)</f>
        <v>-2.86963013869408</v>
      </c>
      <c r="R249" s="55" t="n">
        <f aca="false">IF(P249,IF(01_因子設定!$B$13="最大化",K249,IF(01_因子設定!$B$13="最小化",-K249,-ABS(K249-01_因子設定!$B$16))),-1E+030)</f>
        <v>45.295463362069</v>
      </c>
      <c r="S249" s="55" t="n">
        <f aca="false">Q249+ROW()*0.000000001</f>
        <v>-2.86962988969408</v>
      </c>
      <c r="T249" s="55" t="n">
        <f aca="false">R249+ROW()*0.000000001</f>
        <v>45.295463611069</v>
      </c>
    </row>
    <row r="250" customFormat="false" ht="15" hidden="false" customHeight="false" outlineLevel="0" collapsed="false">
      <c r="A250" s="0" t="n">
        <v>5</v>
      </c>
      <c r="B250" s="0" t="n">
        <v>40</v>
      </c>
      <c r="C250" s="0" t="n">
        <f aca="false">-1+A250*0.05</f>
        <v>-0.75</v>
      </c>
      <c r="D250" s="0" t="n">
        <f aca="false">-1+B250*0.05</f>
        <v>1</v>
      </c>
      <c r="E250" s="0" t="n">
        <f aca="false">1</f>
        <v>1</v>
      </c>
      <c r="F250" s="0" t="n">
        <f aca="false">C250</f>
        <v>-0.75</v>
      </c>
      <c r="G250" s="0" t="n">
        <f aca="false">D250</f>
        <v>1</v>
      </c>
      <c r="H250" s="0" t="n">
        <f aca="false">C250*D250</f>
        <v>-0.75</v>
      </c>
      <c r="I250" s="0" t="n">
        <f aca="false">C250*C250</f>
        <v>0.5625</v>
      </c>
      <c r="J250" s="0" t="n">
        <f aca="false">D250*D250</f>
        <v>1</v>
      </c>
      <c r="K250" s="0" t="n">
        <f aca="false">SUMPRODUCT(E250:J250,_XtX!$B$53:$G$53)</f>
        <v>45.2378232758621</v>
      </c>
      <c r="L250" s="0" t="n">
        <f aca="false">SUMPRODUCT(MMULT(E250:J250,_XtX!$B$44:$G$49),E250:J250)</f>
        <v>0.571637033045977</v>
      </c>
      <c r="M250" s="0" t="n">
        <f aca="false">04_回帰ANOVA!$K$19*04_回帰ANOVA!$K$14*SQRT(1+L250)</f>
        <v>1.69884086471256</v>
      </c>
      <c r="N250" s="0" t="n">
        <f aca="false">K250-M250</f>
        <v>43.5389824111495</v>
      </c>
      <c r="O250" s="0" t="n">
        <f aca="false">K250+M250</f>
        <v>46.9366641405746</v>
      </c>
      <c r="P250" s="54" t="b">
        <f aca="false">AND(C250&gt;=01_因子設定!$L$5-0.000000001,C250&lt;=01_因子設定!$M$5+0.000000001,D250&gt;=01_因子設定!$L$6-0.000000001,D250&lt;=01_因子設定!$M$6+0.000000001,IF(01_因子設定!$B$20="Box-Behnken",C250^2+D250^2&lt;=2+0.000000001,TRUE()))</f>
        <v>1</v>
      </c>
      <c r="Q250" s="55" t="n">
        <f aca="false">IF(P250,IF(01_因子設定!$B$13="最大化",N250-01_因子設定!$B$14,IF(01_因子設定!$B$13="最小化",01_因子設定!$B$15-O250,MIN(N250-01_因子設定!$B$14,01_因子設定!$B$15-O250))),-1E+030)</f>
        <v>-2.9610175888505</v>
      </c>
      <c r="R250" s="55" t="n">
        <f aca="false">IF(P250,IF(01_因子設定!$B$13="最大化",K250,IF(01_因子設定!$B$13="最小化",-K250,-ABS(K250-01_因子設定!$B$16))),-1E+030)</f>
        <v>45.2378232758621</v>
      </c>
      <c r="S250" s="55" t="n">
        <f aca="false">Q250+ROW()*0.000000001</f>
        <v>-2.9610173388505</v>
      </c>
      <c r="T250" s="55" t="n">
        <f aca="false">R250+ROW()*0.000000001</f>
        <v>45.2378235258621</v>
      </c>
    </row>
    <row r="251" customFormat="false" ht="15" hidden="false" customHeight="false" outlineLevel="0" collapsed="false">
      <c r="A251" s="0" t="n">
        <v>6</v>
      </c>
      <c r="B251" s="0" t="n">
        <v>0</v>
      </c>
      <c r="C251" s="0" t="n">
        <f aca="false">-1+A251*0.05</f>
        <v>-0.7</v>
      </c>
      <c r="D251" s="0" t="n">
        <f aca="false">-1+B251*0.05</f>
        <v>-1</v>
      </c>
      <c r="E251" s="0" t="n">
        <f aca="false">1</f>
        <v>1</v>
      </c>
      <c r="F251" s="0" t="n">
        <f aca="false">C251</f>
        <v>-0.7</v>
      </c>
      <c r="G251" s="0" t="n">
        <f aca="false">D251</f>
        <v>-1</v>
      </c>
      <c r="H251" s="0" t="n">
        <f aca="false">C251*D251</f>
        <v>0.7</v>
      </c>
      <c r="I251" s="0" t="n">
        <f aca="false">C251*C251</f>
        <v>0.49</v>
      </c>
      <c r="J251" s="0" t="n">
        <f aca="false">D251*D251</f>
        <v>1</v>
      </c>
      <c r="K251" s="0" t="n">
        <f aca="false">SUMPRODUCT(E251:J251,_XtX!$B$53:$G$53)</f>
        <v>41.8037816091954</v>
      </c>
      <c r="L251" s="0" t="n">
        <f aca="false">SUMPRODUCT(MMULT(E251:J251,_XtX!$B$44:$G$49),E251:J251)</f>
        <v>0.548800574712644</v>
      </c>
      <c r="M251" s="0" t="n">
        <f aca="false">04_回帰ANOVA!$K$19*04_回帰ANOVA!$K$14*SQRT(1+L251)</f>
        <v>1.68645331298059</v>
      </c>
      <c r="N251" s="0" t="n">
        <f aca="false">K251-M251</f>
        <v>40.1173282962148</v>
      </c>
      <c r="O251" s="0" t="n">
        <f aca="false">K251+M251</f>
        <v>43.490234922176</v>
      </c>
      <c r="P251" s="54" t="b">
        <f aca="false">AND(C251&gt;=01_因子設定!$L$5-0.000000001,C251&lt;=01_因子設定!$M$5+0.000000001,D251&gt;=01_因子設定!$L$6-0.000000001,D251&lt;=01_因子設定!$M$6+0.000000001,IF(01_因子設定!$B$20="Box-Behnken",C251^2+D251^2&lt;=2+0.000000001,TRUE()))</f>
        <v>1</v>
      </c>
      <c r="Q251" s="55" t="n">
        <f aca="false">IF(P251,IF(01_因子設定!$B$13="最大化",N251-01_因子設定!$B$14,IF(01_因子設定!$B$13="最小化",01_因子設定!$B$15-O251,MIN(N251-01_因子設定!$B$14,01_因子設定!$B$15-O251))),-1E+030)</f>
        <v>-6.38267170378519</v>
      </c>
      <c r="R251" s="55" t="n">
        <f aca="false">IF(P251,IF(01_因子設定!$B$13="最大化",K251,IF(01_因子設定!$B$13="最小化",-K251,-ABS(K251-01_因子設定!$B$16))),-1E+030)</f>
        <v>41.8037816091954</v>
      </c>
      <c r="S251" s="55" t="n">
        <f aca="false">Q251+ROW()*0.000000001</f>
        <v>-6.38267145278519</v>
      </c>
      <c r="T251" s="55" t="n">
        <f aca="false">R251+ROW()*0.000000001</f>
        <v>41.8037818601954</v>
      </c>
    </row>
    <row r="252" customFormat="false" ht="15" hidden="false" customHeight="false" outlineLevel="0" collapsed="false">
      <c r="A252" s="0" t="n">
        <v>6</v>
      </c>
      <c r="B252" s="0" t="n">
        <v>1</v>
      </c>
      <c r="C252" s="0" t="n">
        <f aca="false">-1+A252*0.05</f>
        <v>-0.7</v>
      </c>
      <c r="D252" s="0" t="n">
        <f aca="false">-1+B252*0.05</f>
        <v>-0.95</v>
      </c>
      <c r="E252" s="0" t="n">
        <f aca="false">1</f>
        <v>1</v>
      </c>
      <c r="F252" s="0" t="n">
        <f aca="false">C252</f>
        <v>-0.7</v>
      </c>
      <c r="G252" s="0" t="n">
        <f aca="false">D252</f>
        <v>-0.95</v>
      </c>
      <c r="H252" s="0" t="n">
        <f aca="false">C252*D252</f>
        <v>0.665</v>
      </c>
      <c r="I252" s="0" t="n">
        <f aca="false">C252*C252</f>
        <v>0.49</v>
      </c>
      <c r="J252" s="0" t="n">
        <f aca="false">D252*D252</f>
        <v>0.9025</v>
      </c>
      <c r="K252" s="0" t="n">
        <f aca="false">SUMPRODUCT(E252:J252,_XtX!$B$53:$G$53)</f>
        <v>42.0483591954023</v>
      </c>
      <c r="L252" s="0" t="n">
        <f aca="false">SUMPRODUCT(MMULT(E252:J252,_XtX!$B$44:$G$49),E252:J252)</f>
        <v>0.486797018678161</v>
      </c>
      <c r="M252" s="0" t="n">
        <f aca="false">04_回帰ANOVA!$K$19*04_回帰ANOVA!$K$14*SQRT(1+L252)</f>
        <v>1.65235140136234</v>
      </c>
      <c r="N252" s="0" t="n">
        <f aca="false">K252-M252</f>
        <v>40.39600779404</v>
      </c>
      <c r="O252" s="0" t="n">
        <f aca="false">K252+M252</f>
        <v>43.7007105967646</v>
      </c>
      <c r="P252" s="54" t="b">
        <f aca="false">AND(C252&gt;=01_因子設定!$L$5-0.000000001,C252&lt;=01_因子設定!$M$5+0.000000001,D252&gt;=01_因子設定!$L$6-0.000000001,D252&lt;=01_因子設定!$M$6+0.000000001,IF(01_因子設定!$B$20="Box-Behnken",C252^2+D252^2&lt;=2+0.000000001,TRUE()))</f>
        <v>1</v>
      </c>
      <c r="Q252" s="55" t="n">
        <f aca="false">IF(P252,IF(01_因子設定!$B$13="最大化",N252-01_因子設定!$B$14,IF(01_因子設定!$B$13="最小化",01_因子設定!$B$15-O252,MIN(N252-01_因子設定!$B$14,01_因子設定!$B$15-O252))),-1E+030)</f>
        <v>-6.10399220596005</v>
      </c>
      <c r="R252" s="55" t="n">
        <f aca="false">IF(P252,IF(01_因子設定!$B$13="最大化",K252,IF(01_因子設定!$B$13="最小化",-K252,-ABS(K252-01_因子設定!$B$16))),-1E+030)</f>
        <v>42.0483591954023</v>
      </c>
      <c r="S252" s="55" t="n">
        <f aca="false">Q252+ROW()*0.000000001</f>
        <v>-6.10399195396005</v>
      </c>
      <c r="T252" s="55" t="n">
        <f aca="false">R252+ROW()*0.000000001</f>
        <v>42.0483594474023</v>
      </c>
    </row>
    <row r="253" customFormat="false" ht="15" hidden="false" customHeight="false" outlineLevel="0" collapsed="false">
      <c r="A253" s="0" t="n">
        <v>6</v>
      </c>
      <c r="B253" s="0" t="n">
        <v>2</v>
      </c>
      <c r="C253" s="0" t="n">
        <f aca="false">-1+A253*0.05</f>
        <v>-0.7</v>
      </c>
      <c r="D253" s="0" t="n">
        <f aca="false">-1+B253*0.05</f>
        <v>-0.9</v>
      </c>
      <c r="E253" s="0" t="n">
        <f aca="false">1</f>
        <v>1</v>
      </c>
      <c r="F253" s="0" t="n">
        <f aca="false">C253</f>
        <v>-0.7</v>
      </c>
      <c r="G253" s="0" t="n">
        <f aca="false">D253</f>
        <v>-0.9</v>
      </c>
      <c r="H253" s="0" t="n">
        <f aca="false">C253*D253</f>
        <v>0.63</v>
      </c>
      <c r="I253" s="0" t="n">
        <f aca="false">C253*C253</f>
        <v>0.49</v>
      </c>
      <c r="J253" s="0" t="n">
        <f aca="false">D253*D253</f>
        <v>0.81</v>
      </c>
      <c r="K253" s="0" t="n">
        <f aca="false">SUMPRODUCT(E253:J253,_XtX!$B$53:$G$53)</f>
        <v>42.2852212643678</v>
      </c>
      <c r="L253" s="0" t="n">
        <f aca="false">SUMPRODUCT(MMULT(E253:J253,_XtX!$B$44:$G$49),E253:J253)</f>
        <v>0.434336494252874</v>
      </c>
      <c r="M253" s="0" t="n">
        <f aca="false">04_回帰ANOVA!$K$19*04_回帰ANOVA!$K$14*SQRT(1+L253)</f>
        <v>1.62293862576512</v>
      </c>
      <c r="N253" s="0" t="n">
        <f aca="false">K253-M253</f>
        <v>40.6622826386027</v>
      </c>
      <c r="O253" s="0" t="n">
        <f aca="false">K253+M253</f>
        <v>43.9081598901329</v>
      </c>
      <c r="P253" s="54" t="b">
        <f aca="false">AND(C253&gt;=01_因子設定!$L$5-0.000000001,C253&lt;=01_因子設定!$M$5+0.000000001,D253&gt;=01_因子設定!$L$6-0.000000001,D253&lt;=01_因子設定!$M$6+0.000000001,IF(01_因子設定!$B$20="Box-Behnken",C253^2+D253^2&lt;=2+0.000000001,TRUE()))</f>
        <v>1</v>
      </c>
      <c r="Q253" s="55" t="n">
        <f aca="false">IF(P253,IF(01_因子設定!$B$13="最大化",N253-01_因子設定!$B$14,IF(01_因子設定!$B$13="最小化",01_因子設定!$B$15-O253,MIN(N253-01_因子設定!$B$14,01_因子設定!$B$15-O253))),-1E+030)</f>
        <v>-5.83771736139731</v>
      </c>
      <c r="R253" s="55" t="n">
        <f aca="false">IF(P253,IF(01_因子設定!$B$13="最大化",K253,IF(01_因子設定!$B$13="最小化",-K253,-ABS(K253-01_因子設定!$B$16))),-1E+030)</f>
        <v>42.2852212643678</v>
      </c>
      <c r="S253" s="55" t="n">
        <f aca="false">Q253+ROW()*0.000000001</f>
        <v>-5.83771710839731</v>
      </c>
      <c r="T253" s="55" t="n">
        <f aca="false">R253+ROW()*0.000000001</f>
        <v>42.2852215173678</v>
      </c>
    </row>
    <row r="254" customFormat="false" ht="15" hidden="false" customHeight="false" outlineLevel="0" collapsed="false">
      <c r="A254" s="0" t="n">
        <v>6</v>
      </c>
      <c r="B254" s="0" t="n">
        <v>3</v>
      </c>
      <c r="C254" s="0" t="n">
        <f aca="false">-1+A254*0.05</f>
        <v>-0.7</v>
      </c>
      <c r="D254" s="0" t="n">
        <f aca="false">-1+B254*0.05</f>
        <v>-0.85</v>
      </c>
      <c r="E254" s="0" t="n">
        <f aca="false">1</f>
        <v>1</v>
      </c>
      <c r="F254" s="0" t="n">
        <f aca="false">C254</f>
        <v>-0.7</v>
      </c>
      <c r="G254" s="0" t="n">
        <f aca="false">D254</f>
        <v>-0.85</v>
      </c>
      <c r="H254" s="0" t="n">
        <f aca="false">C254*D254</f>
        <v>0.595</v>
      </c>
      <c r="I254" s="0" t="n">
        <f aca="false">C254*C254</f>
        <v>0.49</v>
      </c>
      <c r="J254" s="0" t="n">
        <f aca="false">D254*D254</f>
        <v>0.7225</v>
      </c>
      <c r="K254" s="0" t="n">
        <f aca="false">SUMPRODUCT(E254:J254,_XtX!$B$53:$G$53)</f>
        <v>42.514367816092</v>
      </c>
      <c r="L254" s="0" t="n">
        <f aca="false">SUMPRODUCT(MMULT(E254:J254,_XtX!$B$44:$G$49),E254:J254)</f>
        <v>0.390414260057471</v>
      </c>
      <c r="M254" s="0" t="n">
        <f aca="false">04_回帰ANOVA!$K$19*04_回帰ANOVA!$K$14*SQRT(1+L254)</f>
        <v>1.59789662309984</v>
      </c>
      <c r="N254" s="0" t="n">
        <f aca="false">K254-M254</f>
        <v>40.9164711929921</v>
      </c>
      <c r="O254" s="0" t="n">
        <f aca="false">K254+M254</f>
        <v>44.1122644391918</v>
      </c>
      <c r="P254" s="54" t="b">
        <f aca="false">AND(C254&gt;=01_因子設定!$L$5-0.000000001,C254&lt;=01_因子設定!$M$5+0.000000001,D254&gt;=01_因子設定!$L$6-0.000000001,D254&lt;=01_因子設定!$M$6+0.000000001,IF(01_因子設定!$B$20="Box-Behnken",C254^2+D254^2&lt;=2+0.000000001,TRUE()))</f>
        <v>1</v>
      </c>
      <c r="Q254" s="55" t="n">
        <f aca="false">IF(P254,IF(01_因子設定!$B$13="最大化",N254-01_因子設定!$B$14,IF(01_因子設定!$B$13="最小化",01_因子設定!$B$15-O254,MIN(N254-01_因子設定!$B$14,01_因子設定!$B$15-O254))),-1E+030)</f>
        <v>-5.58352880700789</v>
      </c>
      <c r="R254" s="55" t="n">
        <f aca="false">IF(P254,IF(01_因子設定!$B$13="最大化",K254,IF(01_因子設定!$B$13="最小化",-K254,-ABS(K254-01_因子設定!$B$16))),-1E+030)</f>
        <v>42.514367816092</v>
      </c>
      <c r="S254" s="55" t="n">
        <f aca="false">Q254+ROW()*0.000000001</f>
        <v>-5.58352855300789</v>
      </c>
      <c r="T254" s="55" t="n">
        <f aca="false">R254+ROW()*0.000000001</f>
        <v>42.514368070092</v>
      </c>
    </row>
    <row r="255" customFormat="false" ht="15" hidden="false" customHeight="false" outlineLevel="0" collapsed="false">
      <c r="A255" s="0" t="n">
        <v>6</v>
      </c>
      <c r="B255" s="0" t="n">
        <v>4</v>
      </c>
      <c r="C255" s="0" t="n">
        <f aca="false">-1+A255*0.05</f>
        <v>-0.7</v>
      </c>
      <c r="D255" s="0" t="n">
        <f aca="false">-1+B255*0.05</f>
        <v>-0.8</v>
      </c>
      <c r="E255" s="0" t="n">
        <f aca="false">1</f>
        <v>1</v>
      </c>
      <c r="F255" s="0" t="n">
        <f aca="false">C255</f>
        <v>-0.7</v>
      </c>
      <c r="G255" s="0" t="n">
        <f aca="false">D255</f>
        <v>-0.8</v>
      </c>
      <c r="H255" s="0" t="n">
        <f aca="false">C255*D255</f>
        <v>0.56</v>
      </c>
      <c r="I255" s="0" t="n">
        <f aca="false">C255*C255</f>
        <v>0.49</v>
      </c>
      <c r="J255" s="0" t="n">
        <f aca="false">D255*D255</f>
        <v>0.64</v>
      </c>
      <c r="K255" s="0" t="n">
        <f aca="false">SUMPRODUCT(E255:J255,_XtX!$B$53:$G$53)</f>
        <v>42.7357988505747</v>
      </c>
      <c r="L255" s="0" t="n">
        <f aca="false">SUMPRODUCT(MMULT(E255:J255,_XtX!$B$44:$G$49),E255:J255)</f>
        <v>0.354079885057471</v>
      </c>
      <c r="M255" s="0" t="n">
        <f aca="false">04_回帰ANOVA!$K$19*04_回帰ANOVA!$K$14*SQRT(1+L255)</f>
        <v>1.57688025677174</v>
      </c>
      <c r="N255" s="0" t="n">
        <f aca="false">K255-M255</f>
        <v>41.158918593803</v>
      </c>
      <c r="O255" s="0" t="n">
        <f aca="false">K255+M255</f>
        <v>44.3126791073464</v>
      </c>
      <c r="P255" s="54" t="b">
        <f aca="false">AND(C255&gt;=01_因子設定!$L$5-0.000000001,C255&lt;=01_因子設定!$M$5+0.000000001,D255&gt;=01_因子設定!$L$6-0.000000001,D255&lt;=01_因子設定!$M$6+0.000000001,IF(01_因子設定!$B$20="Box-Behnken",C255^2+D255^2&lt;=2+0.000000001,TRUE()))</f>
        <v>1</v>
      </c>
      <c r="Q255" s="55" t="n">
        <f aca="false">IF(P255,IF(01_因子設定!$B$13="最大化",N255-01_因子設定!$B$14,IF(01_因子設定!$B$13="最小化",01_因子設定!$B$15-O255,MIN(N255-01_因子設定!$B$14,01_因子設定!$B$15-O255))),-1E+030)</f>
        <v>-5.34108140619703</v>
      </c>
      <c r="R255" s="55" t="n">
        <f aca="false">IF(P255,IF(01_因子設定!$B$13="最大化",K255,IF(01_因子設定!$B$13="最小化",-K255,-ABS(K255-01_因子設定!$B$16))),-1E+030)</f>
        <v>42.7357988505747</v>
      </c>
      <c r="S255" s="55" t="n">
        <f aca="false">Q255+ROW()*0.000000001</f>
        <v>-5.34108115119703</v>
      </c>
      <c r="T255" s="55" t="n">
        <f aca="false">R255+ROW()*0.000000001</f>
        <v>42.7357991055747</v>
      </c>
    </row>
    <row r="256" customFormat="false" ht="15" hidden="false" customHeight="false" outlineLevel="0" collapsed="false">
      <c r="A256" s="0" t="n">
        <v>6</v>
      </c>
      <c r="B256" s="0" t="n">
        <v>5</v>
      </c>
      <c r="C256" s="0" t="n">
        <f aca="false">-1+A256*0.05</f>
        <v>-0.7</v>
      </c>
      <c r="D256" s="0" t="n">
        <f aca="false">-1+B256*0.05</f>
        <v>-0.75</v>
      </c>
      <c r="E256" s="0" t="n">
        <f aca="false">1</f>
        <v>1</v>
      </c>
      <c r="F256" s="0" t="n">
        <f aca="false">C256</f>
        <v>-0.7</v>
      </c>
      <c r="G256" s="0" t="n">
        <f aca="false">D256</f>
        <v>-0.75</v>
      </c>
      <c r="H256" s="0" t="n">
        <f aca="false">C256*D256</f>
        <v>0.525</v>
      </c>
      <c r="I256" s="0" t="n">
        <f aca="false">C256*C256</f>
        <v>0.49</v>
      </c>
      <c r="J256" s="0" t="n">
        <f aca="false">D256*D256</f>
        <v>0.5625</v>
      </c>
      <c r="K256" s="0" t="n">
        <f aca="false">SUMPRODUCT(E256:J256,_XtX!$B$53:$G$53)</f>
        <v>42.9495143678161</v>
      </c>
      <c r="L256" s="0" t="n">
        <f aca="false">SUMPRODUCT(MMULT(E256:J256,_XtX!$B$44:$G$49),E256:J256)</f>
        <v>0.324437248563218</v>
      </c>
      <c r="M256" s="0" t="n">
        <f aca="false">04_回帰ANOVA!$K$19*04_回帰ANOVA!$K$14*SQRT(1+L256)</f>
        <v>1.55952472849596</v>
      </c>
      <c r="N256" s="0" t="n">
        <f aca="false">K256-M256</f>
        <v>41.3899896393201</v>
      </c>
      <c r="O256" s="0" t="n">
        <f aca="false">K256+M256</f>
        <v>44.5090390963121</v>
      </c>
      <c r="P256" s="54" t="b">
        <f aca="false">AND(C256&gt;=01_因子設定!$L$5-0.000000001,C256&lt;=01_因子設定!$M$5+0.000000001,D256&gt;=01_因子設定!$L$6-0.000000001,D256&lt;=01_因子設定!$M$6+0.000000001,IF(01_因子設定!$B$20="Box-Behnken",C256^2+D256^2&lt;=2+0.000000001,TRUE()))</f>
        <v>1</v>
      </c>
      <c r="Q256" s="55" t="n">
        <f aca="false">IF(P256,IF(01_因子設定!$B$13="最大化",N256-01_因子設定!$B$14,IF(01_因子設定!$B$13="最小化",01_因子設定!$B$15-O256,MIN(N256-01_因子設定!$B$14,01_因子設定!$B$15-O256))),-1E+030)</f>
        <v>-5.11001036067988</v>
      </c>
      <c r="R256" s="55" t="n">
        <f aca="false">IF(P256,IF(01_因子設定!$B$13="最大化",K256,IF(01_因子設定!$B$13="最小化",-K256,-ABS(K256-01_因子設定!$B$16))),-1E+030)</f>
        <v>42.9495143678161</v>
      </c>
      <c r="S256" s="55" t="n">
        <f aca="false">Q256+ROW()*0.000000001</f>
        <v>-5.11001010467988</v>
      </c>
      <c r="T256" s="55" t="n">
        <f aca="false">R256+ROW()*0.000000001</f>
        <v>42.9495146238161</v>
      </c>
    </row>
    <row r="257" customFormat="false" ht="15" hidden="false" customHeight="false" outlineLevel="0" collapsed="false">
      <c r="A257" s="0" t="n">
        <v>6</v>
      </c>
      <c r="B257" s="0" t="n">
        <v>6</v>
      </c>
      <c r="C257" s="0" t="n">
        <f aca="false">-1+A257*0.05</f>
        <v>-0.7</v>
      </c>
      <c r="D257" s="0" t="n">
        <f aca="false">-1+B257*0.05</f>
        <v>-0.7</v>
      </c>
      <c r="E257" s="0" t="n">
        <f aca="false">1</f>
        <v>1</v>
      </c>
      <c r="F257" s="0" t="n">
        <f aca="false">C257</f>
        <v>-0.7</v>
      </c>
      <c r="G257" s="0" t="n">
        <f aca="false">D257</f>
        <v>-0.7</v>
      </c>
      <c r="H257" s="0" t="n">
        <f aca="false">C257*D257</f>
        <v>0.49</v>
      </c>
      <c r="I257" s="0" t="n">
        <f aca="false">C257*C257</f>
        <v>0.49</v>
      </c>
      <c r="J257" s="0" t="n">
        <f aca="false">D257*D257</f>
        <v>0.49</v>
      </c>
      <c r="K257" s="0" t="n">
        <f aca="false">SUMPRODUCT(E257:J257,_XtX!$B$53:$G$53)</f>
        <v>43.1555143678161</v>
      </c>
      <c r="L257" s="0" t="n">
        <f aca="false">SUMPRODUCT(MMULT(E257:J257,_XtX!$B$44:$G$49),E257:J257)</f>
        <v>0.300644540229885</v>
      </c>
      <c r="M257" s="0" t="n">
        <f aca="false">04_回帰ANOVA!$K$19*04_回帰ANOVA!$K$14*SQRT(1+L257)</f>
        <v>1.54545329004401</v>
      </c>
      <c r="N257" s="0" t="n">
        <f aca="false">K257-M257</f>
        <v>41.6100610777721</v>
      </c>
      <c r="O257" s="0" t="n">
        <f aca="false">K257+M257</f>
        <v>44.7009676578601</v>
      </c>
      <c r="P257" s="54" t="b">
        <f aca="false">AND(C257&gt;=01_因子設定!$L$5-0.000000001,C257&lt;=01_因子設定!$M$5+0.000000001,D257&gt;=01_因子設定!$L$6-0.000000001,D257&lt;=01_因子設定!$M$6+0.000000001,IF(01_因子設定!$B$20="Box-Behnken",C257^2+D257^2&lt;=2+0.000000001,TRUE()))</f>
        <v>1</v>
      </c>
      <c r="Q257" s="55" t="n">
        <f aca="false">IF(P257,IF(01_因子設定!$B$13="最大化",N257-01_因子設定!$B$14,IF(01_因子設定!$B$13="最小化",01_因子設定!$B$15-O257,MIN(N257-01_因子設定!$B$14,01_因子設定!$B$15-O257))),-1E+030)</f>
        <v>-4.88993892222793</v>
      </c>
      <c r="R257" s="55" t="n">
        <f aca="false">IF(P257,IF(01_因子設定!$B$13="最大化",K257,IF(01_因子設定!$B$13="最小化",-K257,-ABS(K257-01_因子設定!$B$16))),-1E+030)</f>
        <v>43.1555143678161</v>
      </c>
      <c r="S257" s="55" t="n">
        <f aca="false">Q257+ROW()*0.000000001</f>
        <v>-4.88993866522793</v>
      </c>
      <c r="T257" s="55" t="n">
        <f aca="false">R257+ROW()*0.000000001</f>
        <v>43.1555146248161</v>
      </c>
    </row>
    <row r="258" customFormat="false" ht="15" hidden="false" customHeight="false" outlineLevel="0" collapsed="false">
      <c r="A258" s="0" t="n">
        <v>6</v>
      </c>
      <c r="B258" s="0" t="n">
        <v>7</v>
      </c>
      <c r="C258" s="0" t="n">
        <f aca="false">-1+A258*0.05</f>
        <v>-0.7</v>
      </c>
      <c r="D258" s="0" t="n">
        <f aca="false">-1+B258*0.05</f>
        <v>-0.65</v>
      </c>
      <c r="E258" s="0" t="n">
        <f aca="false">1</f>
        <v>1</v>
      </c>
      <c r="F258" s="0" t="n">
        <f aca="false">C258</f>
        <v>-0.7</v>
      </c>
      <c r="G258" s="0" t="n">
        <f aca="false">D258</f>
        <v>-0.65</v>
      </c>
      <c r="H258" s="0" t="n">
        <f aca="false">C258*D258</f>
        <v>0.455</v>
      </c>
      <c r="I258" s="0" t="n">
        <f aca="false">C258*C258</f>
        <v>0.49</v>
      </c>
      <c r="J258" s="0" t="n">
        <f aca="false">D258*D258</f>
        <v>0.4225</v>
      </c>
      <c r="K258" s="0" t="n">
        <f aca="false">SUMPRODUCT(E258:J258,_XtX!$B$53:$G$53)</f>
        <v>43.3537988505747</v>
      </c>
      <c r="L258" s="0" t="n">
        <f aca="false">SUMPRODUCT(MMULT(E258:J258,_XtX!$B$44:$G$49),E258:J258)</f>
        <v>0.281914260057471</v>
      </c>
      <c r="M258" s="0" t="n">
        <f aca="false">04_回帰ANOVA!$K$19*04_回帰ANOVA!$K$14*SQRT(1+L258)</f>
        <v>1.53428507945275</v>
      </c>
      <c r="N258" s="0" t="n">
        <f aca="false">K258-M258</f>
        <v>41.819513771122</v>
      </c>
      <c r="O258" s="0" t="n">
        <f aca="false">K258+M258</f>
        <v>44.8880839300275</v>
      </c>
      <c r="P258" s="54" t="b">
        <f aca="false">AND(C258&gt;=01_因子設定!$L$5-0.000000001,C258&lt;=01_因子設定!$M$5+0.000000001,D258&gt;=01_因子設定!$L$6-0.000000001,D258&lt;=01_因子設定!$M$6+0.000000001,IF(01_因子設定!$B$20="Box-Behnken",C258^2+D258^2&lt;=2+0.000000001,TRUE()))</f>
        <v>1</v>
      </c>
      <c r="Q258" s="55" t="n">
        <f aca="false">IF(P258,IF(01_因子設定!$B$13="最大化",N258-01_因子設定!$B$14,IF(01_因子設定!$B$13="最小化",01_因子設定!$B$15-O258,MIN(N258-01_因子設定!$B$14,01_因子設定!$B$15-O258))),-1E+030)</f>
        <v>-4.68048622887805</v>
      </c>
      <c r="R258" s="55" t="n">
        <f aca="false">IF(P258,IF(01_因子設定!$B$13="最大化",K258,IF(01_因子設定!$B$13="最小化",-K258,-ABS(K258-01_因子設定!$B$16))),-1E+030)</f>
        <v>43.3537988505747</v>
      </c>
      <c r="S258" s="55" t="n">
        <f aca="false">Q258+ROW()*0.000000001</f>
        <v>-4.68048597087805</v>
      </c>
      <c r="T258" s="55" t="n">
        <f aca="false">R258+ROW()*0.000000001</f>
        <v>43.3537991085747</v>
      </c>
    </row>
    <row r="259" customFormat="false" ht="15" hidden="false" customHeight="false" outlineLevel="0" collapsed="false">
      <c r="A259" s="0" t="n">
        <v>6</v>
      </c>
      <c r="B259" s="0" t="n">
        <v>8</v>
      </c>
      <c r="C259" s="0" t="n">
        <f aca="false">-1+A259*0.05</f>
        <v>-0.7</v>
      </c>
      <c r="D259" s="0" t="n">
        <f aca="false">-1+B259*0.05</f>
        <v>-0.6</v>
      </c>
      <c r="E259" s="0" t="n">
        <f aca="false">1</f>
        <v>1</v>
      </c>
      <c r="F259" s="0" t="n">
        <f aca="false">C259</f>
        <v>-0.7</v>
      </c>
      <c r="G259" s="0" t="n">
        <f aca="false">D259</f>
        <v>-0.6</v>
      </c>
      <c r="H259" s="0" t="n">
        <f aca="false">C259*D259</f>
        <v>0.42</v>
      </c>
      <c r="I259" s="0" t="n">
        <f aca="false">C259*C259</f>
        <v>0.49</v>
      </c>
      <c r="J259" s="0" t="n">
        <f aca="false">D259*D259</f>
        <v>0.36</v>
      </c>
      <c r="K259" s="0" t="n">
        <f aca="false">SUMPRODUCT(E259:J259,_XtX!$B$53:$G$53)</f>
        <v>43.5443678160919</v>
      </c>
      <c r="L259" s="0" t="n">
        <f aca="false">SUMPRODUCT(MMULT(E259:J259,_XtX!$B$44:$G$49),E259:J259)</f>
        <v>0.267513218390805</v>
      </c>
      <c r="M259" s="0" t="n">
        <f aca="false">04_回帰ANOVA!$K$19*04_回帰ANOVA!$K$14*SQRT(1+L259)</f>
        <v>1.52564264921817</v>
      </c>
      <c r="N259" s="0" t="n">
        <f aca="false">K259-M259</f>
        <v>42.0187251668738</v>
      </c>
      <c r="O259" s="0" t="n">
        <f aca="false">K259+M259</f>
        <v>45.0700104653101</v>
      </c>
      <c r="P259" s="54" t="b">
        <f aca="false">AND(C259&gt;=01_因子設定!$L$5-0.000000001,C259&lt;=01_因子設定!$M$5+0.000000001,D259&gt;=01_因子設定!$L$6-0.000000001,D259&lt;=01_因子設定!$M$6+0.000000001,IF(01_因子設定!$B$20="Box-Behnken",C259^2+D259^2&lt;=2+0.000000001,TRUE()))</f>
        <v>1</v>
      </c>
      <c r="Q259" s="55" t="n">
        <f aca="false">IF(P259,IF(01_因子設定!$B$13="最大化",N259-01_因子設定!$B$14,IF(01_因子設定!$B$13="最小化",01_因子設定!$B$15-O259,MIN(N259-01_因子設定!$B$14,01_因子設定!$B$15-O259))),-1E+030)</f>
        <v>-4.48127483312624</v>
      </c>
      <c r="R259" s="55" t="n">
        <f aca="false">IF(P259,IF(01_因子設定!$B$13="最大化",K259,IF(01_因子設定!$B$13="最小化",-K259,-ABS(K259-01_因子設定!$B$16))),-1E+030)</f>
        <v>43.5443678160919</v>
      </c>
      <c r="S259" s="55" t="n">
        <f aca="false">Q259+ROW()*0.000000001</f>
        <v>-4.48127457412624</v>
      </c>
      <c r="T259" s="55" t="n">
        <f aca="false">R259+ROW()*0.000000001</f>
        <v>43.5443680750919</v>
      </c>
    </row>
    <row r="260" customFormat="false" ht="15" hidden="false" customHeight="false" outlineLevel="0" collapsed="false">
      <c r="A260" s="0" t="n">
        <v>6</v>
      </c>
      <c r="B260" s="0" t="n">
        <v>9</v>
      </c>
      <c r="C260" s="0" t="n">
        <f aca="false">-1+A260*0.05</f>
        <v>-0.7</v>
      </c>
      <c r="D260" s="0" t="n">
        <f aca="false">-1+B260*0.05</f>
        <v>-0.55</v>
      </c>
      <c r="E260" s="0" t="n">
        <f aca="false">1</f>
        <v>1</v>
      </c>
      <c r="F260" s="0" t="n">
        <f aca="false">C260</f>
        <v>-0.7</v>
      </c>
      <c r="G260" s="0" t="n">
        <f aca="false">D260</f>
        <v>-0.55</v>
      </c>
      <c r="H260" s="0" t="n">
        <f aca="false">C260*D260</f>
        <v>0.385</v>
      </c>
      <c r="I260" s="0" t="n">
        <f aca="false">C260*C260</f>
        <v>0.49</v>
      </c>
      <c r="J260" s="0" t="n">
        <f aca="false">D260*D260</f>
        <v>0.3025</v>
      </c>
      <c r="K260" s="0" t="n">
        <f aca="false">SUMPRODUCT(E260:J260,_XtX!$B$53:$G$53)</f>
        <v>43.7272212643678</v>
      </c>
      <c r="L260" s="0" t="n">
        <f aca="false">SUMPRODUCT(MMULT(E260:J260,_XtX!$B$44:$G$49),E260:J260)</f>
        <v>0.25676253591954</v>
      </c>
      <c r="M260" s="0" t="n">
        <f aca="false">04_回帰ANOVA!$K$19*04_回帰ANOVA!$K$14*SQRT(1+L260)</f>
        <v>1.51915884046963</v>
      </c>
      <c r="N260" s="0" t="n">
        <f aca="false">K260-M260</f>
        <v>42.2080624238982</v>
      </c>
      <c r="O260" s="0" t="n">
        <f aca="false">K260+M260</f>
        <v>45.2463801048374</v>
      </c>
      <c r="P260" s="54" t="b">
        <f aca="false">AND(C260&gt;=01_因子設定!$L$5-0.000000001,C260&lt;=01_因子設定!$M$5+0.000000001,D260&gt;=01_因子設定!$L$6-0.000000001,D260&lt;=01_因子設定!$M$6+0.000000001,IF(01_因子設定!$B$20="Box-Behnken",C260^2+D260^2&lt;=2+0.000000001,TRUE()))</f>
        <v>1</v>
      </c>
      <c r="Q260" s="55" t="n">
        <f aca="false">IF(P260,IF(01_因子設定!$B$13="最大化",N260-01_因子設定!$B$14,IF(01_因子設定!$B$13="最小化",01_因子設定!$B$15-O260,MIN(N260-01_因子設定!$B$14,01_因子設定!$B$15-O260))),-1E+030)</f>
        <v>-4.29193757610183</v>
      </c>
      <c r="R260" s="55" t="n">
        <f aca="false">IF(P260,IF(01_因子設定!$B$13="最大化",K260,IF(01_因子設定!$B$13="最小化",-K260,-ABS(K260-01_因子設定!$B$16))),-1E+030)</f>
        <v>43.7272212643678</v>
      </c>
      <c r="S260" s="55" t="n">
        <f aca="false">Q260+ROW()*0.000000001</f>
        <v>-4.29193731610183</v>
      </c>
      <c r="T260" s="55" t="n">
        <f aca="false">R260+ROW()*0.000000001</f>
        <v>43.7272215243678</v>
      </c>
    </row>
    <row r="261" customFormat="false" ht="15" hidden="false" customHeight="false" outlineLevel="0" collapsed="false">
      <c r="A261" s="0" t="n">
        <v>6</v>
      </c>
      <c r="B261" s="0" t="n">
        <v>10</v>
      </c>
      <c r="C261" s="0" t="n">
        <f aca="false">-1+A261*0.05</f>
        <v>-0.7</v>
      </c>
      <c r="D261" s="0" t="n">
        <f aca="false">-1+B261*0.05</f>
        <v>-0.5</v>
      </c>
      <c r="E261" s="0" t="n">
        <f aca="false">1</f>
        <v>1</v>
      </c>
      <c r="F261" s="0" t="n">
        <f aca="false">C261</f>
        <v>-0.7</v>
      </c>
      <c r="G261" s="0" t="n">
        <f aca="false">D261</f>
        <v>-0.5</v>
      </c>
      <c r="H261" s="0" t="n">
        <f aca="false">C261*D261</f>
        <v>0.35</v>
      </c>
      <c r="I261" s="0" t="n">
        <f aca="false">C261*C261</f>
        <v>0.49</v>
      </c>
      <c r="J261" s="0" t="n">
        <f aca="false">D261*D261</f>
        <v>0.25</v>
      </c>
      <c r="K261" s="0" t="n">
        <f aca="false">SUMPRODUCT(E261:J261,_XtX!$B$53:$G$53)</f>
        <v>43.9023591954023</v>
      </c>
      <c r="L261" s="0" t="n">
        <f aca="false">SUMPRODUCT(MMULT(E261:J261,_XtX!$B$44:$G$49),E261:J261)</f>
        <v>0.249037643678161</v>
      </c>
      <c r="M261" s="0" t="n">
        <f aca="false">04_回帰ANOVA!$K$19*04_回帰ANOVA!$K$14*SQRT(1+L261)</f>
        <v>1.5144827672559</v>
      </c>
      <c r="N261" s="0" t="n">
        <f aca="false">K261-M261</f>
        <v>42.3878764281464</v>
      </c>
      <c r="O261" s="0" t="n">
        <f aca="false">K261+M261</f>
        <v>45.4168419626582</v>
      </c>
      <c r="P261" s="54" t="b">
        <f aca="false">AND(C261&gt;=01_因子設定!$L$5-0.000000001,C261&lt;=01_因子設定!$M$5+0.000000001,D261&gt;=01_因子設定!$L$6-0.000000001,D261&lt;=01_因子設定!$M$6+0.000000001,IF(01_因子設定!$B$20="Box-Behnken",C261^2+D261^2&lt;=2+0.000000001,TRUE()))</f>
        <v>1</v>
      </c>
      <c r="Q261" s="55" t="n">
        <f aca="false">IF(P261,IF(01_因子設定!$B$13="最大化",N261-01_因子設定!$B$14,IF(01_因子設定!$B$13="最小化",01_因子設定!$B$15-O261,MIN(N261-01_因子設定!$B$14,01_因子設定!$B$15-O261))),-1E+030)</f>
        <v>-4.11212357185362</v>
      </c>
      <c r="R261" s="55" t="n">
        <f aca="false">IF(P261,IF(01_因子設定!$B$13="最大化",K261,IF(01_因子設定!$B$13="最小化",-K261,-ABS(K261-01_因子設定!$B$16))),-1E+030)</f>
        <v>43.9023591954023</v>
      </c>
      <c r="S261" s="55" t="n">
        <f aca="false">Q261+ROW()*0.000000001</f>
        <v>-4.11212331085362</v>
      </c>
      <c r="T261" s="55" t="n">
        <f aca="false">R261+ROW()*0.000000001</f>
        <v>43.9023594564023</v>
      </c>
    </row>
    <row r="262" customFormat="false" ht="15" hidden="false" customHeight="false" outlineLevel="0" collapsed="false">
      <c r="A262" s="0" t="n">
        <v>6</v>
      </c>
      <c r="B262" s="0" t="n">
        <v>11</v>
      </c>
      <c r="C262" s="0" t="n">
        <f aca="false">-1+A262*0.05</f>
        <v>-0.7</v>
      </c>
      <c r="D262" s="0" t="n">
        <f aca="false">-1+B262*0.05</f>
        <v>-0.45</v>
      </c>
      <c r="E262" s="0" t="n">
        <f aca="false">1</f>
        <v>1</v>
      </c>
      <c r="F262" s="0" t="n">
        <f aca="false">C262</f>
        <v>-0.7</v>
      </c>
      <c r="G262" s="0" t="n">
        <f aca="false">D262</f>
        <v>-0.45</v>
      </c>
      <c r="H262" s="0" t="n">
        <f aca="false">C262*D262</f>
        <v>0.315</v>
      </c>
      <c r="I262" s="0" t="n">
        <f aca="false">C262*C262</f>
        <v>0.49</v>
      </c>
      <c r="J262" s="0" t="n">
        <f aca="false">D262*D262</f>
        <v>0.2025</v>
      </c>
      <c r="K262" s="0" t="n">
        <f aca="false">SUMPRODUCT(E262:J262,_XtX!$B$53:$G$53)</f>
        <v>44.0697816091954</v>
      </c>
      <c r="L262" s="0" t="n">
        <f aca="false">SUMPRODUCT(MMULT(E262:J262,_XtX!$B$44:$G$49),E262:J262)</f>
        <v>0.243768283045977</v>
      </c>
      <c r="M262" s="0" t="n">
        <f aca="false">04_回帰ANOVA!$K$19*04_回帰ANOVA!$K$14*SQRT(1+L262)</f>
        <v>1.51128478900926</v>
      </c>
      <c r="N262" s="0" t="n">
        <f aca="false">K262-M262</f>
        <v>42.5584968201861</v>
      </c>
      <c r="O262" s="0" t="n">
        <f aca="false">K262+M262</f>
        <v>45.5810663982047</v>
      </c>
      <c r="P262" s="54" t="b">
        <f aca="false">AND(C262&gt;=01_因子設定!$L$5-0.000000001,C262&lt;=01_因子設定!$M$5+0.000000001,D262&gt;=01_因子設定!$L$6-0.000000001,D262&lt;=01_因子設定!$M$6+0.000000001,IF(01_因子設定!$B$20="Box-Behnken",C262^2+D262^2&lt;=2+0.000000001,TRUE()))</f>
        <v>1</v>
      </c>
      <c r="Q262" s="55" t="n">
        <f aca="false">IF(P262,IF(01_因子設定!$B$13="最大化",N262-01_因子設定!$B$14,IF(01_因子設定!$B$13="最小化",01_因子設定!$B$15-O262,MIN(N262-01_因子設定!$B$14,01_因子設定!$B$15-O262))),-1E+030)</f>
        <v>-3.94150317981387</v>
      </c>
      <c r="R262" s="55" t="n">
        <f aca="false">IF(P262,IF(01_因子設定!$B$13="最大化",K262,IF(01_因子設定!$B$13="最小化",-K262,-ABS(K262-01_因子設定!$B$16))),-1E+030)</f>
        <v>44.0697816091954</v>
      </c>
      <c r="S262" s="55" t="n">
        <f aca="false">Q262+ROW()*0.000000001</f>
        <v>-3.94150291781387</v>
      </c>
      <c r="T262" s="55" t="n">
        <f aca="false">R262+ROW()*0.000000001</f>
        <v>44.0697818711954</v>
      </c>
    </row>
    <row r="263" customFormat="false" ht="15" hidden="false" customHeight="false" outlineLevel="0" collapsed="false">
      <c r="A263" s="0" t="n">
        <v>6</v>
      </c>
      <c r="B263" s="0" t="n">
        <v>12</v>
      </c>
      <c r="C263" s="0" t="n">
        <f aca="false">-1+A263*0.05</f>
        <v>-0.7</v>
      </c>
      <c r="D263" s="0" t="n">
        <f aca="false">-1+B263*0.05</f>
        <v>-0.4</v>
      </c>
      <c r="E263" s="0" t="n">
        <f aca="false">1</f>
        <v>1</v>
      </c>
      <c r="F263" s="0" t="n">
        <f aca="false">C263</f>
        <v>-0.7</v>
      </c>
      <c r="G263" s="0" t="n">
        <f aca="false">D263</f>
        <v>-0.4</v>
      </c>
      <c r="H263" s="0" t="n">
        <f aca="false">C263*D263</f>
        <v>0.28</v>
      </c>
      <c r="I263" s="0" t="n">
        <f aca="false">C263*C263</f>
        <v>0.49</v>
      </c>
      <c r="J263" s="0" t="n">
        <f aca="false">D263*D263</f>
        <v>0.16</v>
      </c>
      <c r="K263" s="0" t="n">
        <f aca="false">SUMPRODUCT(E263:J263,_XtX!$B$53:$G$53)</f>
        <v>44.2294885057471</v>
      </c>
      <c r="L263" s="0" t="n">
        <f aca="false">SUMPRODUCT(MMULT(E263:J263,_XtX!$B$44:$G$49),E263:J263)</f>
        <v>0.240438505747126</v>
      </c>
      <c r="M263" s="0" t="n">
        <f aca="false">04_回帰ANOVA!$K$19*04_回帰ANOVA!$K$14*SQRT(1+L263)</f>
        <v>1.5092604511937</v>
      </c>
      <c r="N263" s="0" t="n">
        <f aca="false">K263-M263</f>
        <v>42.7202280545534</v>
      </c>
      <c r="O263" s="0" t="n">
        <f aca="false">K263+M263</f>
        <v>45.7387489569408</v>
      </c>
      <c r="P263" s="54" t="b">
        <f aca="false">AND(C263&gt;=01_因子設定!$L$5-0.000000001,C263&lt;=01_因子設定!$M$5+0.000000001,D263&gt;=01_因子設定!$L$6-0.000000001,D263&lt;=01_因子設定!$M$6+0.000000001,IF(01_因子設定!$B$20="Box-Behnken",C263^2+D263^2&lt;=2+0.000000001,TRUE()))</f>
        <v>1</v>
      </c>
      <c r="Q263" s="55" t="n">
        <f aca="false">IF(P263,IF(01_因子設定!$B$13="最大化",N263-01_因子設定!$B$14,IF(01_因子設定!$B$13="最小化",01_因子設定!$B$15-O263,MIN(N263-01_因子設定!$B$14,01_因子設定!$B$15-O263))),-1E+030)</f>
        <v>-3.77977194544659</v>
      </c>
      <c r="R263" s="55" t="n">
        <f aca="false">IF(P263,IF(01_因子設定!$B$13="最大化",K263,IF(01_因子設定!$B$13="最小化",-K263,-ABS(K263-01_因子設定!$B$16))),-1E+030)</f>
        <v>44.2294885057471</v>
      </c>
      <c r="S263" s="55" t="n">
        <f aca="false">Q263+ROW()*0.000000001</f>
        <v>-3.77977168244659</v>
      </c>
      <c r="T263" s="55" t="n">
        <f aca="false">R263+ROW()*0.000000001</f>
        <v>44.2294887687471</v>
      </c>
    </row>
    <row r="264" customFormat="false" ht="15" hidden="false" customHeight="false" outlineLevel="0" collapsed="false">
      <c r="A264" s="0" t="n">
        <v>6</v>
      </c>
      <c r="B264" s="0" t="n">
        <v>13</v>
      </c>
      <c r="C264" s="0" t="n">
        <f aca="false">-1+A264*0.05</f>
        <v>-0.7</v>
      </c>
      <c r="D264" s="0" t="n">
        <f aca="false">-1+B264*0.05</f>
        <v>-0.35</v>
      </c>
      <c r="E264" s="0" t="n">
        <f aca="false">1</f>
        <v>1</v>
      </c>
      <c r="F264" s="0" t="n">
        <f aca="false">C264</f>
        <v>-0.7</v>
      </c>
      <c r="G264" s="0" t="n">
        <f aca="false">D264</f>
        <v>-0.35</v>
      </c>
      <c r="H264" s="0" t="n">
        <f aca="false">C264*D264</f>
        <v>0.245</v>
      </c>
      <c r="I264" s="0" t="n">
        <f aca="false">C264*C264</f>
        <v>0.49</v>
      </c>
      <c r="J264" s="0" t="n">
        <f aca="false">D264*D264</f>
        <v>0.1225</v>
      </c>
      <c r="K264" s="0" t="n">
        <f aca="false">SUMPRODUCT(E264:J264,_XtX!$B$53:$G$53)</f>
        <v>44.3814798850575</v>
      </c>
      <c r="L264" s="0" t="n">
        <f aca="false">SUMPRODUCT(MMULT(E264:J264,_XtX!$B$44:$G$49),E264:J264)</f>
        <v>0.238586673850575</v>
      </c>
      <c r="M264" s="0" t="n">
        <f aca="false">04_回帰ANOVA!$K$19*04_回帰ANOVA!$K$14*SQRT(1+L264)</f>
        <v>1.50813345435958</v>
      </c>
      <c r="N264" s="0" t="n">
        <f aca="false">K264-M264</f>
        <v>42.8733464306979</v>
      </c>
      <c r="O264" s="0" t="n">
        <f aca="false">K264+M264</f>
        <v>45.889613339417</v>
      </c>
      <c r="P264" s="54" t="b">
        <f aca="false">AND(C264&gt;=01_因子設定!$L$5-0.000000001,C264&lt;=01_因子設定!$M$5+0.000000001,D264&gt;=01_因子設定!$L$6-0.000000001,D264&lt;=01_因子設定!$M$6+0.000000001,IF(01_因子設定!$B$20="Box-Behnken",C264^2+D264^2&lt;=2+0.000000001,TRUE()))</f>
        <v>1</v>
      </c>
      <c r="Q264" s="55" t="n">
        <f aca="false">IF(P264,IF(01_因子設定!$B$13="最大化",N264-01_因子設定!$B$14,IF(01_因子設定!$B$13="最小化",01_因子設定!$B$15-O264,MIN(N264-01_因子設定!$B$14,01_因子設定!$B$15-O264))),-1E+030)</f>
        <v>-3.62665356930211</v>
      </c>
      <c r="R264" s="55" t="n">
        <f aca="false">IF(P264,IF(01_因子設定!$B$13="最大化",K264,IF(01_因子設定!$B$13="最小化",-K264,-ABS(K264-01_因子設定!$B$16))),-1E+030)</f>
        <v>44.3814798850575</v>
      </c>
      <c r="S264" s="55" t="n">
        <f aca="false">Q264+ROW()*0.000000001</f>
        <v>-3.62665330530211</v>
      </c>
      <c r="T264" s="55" t="n">
        <f aca="false">R264+ROW()*0.000000001</f>
        <v>44.3814801490575</v>
      </c>
    </row>
    <row r="265" customFormat="false" ht="15" hidden="false" customHeight="false" outlineLevel="0" collapsed="false">
      <c r="A265" s="0" t="n">
        <v>6</v>
      </c>
      <c r="B265" s="0" t="n">
        <v>14</v>
      </c>
      <c r="C265" s="0" t="n">
        <f aca="false">-1+A265*0.05</f>
        <v>-0.7</v>
      </c>
      <c r="D265" s="0" t="n">
        <f aca="false">-1+B265*0.05</f>
        <v>-0.3</v>
      </c>
      <c r="E265" s="0" t="n">
        <f aca="false">1</f>
        <v>1</v>
      </c>
      <c r="F265" s="0" t="n">
        <f aca="false">C265</f>
        <v>-0.7</v>
      </c>
      <c r="G265" s="0" t="n">
        <f aca="false">D265</f>
        <v>-0.3</v>
      </c>
      <c r="H265" s="0" t="n">
        <f aca="false">C265*D265</f>
        <v>0.21</v>
      </c>
      <c r="I265" s="0" t="n">
        <f aca="false">C265*C265</f>
        <v>0.49</v>
      </c>
      <c r="J265" s="0" t="n">
        <f aca="false">D265*D265</f>
        <v>0.09</v>
      </c>
      <c r="K265" s="0" t="n">
        <f aca="false">SUMPRODUCT(E265:J265,_XtX!$B$53:$G$53)</f>
        <v>44.5257557471264</v>
      </c>
      <c r="L265" s="0" t="n">
        <f aca="false">SUMPRODUCT(MMULT(E265:J265,_XtX!$B$44:$G$49),E265:J265)</f>
        <v>0.237805459770115</v>
      </c>
      <c r="M265" s="0" t="n">
        <f aca="false">04_回帰ANOVA!$K$19*04_回帰ANOVA!$K$14*SQRT(1+L265)</f>
        <v>1.50765776664594</v>
      </c>
      <c r="N265" s="0" t="n">
        <f aca="false">K265-M265</f>
        <v>43.0180979804805</v>
      </c>
      <c r="O265" s="0" t="n">
        <f aca="false">K265+M265</f>
        <v>46.0334135137724</v>
      </c>
      <c r="P265" s="54" t="b">
        <f aca="false">AND(C265&gt;=01_因子設定!$L$5-0.000000001,C265&lt;=01_因子設定!$M$5+0.000000001,D265&gt;=01_因子設定!$L$6-0.000000001,D265&lt;=01_因子設定!$M$6+0.000000001,IF(01_因子設定!$B$20="Box-Behnken",C265^2+D265^2&lt;=2+0.000000001,TRUE()))</f>
        <v>1</v>
      </c>
      <c r="Q265" s="55" t="n">
        <f aca="false">IF(P265,IF(01_因子設定!$B$13="最大化",N265-01_因子設定!$B$14,IF(01_因子設定!$B$13="最小化",01_因子設定!$B$15-O265,MIN(N265-01_因子設定!$B$14,01_因子設定!$B$15-O265))),-1E+030)</f>
        <v>-3.48190201951952</v>
      </c>
      <c r="R265" s="55" t="n">
        <f aca="false">IF(P265,IF(01_因子設定!$B$13="最大化",K265,IF(01_因子設定!$B$13="最小化",-K265,-ABS(K265-01_因子設定!$B$16))),-1E+030)</f>
        <v>44.5257557471264</v>
      </c>
      <c r="S265" s="55" t="n">
        <f aca="false">Q265+ROW()*0.000000001</f>
        <v>-3.48190175451952</v>
      </c>
      <c r="T265" s="55" t="n">
        <f aca="false">R265+ROW()*0.000000001</f>
        <v>44.5257560121264</v>
      </c>
    </row>
    <row r="266" customFormat="false" ht="15" hidden="false" customHeight="false" outlineLevel="0" collapsed="false">
      <c r="A266" s="0" t="n">
        <v>6</v>
      </c>
      <c r="B266" s="0" t="n">
        <v>15</v>
      </c>
      <c r="C266" s="0" t="n">
        <f aca="false">-1+A266*0.05</f>
        <v>-0.7</v>
      </c>
      <c r="D266" s="0" t="n">
        <f aca="false">-1+B266*0.05</f>
        <v>-0.25</v>
      </c>
      <c r="E266" s="0" t="n">
        <f aca="false">1</f>
        <v>1</v>
      </c>
      <c r="F266" s="0" t="n">
        <f aca="false">C266</f>
        <v>-0.7</v>
      </c>
      <c r="G266" s="0" t="n">
        <f aca="false">D266</f>
        <v>-0.25</v>
      </c>
      <c r="H266" s="0" t="n">
        <f aca="false">C266*D266</f>
        <v>0.175</v>
      </c>
      <c r="I266" s="0" t="n">
        <f aca="false">C266*C266</f>
        <v>0.49</v>
      </c>
      <c r="J266" s="0" t="n">
        <f aca="false">D266*D266</f>
        <v>0.0625</v>
      </c>
      <c r="K266" s="0" t="n">
        <f aca="false">SUMPRODUCT(E266:J266,_XtX!$B$53:$G$53)</f>
        <v>44.662316091954</v>
      </c>
      <c r="L266" s="0" t="n">
        <f aca="false">SUMPRODUCT(MMULT(E266:J266,_XtX!$B$44:$G$49),E266:J266)</f>
        <v>0.237741846264368</v>
      </c>
      <c r="M266" s="0" t="n">
        <f aca="false">04_回帰ANOVA!$K$19*04_回帰ANOVA!$K$14*SQRT(1+L266)</f>
        <v>1.50761902524781</v>
      </c>
      <c r="N266" s="0" t="n">
        <f aca="false">K266-M266</f>
        <v>43.1546970667062</v>
      </c>
      <c r="O266" s="0" t="n">
        <f aca="false">K266+M266</f>
        <v>46.1699351172018</v>
      </c>
      <c r="P266" s="54" t="b">
        <f aca="false">AND(C266&gt;=01_因子設定!$L$5-0.000000001,C266&lt;=01_因子設定!$M$5+0.000000001,D266&gt;=01_因子設定!$L$6-0.000000001,D266&lt;=01_因子設定!$M$6+0.000000001,IF(01_因子設定!$B$20="Box-Behnken",C266^2+D266^2&lt;=2+0.000000001,TRUE()))</f>
        <v>1</v>
      </c>
      <c r="Q266" s="55" t="n">
        <f aca="false">IF(P266,IF(01_因子設定!$B$13="最大化",N266-01_因子設定!$B$14,IF(01_因子設定!$B$13="最小化",01_因子設定!$B$15-O266,MIN(N266-01_因子設定!$B$14,01_因子設定!$B$15-O266))),-1E+030)</f>
        <v>-3.3453029332938</v>
      </c>
      <c r="R266" s="55" t="n">
        <f aca="false">IF(P266,IF(01_因子設定!$B$13="最大化",K266,IF(01_因子設定!$B$13="最小化",-K266,-ABS(K266-01_因子設定!$B$16))),-1E+030)</f>
        <v>44.662316091954</v>
      </c>
      <c r="S266" s="55" t="n">
        <f aca="false">Q266+ROW()*0.000000001</f>
        <v>-3.3453026672938</v>
      </c>
      <c r="T266" s="55" t="n">
        <f aca="false">R266+ROW()*0.000000001</f>
        <v>44.662316357954</v>
      </c>
    </row>
    <row r="267" customFormat="false" ht="15" hidden="false" customHeight="false" outlineLevel="0" collapsed="false">
      <c r="A267" s="0" t="n">
        <v>6</v>
      </c>
      <c r="B267" s="0" t="n">
        <v>16</v>
      </c>
      <c r="C267" s="0" t="n">
        <f aca="false">-1+A267*0.05</f>
        <v>-0.7</v>
      </c>
      <c r="D267" s="0" t="n">
        <f aca="false">-1+B267*0.05</f>
        <v>-0.2</v>
      </c>
      <c r="E267" s="0" t="n">
        <f aca="false">1</f>
        <v>1</v>
      </c>
      <c r="F267" s="0" t="n">
        <f aca="false">C267</f>
        <v>-0.7</v>
      </c>
      <c r="G267" s="0" t="n">
        <f aca="false">D267</f>
        <v>-0.2</v>
      </c>
      <c r="H267" s="0" t="n">
        <f aca="false">C267*D267</f>
        <v>0.14</v>
      </c>
      <c r="I267" s="0" t="n">
        <f aca="false">C267*C267</f>
        <v>0.49</v>
      </c>
      <c r="J267" s="0" t="n">
        <f aca="false">D267*D267</f>
        <v>0.04</v>
      </c>
      <c r="K267" s="0" t="n">
        <f aca="false">SUMPRODUCT(E267:J267,_XtX!$B$53:$G$53)</f>
        <v>44.7911609195402</v>
      </c>
      <c r="L267" s="0" t="n">
        <f aca="false">SUMPRODUCT(MMULT(E267:J267,_XtX!$B$44:$G$49),E267:J267)</f>
        <v>0.238097126436782</v>
      </c>
      <c r="M267" s="0" t="n">
        <f aca="false">04_回帰ANOVA!$K$19*04_回帰ANOVA!$K$14*SQRT(1+L267)</f>
        <v>1.50783538244616</v>
      </c>
      <c r="N267" s="0" t="n">
        <f aca="false">K267-M267</f>
        <v>43.2833255370941</v>
      </c>
      <c r="O267" s="0" t="n">
        <f aca="false">K267+M267</f>
        <v>46.2989963019864</v>
      </c>
      <c r="P267" s="54" t="b">
        <f aca="false">AND(C267&gt;=01_因子設定!$L$5-0.000000001,C267&lt;=01_因子設定!$M$5+0.000000001,D267&gt;=01_因子設定!$L$6-0.000000001,D267&lt;=01_因子設定!$M$6+0.000000001,IF(01_因子設定!$B$20="Box-Behnken",C267^2+D267^2&lt;=2+0.000000001,TRUE()))</f>
        <v>1</v>
      </c>
      <c r="Q267" s="55" t="n">
        <f aca="false">IF(P267,IF(01_因子設定!$B$13="最大化",N267-01_因子設定!$B$14,IF(01_因子設定!$B$13="最小化",01_因子設定!$B$15-O267,MIN(N267-01_因子設定!$B$14,01_因子設定!$B$15-O267))),-1E+030)</f>
        <v>-3.21667446290594</v>
      </c>
      <c r="R267" s="55" t="n">
        <f aca="false">IF(P267,IF(01_因子設定!$B$13="最大化",K267,IF(01_因子設定!$B$13="最小化",-K267,-ABS(K267-01_因子設定!$B$16))),-1E+030)</f>
        <v>44.7911609195402</v>
      </c>
      <c r="S267" s="55" t="n">
        <f aca="false">Q267+ROW()*0.000000001</f>
        <v>-3.21667419590594</v>
      </c>
      <c r="T267" s="55" t="n">
        <f aca="false">R267+ROW()*0.000000001</f>
        <v>44.7911611865402</v>
      </c>
    </row>
    <row r="268" customFormat="false" ht="15" hidden="false" customHeight="false" outlineLevel="0" collapsed="false">
      <c r="A268" s="0" t="n">
        <v>6</v>
      </c>
      <c r="B268" s="0" t="n">
        <v>17</v>
      </c>
      <c r="C268" s="0" t="n">
        <f aca="false">-1+A268*0.05</f>
        <v>-0.7</v>
      </c>
      <c r="D268" s="0" t="n">
        <f aca="false">-1+B268*0.05</f>
        <v>-0.15</v>
      </c>
      <c r="E268" s="0" t="n">
        <f aca="false">1</f>
        <v>1</v>
      </c>
      <c r="F268" s="0" t="n">
        <f aca="false">C268</f>
        <v>-0.7</v>
      </c>
      <c r="G268" s="0" t="n">
        <f aca="false">D268</f>
        <v>-0.15</v>
      </c>
      <c r="H268" s="0" t="n">
        <f aca="false">C268*D268</f>
        <v>0.105</v>
      </c>
      <c r="I268" s="0" t="n">
        <f aca="false">C268*C268</f>
        <v>0.49</v>
      </c>
      <c r="J268" s="0" t="n">
        <f aca="false">D268*D268</f>
        <v>0.0225</v>
      </c>
      <c r="K268" s="0" t="n">
        <f aca="false">SUMPRODUCT(E268:J268,_XtX!$B$53:$G$53)</f>
        <v>44.912290229885</v>
      </c>
      <c r="L268" s="0" t="n">
        <f aca="false">SUMPRODUCT(MMULT(E268:J268,_XtX!$B$44:$G$49),E268:J268)</f>
        <v>0.238626903735632</v>
      </c>
      <c r="M268" s="0" t="n">
        <f aca="false">04_回帰ANOVA!$K$19*04_回帰ANOVA!$K$14*SQRT(1+L268)</f>
        <v>1.50815794660713</v>
      </c>
      <c r="N268" s="0" t="n">
        <f aca="false">K268-M268</f>
        <v>43.4041322832779</v>
      </c>
      <c r="O268" s="0" t="n">
        <f aca="false">K268+M268</f>
        <v>46.4204481764922</v>
      </c>
      <c r="P268" s="54" t="b">
        <f aca="false">AND(C268&gt;=01_因子設定!$L$5-0.000000001,C268&lt;=01_因子設定!$M$5+0.000000001,D268&gt;=01_因子設定!$L$6-0.000000001,D268&lt;=01_因子設定!$M$6+0.000000001,IF(01_因子設定!$B$20="Box-Behnken",C268^2+D268^2&lt;=2+0.000000001,TRUE()))</f>
        <v>1</v>
      </c>
      <c r="Q268" s="55" t="n">
        <f aca="false">IF(P268,IF(01_因子設定!$B$13="最大化",N268-01_因子設定!$B$14,IF(01_因子設定!$B$13="最小化",01_因子設定!$B$15-O268,MIN(N268-01_因子設定!$B$14,01_因子設定!$B$15-O268))),-1E+030)</f>
        <v>-3.09586771672208</v>
      </c>
      <c r="R268" s="55" t="n">
        <f aca="false">IF(P268,IF(01_因子設定!$B$13="最大化",K268,IF(01_因子設定!$B$13="最小化",-K268,-ABS(K268-01_因子設定!$B$16))),-1E+030)</f>
        <v>44.912290229885</v>
      </c>
      <c r="S268" s="55" t="n">
        <f aca="false">Q268+ROW()*0.000000001</f>
        <v>-3.09586744872208</v>
      </c>
      <c r="T268" s="55" t="n">
        <f aca="false">R268+ROW()*0.000000001</f>
        <v>44.912290497885</v>
      </c>
    </row>
    <row r="269" customFormat="false" ht="15" hidden="false" customHeight="false" outlineLevel="0" collapsed="false">
      <c r="A269" s="0" t="n">
        <v>6</v>
      </c>
      <c r="B269" s="0" t="n">
        <v>18</v>
      </c>
      <c r="C269" s="0" t="n">
        <f aca="false">-1+A269*0.05</f>
        <v>-0.7</v>
      </c>
      <c r="D269" s="0" t="n">
        <f aca="false">-1+B269*0.05</f>
        <v>-0.1</v>
      </c>
      <c r="E269" s="0" t="n">
        <f aca="false">1</f>
        <v>1</v>
      </c>
      <c r="F269" s="0" t="n">
        <f aca="false">C269</f>
        <v>-0.7</v>
      </c>
      <c r="G269" s="0" t="n">
        <f aca="false">D269</f>
        <v>-0.1</v>
      </c>
      <c r="H269" s="0" t="n">
        <f aca="false">C269*D269</f>
        <v>0.07</v>
      </c>
      <c r="I269" s="0" t="n">
        <f aca="false">C269*C269</f>
        <v>0.49</v>
      </c>
      <c r="J269" s="0" t="n">
        <f aca="false">D269*D269</f>
        <v>0.01</v>
      </c>
      <c r="K269" s="0" t="n">
        <f aca="false">SUMPRODUCT(E269:J269,_XtX!$B$53:$G$53)</f>
        <v>45.0257040229885</v>
      </c>
      <c r="L269" s="0" t="n">
        <f aca="false">SUMPRODUCT(MMULT(E269:J269,_XtX!$B$44:$G$49),E269:J269)</f>
        <v>0.239141091954023</v>
      </c>
      <c r="M269" s="0" t="n">
        <f aca="false">04_回帰ANOVA!$K$19*04_回帰ANOVA!$K$14*SQRT(1+L269)</f>
        <v>1.50847095312325</v>
      </c>
      <c r="N269" s="0" t="n">
        <f aca="false">K269-M269</f>
        <v>43.5172330698652</v>
      </c>
      <c r="O269" s="0" t="n">
        <f aca="false">K269+M269</f>
        <v>46.5341749761117</v>
      </c>
      <c r="P269" s="54" t="b">
        <f aca="false">AND(C269&gt;=01_因子設定!$L$5-0.000000001,C269&lt;=01_因子設定!$M$5+0.000000001,D269&gt;=01_因子設定!$L$6-0.000000001,D269&lt;=01_因子設定!$M$6+0.000000001,IF(01_因子設定!$B$20="Box-Behnken",C269^2+D269^2&lt;=2+0.000000001,TRUE()))</f>
        <v>1</v>
      </c>
      <c r="Q269" s="55" t="n">
        <f aca="false">IF(P269,IF(01_因子設定!$B$13="最大化",N269-01_因子設定!$B$14,IF(01_因子設定!$B$13="最小化",01_因子設定!$B$15-O269,MIN(N269-01_因子設定!$B$14,01_因子設定!$B$15-O269))),-1E+030)</f>
        <v>-2.98276693013476</v>
      </c>
      <c r="R269" s="55" t="n">
        <f aca="false">IF(P269,IF(01_因子設定!$B$13="最大化",K269,IF(01_因子設定!$B$13="最小化",-K269,-ABS(K269-01_因子設定!$B$16))),-1E+030)</f>
        <v>45.0257040229885</v>
      </c>
      <c r="S269" s="55" t="n">
        <f aca="false">Q269+ROW()*0.000000001</f>
        <v>-2.98276666113476</v>
      </c>
      <c r="T269" s="55" t="n">
        <f aca="false">R269+ROW()*0.000000001</f>
        <v>45.0257042919885</v>
      </c>
    </row>
    <row r="270" customFormat="false" ht="15" hidden="false" customHeight="false" outlineLevel="0" collapsed="false">
      <c r="A270" s="0" t="n">
        <v>6</v>
      </c>
      <c r="B270" s="0" t="n">
        <v>19</v>
      </c>
      <c r="C270" s="0" t="n">
        <f aca="false">-1+A270*0.05</f>
        <v>-0.7</v>
      </c>
      <c r="D270" s="0" t="n">
        <f aca="false">-1+B270*0.05</f>
        <v>-0.0499999999999999</v>
      </c>
      <c r="E270" s="0" t="n">
        <f aca="false">1</f>
        <v>1</v>
      </c>
      <c r="F270" s="0" t="n">
        <f aca="false">C270</f>
        <v>-0.7</v>
      </c>
      <c r="G270" s="0" t="n">
        <f aca="false">D270</f>
        <v>-0.0499999999999999</v>
      </c>
      <c r="H270" s="0" t="n">
        <f aca="false">C270*D270</f>
        <v>0.035</v>
      </c>
      <c r="I270" s="0" t="n">
        <f aca="false">C270*C270</f>
        <v>0.49</v>
      </c>
      <c r="J270" s="0" t="n">
        <f aca="false">D270*D270</f>
        <v>0.00249999999999999</v>
      </c>
      <c r="K270" s="0" t="n">
        <f aca="false">SUMPRODUCT(E270:J270,_XtX!$B$53:$G$53)</f>
        <v>45.1314022988506</v>
      </c>
      <c r="L270" s="0" t="n">
        <f aca="false">SUMPRODUCT(MMULT(E270:J270,_XtX!$B$44:$G$49),E270:J270)</f>
        <v>0.239503915229885</v>
      </c>
      <c r="M270" s="0" t="n">
        <f aca="false">04_回帰ANOVA!$K$19*04_回帰ANOVA!$K$14*SQRT(1+L270)</f>
        <v>1.50869177878988</v>
      </c>
      <c r="N270" s="0" t="n">
        <f aca="false">K270-M270</f>
        <v>43.6227105200607</v>
      </c>
      <c r="O270" s="0" t="n">
        <f aca="false">K270+M270</f>
        <v>46.6400940776404</v>
      </c>
      <c r="P270" s="54" t="b">
        <f aca="false">AND(C270&gt;=01_因子設定!$L$5-0.000000001,C270&lt;=01_因子設定!$M$5+0.000000001,D270&gt;=01_因子設定!$L$6-0.000000001,D270&lt;=01_因子設定!$M$6+0.000000001,IF(01_因子設定!$B$20="Box-Behnken",C270^2+D270^2&lt;=2+0.000000001,TRUE()))</f>
        <v>1</v>
      </c>
      <c r="Q270" s="55" t="n">
        <f aca="false">IF(P270,IF(01_因子設定!$B$13="最大化",N270-01_因子設定!$B$14,IF(01_因子設定!$B$13="最小化",01_因子設定!$B$15-O270,MIN(N270-01_因子設定!$B$14,01_因子設定!$B$15-O270))),-1E+030)</f>
        <v>-2.87728947993931</v>
      </c>
      <c r="R270" s="55" t="n">
        <f aca="false">IF(P270,IF(01_因子設定!$B$13="最大化",K270,IF(01_因子設定!$B$13="最小化",-K270,-ABS(K270-01_因子設定!$B$16))),-1E+030)</f>
        <v>45.1314022988506</v>
      </c>
      <c r="S270" s="55" t="n">
        <f aca="false">Q270+ROW()*0.000000001</f>
        <v>-2.87728920993931</v>
      </c>
      <c r="T270" s="55" t="n">
        <f aca="false">R270+ROW()*0.000000001</f>
        <v>45.1314025688506</v>
      </c>
    </row>
    <row r="271" customFormat="false" ht="15" hidden="false" customHeight="false" outlineLevel="0" collapsed="false">
      <c r="A271" s="0" t="n">
        <v>6</v>
      </c>
      <c r="B271" s="0" t="n">
        <v>20</v>
      </c>
      <c r="C271" s="0" t="n">
        <f aca="false">-1+A271*0.05</f>
        <v>-0.7</v>
      </c>
      <c r="D271" s="0" t="n">
        <f aca="false">-1+B271*0.05</f>
        <v>0</v>
      </c>
      <c r="E271" s="0" t="n">
        <f aca="false">1</f>
        <v>1</v>
      </c>
      <c r="F271" s="0" t="n">
        <f aca="false">C271</f>
        <v>-0.7</v>
      </c>
      <c r="G271" s="0" t="n">
        <f aca="false">D271</f>
        <v>0</v>
      </c>
      <c r="H271" s="0" t="n">
        <f aca="false">C271*D271</f>
        <v>-0</v>
      </c>
      <c r="I271" s="0" t="n">
        <f aca="false">C271*C271</f>
        <v>0.49</v>
      </c>
      <c r="J271" s="0" t="n">
        <f aca="false">D271*D271</f>
        <v>0</v>
      </c>
      <c r="K271" s="0" t="n">
        <f aca="false">SUMPRODUCT(E271:J271,_XtX!$B$53:$G$53)</f>
        <v>45.2293850574713</v>
      </c>
      <c r="L271" s="0" t="n">
        <f aca="false">SUMPRODUCT(MMULT(E271:J271,_XtX!$B$44:$G$49),E271:J271)</f>
        <v>0.239633908045977</v>
      </c>
      <c r="M271" s="0" t="n">
        <f aca="false">04_回帰ANOVA!$K$19*04_回帰ANOVA!$K$14*SQRT(1+L271)</f>
        <v>1.50877088864536</v>
      </c>
      <c r="N271" s="0" t="n">
        <f aca="false">K271-M271</f>
        <v>43.7206141688259</v>
      </c>
      <c r="O271" s="0" t="n">
        <f aca="false">K271+M271</f>
        <v>46.7381559461166</v>
      </c>
      <c r="P271" s="54" t="b">
        <f aca="false">AND(C271&gt;=01_因子設定!$L$5-0.000000001,C271&lt;=01_因子設定!$M$5+0.000000001,D271&gt;=01_因子設定!$L$6-0.000000001,D271&lt;=01_因子設定!$M$6+0.000000001,IF(01_因子設定!$B$20="Box-Behnken",C271^2+D271^2&lt;=2+0.000000001,TRUE()))</f>
        <v>1</v>
      </c>
      <c r="Q271" s="55" t="n">
        <f aca="false">IF(P271,IF(01_因子設定!$B$13="最大化",N271-01_因子設定!$B$14,IF(01_因子設定!$B$13="最小化",01_因子設定!$B$15-O271,MIN(N271-01_因子設定!$B$14,01_因子設定!$B$15-O271))),-1E+030)</f>
        <v>-2.77938583117411</v>
      </c>
      <c r="R271" s="55" t="n">
        <f aca="false">IF(P271,IF(01_因子設定!$B$13="最大化",K271,IF(01_因子設定!$B$13="最小化",-K271,-ABS(K271-01_因子設定!$B$16))),-1E+030)</f>
        <v>45.2293850574713</v>
      </c>
      <c r="S271" s="55" t="n">
        <f aca="false">Q271+ROW()*0.000000001</f>
        <v>-2.77938556017411</v>
      </c>
      <c r="T271" s="55" t="n">
        <f aca="false">R271+ROW()*0.000000001</f>
        <v>45.2293853284713</v>
      </c>
    </row>
    <row r="272" customFormat="false" ht="15" hidden="false" customHeight="false" outlineLevel="0" collapsed="false">
      <c r="A272" s="0" t="n">
        <v>6</v>
      </c>
      <c r="B272" s="0" t="n">
        <v>21</v>
      </c>
      <c r="C272" s="0" t="n">
        <f aca="false">-1+A272*0.05</f>
        <v>-0.7</v>
      </c>
      <c r="D272" s="0" t="n">
        <f aca="false">-1+B272*0.05</f>
        <v>0.05</v>
      </c>
      <c r="E272" s="0" t="n">
        <f aca="false">1</f>
        <v>1</v>
      </c>
      <c r="F272" s="0" t="n">
        <f aca="false">C272</f>
        <v>-0.7</v>
      </c>
      <c r="G272" s="0" t="n">
        <f aca="false">D272</f>
        <v>0.05</v>
      </c>
      <c r="H272" s="0" t="n">
        <f aca="false">C272*D272</f>
        <v>-0.035</v>
      </c>
      <c r="I272" s="0" t="n">
        <f aca="false">C272*C272</f>
        <v>0.49</v>
      </c>
      <c r="J272" s="0" t="n">
        <f aca="false">D272*D272</f>
        <v>0.0025</v>
      </c>
      <c r="K272" s="0" t="n">
        <f aca="false">SUMPRODUCT(E272:J272,_XtX!$B$53:$G$53)</f>
        <v>45.3196522988506</v>
      </c>
      <c r="L272" s="0" t="n">
        <f aca="false">SUMPRODUCT(MMULT(E272:J272,_XtX!$B$44:$G$49),E272:J272)</f>
        <v>0.239503915229885</v>
      </c>
      <c r="M272" s="0" t="n">
        <f aca="false">04_回帰ANOVA!$K$19*04_回帰ANOVA!$K$14*SQRT(1+L272)</f>
        <v>1.50869177878988</v>
      </c>
      <c r="N272" s="0" t="n">
        <f aca="false">K272-M272</f>
        <v>43.8109605200607</v>
      </c>
      <c r="O272" s="0" t="n">
        <f aca="false">K272+M272</f>
        <v>46.8283440776404</v>
      </c>
      <c r="P272" s="54" t="b">
        <f aca="false">AND(C272&gt;=01_因子設定!$L$5-0.000000001,C272&lt;=01_因子設定!$M$5+0.000000001,D272&gt;=01_因子設定!$L$6-0.000000001,D272&lt;=01_因子設定!$M$6+0.000000001,IF(01_因子設定!$B$20="Box-Behnken",C272^2+D272^2&lt;=2+0.000000001,TRUE()))</f>
        <v>1</v>
      </c>
      <c r="Q272" s="55" t="n">
        <f aca="false">IF(P272,IF(01_因子設定!$B$13="最大化",N272-01_因子設定!$B$14,IF(01_因子設定!$B$13="最小化",01_因子設定!$B$15-O272,MIN(N272-01_因子設定!$B$14,01_因子設定!$B$15-O272))),-1E+030)</f>
        <v>-2.68903947993931</v>
      </c>
      <c r="R272" s="55" t="n">
        <f aca="false">IF(P272,IF(01_因子設定!$B$13="最大化",K272,IF(01_因子設定!$B$13="最小化",-K272,-ABS(K272-01_因子設定!$B$16))),-1E+030)</f>
        <v>45.3196522988506</v>
      </c>
      <c r="S272" s="55" t="n">
        <f aca="false">Q272+ROW()*0.000000001</f>
        <v>-2.68903920793931</v>
      </c>
      <c r="T272" s="55" t="n">
        <f aca="false">R272+ROW()*0.000000001</f>
        <v>45.3196525708506</v>
      </c>
    </row>
    <row r="273" customFormat="false" ht="15" hidden="false" customHeight="false" outlineLevel="0" collapsed="false">
      <c r="A273" s="0" t="n">
        <v>6</v>
      </c>
      <c r="B273" s="0" t="n">
        <v>22</v>
      </c>
      <c r="C273" s="0" t="n">
        <f aca="false">-1+A273*0.05</f>
        <v>-0.7</v>
      </c>
      <c r="D273" s="0" t="n">
        <f aca="false">-1+B273*0.05</f>
        <v>0.1</v>
      </c>
      <c r="E273" s="0" t="n">
        <f aca="false">1</f>
        <v>1</v>
      </c>
      <c r="F273" s="0" t="n">
        <f aca="false">C273</f>
        <v>-0.7</v>
      </c>
      <c r="G273" s="0" t="n">
        <f aca="false">D273</f>
        <v>0.1</v>
      </c>
      <c r="H273" s="0" t="n">
        <f aca="false">C273*D273</f>
        <v>-0.0700000000000001</v>
      </c>
      <c r="I273" s="0" t="n">
        <f aca="false">C273*C273</f>
        <v>0.49</v>
      </c>
      <c r="J273" s="0" t="n">
        <f aca="false">D273*D273</f>
        <v>0.01</v>
      </c>
      <c r="K273" s="0" t="n">
        <f aca="false">SUMPRODUCT(E273:J273,_XtX!$B$53:$G$53)</f>
        <v>45.4022040229885</v>
      </c>
      <c r="L273" s="0" t="n">
        <f aca="false">SUMPRODUCT(MMULT(E273:J273,_XtX!$B$44:$G$49),E273:J273)</f>
        <v>0.239141091954023</v>
      </c>
      <c r="M273" s="0" t="n">
        <f aca="false">04_回帰ANOVA!$K$19*04_回帰ANOVA!$K$14*SQRT(1+L273)</f>
        <v>1.50847095312325</v>
      </c>
      <c r="N273" s="0" t="n">
        <f aca="false">K273-M273</f>
        <v>43.8937330698652</v>
      </c>
      <c r="O273" s="0" t="n">
        <f aca="false">K273+M273</f>
        <v>46.9106749761118</v>
      </c>
      <c r="P273" s="54" t="b">
        <f aca="false">AND(C273&gt;=01_因子設定!$L$5-0.000000001,C273&lt;=01_因子設定!$M$5+0.000000001,D273&gt;=01_因子設定!$L$6-0.000000001,D273&lt;=01_因子設定!$M$6+0.000000001,IF(01_因子設定!$B$20="Box-Behnken",C273^2+D273^2&lt;=2+0.000000001,TRUE()))</f>
        <v>1</v>
      </c>
      <c r="Q273" s="55" t="n">
        <f aca="false">IF(P273,IF(01_因子設定!$B$13="最大化",N273-01_因子設定!$B$14,IF(01_因子設定!$B$13="最小化",01_因子設定!$B$15-O273,MIN(N273-01_因子設定!$B$14,01_因子設定!$B$15-O273))),-1E+030)</f>
        <v>-2.60626693013477</v>
      </c>
      <c r="R273" s="55" t="n">
        <f aca="false">IF(P273,IF(01_因子設定!$B$13="最大化",K273,IF(01_因子設定!$B$13="最小化",-K273,-ABS(K273-01_因子設定!$B$16))),-1E+030)</f>
        <v>45.4022040229885</v>
      </c>
      <c r="S273" s="55" t="n">
        <f aca="false">Q273+ROW()*0.000000001</f>
        <v>-2.60626665713477</v>
      </c>
      <c r="T273" s="55" t="n">
        <f aca="false">R273+ROW()*0.000000001</f>
        <v>45.4022042959885</v>
      </c>
    </row>
    <row r="274" customFormat="false" ht="15" hidden="false" customHeight="false" outlineLevel="0" collapsed="false">
      <c r="A274" s="0" t="n">
        <v>6</v>
      </c>
      <c r="B274" s="0" t="n">
        <v>23</v>
      </c>
      <c r="C274" s="0" t="n">
        <f aca="false">-1+A274*0.05</f>
        <v>-0.7</v>
      </c>
      <c r="D274" s="0" t="n">
        <f aca="false">-1+B274*0.05</f>
        <v>0.15</v>
      </c>
      <c r="E274" s="0" t="n">
        <f aca="false">1</f>
        <v>1</v>
      </c>
      <c r="F274" s="0" t="n">
        <f aca="false">C274</f>
        <v>-0.7</v>
      </c>
      <c r="G274" s="0" t="n">
        <f aca="false">D274</f>
        <v>0.15</v>
      </c>
      <c r="H274" s="0" t="n">
        <f aca="false">C274*D274</f>
        <v>-0.105</v>
      </c>
      <c r="I274" s="0" t="n">
        <f aca="false">C274*C274</f>
        <v>0.49</v>
      </c>
      <c r="J274" s="0" t="n">
        <f aca="false">D274*D274</f>
        <v>0.0225</v>
      </c>
      <c r="K274" s="0" t="n">
        <f aca="false">SUMPRODUCT(E274:J274,_XtX!$B$53:$G$53)</f>
        <v>45.4770402298851</v>
      </c>
      <c r="L274" s="0" t="n">
        <f aca="false">SUMPRODUCT(MMULT(E274:J274,_XtX!$B$44:$G$49),E274:J274)</f>
        <v>0.238626903735632</v>
      </c>
      <c r="M274" s="0" t="n">
        <f aca="false">04_回帰ANOVA!$K$19*04_回帰ANOVA!$K$14*SQRT(1+L274)</f>
        <v>1.50815794660713</v>
      </c>
      <c r="N274" s="0" t="n">
        <f aca="false">K274-M274</f>
        <v>43.9688822832779</v>
      </c>
      <c r="O274" s="0" t="n">
        <f aca="false">K274+M274</f>
        <v>46.9851981764922</v>
      </c>
      <c r="P274" s="54" t="b">
        <f aca="false">AND(C274&gt;=01_因子設定!$L$5-0.000000001,C274&lt;=01_因子設定!$M$5+0.000000001,D274&gt;=01_因子設定!$L$6-0.000000001,D274&lt;=01_因子設定!$M$6+0.000000001,IF(01_因子設定!$B$20="Box-Behnken",C274^2+D274^2&lt;=2+0.000000001,TRUE()))</f>
        <v>1</v>
      </c>
      <c r="Q274" s="55" t="n">
        <f aca="false">IF(P274,IF(01_因子設定!$B$13="最大化",N274-01_因子設定!$B$14,IF(01_因子設定!$B$13="最小化",01_因子設定!$B$15-O274,MIN(N274-01_因子設定!$B$14,01_因子設定!$B$15-O274))),-1E+030)</f>
        <v>-2.53111771672208</v>
      </c>
      <c r="R274" s="55" t="n">
        <f aca="false">IF(P274,IF(01_因子設定!$B$13="最大化",K274,IF(01_因子設定!$B$13="最小化",-K274,-ABS(K274-01_因子設定!$B$16))),-1E+030)</f>
        <v>45.4770402298851</v>
      </c>
      <c r="S274" s="55" t="n">
        <f aca="false">Q274+ROW()*0.000000001</f>
        <v>-2.53111744272208</v>
      </c>
      <c r="T274" s="55" t="n">
        <f aca="false">R274+ROW()*0.000000001</f>
        <v>45.4770405038851</v>
      </c>
    </row>
    <row r="275" customFormat="false" ht="15" hidden="false" customHeight="false" outlineLevel="0" collapsed="false">
      <c r="A275" s="0" t="n">
        <v>6</v>
      </c>
      <c r="B275" s="0" t="n">
        <v>24</v>
      </c>
      <c r="C275" s="0" t="n">
        <f aca="false">-1+A275*0.05</f>
        <v>-0.7</v>
      </c>
      <c r="D275" s="0" t="n">
        <f aca="false">-1+B275*0.05</f>
        <v>0.2</v>
      </c>
      <c r="E275" s="0" t="n">
        <f aca="false">1</f>
        <v>1</v>
      </c>
      <c r="F275" s="0" t="n">
        <f aca="false">C275</f>
        <v>-0.7</v>
      </c>
      <c r="G275" s="0" t="n">
        <f aca="false">D275</f>
        <v>0.2</v>
      </c>
      <c r="H275" s="0" t="n">
        <f aca="false">C275*D275</f>
        <v>-0.14</v>
      </c>
      <c r="I275" s="0" t="n">
        <f aca="false">C275*C275</f>
        <v>0.49</v>
      </c>
      <c r="J275" s="0" t="n">
        <f aca="false">D275*D275</f>
        <v>0.0400000000000001</v>
      </c>
      <c r="K275" s="0" t="n">
        <f aca="false">SUMPRODUCT(E275:J275,_XtX!$B$53:$G$53)</f>
        <v>45.5441609195402</v>
      </c>
      <c r="L275" s="0" t="n">
        <f aca="false">SUMPRODUCT(MMULT(E275:J275,_XtX!$B$44:$G$49),E275:J275)</f>
        <v>0.238097126436782</v>
      </c>
      <c r="M275" s="0" t="n">
        <f aca="false">04_回帰ANOVA!$K$19*04_回帰ANOVA!$K$14*SQRT(1+L275)</f>
        <v>1.50783538244616</v>
      </c>
      <c r="N275" s="0" t="n">
        <f aca="false">K275-M275</f>
        <v>44.0363255370941</v>
      </c>
      <c r="O275" s="0" t="n">
        <f aca="false">K275+M275</f>
        <v>47.0519963019864</v>
      </c>
      <c r="P275" s="54" t="b">
        <f aca="false">AND(C275&gt;=01_因子設定!$L$5-0.000000001,C275&lt;=01_因子設定!$M$5+0.000000001,D275&gt;=01_因子設定!$L$6-0.000000001,D275&lt;=01_因子設定!$M$6+0.000000001,IF(01_因子設定!$B$20="Box-Behnken",C275^2+D275^2&lt;=2+0.000000001,TRUE()))</f>
        <v>1</v>
      </c>
      <c r="Q275" s="55" t="n">
        <f aca="false">IF(P275,IF(01_因子設定!$B$13="最大化",N275-01_因子設定!$B$14,IF(01_因子設定!$B$13="最小化",01_因子設定!$B$15-O275,MIN(N275-01_因子設定!$B$14,01_因子設定!$B$15-O275))),-1E+030)</f>
        <v>-2.46367446290594</v>
      </c>
      <c r="R275" s="55" t="n">
        <f aca="false">IF(P275,IF(01_因子設定!$B$13="最大化",K275,IF(01_因子設定!$B$13="最小化",-K275,-ABS(K275-01_因子設定!$B$16))),-1E+030)</f>
        <v>45.5441609195402</v>
      </c>
      <c r="S275" s="55" t="n">
        <f aca="false">Q275+ROW()*0.000000001</f>
        <v>-2.46367418790594</v>
      </c>
      <c r="T275" s="55" t="n">
        <f aca="false">R275+ROW()*0.000000001</f>
        <v>45.5441611945402</v>
      </c>
    </row>
    <row r="276" customFormat="false" ht="15" hidden="false" customHeight="false" outlineLevel="0" collapsed="false">
      <c r="A276" s="0" t="n">
        <v>6</v>
      </c>
      <c r="B276" s="0" t="n">
        <v>25</v>
      </c>
      <c r="C276" s="0" t="n">
        <f aca="false">-1+A276*0.05</f>
        <v>-0.7</v>
      </c>
      <c r="D276" s="0" t="n">
        <f aca="false">-1+B276*0.05</f>
        <v>0.25</v>
      </c>
      <c r="E276" s="0" t="n">
        <f aca="false">1</f>
        <v>1</v>
      </c>
      <c r="F276" s="0" t="n">
        <f aca="false">C276</f>
        <v>-0.7</v>
      </c>
      <c r="G276" s="0" t="n">
        <f aca="false">D276</f>
        <v>0.25</v>
      </c>
      <c r="H276" s="0" t="n">
        <f aca="false">C276*D276</f>
        <v>-0.175</v>
      </c>
      <c r="I276" s="0" t="n">
        <f aca="false">C276*C276</f>
        <v>0.49</v>
      </c>
      <c r="J276" s="0" t="n">
        <f aca="false">D276*D276</f>
        <v>0.0625</v>
      </c>
      <c r="K276" s="0" t="n">
        <f aca="false">SUMPRODUCT(E276:J276,_XtX!$B$53:$G$53)</f>
        <v>45.603566091954</v>
      </c>
      <c r="L276" s="0" t="n">
        <f aca="false">SUMPRODUCT(MMULT(E276:J276,_XtX!$B$44:$G$49),E276:J276)</f>
        <v>0.237741846264368</v>
      </c>
      <c r="M276" s="0" t="n">
        <f aca="false">04_回帰ANOVA!$K$19*04_回帰ANOVA!$K$14*SQRT(1+L276)</f>
        <v>1.50761902524781</v>
      </c>
      <c r="N276" s="0" t="n">
        <f aca="false">K276-M276</f>
        <v>44.0959470667062</v>
      </c>
      <c r="O276" s="0" t="n">
        <f aca="false">K276+M276</f>
        <v>47.1111851172018</v>
      </c>
      <c r="P276" s="54" t="b">
        <f aca="false">AND(C276&gt;=01_因子設定!$L$5-0.000000001,C276&lt;=01_因子設定!$M$5+0.000000001,D276&gt;=01_因子設定!$L$6-0.000000001,D276&lt;=01_因子設定!$M$6+0.000000001,IF(01_因子設定!$B$20="Box-Behnken",C276^2+D276^2&lt;=2+0.000000001,TRUE()))</f>
        <v>1</v>
      </c>
      <c r="Q276" s="55" t="n">
        <f aca="false">IF(P276,IF(01_因子設定!$B$13="最大化",N276-01_因子設定!$B$14,IF(01_因子設定!$B$13="最小化",01_因子設定!$B$15-O276,MIN(N276-01_因子設定!$B$14,01_因子設定!$B$15-O276))),-1E+030)</f>
        <v>-2.4040529332938</v>
      </c>
      <c r="R276" s="55" t="n">
        <f aca="false">IF(P276,IF(01_因子設定!$B$13="最大化",K276,IF(01_因子設定!$B$13="最小化",-K276,-ABS(K276-01_因子設定!$B$16))),-1E+030)</f>
        <v>45.603566091954</v>
      </c>
      <c r="S276" s="55" t="n">
        <f aca="false">Q276+ROW()*0.000000001</f>
        <v>-2.4040526572938</v>
      </c>
      <c r="T276" s="55" t="n">
        <f aca="false">R276+ROW()*0.000000001</f>
        <v>45.603566367954</v>
      </c>
    </row>
    <row r="277" customFormat="false" ht="15" hidden="false" customHeight="false" outlineLevel="0" collapsed="false">
      <c r="A277" s="0" t="n">
        <v>6</v>
      </c>
      <c r="B277" s="0" t="n">
        <v>26</v>
      </c>
      <c r="C277" s="0" t="n">
        <f aca="false">-1+A277*0.05</f>
        <v>-0.7</v>
      </c>
      <c r="D277" s="0" t="n">
        <f aca="false">-1+B277*0.05</f>
        <v>0.3</v>
      </c>
      <c r="E277" s="0" t="n">
        <f aca="false">1</f>
        <v>1</v>
      </c>
      <c r="F277" s="0" t="n">
        <f aca="false">C277</f>
        <v>-0.7</v>
      </c>
      <c r="G277" s="0" t="n">
        <f aca="false">D277</f>
        <v>0.3</v>
      </c>
      <c r="H277" s="0" t="n">
        <f aca="false">C277*D277</f>
        <v>-0.21</v>
      </c>
      <c r="I277" s="0" t="n">
        <f aca="false">C277*C277</f>
        <v>0.49</v>
      </c>
      <c r="J277" s="0" t="n">
        <f aca="false">D277*D277</f>
        <v>0.09</v>
      </c>
      <c r="K277" s="0" t="n">
        <f aca="false">SUMPRODUCT(E277:J277,_XtX!$B$53:$G$53)</f>
        <v>45.6552557471264</v>
      </c>
      <c r="L277" s="0" t="n">
        <f aca="false">SUMPRODUCT(MMULT(E277:J277,_XtX!$B$44:$G$49),E277:J277)</f>
        <v>0.237805459770115</v>
      </c>
      <c r="M277" s="0" t="n">
        <f aca="false">04_回帰ANOVA!$K$19*04_回帰ANOVA!$K$14*SQRT(1+L277)</f>
        <v>1.50765776664594</v>
      </c>
      <c r="N277" s="0" t="n">
        <f aca="false">K277-M277</f>
        <v>44.1475979804805</v>
      </c>
      <c r="O277" s="0" t="n">
        <f aca="false">K277+M277</f>
        <v>47.1629135137724</v>
      </c>
      <c r="P277" s="54" t="b">
        <f aca="false">AND(C277&gt;=01_因子設定!$L$5-0.000000001,C277&lt;=01_因子設定!$M$5+0.000000001,D277&gt;=01_因子設定!$L$6-0.000000001,D277&lt;=01_因子設定!$M$6+0.000000001,IF(01_因子設定!$B$20="Box-Behnken",C277^2+D277^2&lt;=2+0.000000001,TRUE()))</f>
        <v>1</v>
      </c>
      <c r="Q277" s="55" t="n">
        <f aca="false">IF(P277,IF(01_因子設定!$B$13="最大化",N277-01_因子設定!$B$14,IF(01_因子設定!$B$13="最小化",01_因子設定!$B$15-O277,MIN(N277-01_因子設定!$B$14,01_因子設定!$B$15-O277))),-1E+030)</f>
        <v>-2.35240201951952</v>
      </c>
      <c r="R277" s="55" t="n">
        <f aca="false">IF(P277,IF(01_因子設定!$B$13="最大化",K277,IF(01_因子設定!$B$13="最小化",-K277,-ABS(K277-01_因子設定!$B$16))),-1E+030)</f>
        <v>45.6552557471264</v>
      </c>
      <c r="S277" s="55" t="n">
        <f aca="false">Q277+ROW()*0.000000001</f>
        <v>-2.35240174251952</v>
      </c>
      <c r="T277" s="55" t="n">
        <f aca="false">R277+ROW()*0.000000001</f>
        <v>45.6552560241264</v>
      </c>
    </row>
    <row r="278" customFormat="false" ht="15" hidden="false" customHeight="false" outlineLevel="0" collapsed="false">
      <c r="A278" s="0" t="n">
        <v>6</v>
      </c>
      <c r="B278" s="0" t="n">
        <v>27</v>
      </c>
      <c r="C278" s="0" t="n">
        <f aca="false">-1+A278*0.05</f>
        <v>-0.7</v>
      </c>
      <c r="D278" s="0" t="n">
        <f aca="false">-1+B278*0.05</f>
        <v>0.35</v>
      </c>
      <c r="E278" s="0" t="n">
        <f aca="false">1</f>
        <v>1</v>
      </c>
      <c r="F278" s="0" t="n">
        <f aca="false">C278</f>
        <v>-0.7</v>
      </c>
      <c r="G278" s="0" t="n">
        <f aca="false">D278</f>
        <v>0.35</v>
      </c>
      <c r="H278" s="0" t="n">
        <f aca="false">C278*D278</f>
        <v>-0.245</v>
      </c>
      <c r="I278" s="0" t="n">
        <f aca="false">C278*C278</f>
        <v>0.49</v>
      </c>
      <c r="J278" s="0" t="n">
        <f aca="false">D278*D278</f>
        <v>0.1225</v>
      </c>
      <c r="K278" s="0" t="n">
        <f aca="false">SUMPRODUCT(E278:J278,_XtX!$B$53:$G$53)</f>
        <v>45.6992298850575</v>
      </c>
      <c r="L278" s="0" t="n">
        <f aca="false">SUMPRODUCT(MMULT(E278:J278,_XtX!$B$44:$G$49),E278:J278)</f>
        <v>0.238586673850575</v>
      </c>
      <c r="M278" s="0" t="n">
        <f aca="false">04_回帰ANOVA!$K$19*04_回帰ANOVA!$K$14*SQRT(1+L278)</f>
        <v>1.50813345435958</v>
      </c>
      <c r="N278" s="0" t="n">
        <f aca="false">K278-M278</f>
        <v>44.1910964306979</v>
      </c>
      <c r="O278" s="0" t="n">
        <f aca="false">K278+M278</f>
        <v>47.207363339417</v>
      </c>
      <c r="P278" s="54" t="b">
        <f aca="false">AND(C278&gt;=01_因子設定!$L$5-0.000000001,C278&lt;=01_因子設定!$M$5+0.000000001,D278&gt;=01_因子設定!$L$6-0.000000001,D278&lt;=01_因子設定!$M$6+0.000000001,IF(01_因子設定!$B$20="Box-Behnken",C278^2+D278^2&lt;=2+0.000000001,TRUE()))</f>
        <v>1</v>
      </c>
      <c r="Q278" s="55" t="n">
        <f aca="false">IF(P278,IF(01_因子設定!$B$13="最大化",N278-01_因子設定!$B$14,IF(01_因子設定!$B$13="最小化",01_因子設定!$B$15-O278,MIN(N278-01_因子設定!$B$14,01_因子設定!$B$15-O278))),-1E+030)</f>
        <v>-2.30890356930211</v>
      </c>
      <c r="R278" s="55" t="n">
        <f aca="false">IF(P278,IF(01_因子設定!$B$13="最大化",K278,IF(01_因子設定!$B$13="最小化",-K278,-ABS(K278-01_因子設定!$B$16))),-1E+030)</f>
        <v>45.6992298850575</v>
      </c>
      <c r="S278" s="55" t="n">
        <f aca="false">Q278+ROW()*0.000000001</f>
        <v>-2.30890329130211</v>
      </c>
      <c r="T278" s="55" t="n">
        <f aca="false">R278+ROW()*0.000000001</f>
        <v>45.6992301630575</v>
      </c>
    </row>
    <row r="279" customFormat="false" ht="15" hidden="false" customHeight="false" outlineLevel="0" collapsed="false">
      <c r="A279" s="0" t="n">
        <v>6</v>
      </c>
      <c r="B279" s="0" t="n">
        <v>28</v>
      </c>
      <c r="C279" s="0" t="n">
        <f aca="false">-1+A279*0.05</f>
        <v>-0.7</v>
      </c>
      <c r="D279" s="0" t="n">
        <f aca="false">-1+B279*0.05</f>
        <v>0.4</v>
      </c>
      <c r="E279" s="0" t="n">
        <f aca="false">1</f>
        <v>1</v>
      </c>
      <c r="F279" s="0" t="n">
        <f aca="false">C279</f>
        <v>-0.7</v>
      </c>
      <c r="G279" s="0" t="n">
        <f aca="false">D279</f>
        <v>0.4</v>
      </c>
      <c r="H279" s="0" t="n">
        <f aca="false">C279*D279</f>
        <v>-0.28</v>
      </c>
      <c r="I279" s="0" t="n">
        <f aca="false">C279*C279</f>
        <v>0.49</v>
      </c>
      <c r="J279" s="0" t="n">
        <f aca="false">D279*D279</f>
        <v>0.16</v>
      </c>
      <c r="K279" s="0" t="n">
        <f aca="false">SUMPRODUCT(E279:J279,_XtX!$B$53:$G$53)</f>
        <v>45.7354885057471</v>
      </c>
      <c r="L279" s="0" t="n">
        <f aca="false">SUMPRODUCT(MMULT(E279:J279,_XtX!$B$44:$G$49),E279:J279)</f>
        <v>0.240438505747126</v>
      </c>
      <c r="M279" s="0" t="n">
        <f aca="false">04_回帰ANOVA!$K$19*04_回帰ANOVA!$K$14*SQRT(1+L279)</f>
        <v>1.5092604511937</v>
      </c>
      <c r="N279" s="0" t="n">
        <f aca="false">K279-M279</f>
        <v>44.2262280545534</v>
      </c>
      <c r="O279" s="0" t="n">
        <f aca="false">K279+M279</f>
        <v>47.2447489569408</v>
      </c>
      <c r="P279" s="54" t="b">
        <f aca="false">AND(C279&gt;=01_因子設定!$L$5-0.000000001,C279&lt;=01_因子設定!$M$5+0.000000001,D279&gt;=01_因子設定!$L$6-0.000000001,D279&lt;=01_因子設定!$M$6+0.000000001,IF(01_因子設定!$B$20="Box-Behnken",C279^2+D279^2&lt;=2+0.000000001,TRUE()))</f>
        <v>1</v>
      </c>
      <c r="Q279" s="55" t="n">
        <f aca="false">IF(P279,IF(01_因子設定!$B$13="最大化",N279-01_因子設定!$B$14,IF(01_因子設定!$B$13="最小化",01_因子設定!$B$15-O279,MIN(N279-01_因子設定!$B$14,01_因子設定!$B$15-O279))),-1E+030)</f>
        <v>-2.27377194544659</v>
      </c>
      <c r="R279" s="55" t="n">
        <f aca="false">IF(P279,IF(01_因子設定!$B$13="最大化",K279,IF(01_因子設定!$B$13="最小化",-K279,-ABS(K279-01_因子設定!$B$16))),-1E+030)</f>
        <v>45.7354885057471</v>
      </c>
      <c r="S279" s="55" t="n">
        <f aca="false">Q279+ROW()*0.000000001</f>
        <v>-2.27377166644659</v>
      </c>
      <c r="T279" s="55" t="n">
        <f aca="false">R279+ROW()*0.000000001</f>
        <v>45.7354887847471</v>
      </c>
    </row>
    <row r="280" customFormat="false" ht="15" hidden="false" customHeight="false" outlineLevel="0" collapsed="false">
      <c r="A280" s="0" t="n">
        <v>6</v>
      </c>
      <c r="B280" s="0" t="n">
        <v>29</v>
      </c>
      <c r="C280" s="0" t="n">
        <f aca="false">-1+A280*0.05</f>
        <v>-0.7</v>
      </c>
      <c r="D280" s="0" t="n">
        <f aca="false">-1+B280*0.05</f>
        <v>0.45</v>
      </c>
      <c r="E280" s="0" t="n">
        <f aca="false">1</f>
        <v>1</v>
      </c>
      <c r="F280" s="0" t="n">
        <f aca="false">C280</f>
        <v>-0.7</v>
      </c>
      <c r="G280" s="0" t="n">
        <f aca="false">D280</f>
        <v>0.45</v>
      </c>
      <c r="H280" s="0" t="n">
        <f aca="false">C280*D280</f>
        <v>-0.315</v>
      </c>
      <c r="I280" s="0" t="n">
        <f aca="false">C280*C280</f>
        <v>0.49</v>
      </c>
      <c r="J280" s="0" t="n">
        <f aca="false">D280*D280</f>
        <v>0.2025</v>
      </c>
      <c r="K280" s="0" t="n">
        <f aca="false">SUMPRODUCT(E280:J280,_XtX!$B$53:$G$53)</f>
        <v>45.7640316091954</v>
      </c>
      <c r="L280" s="0" t="n">
        <f aca="false">SUMPRODUCT(MMULT(E280:J280,_XtX!$B$44:$G$49),E280:J280)</f>
        <v>0.243768283045977</v>
      </c>
      <c r="M280" s="0" t="n">
        <f aca="false">04_回帰ANOVA!$K$19*04_回帰ANOVA!$K$14*SQRT(1+L280)</f>
        <v>1.51128478900926</v>
      </c>
      <c r="N280" s="0" t="n">
        <f aca="false">K280-M280</f>
        <v>44.2527468201861</v>
      </c>
      <c r="O280" s="0" t="n">
        <f aca="false">K280+M280</f>
        <v>47.2753163982047</v>
      </c>
      <c r="P280" s="54" t="b">
        <f aca="false">AND(C280&gt;=01_因子設定!$L$5-0.000000001,C280&lt;=01_因子設定!$M$5+0.000000001,D280&gt;=01_因子設定!$L$6-0.000000001,D280&lt;=01_因子設定!$M$6+0.000000001,IF(01_因子設定!$B$20="Box-Behnken",C280^2+D280^2&lt;=2+0.000000001,TRUE()))</f>
        <v>1</v>
      </c>
      <c r="Q280" s="55" t="n">
        <f aca="false">IF(P280,IF(01_因子設定!$B$13="最大化",N280-01_因子設定!$B$14,IF(01_因子設定!$B$13="最小化",01_因子設定!$B$15-O280,MIN(N280-01_因子設定!$B$14,01_因子設定!$B$15-O280))),-1E+030)</f>
        <v>-2.24725317981387</v>
      </c>
      <c r="R280" s="55" t="n">
        <f aca="false">IF(P280,IF(01_因子設定!$B$13="最大化",K280,IF(01_因子設定!$B$13="最小化",-K280,-ABS(K280-01_因子設定!$B$16))),-1E+030)</f>
        <v>45.7640316091954</v>
      </c>
      <c r="S280" s="55" t="n">
        <f aca="false">Q280+ROW()*0.000000001</f>
        <v>-2.24725289981387</v>
      </c>
      <c r="T280" s="55" t="n">
        <f aca="false">R280+ROW()*0.000000001</f>
        <v>45.7640318891954</v>
      </c>
    </row>
    <row r="281" customFormat="false" ht="15" hidden="false" customHeight="false" outlineLevel="0" collapsed="false">
      <c r="A281" s="0" t="n">
        <v>6</v>
      </c>
      <c r="B281" s="0" t="n">
        <v>30</v>
      </c>
      <c r="C281" s="0" t="n">
        <f aca="false">-1+A281*0.05</f>
        <v>-0.7</v>
      </c>
      <c r="D281" s="0" t="n">
        <f aca="false">-1+B281*0.05</f>
        <v>0.5</v>
      </c>
      <c r="E281" s="0" t="n">
        <f aca="false">1</f>
        <v>1</v>
      </c>
      <c r="F281" s="0" t="n">
        <f aca="false">C281</f>
        <v>-0.7</v>
      </c>
      <c r="G281" s="0" t="n">
        <f aca="false">D281</f>
        <v>0.5</v>
      </c>
      <c r="H281" s="0" t="n">
        <f aca="false">C281*D281</f>
        <v>-0.35</v>
      </c>
      <c r="I281" s="0" t="n">
        <f aca="false">C281*C281</f>
        <v>0.49</v>
      </c>
      <c r="J281" s="0" t="n">
        <f aca="false">D281*D281</f>
        <v>0.25</v>
      </c>
      <c r="K281" s="0" t="n">
        <f aca="false">SUMPRODUCT(E281:J281,_XtX!$B$53:$G$53)</f>
        <v>45.7848591954023</v>
      </c>
      <c r="L281" s="0" t="n">
        <f aca="false">SUMPRODUCT(MMULT(E281:J281,_XtX!$B$44:$G$49),E281:J281)</f>
        <v>0.249037643678161</v>
      </c>
      <c r="M281" s="0" t="n">
        <f aca="false">04_回帰ANOVA!$K$19*04_回帰ANOVA!$K$14*SQRT(1+L281)</f>
        <v>1.5144827672559</v>
      </c>
      <c r="N281" s="0" t="n">
        <f aca="false">K281-M281</f>
        <v>44.2703764281464</v>
      </c>
      <c r="O281" s="0" t="n">
        <f aca="false">K281+M281</f>
        <v>47.2993419626582</v>
      </c>
      <c r="P281" s="54" t="b">
        <f aca="false">AND(C281&gt;=01_因子設定!$L$5-0.000000001,C281&lt;=01_因子設定!$M$5+0.000000001,D281&gt;=01_因子設定!$L$6-0.000000001,D281&lt;=01_因子設定!$M$6+0.000000001,IF(01_因子設定!$B$20="Box-Behnken",C281^2+D281^2&lt;=2+0.000000001,TRUE()))</f>
        <v>1</v>
      </c>
      <c r="Q281" s="55" t="n">
        <f aca="false">IF(P281,IF(01_因子設定!$B$13="最大化",N281-01_因子設定!$B$14,IF(01_因子設定!$B$13="最小化",01_因子設定!$B$15-O281,MIN(N281-01_因子設定!$B$14,01_因子設定!$B$15-O281))),-1E+030)</f>
        <v>-2.22962357185362</v>
      </c>
      <c r="R281" s="55" t="n">
        <f aca="false">IF(P281,IF(01_因子設定!$B$13="最大化",K281,IF(01_因子設定!$B$13="最小化",-K281,-ABS(K281-01_因子設定!$B$16))),-1E+030)</f>
        <v>45.7848591954023</v>
      </c>
      <c r="S281" s="55" t="n">
        <f aca="false">Q281+ROW()*0.000000001</f>
        <v>-2.22962329085362</v>
      </c>
      <c r="T281" s="55" t="n">
        <f aca="false">R281+ROW()*0.000000001</f>
        <v>45.7848594764023</v>
      </c>
    </row>
    <row r="282" customFormat="false" ht="15" hidden="false" customHeight="false" outlineLevel="0" collapsed="false">
      <c r="A282" s="0" t="n">
        <v>6</v>
      </c>
      <c r="B282" s="0" t="n">
        <v>31</v>
      </c>
      <c r="C282" s="0" t="n">
        <f aca="false">-1+A282*0.05</f>
        <v>-0.7</v>
      </c>
      <c r="D282" s="0" t="n">
        <f aca="false">-1+B282*0.05</f>
        <v>0.55</v>
      </c>
      <c r="E282" s="0" t="n">
        <f aca="false">1</f>
        <v>1</v>
      </c>
      <c r="F282" s="0" t="n">
        <f aca="false">C282</f>
        <v>-0.7</v>
      </c>
      <c r="G282" s="0" t="n">
        <f aca="false">D282</f>
        <v>0.55</v>
      </c>
      <c r="H282" s="0" t="n">
        <f aca="false">C282*D282</f>
        <v>-0.385</v>
      </c>
      <c r="I282" s="0" t="n">
        <f aca="false">C282*C282</f>
        <v>0.49</v>
      </c>
      <c r="J282" s="0" t="n">
        <f aca="false">D282*D282</f>
        <v>0.3025</v>
      </c>
      <c r="K282" s="0" t="n">
        <f aca="false">SUMPRODUCT(E282:J282,_XtX!$B$53:$G$53)</f>
        <v>45.7979712643678</v>
      </c>
      <c r="L282" s="0" t="n">
        <f aca="false">SUMPRODUCT(MMULT(E282:J282,_XtX!$B$44:$G$49),E282:J282)</f>
        <v>0.25676253591954</v>
      </c>
      <c r="M282" s="0" t="n">
        <f aca="false">04_回帰ANOVA!$K$19*04_回帰ANOVA!$K$14*SQRT(1+L282)</f>
        <v>1.51915884046963</v>
      </c>
      <c r="N282" s="0" t="n">
        <f aca="false">K282-M282</f>
        <v>44.2788124238982</v>
      </c>
      <c r="O282" s="0" t="n">
        <f aca="false">K282+M282</f>
        <v>47.3171301048374</v>
      </c>
      <c r="P282" s="54" t="b">
        <f aca="false">AND(C282&gt;=01_因子設定!$L$5-0.000000001,C282&lt;=01_因子設定!$M$5+0.000000001,D282&gt;=01_因子設定!$L$6-0.000000001,D282&lt;=01_因子設定!$M$6+0.000000001,IF(01_因子設定!$B$20="Box-Behnken",C282^2+D282^2&lt;=2+0.000000001,TRUE()))</f>
        <v>1</v>
      </c>
      <c r="Q282" s="55" t="n">
        <f aca="false">IF(P282,IF(01_因子設定!$B$13="最大化",N282-01_因子設定!$B$14,IF(01_因子設定!$B$13="最小化",01_因子設定!$B$15-O282,MIN(N282-01_因子設定!$B$14,01_因子設定!$B$15-O282))),-1E+030)</f>
        <v>-2.22118757610183</v>
      </c>
      <c r="R282" s="55" t="n">
        <f aca="false">IF(P282,IF(01_因子設定!$B$13="最大化",K282,IF(01_因子設定!$B$13="最小化",-K282,-ABS(K282-01_因子設定!$B$16))),-1E+030)</f>
        <v>45.7979712643678</v>
      </c>
      <c r="S282" s="55" t="n">
        <f aca="false">Q282+ROW()*0.000000001</f>
        <v>-2.22118729410183</v>
      </c>
      <c r="T282" s="55" t="n">
        <f aca="false">R282+ROW()*0.000000001</f>
        <v>45.7979715463678</v>
      </c>
    </row>
    <row r="283" customFormat="false" ht="15" hidden="false" customHeight="false" outlineLevel="0" collapsed="false">
      <c r="A283" s="0" t="n">
        <v>6</v>
      </c>
      <c r="B283" s="0" t="n">
        <v>32</v>
      </c>
      <c r="C283" s="0" t="n">
        <f aca="false">-1+A283*0.05</f>
        <v>-0.7</v>
      </c>
      <c r="D283" s="0" t="n">
        <f aca="false">-1+B283*0.05</f>
        <v>0.6</v>
      </c>
      <c r="E283" s="0" t="n">
        <f aca="false">1</f>
        <v>1</v>
      </c>
      <c r="F283" s="0" t="n">
        <f aca="false">C283</f>
        <v>-0.7</v>
      </c>
      <c r="G283" s="0" t="n">
        <f aca="false">D283</f>
        <v>0.6</v>
      </c>
      <c r="H283" s="0" t="n">
        <f aca="false">C283*D283</f>
        <v>-0.42</v>
      </c>
      <c r="I283" s="0" t="n">
        <f aca="false">C283*C283</f>
        <v>0.49</v>
      </c>
      <c r="J283" s="0" t="n">
        <f aca="false">D283*D283</f>
        <v>0.36</v>
      </c>
      <c r="K283" s="0" t="n">
        <f aca="false">SUMPRODUCT(E283:J283,_XtX!$B$53:$G$53)</f>
        <v>45.8033678160919</v>
      </c>
      <c r="L283" s="0" t="n">
        <f aca="false">SUMPRODUCT(MMULT(E283:J283,_XtX!$B$44:$G$49),E283:J283)</f>
        <v>0.267513218390805</v>
      </c>
      <c r="M283" s="0" t="n">
        <f aca="false">04_回帰ANOVA!$K$19*04_回帰ANOVA!$K$14*SQRT(1+L283)</f>
        <v>1.52564264921817</v>
      </c>
      <c r="N283" s="0" t="n">
        <f aca="false">K283-M283</f>
        <v>44.2777251668738</v>
      </c>
      <c r="O283" s="0" t="n">
        <f aca="false">K283+M283</f>
        <v>47.3290104653101</v>
      </c>
      <c r="P283" s="54" t="b">
        <f aca="false">AND(C283&gt;=01_因子設定!$L$5-0.000000001,C283&lt;=01_因子設定!$M$5+0.000000001,D283&gt;=01_因子設定!$L$6-0.000000001,D283&lt;=01_因子設定!$M$6+0.000000001,IF(01_因子設定!$B$20="Box-Behnken",C283^2+D283^2&lt;=2+0.000000001,TRUE()))</f>
        <v>1</v>
      </c>
      <c r="Q283" s="55" t="n">
        <f aca="false">IF(P283,IF(01_因子設定!$B$13="最大化",N283-01_因子設定!$B$14,IF(01_因子設定!$B$13="最小化",01_因子設定!$B$15-O283,MIN(N283-01_因子設定!$B$14,01_因子設定!$B$15-O283))),-1E+030)</f>
        <v>-2.22227483312624</v>
      </c>
      <c r="R283" s="55" t="n">
        <f aca="false">IF(P283,IF(01_因子設定!$B$13="最大化",K283,IF(01_因子設定!$B$13="最小化",-K283,-ABS(K283-01_因子設定!$B$16))),-1E+030)</f>
        <v>45.8033678160919</v>
      </c>
      <c r="S283" s="55" t="n">
        <f aca="false">Q283+ROW()*0.000000001</f>
        <v>-2.22227455012624</v>
      </c>
      <c r="T283" s="55" t="n">
        <f aca="false">R283+ROW()*0.000000001</f>
        <v>45.8033680990919</v>
      </c>
    </row>
    <row r="284" customFormat="false" ht="15" hidden="false" customHeight="false" outlineLevel="0" collapsed="false">
      <c r="A284" s="0" t="n">
        <v>6</v>
      </c>
      <c r="B284" s="0" t="n">
        <v>33</v>
      </c>
      <c r="C284" s="0" t="n">
        <f aca="false">-1+A284*0.05</f>
        <v>-0.7</v>
      </c>
      <c r="D284" s="0" t="n">
        <f aca="false">-1+B284*0.05</f>
        <v>0.65</v>
      </c>
      <c r="E284" s="0" t="n">
        <f aca="false">1</f>
        <v>1</v>
      </c>
      <c r="F284" s="0" t="n">
        <f aca="false">C284</f>
        <v>-0.7</v>
      </c>
      <c r="G284" s="0" t="n">
        <f aca="false">D284</f>
        <v>0.65</v>
      </c>
      <c r="H284" s="0" t="n">
        <f aca="false">C284*D284</f>
        <v>-0.455</v>
      </c>
      <c r="I284" s="0" t="n">
        <f aca="false">C284*C284</f>
        <v>0.49</v>
      </c>
      <c r="J284" s="0" t="n">
        <f aca="false">D284*D284</f>
        <v>0.4225</v>
      </c>
      <c r="K284" s="0" t="n">
        <f aca="false">SUMPRODUCT(E284:J284,_XtX!$B$53:$G$53)</f>
        <v>45.8010488505747</v>
      </c>
      <c r="L284" s="0" t="n">
        <f aca="false">SUMPRODUCT(MMULT(E284:J284,_XtX!$B$44:$G$49),E284:J284)</f>
        <v>0.281914260057471</v>
      </c>
      <c r="M284" s="0" t="n">
        <f aca="false">04_回帰ANOVA!$K$19*04_回帰ANOVA!$K$14*SQRT(1+L284)</f>
        <v>1.53428507945275</v>
      </c>
      <c r="N284" s="0" t="n">
        <f aca="false">K284-M284</f>
        <v>44.266763771122</v>
      </c>
      <c r="O284" s="0" t="n">
        <f aca="false">K284+M284</f>
        <v>47.3353339300275</v>
      </c>
      <c r="P284" s="54" t="b">
        <f aca="false">AND(C284&gt;=01_因子設定!$L$5-0.000000001,C284&lt;=01_因子設定!$M$5+0.000000001,D284&gt;=01_因子設定!$L$6-0.000000001,D284&lt;=01_因子設定!$M$6+0.000000001,IF(01_因子設定!$B$20="Box-Behnken",C284^2+D284^2&lt;=2+0.000000001,TRUE()))</f>
        <v>1</v>
      </c>
      <c r="Q284" s="55" t="n">
        <f aca="false">IF(P284,IF(01_因子設定!$B$13="最大化",N284-01_因子設定!$B$14,IF(01_因子設定!$B$13="最小化",01_因子設定!$B$15-O284,MIN(N284-01_因子設定!$B$14,01_因子設定!$B$15-O284))),-1E+030)</f>
        <v>-2.23323622887805</v>
      </c>
      <c r="R284" s="55" t="n">
        <f aca="false">IF(P284,IF(01_因子設定!$B$13="最大化",K284,IF(01_因子設定!$B$13="最小化",-K284,-ABS(K284-01_因子設定!$B$16))),-1E+030)</f>
        <v>45.8010488505747</v>
      </c>
      <c r="S284" s="55" t="n">
        <f aca="false">Q284+ROW()*0.000000001</f>
        <v>-2.23323594487805</v>
      </c>
      <c r="T284" s="55" t="n">
        <f aca="false">R284+ROW()*0.000000001</f>
        <v>45.8010491345747</v>
      </c>
    </row>
    <row r="285" customFormat="false" ht="15" hidden="false" customHeight="false" outlineLevel="0" collapsed="false">
      <c r="A285" s="0" t="n">
        <v>6</v>
      </c>
      <c r="B285" s="0" t="n">
        <v>34</v>
      </c>
      <c r="C285" s="0" t="n">
        <f aca="false">-1+A285*0.05</f>
        <v>-0.7</v>
      </c>
      <c r="D285" s="0" t="n">
        <f aca="false">-1+B285*0.05</f>
        <v>0.7</v>
      </c>
      <c r="E285" s="0" t="n">
        <f aca="false">1</f>
        <v>1</v>
      </c>
      <c r="F285" s="0" t="n">
        <f aca="false">C285</f>
        <v>-0.7</v>
      </c>
      <c r="G285" s="0" t="n">
        <f aca="false">D285</f>
        <v>0.7</v>
      </c>
      <c r="H285" s="0" t="n">
        <f aca="false">C285*D285</f>
        <v>-0.49</v>
      </c>
      <c r="I285" s="0" t="n">
        <f aca="false">C285*C285</f>
        <v>0.49</v>
      </c>
      <c r="J285" s="0" t="n">
        <f aca="false">D285*D285</f>
        <v>0.49</v>
      </c>
      <c r="K285" s="0" t="n">
        <f aca="false">SUMPRODUCT(E285:J285,_XtX!$B$53:$G$53)</f>
        <v>45.7910143678161</v>
      </c>
      <c r="L285" s="0" t="n">
        <f aca="false">SUMPRODUCT(MMULT(E285:J285,_XtX!$B$44:$G$49),E285:J285)</f>
        <v>0.300644540229885</v>
      </c>
      <c r="M285" s="0" t="n">
        <f aca="false">04_回帰ANOVA!$K$19*04_回帰ANOVA!$K$14*SQRT(1+L285)</f>
        <v>1.54545329004401</v>
      </c>
      <c r="N285" s="0" t="n">
        <f aca="false">K285-M285</f>
        <v>44.2455610777721</v>
      </c>
      <c r="O285" s="0" t="n">
        <f aca="false">K285+M285</f>
        <v>47.3364676578601</v>
      </c>
      <c r="P285" s="54" t="b">
        <f aca="false">AND(C285&gt;=01_因子設定!$L$5-0.000000001,C285&lt;=01_因子設定!$M$5+0.000000001,D285&gt;=01_因子設定!$L$6-0.000000001,D285&lt;=01_因子設定!$M$6+0.000000001,IF(01_因子設定!$B$20="Box-Behnken",C285^2+D285^2&lt;=2+0.000000001,TRUE()))</f>
        <v>1</v>
      </c>
      <c r="Q285" s="55" t="n">
        <f aca="false">IF(P285,IF(01_因子設定!$B$13="最大化",N285-01_因子設定!$B$14,IF(01_因子設定!$B$13="最小化",01_因子設定!$B$15-O285,MIN(N285-01_因子設定!$B$14,01_因子設定!$B$15-O285))),-1E+030)</f>
        <v>-2.25443892222793</v>
      </c>
      <c r="R285" s="55" t="n">
        <f aca="false">IF(P285,IF(01_因子設定!$B$13="最大化",K285,IF(01_因子設定!$B$13="最小化",-K285,-ABS(K285-01_因子設定!$B$16))),-1E+030)</f>
        <v>45.7910143678161</v>
      </c>
      <c r="S285" s="55" t="n">
        <f aca="false">Q285+ROW()*0.000000001</f>
        <v>-2.25443863722793</v>
      </c>
      <c r="T285" s="55" t="n">
        <f aca="false">R285+ROW()*0.000000001</f>
        <v>45.7910146528161</v>
      </c>
    </row>
    <row r="286" customFormat="false" ht="15" hidden="false" customHeight="false" outlineLevel="0" collapsed="false">
      <c r="A286" s="0" t="n">
        <v>6</v>
      </c>
      <c r="B286" s="0" t="n">
        <v>35</v>
      </c>
      <c r="C286" s="0" t="n">
        <f aca="false">-1+A286*0.05</f>
        <v>-0.7</v>
      </c>
      <c r="D286" s="0" t="n">
        <f aca="false">-1+B286*0.05</f>
        <v>0.75</v>
      </c>
      <c r="E286" s="0" t="n">
        <f aca="false">1</f>
        <v>1</v>
      </c>
      <c r="F286" s="0" t="n">
        <f aca="false">C286</f>
        <v>-0.7</v>
      </c>
      <c r="G286" s="0" t="n">
        <f aca="false">D286</f>
        <v>0.75</v>
      </c>
      <c r="H286" s="0" t="n">
        <f aca="false">C286*D286</f>
        <v>-0.525</v>
      </c>
      <c r="I286" s="0" t="n">
        <f aca="false">C286*C286</f>
        <v>0.49</v>
      </c>
      <c r="J286" s="0" t="n">
        <f aca="false">D286*D286</f>
        <v>0.5625</v>
      </c>
      <c r="K286" s="0" t="n">
        <f aca="false">SUMPRODUCT(E286:J286,_XtX!$B$53:$G$53)</f>
        <v>45.7732643678161</v>
      </c>
      <c r="L286" s="0" t="n">
        <f aca="false">SUMPRODUCT(MMULT(E286:J286,_XtX!$B$44:$G$49),E286:J286)</f>
        <v>0.324437248563218</v>
      </c>
      <c r="M286" s="0" t="n">
        <f aca="false">04_回帰ANOVA!$K$19*04_回帰ANOVA!$K$14*SQRT(1+L286)</f>
        <v>1.55952472849596</v>
      </c>
      <c r="N286" s="0" t="n">
        <f aca="false">K286-M286</f>
        <v>44.2137396393201</v>
      </c>
      <c r="O286" s="0" t="n">
        <f aca="false">K286+M286</f>
        <v>47.3327890963121</v>
      </c>
      <c r="P286" s="54" t="b">
        <f aca="false">AND(C286&gt;=01_因子設定!$L$5-0.000000001,C286&lt;=01_因子設定!$M$5+0.000000001,D286&gt;=01_因子設定!$L$6-0.000000001,D286&lt;=01_因子設定!$M$6+0.000000001,IF(01_因子設定!$B$20="Box-Behnken",C286^2+D286^2&lt;=2+0.000000001,TRUE()))</f>
        <v>1</v>
      </c>
      <c r="Q286" s="55" t="n">
        <f aca="false">IF(P286,IF(01_因子設定!$B$13="最大化",N286-01_因子設定!$B$14,IF(01_因子設定!$B$13="最小化",01_因子設定!$B$15-O286,MIN(N286-01_因子設定!$B$14,01_因子設定!$B$15-O286))),-1E+030)</f>
        <v>-2.28626036067988</v>
      </c>
      <c r="R286" s="55" t="n">
        <f aca="false">IF(P286,IF(01_因子設定!$B$13="最大化",K286,IF(01_因子設定!$B$13="最小化",-K286,-ABS(K286-01_因子設定!$B$16))),-1E+030)</f>
        <v>45.7732643678161</v>
      </c>
      <c r="S286" s="55" t="n">
        <f aca="false">Q286+ROW()*0.000000001</f>
        <v>-2.28626007467988</v>
      </c>
      <c r="T286" s="55" t="n">
        <f aca="false">R286+ROW()*0.000000001</f>
        <v>45.7732646538161</v>
      </c>
    </row>
    <row r="287" customFormat="false" ht="15" hidden="false" customHeight="false" outlineLevel="0" collapsed="false">
      <c r="A287" s="0" t="n">
        <v>6</v>
      </c>
      <c r="B287" s="0" t="n">
        <v>36</v>
      </c>
      <c r="C287" s="0" t="n">
        <f aca="false">-1+A287*0.05</f>
        <v>-0.7</v>
      </c>
      <c r="D287" s="0" t="n">
        <f aca="false">-1+B287*0.05</f>
        <v>0.8</v>
      </c>
      <c r="E287" s="0" t="n">
        <f aca="false">1</f>
        <v>1</v>
      </c>
      <c r="F287" s="0" t="n">
        <f aca="false">C287</f>
        <v>-0.7</v>
      </c>
      <c r="G287" s="0" t="n">
        <f aca="false">D287</f>
        <v>0.8</v>
      </c>
      <c r="H287" s="0" t="n">
        <f aca="false">C287*D287</f>
        <v>-0.56</v>
      </c>
      <c r="I287" s="0" t="n">
        <f aca="false">C287*C287</f>
        <v>0.49</v>
      </c>
      <c r="J287" s="0" t="n">
        <f aca="false">D287*D287</f>
        <v>0.64</v>
      </c>
      <c r="K287" s="0" t="n">
        <f aca="false">SUMPRODUCT(E287:J287,_XtX!$B$53:$G$53)</f>
        <v>45.7477988505747</v>
      </c>
      <c r="L287" s="0" t="n">
        <f aca="false">SUMPRODUCT(MMULT(E287:J287,_XtX!$B$44:$G$49),E287:J287)</f>
        <v>0.354079885057471</v>
      </c>
      <c r="M287" s="0" t="n">
        <f aca="false">04_回帰ANOVA!$K$19*04_回帰ANOVA!$K$14*SQRT(1+L287)</f>
        <v>1.57688025677174</v>
      </c>
      <c r="N287" s="0" t="n">
        <f aca="false">K287-M287</f>
        <v>44.170918593803</v>
      </c>
      <c r="O287" s="0" t="n">
        <f aca="false">K287+M287</f>
        <v>47.3246791073464</v>
      </c>
      <c r="P287" s="54" t="b">
        <f aca="false">AND(C287&gt;=01_因子設定!$L$5-0.000000001,C287&lt;=01_因子設定!$M$5+0.000000001,D287&gt;=01_因子設定!$L$6-0.000000001,D287&lt;=01_因子設定!$M$6+0.000000001,IF(01_因子設定!$B$20="Box-Behnken",C287^2+D287^2&lt;=2+0.000000001,TRUE()))</f>
        <v>1</v>
      </c>
      <c r="Q287" s="55" t="n">
        <f aca="false">IF(P287,IF(01_因子設定!$B$13="最大化",N287-01_因子設定!$B$14,IF(01_因子設定!$B$13="最小化",01_因子設定!$B$15-O287,MIN(N287-01_因子設定!$B$14,01_因子設定!$B$15-O287))),-1E+030)</f>
        <v>-2.32908140619703</v>
      </c>
      <c r="R287" s="55" t="n">
        <f aca="false">IF(P287,IF(01_因子設定!$B$13="最大化",K287,IF(01_因子設定!$B$13="最小化",-K287,-ABS(K287-01_因子設定!$B$16))),-1E+030)</f>
        <v>45.7477988505747</v>
      </c>
      <c r="S287" s="55" t="n">
        <f aca="false">Q287+ROW()*0.000000001</f>
        <v>-2.32908111919703</v>
      </c>
      <c r="T287" s="55" t="n">
        <f aca="false">R287+ROW()*0.000000001</f>
        <v>45.7477991375747</v>
      </c>
    </row>
    <row r="288" customFormat="false" ht="15" hidden="false" customHeight="false" outlineLevel="0" collapsed="false">
      <c r="A288" s="0" t="n">
        <v>6</v>
      </c>
      <c r="B288" s="0" t="n">
        <v>37</v>
      </c>
      <c r="C288" s="0" t="n">
        <f aca="false">-1+A288*0.05</f>
        <v>-0.7</v>
      </c>
      <c r="D288" s="0" t="n">
        <f aca="false">-1+B288*0.05</f>
        <v>0.85</v>
      </c>
      <c r="E288" s="0" t="n">
        <f aca="false">1</f>
        <v>1</v>
      </c>
      <c r="F288" s="0" t="n">
        <f aca="false">C288</f>
        <v>-0.7</v>
      </c>
      <c r="G288" s="0" t="n">
        <f aca="false">D288</f>
        <v>0.85</v>
      </c>
      <c r="H288" s="0" t="n">
        <f aca="false">C288*D288</f>
        <v>-0.595</v>
      </c>
      <c r="I288" s="0" t="n">
        <f aca="false">C288*C288</f>
        <v>0.49</v>
      </c>
      <c r="J288" s="0" t="n">
        <f aca="false">D288*D288</f>
        <v>0.7225</v>
      </c>
      <c r="K288" s="0" t="n">
        <f aca="false">SUMPRODUCT(E288:J288,_XtX!$B$53:$G$53)</f>
        <v>45.7146178160919</v>
      </c>
      <c r="L288" s="0" t="n">
        <f aca="false">SUMPRODUCT(MMULT(E288:J288,_XtX!$B$44:$G$49),E288:J288)</f>
        <v>0.390414260057471</v>
      </c>
      <c r="M288" s="0" t="n">
        <f aca="false">04_回帰ANOVA!$K$19*04_回帰ANOVA!$K$14*SQRT(1+L288)</f>
        <v>1.59789662309984</v>
      </c>
      <c r="N288" s="0" t="n">
        <f aca="false">K288-M288</f>
        <v>44.1167211929921</v>
      </c>
      <c r="O288" s="0" t="n">
        <f aca="false">K288+M288</f>
        <v>47.3125144391918</v>
      </c>
      <c r="P288" s="54" t="b">
        <f aca="false">AND(C288&gt;=01_因子設定!$L$5-0.000000001,C288&lt;=01_因子設定!$M$5+0.000000001,D288&gt;=01_因子設定!$L$6-0.000000001,D288&lt;=01_因子設定!$M$6+0.000000001,IF(01_因子設定!$B$20="Box-Behnken",C288^2+D288^2&lt;=2+0.000000001,TRUE()))</f>
        <v>1</v>
      </c>
      <c r="Q288" s="55" t="n">
        <f aca="false">IF(P288,IF(01_因子設定!$B$13="最大化",N288-01_因子設定!$B$14,IF(01_因子設定!$B$13="最小化",01_因子設定!$B$15-O288,MIN(N288-01_因子設定!$B$14,01_因子設定!$B$15-O288))),-1E+030)</f>
        <v>-2.38327880700789</v>
      </c>
      <c r="R288" s="55" t="n">
        <f aca="false">IF(P288,IF(01_因子設定!$B$13="最大化",K288,IF(01_因子設定!$B$13="最小化",-K288,-ABS(K288-01_因子設定!$B$16))),-1E+030)</f>
        <v>45.7146178160919</v>
      </c>
      <c r="S288" s="55" t="n">
        <f aca="false">Q288+ROW()*0.000000001</f>
        <v>-2.38327851900789</v>
      </c>
      <c r="T288" s="55" t="n">
        <f aca="false">R288+ROW()*0.000000001</f>
        <v>45.714618104092</v>
      </c>
    </row>
    <row r="289" customFormat="false" ht="15" hidden="false" customHeight="false" outlineLevel="0" collapsed="false">
      <c r="A289" s="0" t="n">
        <v>6</v>
      </c>
      <c r="B289" s="0" t="n">
        <v>38</v>
      </c>
      <c r="C289" s="0" t="n">
        <f aca="false">-1+A289*0.05</f>
        <v>-0.7</v>
      </c>
      <c r="D289" s="0" t="n">
        <f aca="false">-1+B289*0.05</f>
        <v>0.9</v>
      </c>
      <c r="E289" s="0" t="n">
        <f aca="false">1</f>
        <v>1</v>
      </c>
      <c r="F289" s="0" t="n">
        <f aca="false">C289</f>
        <v>-0.7</v>
      </c>
      <c r="G289" s="0" t="n">
        <f aca="false">D289</f>
        <v>0.9</v>
      </c>
      <c r="H289" s="0" t="n">
        <f aca="false">C289*D289</f>
        <v>-0.63</v>
      </c>
      <c r="I289" s="0" t="n">
        <f aca="false">C289*C289</f>
        <v>0.49</v>
      </c>
      <c r="J289" s="0" t="n">
        <f aca="false">D289*D289</f>
        <v>0.81</v>
      </c>
      <c r="K289" s="0" t="n">
        <f aca="false">SUMPRODUCT(E289:J289,_XtX!$B$53:$G$53)</f>
        <v>45.6737212643678</v>
      </c>
      <c r="L289" s="0" t="n">
        <f aca="false">SUMPRODUCT(MMULT(E289:J289,_XtX!$B$44:$G$49),E289:J289)</f>
        <v>0.434336494252874</v>
      </c>
      <c r="M289" s="0" t="n">
        <f aca="false">04_回帰ANOVA!$K$19*04_回帰ANOVA!$K$14*SQRT(1+L289)</f>
        <v>1.62293862576512</v>
      </c>
      <c r="N289" s="0" t="n">
        <f aca="false">K289-M289</f>
        <v>44.0507826386027</v>
      </c>
      <c r="O289" s="0" t="n">
        <f aca="false">K289+M289</f>
        <v>47.2966598901329</v>
      </c>
      <c r="P289" s="54" t="b">
        <f aca="false">AND(C289&gt;=01_因子設定!$L$5-0.000000001,C289&lt;=01_因子設定!$M$5+0.000000001,D289&gt;=01_因子設定!$L$6-0.000000001,D289&lt;=01_因子設定!$M$6+0.000000001,IF(01_因子設定!$B$20="Box-Behnken",C289^2+D289^2&lt;=2+0.000000001,TRUE()))</f>
        <v>1</v>
      </c>
      <c r="Q289" s="55" t="n">
        <f aca="false">IF(P289,IF(01_因子設定!$B$13="最大化",N289-01_因子設定!$B$14,IF(01_因子設定!$B$13="最小化",01_因子設定!$B$15-O289,MIN(N289-01_因子設定!$B$14,01_因子設定!$B$15-O289))),-1E+030)</f>
        <v>-2.44921736139731</v>
      </c>
      <c r="R289" s="55" t="n">
        <f aca="false">IF(P289,IF(01_因子設定!$B$13="最大化",K289,IF(01_因子設定!$B$13="最小化",-K289,-ABS(K289-01_因子設定!$B$16))),-1E+030)</f>
        <v>45.6737212643678</v>
      </c>
      <c r="S289" s="55" t="n">
        <f aca="false">Q289+ROW()*0.000000001</f>
        <v>-2.44921707239731</v>
      </c>
      <c r="T289" s="55" t="n">
        <f aca="false">R289+ROW()*0.000000001</f>
        <v>45.6737215533678</v>
      </c>
    </row>
    <row r="290" customFormat="false" ht="15" hidden="false" customHeight="false" outlineLevel="0" collapsed="false">
      <c r="A290" s="0" t="n">
        <v>6</v>
      </c>
      <c r="B290" s="0" t="n">
        <v>39</v>
      </c>
      <c r="C290" s="0" t="n">
        <f aca="false">-1+A290*0.05</f>
        <v>-0.7</v>
      </c>
      <c r="D290" s="0" t="n">
        <f aca="false">-1+B290*0.05</f>
        <v>0.95</v>
      </c>
      <c r="E290" s="0" t="n">
        <f aca="false">1</f>
        <v>1</v>
      </c>
      <c r="F290" s="0" t="n">
        <f aca="false">C290</f>
        <v>-0.7</v>
      </c>
      <c r="G290" s="0" t="n">
        <f aca="false">D290</f>
        <v>0.95</v>
      </c>
      <c r="H290" s="0" t="n">
        <f aca="false">C290*D290</f>
        <v>-0.665</v>
      </c>
      <c r="I290" s="0" t="n">
        <f aca="false">C290*C290</f>
        <v>0.49</v>
      </c>
      <c r="J290" s="0" t="n">
        <f aca="false">D290*D290</f>
        <v>0.9025</v>
      </c>
      <c r="K290" s="0" t="n">
        <f aca="false">SUMPRODUCT(E290:J290,_XtX!$B$53:$G$53)</f>
        <v>45.6251091954023</v>
      </c>
      <c r="L290" s="0" t="n">
        <f aca="false">SUMPRODUCT(MMULT(E290:J290,_XtX!$B$44:$G$49),E290:J290)</f>
        <v>0.486797018678161</v>
      </c>
      <c r="M290" s="0" t="n">
        <f aca="false">04_回帰ANOVA!$K$19*04_回帰ANOVA!$K$14*SQRT(1+L290)</f>
        <v>1.65235140136234</v>
      </c>
      <c r="N290" s="0" t="n">
        <f aca="false">K290-M290</f>
        <v>43.97275779404</v>
      </c>
      <c r="O290" s="0" t="n">
        <f aca="false">K290+M290</f>
        <v>47.2774605967646</v>
      </c>
      <c r="P290" s="54" t="b">
        <f aca="false">AND(C290&gt;=01_因子設定!$L$5-0.000000001,C290&lt;=01_因子設定!$M$5+0.000000001,D290&gt;=01_因子設定!$L$6-0.000000001,D290&lt;=01_因子設定!$M$6+0.000000001,IF(01_因子設定!$B$20="Box-Behnken",C290^2+D290^2&lt;=2+0.000000001,TRUE()))</f>
        <v>1</v>
      </c>
      <c r="Q290" s="55" t="n">
        <f aca="false">IF(P290,IF(01_因子設定!$B$13="最大化",N290-01_因子設定!$B$14,IF(01_因子設定!$B$13="最小化",01_因子設定!$B$15-O290,MIN(N290-01_因子設定!$B$14,01_因子設定!$B$15-O290))),-1E+030)</f>
        <v>-2.52724220596005</v>
      </c>
      <c r="R290" s="55" t="n">
        <f aca="false">IF(P290,IF(01_因子設定!$B$13="最大化",K290,IF(01_因子設定!$B$13="最小化",-K290,-ABS(K290-01_因子設定!$B$16))),-1E+030)</f>
        <v>45.6251091954023</v>
      </c>
      <c r="S290" s="55" t="n">
        <f aca="false">Q290+ROW()*0.000000001</f>
        <v>-2.52724191596005</v>
      </c>
      <c r="T290" s="55" t="n">
        <f aca="false">R290+ROW()*0.000000001</f>
        <v>45.6251094854023</v>
      </c>
    </row>
    <row r="291" customFormat="false" ht="15" hidden="false" customHeight="false" outlineLevel="0" collapsed="false">
      <c r="A291" s="0" t="n">
        <v>6</v>
      </c>
      <c r="B291" s="0" t="n">
        <v>40</v>
      </c>
      <c r="C291" s="0" t="n">
        <f aca="false">-1+A291*0.05</f>
        <v>-0.7</v>
      </c>
      <c r="D291" s="0" t="n">
        <f aca="false">-1+B291*0.05</f>
        <v>1</v>
      </c>
      <c r="E291" s="0" t="n">
        <f aca="false">1</f>
        <v>1</v>
      </c>
      <c r="F291" s="0" t="n">
        <f aca="false">C291</f>
        <v>-0.7</v>
      </c>
      <c r="G291" s="0" t="n">
        <f aca="false">D291</f>
        <v>1</v>
      </c>
      <c r="H291" s="0" t="n">
        <f aca="false">C291*D291</f>
        <v>-0.7</v>
      </c>
      <c r="I291" s="0" t="n">
        <f aca="false">C291*C291</f>
        <v>0.49</v>
      </c>
      <c r="J291" s="0" t="n">
        <f aca="false">D291*D291</f>
        <v>1</v>
      </c>
      <c r="K291" s="0" t="n">
        <f aca="false">SUMPRODUCT(E291:J291,_XtX!$B$53:$G$53)</f>
        <v>45.5687816091954</v>
      </c>
      <c r="L291" s="0" t="n">
        <f aca="false">SUMPRODUCT(MMULT(E291:J291,_XtX!$B$44:$G$49),E291:J291)</f>
        <v>0.548800574712644</v>
      </c>
      <c r="M291" s="0" t="n">
        <f aca="false">04_回帰ANOVA!$K$19*04_回帰ANOVA!$K$14*SQRT(1+L291)</f>
        <v>1.68645331298059</v>
      </c>
      <c r="N291" s="0" t="n">
        <f aca="false">K291-M291</f>
        <v>43.8823282962148</v>
      </c>
      <c r="O291" s="0" t="n">
        <f aca="false">K291+M291</f>
        <v>47.255234922176</v>
      </c>
      <c r="P291" s="54" t="b">
        <f aca="false">AND(C291&gt;=01_因子設定!$L$5-0.000000001,C291&lt;=01_因子設定!$M$5+0.000000001,D291&gt;=01_因子設定!$L$6-0.000000001,D291&lt;=01_因子設定!$M$6+0.000000001,IF(01_因子設定!$B$20="Box-Behnken",C291^2+D291^2&lt;=2+0.000000001,TRUE()))</f>
        <v>1</v>
      </c>
      <c r="Q291" s="55" t="n">
        <f aca="false">IF(P291,IF(01_因子設定!$B$13="最大化",N291-01_因子設定!$B$14,IF(01_因子設定!$B$13="最小化",01_因子設定!$B$15-O291,MIN(N291-01_因子設定!$B$14,01_因子設定!$B$15-O291))),-1E+030)</f>
        <v>-2.61767170378519</v>
      </c>
      <c r="R291" s="55" t="n">
        <f aca="false">IF(P291,IF(01_因子設定!$B$13="最大化",K291,IF(01_因子設定!$B$13="最小化",-K291,-ABS(K291-01_因子設定!$B$16))),-1E+030)</f>
        <v>45.5687816091954</v>
      </c>
      <c r="S291" s="55" t="n">
        <f aca="false">Q291+ROW()*0.000000001</f>
        <v>-2.61767141278519</v>
      </c>
      <c r="T291" s="55" t="n">
        <f aca="false">R291+ROW()*0.000000001</f>
        <v>45.5687819001954</v>
      </c>
    </row>
    <row r="292" customFormat="false" ht="15" hidden="false" customHeight="false" outlineLevel="0" collapsed="false">
      <c r="A292" s="0" t="n">
        <v>7</v>
      </c>
      <c r="B292" s="0" t="n">
        <v>0</v>
      </c>
      <c r="C292" s="0" t="n">
        <f aca="false">-1+A292*0.05</f>
        <v>-0.65</v>
      </c>
      <c r="D292" s="0" t="n">
        <f aca="false">-1+B292*0.05</f>
        <v>-1</v>
      </c>
      <c r="E292" s="0" t="n">
        <f aca="false">1</f>
        <v>1</v>
      </c>
      <c r="F292" s="0" t="n">
        <f aca="false">C292</f>
        <v>-0.65</v>
      </c>
      <c r="G292" s="0" t="n">
        <f aca="false">D292</f>
        <v>-1</v>
      </c>
      <c r="H292" s="0" t="n">
        <f aca="false">C292*D292</f>
        <v>0.65</v>
      </c>
      <c r="I292" s="0" t="n">
        <f aca="false">C292*C292</f>
        <v>0.4225</v>
      </c>
      <c r="J292" s="0" t="n">
        <f aca="false">D292*D292</f>
        <v>1</v>
      </c>
      <c r="K292" s="0" t="n">
        <f aca="false">SUMPRODUCT(E292:J292,_XtX!$B$53:$G$53)</f>
        <v>42.0685244252874</v>
      </c>
      <c r="L292" s="0" t="n">
        <f aca="false">SUMPRODUCT(MMULT(E292:J292,_XtX!$B$44:$G$49),E292:J292)</f>
        <v>0.530960596264368</v>
      </c>
      <c r="M292" s="0" t="n">
        <f aca="false">04_回帰ANOVA!$K$19*04_回帰ANOVA!$K$14*SQRT(1+L292)</f>
        <v>1.6767124103567</v>
      </c>
      <c r="N292" s="0" t="n">
        <f aca="false">K292-M292</f>
        <v>40.3918120149306</v>
      </c>
      <c r="O292" s="0" t="n">
        <f aca="false">K292+M292</f>
        <v>43.7452368356441</v>
      </c>
      <c r="P292" s="54" t="b">
        <f aca="false">AND(C292&gt;=01_因子設定!$L$5-0.000000001,C292&lt;=01_因子設定!$M$5+0.000000001,D292&gt;=01_因子設定!$L$6-0.000000001,D292&lt;=01_因子設定!$M$6+0.000000001,IF(01_因子設定!$B$20="Box-Behnken",C292^2+D292^2&lt;=2+0.000000001,TRUE()))</f>
        <v>1</v>
      </c>
      <c r="Q292" s="55" t="n">
        <f aca="false">IF(P292,IF(01_因子設定!$B$13="最大化",N292-01_因子設定!$B$14,IF(01_因子設定!$B$13="最小化",01_因子設定!$B$15-O292,MIN(N292-01_因子設定!$B$14,01_因子設定!$B$15-O292))),-1E+030)</f>
        <v>-6.10818798506936</v>
      </c>
      <c r="R292" s="55" t="n">
        <f aca="false">IF(P292,IF(01_因子設定!$B$13="最大化",K292,IF(01_因子設定!$B$13="最小化",-K292,-ABS(K292-01_因子設定!$B$16))),-1E+030)</f>
        <v>42.0685244252874</v>
      </c>
      <c r="S292" s="55" t="n">
        <f aca="false">Q292+ROW()*0.000000001</f>
        <v>-6.10818769306936</v>
      </c>
      <c r="T292" s="55" t="n">
        <f aca="false">R292+ROW()*0.000000001</f>
        <v>42.0685247172874</v>
      </c>
    </row>
    <row r="293" customFormat="false" ht="15" hidden="false" customHeight="false" outlineLevel="0" collapsed="false">
      <c r="A293" s="0" t="n">
        <v>7</v>
      </c>
      <c r="B293" s="0" t="n">
        <v>1</v>
      </c>
      <c r="C293" s="0" t="n">
        <f aca="false">-1+A293*0.05</f>
        <v>-0.65</v>
      </c>
      <c r="D293" s="0" t="n">
        <f aca="false">-1+B293*0.05</f>
        <v>-0.95</v>
      </c>
      <c r="E293" s="0" t="n">
        <f aca="false">1</f>
        <v>1</v>
      </c>
      <c r="F293" s="0" t="n">
        <f aca="false">C293</f>
        <v>-0.65</v>
      </c>
      <c r="G293" s="0" t="n">
        <f aca="false">D293</f>
        <v>-0.95</v>
      </c>
      <c r="H293" s="0" t="n">
        <f aca="false">C293*D293</f>
        <v>0.6175</v>
      </c>
      <c r="I293" s="0" t="n">
        <f aca="false">C293*C293</f>
        <v>0.4225</v>
      </c>
      <c r="J293" s="0" t="n">
        <f aca="false">D293*D293</f>
        <v>0.9025</v>
      </c>
      <c r="K293" s="0" t="n">
        <f aca="false">SUMPRODUCT(E293:J293,_XtX!$B$53:$G$53)</f>
        <v>42.3144145114943</v>
      </c>
      <c r="L293" s="0" t="n">
        <f aca="false">SUMPRODUCT(MMULT(E293:J293,_XtX!$B$44:$G$49),E293:J293)</f>
        <v>0.468786835488506</v>
      </c>
      <c r="M293" s="0" t="n">
        <f aca="false">04_回帰ANOVA!$K$19*04_回帰ANOVA!$K$14*SQRT(1+L293)</f>
        <v>1.64231310350799</v>
      </c>
      <c r="N293" s="0" t="n">
        <f aca="false">K293-M293</f>
        <v>40.6721014079863</v>
      </c>
      <c r="O293" s="0" t="n">
        <f aca="false">K293+M293</f>
        <v>43.9567276150022</v>
      </c>
      <c r="P293" s="54" t="b">
        <f aca="false">AND(C293&gt;=01_因子設定!$L$5-0.000000001,C293&lt;=01_因子設定!$M$5+0.000000001,D293&gt;=01_因子設定!$L$6-0.000000001,D293&lt;=01_因子設定!$M$6+0.000000001,IF(01_因子設定!$B$20="Box-Behnken",C293^2+D293^2&lt;=2+0.000000001,TRUE()))</f>
        <v>1</v>
      </c>
      <c r="Q293" s="55" t="n">
        <f aca="false">IF(P293,IF(01_因子設定!$B$13="最大化",N293-01_因子設定!$B$14,IF(01_因子設定!$B$13="最小化",01_因子設定!$B$15-O293,MIN(N293-01_因子設定!$B$14,01_因子設定!$B$15-O293))),-1E+030)</f>
        <v>-5.82789859201375</v>
      </c>
      <c r="R293" s="55" t="n">
        <f aca="false">IF(P293,IF(01_因子設定!$B$13="最大化",K293,IF(01_因子設定!$B$13="最小化",-K293,-ABS(K293-01_因子設定!$B$16))),-1E+030)</f>
        <v>42.3144145114943</v>
      </c>
      <c r="S293" s="55" t="n">
        <f aca="false">Q293+ROW()*0.000000001</f>
        <v>-5.82789829901375</v>
      </c>
      <c r="T293" s="55" t="n">
        <f aca="false">R293+ROW()*0.000000001</f>
        <v>42.3144148044943</v>
      </c>
    </row>
    <row r="294" customFormat="false" ht="15" hidden="false" customHeight="false" outlineLevel="0" collapsed="false">
      <c r="A294" s="0" t="n">
        <v>7</v>
      </c>
      <c r="B294" s="0" t="n">
        <v>2</v>
      </c>
      <c r="C294" s="0" t="n">
        <f aca="false">-1+A294*0.05</f>
        <v>-0.65</v>
      </c>
      <c r="D294" s="0" t="n">
        <f aca="false">-1+B294*0.05</f>
        <v>-0.9</v>
      </c>
      <c r="E294" s="0" t="n">
        <f aca="false">1</f>
        <v>1</v>
      </c>
      <c r="F294" s="0" t="n">
        <f aca="false">C294</f>
        <v>-0.65</v>
      </c>
      <c r="G294" s="0" t="n">
        <f aca="false">D294</f>
        <v>-0.9</v>
      </c>
      <c r="H294" s="0" t="n">
        <f aca="false">C294*D294</f>
        <v>0.585</v>
      </c>
      <c r="I294" s="0" t="n">
        <f aca="false">C294*C294</f>
        <v>0.4225</v>
      </c>
      <c r="J294" s="0" t="n">
        <f aca="false">D294*D294</f>
        <v>0.81</v>
      </c>
      <c r="K294" s="0" t="n">
        <f aca="false">SUMPRODUCT(E294:J294,_XtX!$B$53:$G$53)</f>
        <v>42.5525890804598</v>
      </c>
      <c r="L294" s="0" t="n">
        <f aca="false">SUMPRODUCT(MMULT(E294:J294,_XtX!$B$44:$G$49),E294:J294)</f>
        <v>0.416164834770115</v>
      </c>
      <c r="M294" s="0" t="n">
        <f aca="false">04_回帰ANOVA!$K$19*04_回帰ANOVA!$K$14*SQRT(1+L294)</f>
        <v>1.61262532348959</v>
      </c>
      <c r="N294" s="0" t="n">
        <f aca="false">K294-M294</f>
        <v>40.9399637569702</v>
      </c>
      <c r="O294" s="0" t="n">
        <f aca="false">K294+M294</f>
        <v>44.1652144039494</v>
      </c>
      <c r="P294" s="54" t="b">
        <f aca="false">AND(C294&gt;=01_因子設定!$L$5-0.000000001,C294&lt;=01_因子設定!$M$5+0.000000001,D294&gt;=01_因子設定!$L$6-0.000000001,D294&lt;=01_因子設定!$M$6+0.000000001,IF(01_因子設定!$B$20="Box-Behnken",C294^2+D294^2&lt;=2+0.000000001,TRUE()))</f>
        <v>1</v>
      </c>
      <c r="Q294" s="55" t="n">
        <f aca="false">IF(P294,IF(01_因子設定!$B$13="最大化",N294-01_因子設定!$B$14,IF(01_因子設定!$B$13="最小化",01_因子設定!$B$15-O294,MIN(N294-01_因子設定!$B$14,01_因子設定!$B$15-O294))),-1E+030)</f>
        <v>-5.56003624302984</v>
      </c>
      <c r="R294" s="55" t="n">
        <f aca="false">IF(P294,IF(01_因子設定!$B$13="最大化",K294,IF(01_因子設定!$B$13="最小化",-K294,-ABS(K294-01_因子設定!$B$16))),-1E+030)</f>
        <v>42.5525890804598</v>
      </c>
      <c r="S294" s="55" t="n">
        <f aca="false">Q294+ROW()*0.000000001</f>
        <v>-5.56003594902983</v>
      </c>
      <c r="T294" s="55" t="n">
        <f aca="false">R294+ROW()*0.000000001</f>
        <v>42.5525893744598</v>
      </c>
    </row>
    <row r="295" customFormat="false" ht="15" hidden="false" customHeight="false" outlineLevel="0" collapsed="false">
      <c r="A295" s="0" t="n">
        <v>7</v>
      </c>
      <c r="B295" s="0" t="n">
        <v>3</v>
      </c>
      <c r="C295" s="0" t="n">
        <f aca="false">-1+A295*0.05</f>
        <v>-0.65</v>
      </c>
      <c r="D295" s="0" t="n">
        <f aca="false">-1+B295*0.05</f>
        <v>-0.85</v>
      </c>
      <c r="E295" s="0" t="n">
        <f aca="false">1</f>
        <v>1</v>
      </c>
      <c r="F295" s="0" t="n">
        <f aca="false">C295</f>
        <v>-0.65</v>
      </c>
      <c r="G295" s="0" t="n">
        <f aca="false">D295</f>
        <v>-0.85</v>
      </c>
      <c r="H295" s="0" t="n">
        <f aca="false">C295*D295</f>
        <v>0.5525</v>
      </c>
      <c r="I295" s="0" t="n">
        <f aca="false">C295*C295</f>
        <v>0.4225</v>
      </c>
      <c r="J295" s="0" t="n">
        <f aca="false">D295*D295</f>
        <v>0.7225</v>
      </c>
      <c r="K295" s="0" t="n">
        <f aca="false">SUMPRODUCT(E295:J295,_XtX!$B$53:$G$53)</f>
        <v>42.7830481321839</v>
      </c>
      <c r="L295" s="0" t="n">
        <f aca="false">SUMPRODUCT(MMULT(E295:J295,_XtX!$B$44:$G$49),E295:J295)</f>
        <v>0.372089852729885</v>
      </c>
      <c r="M295" s="0" t="n">
        <f aca="false">04_回帰ANOVA!$K$19*04_回帰ANOVA!$K$14*SQRT(1+L295)</f>
        <v>1.58733228155404</v>
      </c>
      <c r="N295" s="0" t="n">
        <f aca="false">K295-M295</f>
        <v>41.1957158506299</v>
      </c>
      <c r="O295" s="0" t="n">
        <f aca="false">K295+M295</f>
        <v>44.3703804137379</v>
      </c>
      <c r="P295" s="54" t="b">
        <f aca="false">AND(C295&gt;=01_因子設定!$L$5-0.000000001,C295&lt;=01_因子設定!$M$5+0.000000001,D295&gt;=01_因子設定!$L$6-0.000000001,D295&lt;=01_因子設定!$M$6+0.000000001,IF(01_因子設定!$B$20="Box-Behnken",C295^2+D295^2&lt;=2+0.000000001,TRUE()))</f>
        <v>1</v>
      </c>
      <c r="Q295" s="55" t="n">
        <f aca="false">IF(P295,IF(01_因子設定!$B$13="最大化",N295-01_因子設定!$B$14,IF(01_因子設定!$B$13="最小化",01_因子設定!$B$15-O295,MIN(N295-01_因子設定!$B$14,01_因子設定!$B$15-O295))),-1E+030)</f>
        <v>-5.30428414937014</v>
      </c>
      <c r="R295" s="55" t="n">
        <f aca="false">IF(P295,IF(01_因子設定!$B$13="最大化",K295,IF(01_因子設定!$B$13="最小化",-K295,-ABS(K295-01_因子設定!$B$16))),-1E+030)</f>
        <v>42.7830481321839</v>
      </c>
      <c r="S295" s="55" t="n">
        <f aca="false">Q295+ROW()*0.000000001</f>
        <v>-5.30428385437014</v>
      </c>
      <c r="T295" s="55" t="n">
        <f aca="false">R295+ROW()*0.000000001</f>
        <v>42.7830484271839</v>
      </c>
    </row>
    <row r="296" customFormat="false" ht="15" hidden="false" customHeight="false" outlineLevel="0" collapsed="false">
      <c r="A296" s="0" t="n">
        <v>7</v>
      </c>
      <c r="B296" s="0" t="n">
        <v>4</v>
      </c>
      <c r="C296" s="0" t="n">
        <f aca="false">-1+A296*0.05</f>
        <v>-0.65</v>
      </c>
      <c r="D296" s="0" t="n">
        <f aca="false">-1+B296*0.05</f>
        <v>-0.8</v>
      </c>
      <c r="E296" s="0" t="n">
        <f aca="false">1</f>
        <v>1</v>
      </c>
      <c r="F296" s="0" t="n">
        <f aca="false">C296</f>
        <v>-0.65</v>
      </c>
      <c r="G296" s="0" t="n">
        <f aca="false">D296</f>
        <v>-0.8</v>
      </c>
      <c r="H296" s="0" t="n">
        <f aca="false">C296*D296</f>
        <v>0.52</v>
      </c>
      <c r="I296" s="0" t="n">
        <f aca="false">C296*C296</f>
        <v>0.4225</v>
      </c>
      <c r="J296" s="0" t="n">
        <f aca="false">D296*D296</f>
        <v>0.64</v>
      </c>
      <c r="K296" s="0" t="n">
        <f aca="false">SUMPRODUCT(E296:J296,_XtX!$B$53:$G$53)</f>
        <v>43.0057916666667</v>
      </c>
      <c r="L296" s="0" t="n">
        <f aca="false">SUMPRODUCT(MMULT(E296:J296,_XtX!$B$44:$G$49),E296:J296)</f>
        <v>0.335611458333333</v>
      </c>
      <c r="M296" s="0" t="n">
        <f aca="false">04_回帰ANOVA!$K$19*04_回帰ANOVA!$K$14*SQRT(1+L296)</f>
        <v>1.56608972588958</v>
      </c>
      <c r="N296" s="0" t="n">
        <f aca="false">K296-M296</f>
        <v>41.4397019407771</v>
      </c>
      <c r="O296" s="0" t="n">
        <f aca="false">K296+M296</f>
        <v>44.5718813925562</v>
      </c>
      <c r="P296" s="54" t="b">
        <f aca="false">AND(C296&gt;=01_因子設定!$L$5-0.000000001,C296&lt;=01_因子設定!$M$5+0.000000001,D296&gt;=01_因子設定!$L$6-0.000000001,D296&lt;=01_因子設定!$M$6+0.000000001,IF(01_因子設定!$B$20="Box-Behnken",C296^2+D296^2&lt;=2+0.000000001,TRUE()))</f>
        <v>1</v>
      </c>
      <c r="Q296" s="55" t="n">
        <f aca="false">IF(P296,IF(01_因子設定!$B$13="最大化",N296-01_因子設定!$B$14,IF(01_因子設定!$B$13="最小化",01_因子設定!$B$15-O296,MIN(N296-01_因子設定!$B$14,01_因子設定!$B$15-O296))),-1E+030)</f>
        <v>-5.06029805922292</v>
      </c>
      <c r="R296" s="55" t="n">
        <f aca="false">IF(P296,IF(01_因子設定!$B$13="最大化",K296,IF(01_因子設定!$B$13="最小化",-K296,-ABS(K296-01_因子設定!$B$16))),-1E+030)</f>
        <v>43.0057916666667</v>
      </c>
      <c r="S296" s="55" t="n">
        <f aca="false">Q296+ROW()*0.000000001</f>
        <v>-5.06029776322292</v>
      </c>
      <c r="T296" s="55" t="n">
        <f aca="false">R296+ROW()*0.000000001</f>
        <v>43.0057919626667</v>
      </c>
    </row>
    <row r="297" customFormat="false" ht="15" hidden="false" customHeight="false" outlineLevel="0" collapsed="false">
      <c r="A297" s="0" t="n">
        <v>7</v>
      </c>
      <c r="B297" s="0" t="n">
        <v>5</v>
      </c>
      <c r="C297" s="0" t="n">
        <f aca="false">-1+A297*0.05</f>
        <v>-0.65</v>
      </c>
      <c r="D297" s="0" t="n">
        <f aca="false">-1+B297*0.05</f>
        <v>-0.75</v>
      </c>
      <c r="E297" s="0" t="n">
        <f aca="false">1</f>
        <v>1</v>
      </c>
      <c r="F297" s="0" t="n">
        <f aca="false">C297</f>
        <v>-0.65</v>
      </c>
      <c r="G297" s="0" t="n">
        <f aca="false">D297</f>
        <v>-0.75</v>
      </c>
      <c r="H297" s="0" t="n">
        <f aca="false">C297*D297</f>
        <v>0.4875</v>
      </c>
      <c r="I297" s="0" t="n">
        <f aca="false">C297*C297</f>
        <v>0.4225</v>
      </c>
      <c r="J297" s="0" t="n">
        <f aca="false">D297*D297</f>
        <v>0.5625</v>
      </c>
      <c r="K297" s="0" t="n">
        <f aca="false">SUMPRODUCT(E297:J297,_XtX!$B$53:$G$53)</f>
        <v>43.220819683908</v>
      </c>
      <c r="L297" s="0" t="n">
        <f aca="false">SUMPRODUCT(MMULT(E297:J297,_XtX!$B$44:$G$49),E297:J297)</f>
        <v>0.305833530890805</v>
      </c>
      <c r="M297" s="0" t="n">
        <f aca="false">04_回帰ANOVA!$K$19*04_回帰ANOVA!$K$14*SQRT(1+L297)</f>
        <v>1.54853305548253</v>
      </c>
      <c r="N297" s="0" t="n">
        <f aca="false">K297-M297</f>
        <v>41.6722866284255</v>
      </c>
      <c r="O297" s="0" t="n">
        <f aca="false">K297+M297</f>
        <v>44.7693527393906</v>
      </c>
      <c r="P297" s="54" t="b">
        <f aca="false">AND(C297&gt;=01_因子設定!$L$5-0.000000001,C297&lt;=01_因子設定!$M$5+0.000000001,D297&gt;=01_因子設定!$L$6-0.000000001,D297&lt;=01_因子設定!$M$6+0.000000001,IF(01_因子設定!$B$20="Box-Behnken",C297^2+D297^2&lt;=2+0.000000001,TRUE()))</f>
        <v>1</v>
      </c>
      <c r="Q297" s="55" t="n">
        <f aca="false">IF(P297,IF(01_因子設定!$B$13="最大化",N297-01_因子設定!$B$14,IF(01_因子設定!$B$13="最小化",01_因子設定!$B$15-O297,MIN(N297-01_因子設定!$B$14,01_因子設定!$B$15-O297))),-1E+030)</f>
        <v>-4.82771337157449</v>
      </c>
      <c r="R297" s="55" t="n">
        <f aca="false">IF(P297,IF(01_因子設定!$B$13="最大化",K297,IF(01_因子設定!$B$13="最小化",-K297,-ABS(K297-01_因子設定!$B$16))),-1E+030)</f>
        <v>43.220819683908</v>
      </c>
      <c r="S297" s="55" t="n">
        <f aca="false">Q297+ROW()*0.000000001</f>
        <v>-4.82771307457449</v>
      </c>
      <c r="T297" s="55" t="n">
        <f aca="false">R297+ROW()*0.000000001</f>
        <v>43.220819980908</v>
      </c>
    </row>
    <row r="298" customFormat="false" ht="15" hidden="false" customHeight="false" outlineLevel="0" collapsed="false">
      <c r="A298" s="0" t="n">
        <v>7</v>
      </c>
      <c r="B298" s="0" t="n">
        <v>6</v>
      </c>
      <c r="C298" s="0" t="n">
        <f aca="false">-1+A298*0.05</f>
        <v>-0.65</v>
      </c>
      <c r="D298" s="0" t="n">
        <f aca="false">-1+B298*0.05</f>
        <v>-0.7</v>
      </c>
      <c r="E298" s="0" t="n">
        <f aca="false">1</f>
        <v>1</v>
      </c>
      <c r="F298" s="0" t="n">
        <f aca="false">C298</f>
        <v>-0.65</v>
      </c>
      <c r="G298" s="0" t="n">
        <f aca="false">D298</f>
        <v>-0.7</v>
      </c>
      <c r="H298" s="0" t="n">
        <f aca="false">C298*D298</f>
        <v>0.455</v>
      </c>
      <c r="I298" s="0" t="n">
        <f aca="false">C298*C298</f>
        <v>0.4225</v>
      </c>
      <c r="J298" s="0" t="n">
        <f aca="false">D298*D298</f>
        <v>0.49</v>
      </c>
      <c r="K298" s="0" t="n">
        <f aca="false">SUMPRODUCT(E298:J298,_XtX!$B$53:$G$53)</f>
        <v>43.428132183908</v>
      </c>
      <c r="L298" s="0" t="n">
        <f aca="false">SUMPRODUCT(MMULT(E298:J298,_XtX!$B$44:$G$49),E298:J298)</f>
        <v>0.281914260057471</v>
      </c>
      <c r="M298" s="0" t="n">
        <f aca="false">04_回帰ANOVA!$K$19*04_回帰ANOVA!$K$14*SQRT(1+L298)</f>
        <v>1.53428507945275</v>
      </c>
      <c r="N298" s="0" t="n">
        <f aca="false">K298-M298</f>
        <v>41.8938471044553</v>
      </c>
      <c r="O298" s="0" t="n">
        <f aca="false">K298+M298</f>
        <v>44.9624172633608</v>
      </c>
      <c r="P298" s="54" t="b">
        <f aca="false">AND(C298&gt;=01_因子設定!$L$5-0.000000001,C298&lt;=01_因子設定!$M$5+0.000000001,D298&gt;=01_因子設定!$L$6-0.000000001,D298&lt;=01_因子設定!$M$6+0.000000001,IF(01_因子設定!$B$20="Box-Behnken",C298^2+D298^2&lt;=2+0.000000001,TRUE()))</f>
        <v>1</v>
      </c>
      <c r="Q298" s="55" t="n">
        <f aca="false">IF(P298,IF(01_因子設定!$B$13="最大化",N298-01_因子設定!$B$14,IF(01_因子設定!$B$13="最小化",01_因子設定!$B$15-O298,MIN(N298-01_因子設定!$B$14,01_因子設定!$B$15-O298))),-1E+030)</f>
        <v>-4.60615289554471</v>
      </c>
      <c r="R298" s="55" t="n">
        <f aca="false">IF(P298,IF(01_因子設定!$B$13="最大化",K298,IF(01_因子設定!$B$13="最小化",-K298,-ABS(K298-01_因子設定!$B$16))),-1E+030)</f>
        <v>43.428132183908</v>
      </c>
      <c r="S298" s="55" t="n">
        <f aca="false">Q298+ROW()*0.000000001</f>
        <v>-4.60615259754471</v>
      </c>
      <c r="T298" s="55" t="n">
        <f aca="false">R298+ROW()*0.000000001</f>
        <v>43.428132481908</v>
      </c>
    </row>
    <row r="299" customFormat="false" ht="15" hidden="false" customHeight="false" outlineLevel="0" collapsed="false">
      <c r="A299" s="0" t="n">
        <v>7</v>
      </c>
      <c r="B299" s="0" t="n">
        <v>7</v>
      </c>
      <c r="C299" s="0" t="n">
        <f aca="false">-1+A299*0.05</f>
        <v>-0.65</v>
      </c>
      <c r="D299" s="0" t="n">
        <f aca="false">-1+B299*0.05</f>
        <v>-0.65</v>
      </c>
      <c r="E299" s="0" t="n">
        <f aca="false">1</f>
        <v>1</v>
      </c>
      <c r="F299" s="0" t="n">
        <f aca="false">C299</f>
        <v>-0.65</v>
      </c>
      <c r="G299" s="0" t="n">
        <f aca="false">D299</f>
        <v>-0.65</v>
      </c>
      <c r="H299" s="0" t="n">
        <f aca="false">C299*D299</f>
        <v>0.4225</v>
      </c>
      <c r="I299" s="0" t="n">
        <f aca="false">C299*C299</f>
        <v>0.4225</v>
      </c>
      <c r="J299" s="0" t="n">
        <f aca="false">D299*D299</f>
        <v>0.4225</v>
      </c>
      <c r="K299" s="0" t="n">
        <f aca="false">SUMPRODUCT(E299:J299,_XtX!$B$53:$G$53)</f>
        <v>43.6277291666667</v>
      </c>
      <c r="L299" s="0" t="n">
        <f aca="false">SUMPRODUCT(MMULT(E299:J299,_XtX!$B$44:$G$49),E299:J299)</f>
        <v>0.263066145833333</v>
      </c>
      <c r="M299" s="0" t="n">
        <f aca="false">04_回帰ANOVA!$K$19*04_回帰ANOVA!$K$14*SQRT(1+L299)</f>
        <v>1.52296393750712</v>
      </c>
      <c r="N299" s="0" t="n">
        <f aca="false">K299-M299</f>
        <v>42.1047652291596</v>
      </c>
      <c r="O299" s="0" t="n">
        <f aca="false">K299+M299</f>
        <v>45.1506931041738</v>
      </c>
      <c r="P299" s="54" t="b">
        <f aca="false">AND(C299&gt;=01_因子設定!$L$5-0.000000001,C299&lt;=01_因子設定!$M$5+0.000000001,D299&gt;=01_因子設定!$L$6-0.000000001,D299&lt;=01_因子設定!$M$6+0.000000001,IF(01_因子設定!$B$20="Box-Behnken",C299^2+D299^2&lt;=2+0.000000001,TRUE()))</f>
        <v>1</v>
      </c>
      <c r="Q299" s="55" t="n">
        <f aca="false">IF(P299,IF(01_因子設定!$B$13="最大化",N299-01_因子設定!$B$14,IF(01_因子設定!$B$13="最小化",01_因子設定!$B$15-O299,MIN(N299-01_因子設定!$B$14,01_因子設定!$B$15-O299))),-1E+030)</f>
        <v>-4.39523477084045</v>
      </c>
      <c r="R299" s="55" t="n">
        <f aca="false">IF(P299,IF(01_因子設定!$B$13="最大化",K299,IF(01_因子設定!$B$13="最小化",-K299,-ABS(K299-01_因子設定!$B$16))),-1E+030)</f>
        <v>43.6277291666667</v>
      </c>
      <c r="S299" s="55" t="n">
        <f aca="false">Q299+ROW()*0.000000001</f>
        <v>-4.39523447184045</v>
      </c>
      <c r="T299" s="55" t="n">
        <f aca="false">R299+ROW()*0.000000001</f>
        <v>43.6277294656667</v>
      </c>
    </row>
    <row r="300" customFormat="false" ht="15" hidden="false" customHeight="false" outlineLevel="0" collapsed="false">
      <c r="A300" s="0" t="n">
        <v>7</v>
      </c>
      <c r="B300" s="0" t="n">
        <v>8</v>
      </c>
      <c r="C300" s="0" t="n">
        <f aca="false">-1+A300*0.05</f>
        <v>-0.65</v>
      </c>
      <c r="D300" s="0" t="n">
        <f aca="false">-1+B300*0.05</f>
        <v>-0.6</v>
      </c>
      <c r="E300" s="0" t="n">
        <f aca="false">1</f>
        <v>1</v>
      </c>
      <c r="F300" s="0" t="n">
        <f aca="false">C300</f>
        <v>-0.65</v>
      </c>
      <c r="G300" s="0" t="n">
        <f aca="false">D300</f>
        <v>-0.6</v>
      </c>
      <c r="H300" s="0" t="n">
        <f aca="false">C300*D300</f>
        <v>0.39</v>
      </c>
      <c r="I300" s="0" t="n">
        <f aca="false">C300*C300</f>
        <v>0.4225</v>
      </c>
      <c r="J300" s="0" t="n">
        <f aca="false">D300*D300</f>
        <v>0.36</v>
      </c>
      <c r="K300" s="0" t="n">
        <f aca="false">SUMPRODUCT(E300:J300,_XtX!$B$53:$G$53)</f>
        <v>43.8196106321839</v>
      </c>
      <c r="L300" s="0" t="n">
        <f aca="false">SUMPRODUCT(MMULT(E300:J300,_XtX!$B$44:$G$49),E300:J300)</f>
        <v>0.248555998563218</v>
      </c>
      <c r="M300" s="0" t="n">
        <f aca="false">04_回帰ANOVA!$K$19*04_回帰ANOVA!$K$14*SQRT(1+L300)</f>
        <v>1.51419073700187</v>
      </c>
      <c r="N300" s="0" t="n">
        <f aca="false">K300-M300</f>
        <v>42.305419895182</v>
      </c>
      <c r="O300" s="0" t="n">
        <f aca="false">K300+M300</f>
        <v>45.3338013691858</v>
      </c>
      <c r="P300" s="54" t="b">
        <f aca="false">AND(C300&gt;=01_因子設定!$L$5-0.000000001,C300&lt;=01_因子設定!$M$5+0.000000001,D300&gt;=01_因子設定!$L$6-0.000000001,D300&lt;=01_因子設定!$M$6+0.000000001,IF(01_因子設定!$B$20="Box-Behnken",C300^2+D300^2&lt;=2+0.000000001,TRUE()))</f>
        <v>1</v>
      </c>
      <c r="Q300" s="55" t="n">
        <f aca="false">IF(P300,IF(01_因子設定!$B$13="最大化",N300-01_因子設定!$B$14,IF(01_因子設定!$B$13="最小化",01_因子設定!$B$15-O300,MIN(N300-01_因子設定!$B$14,01_因子設定!$B$15-O300))),-1E+030)</f>
        <v>-4.19458010481797</v>
      </c>
      <c r="R300" s="55" t="n">
        <f aca="false">IF(P300,IF(01_因子設定!$B$13="最大化",K300,IF(01_因子設定!$B$13="最小化",-K300,-ABS(K300-01_因子設定!$B$16))),-1E+030)</f>
        <v>43.8196106321839</v>
      </c>
      <c r="S300" s="55" t="n">
        <f aca="false">Q300+ROW()*0.000000001</f>
        <v>-4.19457980481797</v>
      </c>
      <c r="T300" s="55" t="n">
        <f aca="false">R300+ROW()*0.000000001</f>
        <v>43.8196109321839</v>
      </c>
    </row>
    <row r="301" customFormat="false" ht="15" hidden="false" customHeight="false" outlineLevel="0" collapsed="false">
      <c r="A301" s="0" t="n">
        <v>7</v>
      </c>
      <c r="B301" s="0" t="n">
        <v>9</v>
      </c>
      <c r="C301" s="0" t="n">
        <f aca="false">-1+A301*0.05</f>
        <v>-0.65</v>
      </c>
      <c r="D301" s="0" t="n">
        <f aca="false">-1+B301*0.05</f>
        <v>-0.55</v>
      </c>
      <c r="E301" s="0" t="n">
        <f aca="false">1</f>
        <v>1</v>
      </c>
      <c r="F301" s="0" t="n">
        <f aca="false">C301</f>
        <v>-0.65</v>
      </c>
      <c r="G301" s="0" t="n">
        <f aca="false">D301</f>
        <v>-0.55</v>
      </c>
      <c r="H301" s="0" t="n">
        <f aca="false">C301*D301</f>
        <v>0.3575</v>
      </c>
      <c r="I301" s="0" t="n">
        <f aca="false">C301*C301</f>
        <v>0.4225</v>
      </c>
      <c r="J301" s="0" t="n">
        <f aca="false">D301*D301</f>
        <v>0.3025</v>
      </c>
      <c r="K301" s="0" t="n">
        <f aca="false">SUMPRODUCT(E301:J301,_XtX!$B$53:$G$53)</f>
        <v>44.0037765804598</v>
      </c>
      <c r="L301" s="0" t="n">
        <f aca="false">SUMPRODUCT(MMULT(E301:J301,_XtX!$B$44:$G$49),E301:J301)</f>
        <v>0.237704938936782</v>
      </c>
      <c r="M301" s="0" t="n">
        <f aca="false">04_回帰ANOVA!$K$19*04_回帰ANOVA!$K$14*SQRT(1+L301)</f>
        <v>1.5075965477804</v>
      </c>
      <c r="N301" s="0" t="n">
        <f aca="false">K301-M301</f>
        <v>42.4961800326794</v>
      </c>
      <c r="O301" s="0" t="n">
        <f aca="false">K301+M301</f>
        <v>45.5113731282402</v>
      </c>
      <c r="P301" s="54" t="b">
        <f aca="false">AND(C301&gt;=01_因子設定!$L$5-0.000000001,C301&lt;=01_因子設定!$M$5+0.000000001,D301&gt;=01_因子設定!$L$6-0.000000001,D301&lt;=01_因子設定!$M$6+0.000000001,IF(01_因子設定!$B$20="Box-Behnken",C301^2+D301^2&lt;=2+0.000000001,TRUE()))</f>
        <v>1</v>
      </c>
      <c r="Q301" s="55" t="n">
        <f aca="false">IF(P301,IF(01_因子設定!$B$13="最大化",N301-01_因子設定!$B$14,IF(01_因子設定!$B$13="最小化",01_因子設定!$B$15-O301,MIN(N301-01_因子設定!$B$14,01_因子設定!$B$15-O301))),-1E+030)</f>
        <v>-4.00381996732063</v>
      </c>
      <c r="R301" s="55" t="n">
        <f aca="false">IF(P301,IF(01_因子設定!$B$13="最大化",K301,IF(01_因子設定!$B$13="最小化",-K301,-ABS(K301-01_因子設定!$B$16))),-1E+030)</f>
        <v>44.0037765804598</v>
      </c>
      <c r="S301" s="55" t="n">
        <f aca="false">Q301+ROW()*0.000000001</f>
        <v>-4.00381966632063</v>
      </c>
      <c r="T301" s="55" t="n">
        <f aca="false">R301+ROW()*0.000000001</f>
        <v>44.0037768814598</v>
      </c>
    </row>
    <row r="302" customFormat="false" ht="15" hidden="false" customHeight="false" outlineLevel="0" collapsed="false">
      <c r="A302" s="0" t="n">
        <v>7</v>
      </c>
      <c r="B302" s="0" t="n">
        <v>10</v>
      </c>
      <c r="C302" s="0" t="n">
        <f aca="false">-1+A302*0.05</f>
        <v>-0.65</v>
      </c>
      <c r="D302" s="0" t="n">
        <f aca="false">-1+B302*0.05</f>
        <v>-0.5</v>
      </c>
      <c r="E302" s="0" t="n">
        <f aca="false">1</f>
        <v>1</v>
      </c>
      <c r="F302" s="0" t="n">
        <f aca="false">C302</f>
        <v>-0.65</v>
      </c>
      <c r="G302" s="0" t="n">
        <f aca="false">D302</f>
        <v>-0.5</v>
      </c>
      <c r="H302" s="0" t="n">
        <f aca="false">C302*D302</f>
        <v>0.325</v>
      </c>
      <c r="I302" s="0" t="n">
        <f aca="false">C302*C302</f>
        <v>0.4225</v>
      </c>
      <c r="J302" s="0" t="n">
        <f aca="false">D302*D302</f>
        <v>0.25</v>
      </c>
      <c r="K302" s="0" t="n">
        <f aca="false">SUMPRODUCT(E302:J302,_XtX!$B$53:$G$53)</f>
        <v>44.1802270114942</v>
      </c>
      <c r="L302" s="0" t="n">
        <f aca="false">SUMPRODUCT(MMULT(E302:J302,_XtX!$B$44:$G$49),E302:J302)</f>
        <v>0.229888397988506</v>
      </c>
      <c r="M302" s="0" t="n">
        <f aca="false">04_回帰ANOVA!$K$19*04_回帰ANOVA!$K$14*SQRT(1+L302)</f>
        <v>1.50282850731928</v>
      </c>
      <c r="N302" s="0" t="n">
        <f aca="false">K302-M302</f>
        <v>42.677398504175</v>
      </c>
      <c r="O302" s="0" t="n">
        <f aca="false">K302+M302</f>
        <v>45.6830555188135</v>
      </c>
      <c r="P302" s="54" t="b">
        <f aca="false">AND(C302&gt;=01_因子設定!$L$5-0.000000001,C302&lt;=01_因子設定!$M$5+0.000000001,D302&gt;=01_因子設定!$L$6-0.000000001,D302&lt;=01_因子設定!$M$6+0.000000001,IF(01_因子設定!$B$20="Box-Behnken",C302^2+D302^2&lt;=2+0.000000001,TRUE()))</f>
        <v>1</v>
      </c>
      <c r="Q302" s="55" t="n">
        <f aca="false">IF(P302,IF(01_因子設定!$B$13="最大化",N302-01_因子設定!$B$14,IF(01_因子設定!$B$13="最小化",01_因子設定!$B$15-O302,MIN(N302-01_因子設定!$B$14,01_因子設定!$B$15-O302))),-1E+030)</f>
        <v>-3.82260149582503</v>
      </c>
      <c r="R302" s="55" t="n">
        <f aca="false">IF(P302,IF(01_因子設定!$B$13="最大化",K302,IF(01_因子設定!$B$13="最小化",-K302,-ABS(K302-01_因子設定!$B$16))),-1E+030)</f>
        <v>44.1802270114942</v>
      </c>
      <c r="S302" s="55" t="n">
        <f aca="false">Q302+ROW()*0.000000001</f>
        <v>-3.82260119382503</v>
      </c>
      <c r="T302" s="55" t="n">
        <f aca="false">R302+ROW()*0.000000001</f>
        <v>44.1802273134942</v>
      </c>
    </row>
    <row r="303" customFormat="false" ht="15" hidden="false" customHeight="false" outlineLevel="0" collapsed="false">
      <c r="A303" s="0" t="n">
        <v>7</v>
      </c>
      <c r="B303" s="0" t="n">
        <v>11</v>
      </c>
      <c r="C303" s="0" t="n">
        <f aca="false">-1+A303*0.05</f>
        <v>-0.65</v>
      </c>
      <c r="D303" s="0" t="n">
        <f aca="false">-1+B303*0.05</f>
        <v>-0.45</v>
      </c>
      <c r="E303" s="0" t="n">
        <f aca="false">1</f>
        <v>1</v>
      </c>
      <c r="F303" s="0" t="n">
        <f aca="false">C303</f>
        <v>-0.65</v>
      </c>
      <c r="G303" s="0" t="n">
        <f aca="false">D303</f>
        <v>-0.45</v>
      </c>
      <c r="H303" s="0" t="n">
        <f aca="false">C303*D303</f>
        <v>0.2925</v>
      </c>
      <c r="I303" s="0" t="n">
        <f aca="false">C303*C303</f>
        <v>0.4225</v>
      </c>
      <c r="J303" s="0" t="n">
        <f aca="false">D303*D303</f>
        <v>0.2025</v>
      </c>
      <c r="K303" s="0" t="n">
        <f aca="false">SUMPRODUCT(E303:J303,_XtX!$B$53:$G$53)</f>
        <v>44.3489619252874</v>
      </c>
      <c r="L303" s="0" t="n">
        <f aca="false">SUMPRODUCT(MMULT(E303:J303,_XtX!$B$44:$G$49),E303:J303)</f>
        <v>0.224536117097701</v>
      </c>
      <c r="M303" s="0" t="n">
        <f aca="false">04_回帰ANOVA!$K$19*04_回帰ANOVA!$K$14*SQRT(1+L303)</f>
        <v>1.49955490522416</v>
      </c>
      <c r="N303" s="0" t="n">
        <f aca="false">K303-M303</f>
        <v>42.8494070200632</v>
      </c>
      <c r="O303" s="0" t="n">
        <f aca="false">K303+M303</f>
        <v>45.8485168305115</v>
      </c>
      <c r="P303" s="54" t="b">
        <f aca="false">AND(C303&gt;=01_因子設定!$L$5-0.000000001,C303&lt;=01_因子設定!$M$5+0.000000001,D303&gt;=01_因子設定!$L$6-0.000000001,D303&lt;=01_因子設定!$M$6+0.000000001,IF(01_因子設定!$B$20="Box-Behnken",C303^2+D303^2&lt;=2+0.000000001,TRUE()))</f>
        <v>1</v>
      </c>
      <c r="Q303" s="55" t="n">
        <f aca="false">IF(P303,IF(01_因子設定!$B$13="最大化",N303-01_因子設定!$B$14,IF(01_因子設定!$B$13="最小化",01_因子設定!$B$15-O303,MIN(N303-01_因子設定!$B$14,01_因子設定!$B$15-O303))),-1E+030)</f>
        <v>-3.6505929799368</v>
      </c>
      <c r="R303" s="55" t="n">
        <f aca="false">IF(P303,IF(01_因子設定!$B$13="最大化",K303,IF(01_因子設定!$B$13="最小化",-K303,-ABS(K303-01_因子設定!$B$16))),-1E+030)</f>
        <v>44.3489619252874</v>
      </c>
      <c r="S303" s="55" t="n">
        <f aca="false">Q303+ROW()*0.000000001</f>
        <v>-3.6505926769368</v>
      </c>
      <c r="T303" s="55" t="n">
        <f aca="false">R303+ROW()*0.000000001</f>
        <v>44.3489622282874</v>
      </c>
    </row>
    <row r="304" customFormat="false" ht="15" hidden="false" customHeight="false" outlineLevel="0" collapsed="false">
      <c r="A304" s="0" t="n">
        <v>7</v>
      </c>
      <c r="B304" s="0" t="n">
        <v>12</v>
      </c>
      <c r="C304" s="0" t="n">
        <f aca="false">-1+A304*0.05</f>
        <v>-0.65</v>
      </c>
      <c r="D304" s="0" t="n">
        <f aca="false">-1+B304*0.05</f>
        <v>-0.4</v>
      </c>
      <c r="E304" s="0" t="n">
        <f aca="false">1</f>
        <v>1</v>
      </c>
      <c r="F304" s="0" t="n">
        <f aca="false">C304</f>
        <v>-0.65</v>
      </c>
      <c r="G304" s="0" t="n">
        <f aca="false">D304</f>
        <v>-0.4</v>
      </c>
      <c r="H304" s="0" t="n">
        <f aca="false">C304*D304</f>
        <v>0.26</v>
      </c>
      <c r="I304" s="0" t="n">
        <f aca="false">C304*C304</f>
        <v>0.4225</v>
      </c>
      <c r="J304" s="0" t="n">
        <f aca="false">D304*D304</f>
        <v>0.16</v>
      </c>
      <c r="K304" s="0" t="n">
        <f aca="false">SUMPRODUCT(E304:J304,_XtX!$B$53:$G$53)</f>
        <v>44.5099813218391</v>
      </c>
      <c r="L304" s="0" t="n">
        <f aca="false">SUMPRODUCT(MMULT(E304:J304,_XtX!$B$44:$G$49),E304:J304)</f>
        <v>0.221132147988506</v>
      </c>
      <c r="M304" s="0" t="n">
        <f aca="false">04_回帰ANOVA!$K$19*04_回帰ANOVA!$K$14*SQRT(1+L304)</f>
        <v>1.4974692211941</v>
      </c>
      <c r="N304" s="0" t="n">
        <f aca="false">K304-M304</f>
        <v>43.012512100645</v>
      </c>
      <c r="O304" s="0" t="n">
        <f aca="false">K304+M304</f>
        <v>46.0074505430332</v>
      </c>
      <c r="P304" s="54" t="b">
        <f aca="false">AND(C304&gt;=01_因子設定!$L$5-0.000000001,C304&lt;=01_因子設定!$M$5+0.000000001,D304&gt;=01_因子設定!$L$6-0.000000001,D304&lt;=01_因子設定!$M$6+0.000000001,IF(01_因子設定!$B$20="Box-Behnken",C304^2+D304^2&lt;=2+0.000000001,TRUE()))</f>
        <v>1</v>
      </c>
      <c r="Q304" s="55" t="n">
        <f aca="false">IF(P304,IF(01_因子設定!$B$13="最大化",N304-01_因子設定!$B$14,IF(01_因子設定!$B$13="最小化",01_因子設定!$B$15-O304,MIN(N304-01_因子設定!$B$14,01_因子設定!$B$15-O304))),-1E+030)</f>
        <v>-3.48748789935503</v>
      </c>
      <c r="R304" s="55" t="n">
        <f aca="false">IF(P304,IF(01_因子設定!$B$13="最大化",K304,IF(01_因子設定!$B$13="最小化",-K304,-ABS(K304-01_因子設定!$B$16))),-1E+030)</f>
        <v>44.5099813218391</v>
      </c>
      <c r="S304" s="55" t="n">
        <f aca="false">Q304+ROW()*0.000000001</f>
        <v>-3.48748759535503</v>
      </c>
      <c r="T304" s="55" t="n">
        <f aca="false">R304+ROW()*0.000000001</f>
        <v>44.5099816258391</v>
      </c>
    </row>
    <row r="305" customFormat="false" ht="15" hidden="false" customHeight="false" outlineLevel="0" collapsed="false">
      <c r="A305" s="0" t="n">
        <v>7</v>
      </c>
      <c r="B305" s="0" t="n">
        <v>13</v>
      </c>
      <c r="C305" s="0" t="n">
        <f aca="false">-1+A305*0.05</f>
        <v>-0.65</v>
      </c>
      <c r="D305" s="0" t="n">
        <f aca="false">-1+B305*0.05</f>
        <v>-0.35</v>
      </c>
      <c r="E305" s="0" t="n">
        <f aca="false">1</f>
        <v>1</v>
      </c>
      <c r="F305" s="0" t="n">
        <f aca="false">C305</f>
        <v>-0.65</v>
      </c>
      <c r="G305" s="0" t="n">
        <f aca="false">D305</f>
        <v>-0.35</v>
      </c>
      <c r="H305" s="0" t="n">
        <f aca="false">C305*D305</f>
        <v>0.2275</v>
      </c>
      <c r="I305" s="0" t="n">
        <f aca="false">C305*C305</f>
        <v>0.4225</v>
      </c>
      <c r="J305" s="0" t="n">
        <f aca="false">D305*D305</f>
        <v>0.1225</v>
      </c>
      <c r="K305" s="0" t="n">
        <f aca="false">SUMPRODUCT(E305:J305,_XtX!$B$53:$G$53)</f>
        <v>44.6632852011494</v>
      </c>
      <c r="L305" s="0" t="n">
        <f aca="false">SUMPRODUCT(MMULT(E305:J305,_XtX!$B$44:$G$49),E305:J305)</f>
        <v>0.219214852729885</v>
      </c>
      <c r="M305" s="0" t="n">
        <f aca="false">04_回帰ANOVA!$K$19*04_回帰ANOVA!$K$14*SQRT(1+L305)</f>
        <v>1.49629317382676</v>
      </c>
      <c r="N305" s="0" t="n">
        <f aca="false">K305-M305</f>
        <v>43.1669920273227</v>
      </c>
      <c r="O305" s="0" t="n">
        <f aca="false">K305+M305</f>
        <v>46.1595783749762</v>
      </c>
      <c r="P305" s="54" t="b">
        <f aca="false">AND(C305&gt;=01_因子設定!$L$5-0.000000001,C305&lt;=01_因子設定!$M$5+0.000000001,D305&gt;=01_因子設定!$L$6-0.000000001,D305&lt;=01_因子設定!$M$6+0.000000001,IF(01_因子設定!$B$20="Box-Behnken",C305^2+D305^2&lt;=2+0.000000001,TRUE()))</f>
        <v>1</v>
      </c>
      <c r="Q305" s="55" t="n">
        <f aca="false">IF(P305,IF(01_因子設定!$B$13="最大化",N305-01_因子設定!$B$14,IF(01_因子設定!$B$13="最小化",01_因子設定!$B$15-O305,MIN(N305-01_因子設定!$B$14,01_因子設定!$B$15-O305))),-1E+030)</f>
        <v>-3.33300797267735</v>
      </c>
      <c r="R305" s="55" t="n">
        <f aca="false">IF(P305,IF(01_因子設定!$B$13="最大化",K305,IF(01_因子設定!$B$13="最小化",-K305,-ABS(K305-01_因子設定!$B$16))),-1E+030)</f>
        <v>44.6632852011494</v>
      </c>
      <c r="S305" s="55" t="n">
        <f aca="false">Q305+ROW()*0.000000001</f>
        <v>-3.33300766767735</v>
      </c>
      <c r="T305" s="55" t="n">
        <f aca="false">R305+ROW()*0.000000001</f>
        <v>44.6632855061494</v>
      </c>
    </row>
    <row r="306" customFormat="false" ht="15" hidden="false" customHeight="false" outlineLevel="0" collapsed="false">
      <c r="A306" s="0" t="n">
        <v>7</v>
      </c>
      <c r="B306" s="0" t="n">
        <v>14</v>
      </c>
      <c r="C306" s="0" t="n">
        <f aca="false">-1+A306*0.05</f>
        <v>-0.65</v>
      </c>
      <c r="D306" s="0" t="n">
        <f aca="false">-1+B306*0.05</f>
        <v>-0.3</v>
      </c>
      <c r="E306" s="0" t="n">
        <f aca="false">1</f>
        <v>1</v>
      </c>
      <c r="F306" s="0" t="n">
        <f aca="false">C306</f>
        <v>-0.65</v>
      </c>
      <c r="G306" s="0" t="n">
        <f aca="false">D306</f>
        <v>-0.3</v>
      </c>
      <c r="H306" s="0" t="n">
        <f aca="false">C306*D306</f>
        <v>0.195</v>
      </c>
      <c r="I306" s="0" t="n">
        <f aca="false">C306*C306</f>
        <v>0.4225</v>
      </c>
      <c r="J306" s="0" t="n">
        <f aca="false">D306*D306</f>
        <v>0.09</v>
      </c>
      <c r="K306" s="0" t="n">
        <f aca="false">SUMPRODUCT(E306:J306,_XtX!$B$53:$G$53)</f>
        <v>44.8088735632184</v>
      </c>
      <c r="L306" s="0" t="n">
        <f aca="false">SUMPRODUCT(MMULT(E306:J306,_XtX!$B$44:$G$49),E306:J306)</f>
        <v>0.218376903735632</v>
      </c>
      <c r="M306" s="0" t="n">
        <f aca="false">04_回帰ANOVA!$K$19*04_回帰ANOVA!$K$14*SQRT(1+L306)</f>
        <v>1.49577889495948</v>
      </c>
      <c r="N306" s="0" t="n">
        <f aca="false">K306-M306</f>
        <v>43.3130946682589</v>
      </c>
      <c r="O306" s="0" t="n">
        <f aca="false">K306+M306</f>
        <v>46.3046524581779</v>
      </c>
      <c r="P306" s="54" t="b">
        <f aca="false">AND(C306&gt;=01_因子設定!$L$5-0.000000001,C306&lt;=01_因子設定!$M$5+0.000000001,D306&gt;=01_因子設定!$L$6-0.000000001,D306&lt;=01_因子設定!$M$6+0.000000001,IF(01_因子設定!$B$20="Box-Behnken",C306^2+D306^2&lt;=2+0.000000001,TRUE()))</f>
        <v>1</v>
      </c>
      <c r="Q306" s="55" t="n">
        <f aca="false">IF(P306,IF(01_因子設定!$B$13="最大化",N306-01_因子設定!$B$14,IF(01_因子設定!$B$13="最小化",01_因子設定!$B$15-O306,MIN(N306-01_因子設定!$B$14,01_因子設定!$B$15-O306))),-1E+030)</f>
        <v>-3.18690533174109</v>
      </c>
      <c r="R306" s="55" t="n">
        <f aca="false">IF(P306,IF(01_因子設定!$B$13="最大化",K306,IF(01_因子設定!$B$13="最小化",-K306,-ABS(K306-01_因子設定!$B$16))),-1E+030)</f>
        <v>44.8088735632184</v>
      </c>
      <c r="S306" s="55" t="n">
        <f aca="false">Q306+ROW()*0.000000001</f>
        <v>-3.18690502574109</v>
      </c>
      <c r="T306" s="55" t="n">
        <f aca="false">R306+ROW()*0.000000001</f>
        <v>44.8088738692184</v>
      </c>
    </row>
    <row r="307" customFormat="false" ht="15" hidden="false" customHeight="false" outlineLevel="0" collapsed="false">
      <c r="A307" s="0" t="n">
        <v>7</v>
      </c>
      <c r="B307" s="0" t="n">
        <v>15</v>
      </c>
      <c r="C307" s="0" t="n">
        <f aca="false">-1+A307*0.05</f>
        <v>-0.65</v>
      </c>
      <c r="D307" s="0" t="n">
        <f aca="false">-1+B307*0.05</f>
        <v>-0.25</v>
      </c>
      <c r="E307" s="0" t="n">
        <f aca="false">1</f>
        <v>1</v>
      </c>
      <c r="F307" s="0" t="n">
        <f aca="false">C307</f>
        <v>-0.65</v>
      </c>
      <c r="G307" s="0" t="n">
        <f aca="false">D307</f>
        <v>-0.25</v>
      </c>
      <c r="H307" s="0" t="n">
        <f aca="false">C307*D307</f>
        <v>0.1625</v>
      </c>
      <c r="I307" s="0" t="n">
        <f aca="false">C307*C307</f>
        <v>0.4225</v>
      </c>
      <c r="J307" s="0" t="n">
        <f aca="false">D307*D307</f>
        <v>0.0625</v>
      </c>
      <c r="K307" s="0" t="n">
        <f aca="false">SUMPRODUCT(E307:J307,_XtX!$B$53:$G$53)</f>
        <v>44.946746408046</v>
      </c>
      <c r="L307" s="0" t="n">
        <f aca="false">SUMPRODUCT(MMULT(E307:J307,_XtX!$B$44:$G$49),E307:J307)</f>
        <v>0.218265283764368</v>
      </c>
      <c r="M307" s="0" t="n">
        <f aca="false">04_回帰ANOVA!$K$19*04_回帰ANOVA!$K$14*SQRT(1+L307)</f>
        <v>1.49571037649821</v>
      </c>
      <c r="N307" s="0" t="n">
        <f aca="false">K307-M307</f>
        <v>43.4510360315478</v>
      </c>
      <c r="O307" s="0" t="n">
        <f aca="false">K307+M307</f>
        <v>46.4424567845442</v>
      </c>
      <c r="P307" s="54" t="b">
        <f aca="false">AND(C307&gt;=01_因子設定!$L$5-0.000000001,C307&lt;=01_因子設定!$M$5+0.000000001,D307&gt;=01_因子設定!$L$6-0.000000001,D307&lt;=01_因子設定!$M$6+0.000000001,IF(01_因子設定!$B$20="Box-Behnken",C307^2+D307^2&lt;=2+0.000000001,TRUE()))</f>
        <v>1</v>
      </c>
      <c r="Q307" s="55" t="n">
        <f aca="false">IF(P307,IF(01_因子設定!$B$13="最大化",N307-01_因子設定!$B$14,IF(01_因子設定!$B$13="最小化",01_因子設定!$B$15-O307,MIN(N307-01_因子設定!$B$14,01_因子設定!$B$15-O307))),-1E+030)</f>
        <v>-3.04896396845224</v>
      </c>
      <c r="R307" s="55" t="n">
        <f aca="false">IF(P307,IF(01_因子設定!$B$13="最大化",K307,IF(01_因子設定!$B$13="最小化",-K307,-ABS(K307-01_因子設定!$B$16))),-1E+030)</f>
        <v>44.946746408046</v>
      </c>
      <c r="S307" s="55" t="n">
        <f aca="false">Q307+ROW()*0.000000001</f>
        <v>-3.04896366145224</v>
      </c>
      <c r="T307" s="55" t="n">
        <f aca="false">R307+ROW()*0.000000001</f>
        <v>44.946746715046</v>
      </c>
    </row>
    <row r="308" customFormat="false" ht="15" hidden="false" customHeight="false" outlineLevel="0" collapsed="false">
      <c r="A308" s="0" t="n">
        <v>7</v>
      </c>
      <c r="B308" s="0" t="n">
        <v>16</v>
      </c>
      <c r="C308" s="0" t="n">
        <f aca="false">-1+A308*0.05</f>
        <v>-0.65</v>
      </c>
      <c r="D308" s="0" t="n">
        <f aca="false">-1+B308*0.05</f>
        <v>-0.2</v>
      </c>
      <c r="E308" s="0" t="n">
        <f aca="false">1</f>
        <v>1</v>
      </c>
      <c r="F308" s="0" t="n">
        <f aca="false">C308</f>
        <v>-0.65</v>
      </c>
      <c r="G308" s="0" t="n">
        <f aca="false">D308</f>
        <v>-0.2</v>
      </c>
      <c r="H308" s="0" t="n">
        <f aca="false">C308*D308</f>
        <v>0.13</v>
      </c>
      <c r="I308" s="0" t="n">
        <f aca="false">C308*C308</f>
        <v>0.4225</v>
      </c>
      <c r="J308" s="0" t="n">
        <f aca="false">D308*D308</f>
        <v>0.04</v>
      </c>
      <c r="K308" s="0" t="n">
        <f aca="false">SUMPRODUCT(E308:J308,_XtX!$B$53:$G$53)</f>
        <v>45.0769037356322</v>
      </c>
      <c r="L308" s="0" t="n">
        <f aca="false">SUMPRODUCT(MMULT(E308:J308,_XtX!$B$44:$G$49),E308:J308)</f>
        <v>0.21858128591954</v>
      </c>
      <c r="M308" s="0" t="n">
        <f aca="false">04_回帰ANOVA!$K$19*04_回帰ANOVA!$K$14*SQRT(1+L308)</f>
        <v>1.49590434782083</v>
      </c>
      <c r="N308" s="0" t="n">
        <f aca="false">K308-M308</f>
        <v>43.5809993878113</v>
      </c>
      <c r="O308" s="0" t="n">
        <f aca="false">K308+M308</f>
        <v>46.572808083453</v>
      </c>
      <c r="P308" s="54" t="b">
        <f aca="false">AND(C308&gt;=01_因子設定!$L$5-0.000000001,C308&lt;=01_因子設定!$M$5+0.000000001,D308&gt;=01_因子設定!$L$6-0.000000001,D308&lt;=01_因子設定!$M$6+0.000000001,IF(01_因子設定!$B$20="Box-Behnken",C308^2+D308^2&lt;=2+0.000000001,TRUE()))</f>
        <v>1</v>
      </c>
      <c r="Q308" s="55" t="n">
        <f aca="false">IF(P308,IF(01_因子設定!$B$13="最大化",N308-01_因子設定!$B$14,IF(01_因子設定!$B$13="最小化",01_因子設定!$B$15-O308,MIN(N308-01_因子設定!$B$14,01_因子設定!$B$15-O308))),-1E+030)</f>
        <v>-2.91900061218866</v>
      </c>
      <c r="R308" s="55" t="n">
        <f aca="false">IF(P308,IF(01_因子設定!$B$13="最大化",K308,IF(01_因子設定!$B$13="最小化",-K308,-ABS(K308-01_因子設定!$B$16))),-1E+030)</f>
        <v>45.0769037356322</v>
      </c>
      <c r="S308" s="55" t="n">
        <f aca="false">Q308+ROW()*0.000000001</f>
        <v>-2.91900030418866</v>
      </c>
      <c r="T308" s="55" t="n">
        <f aca="false">R308+ROW()*0.000000001</f>
        <v>45.0769040436322</v>
      </c>
    </row>
    <row r="309" customFormat="false" ht="15" hidden="false" customHeight="false" outlineLevel="0" collapsed="false">
      <c r="A309" s="0" t="n">
        <v>7</v>
      </c>
      <c r="B309" s="0" t="n">
        <v>17</v>
      </c>
      <c r="C309" s="0" t="n">
        <f aca="false">-1+A309*0.05</f>
        <v>-0.65</v>
      </c>
      <c r="D309" s="0" t="n">
        <f aca="false">-1+B309*0.05</f>
        <v>-0.15</v>
      </c>
      <c r="E309" s="0" t="n">
        <f aca="false">1</f>
        <v>1</v>
      </c>
      <c r="F309" s="0" t="n">
        <f aca="false">C309</f>
        <v>-0.65</v>
      </c>
      <c r="G309" s="0" t="n">
        <f aca="false">D309</f>
        <v>-0.15</v>
      </c>
      <c r="H309" s="0" t="n">
        <f aca="false">C309*D309</f>
        <v>0.0974999999999999</v>
      </c>
      <c r="I309" s="0" t="n">
        <f aca="false">C309*C309</f>
        <v>0.4225</v>
      </c>
      <c r="J309" s="0" t="n">
        <f aca="false">D309*D309</f>
        <v>0.0225</v>
      </c>
      <c r="K309" s="0" t="n">
        <f aca="false">SUMPRODUCT(E309:J309,_XtX!$B$53:$G$53)</f>
        <v>45.199345545977</v>
      </c>
      <c r="L309" s="0" t="n">
        <f aca="false">SUMPRODUCT(MMULT(E309:J309,_XtX!$B$44:$G$49),E309:J309)</f>
        <v>0.219080513649425</v>
      </c>
      <c r="M309" s="0" t="n">
        <f aca="false">04_回帰ANOVA!$K$19*04_回帰ANOVA!$K$14*SQRT(1+L309)</f>
        <v>1.49621073709053</v>
      </c>
      <c r="N309" s="0" t="n">
        <f aca="false">K309-M309</f>
        <v>43.7031348088865</v>
      </c>
      <c r="O309" s="0" t="n">
        <f aca="false">K309+M309</f>
        <v>46.6955562830675</v>
      </c>
      <c r="P309" s="54" t="b">
        <f aca="false">AND(C309&gt;=01_因子設定!$L$5-0.000000001,C309&lt;=01_因子設定!$M$5+0.000000001,D309&gt;=01_因子設定!$L$6-0.000000001,D309&lt;=01_因子設定!$M$6+0.000000001,IF(01_因子設定!$B$20="Box-Behnken",C309^2+D309^2&lt;=2+0.000000001,TRUE()))</f>
        <v>1</v>
      </c>
      <c r="Q309" s="55" t="n">
        <f aca="false">IF(P309,IF(01_因子設定!$B$13="最大化",N309-01_因子設定!$B$14,IF(01_因子設定!$B$13="最小化",01_因子設定!$B$15-O309,MIN(N309-01_因子設定!$B$14,01_因子設定!$B$15-O309))),-1E+030)</f>
        <v>-2.79686519111353</v>
      </c>
      <c r="R309" s="55" t="n">
        <f aca="false">IF(P309,IF(01_因子設定!$B$13="最大化",K309,IF(01_因子設定!$B$13="最小化",-K309,-ABS(K309-01_因子設定!$B$16))),-1E+030)</f>
        <v>45.199345545977</v>
      </c>
      <c r="S309" s="55" t="n">
        <f aca="false">Q309+ROW()*0.000000001</f>
        <v>-2.79686488211353</v>
      </c>
      <c r="T309" s="55" t="n">
        <f aca="false">R309+ROW()*0.000000001</f>
        <v>45.199345854977</v>
      </c>
    </row>
    <row r="310" customFormat="false" ht="15" hidden="false" customHeight="false" outlineLevel="0" collapsed="false">
      <c r="A310" s="0" t="n">
        <v>7</v>
      </c>
      <c r="B310" s="0" t="n">
        <v>18</v>
      </c>
      <c r="C310" s="0" t="n">
        <f aca="false">-1+A310*0.05</f>
        <v>-0.65</v>
      </c>
      <c r="D310" s="0" t="n">
        <f aca="false">-1+B310*0.05</f>
        <v>-0.1</v>
      </c>
      <c r="E310" s="0" t="n">
        <f aca="false">1</f>
        <v>1</v>
      </c>
      <c r="F310" s="0" t="n">
        <f aca="false">C310</f>
        <v>-0.65</v>
      </c>
      <c r="G310" s="0" t="n">
        <f aca="false">D310</f>
        <v>-0.1</v>
      </c>
      <c r="H310" s="0" t="n">
        <f aca="false">C310*D310</f>
        <v>0.065</v>
      </c>
      <c r="I310" s="0" t="n">
        <f aca="false">C310*C310</f>
        <v>0.4225</v>
      </c>
      <c r="J310" s="0" t="n">
        <f aca="false">D310*D310</f>
        <v>0.01</v>
      </c>
      <c r="K310" s="0" t="n">
        <f aca="false">SUMPRODUCT(E310:J310,_XtX!$B$53:$G$53)</f>
        <v>45.3140718390805</v>
      </c>
      <c r="L310" s="0" t="n">
        <f aca="false">SUMPRODUCT(MMULT(E310:J310,_XtX!$B$44:$G$49),E310:J310)</f>
        <v>0.219572880747126</v>
      </c>
      <c r="M310" s="0" t="n">
        <f aca="false">04_回帰ANOVA!$K$19*04_回帰ANOVA!$K$14*SQRT(1+L310)</f>
        <v>1.49651285436709</v>
      </c>
      <c r="N310" s="0" t="n">
        <f aca="false">K310-M310</f>
        <v>43.8175589847134</v>
      </c>
      <c r="O310" s="0" t="n">
        <f aca="false">K310+M310</f>
        <v>46.8105846934475</v>
      </c>
      <c r="P310" s="54" t="b">
        <f aca="false">AND(C310&gt;=01_因子設定!$L$5-0.000000001,C310&lt;=01_因子設定!$M$5+0.000000001,D310&gt;=01_因子設定!$L$6-0.000000001,D310&lt;=01_因子設定!$M$6+0.000000001,IF(01_因子設定!$B$20="Box-Behnken",C310^2+D310^2&lt;=2+0.000000001,TRUE()))</f>
        <v>1</v>
      </c>
      <c r="Q310" s="55" t="n">
        <f aca="false">IF(P310,IF(01_因子設定!$B$13="最大化",N310-01_因子設定!$B$14,IF(01_因子設定!$B$13="最小化",01_因子設定!$B$15-O310,MIN(N310-01_因子設定!$B$14,01_因子設定!$B$15-O310))),-1E+030)</f>
        <v>-2.68244101528664</v>
      </c>
      <c r="R310" s="55" t="n">
        <f aca="false">IF(P310,IF(01_因子設定!$B$13="最大化",K310,IF(01_因子設定!$B$13="最小化",-K310,-ABS(K310-01_因子設定!$B$16))),-1E+030)</f>
        <v>45.3140718390805</v>
      </c>
      <c r="S310" s="55" t="n">
        <f aca="false">Q310+ROW()*0.000000001</f>
        <v>-2.68244070528664</v>
      </c>
      <c r="T310" s="55" t="n">
        <f aca="false">R310+ROW()*0.000000001</f>
        <v>45.3140721490804</v>
      </c>
    </row>
    <row r="311" customFormat="false" ht="15" hidden="false" customHeight="false" outlineLevel="0" collapsed="false">
      <c r="A311" s="0" t="n">
        <v>7</v>
      </c>
      <c r="B311" s="0" t="n">
        <v>19</v>
      </c>
      <c r="C311" s="0" t="n">
        <f aca="false">-1+A311*0.05</f>
        <v>-0.65</v>
      </c>
      <c r="D311" s="0" t="n">
        <f aca="false">-1+B311*0.05</f>
        <v>-0.0499999999999999</v>
      </c>
      <c r="E311" s="0" t="n">
        <f aca="false">1</f>
        <v>1</v>
      </c>
      <c r="F311" s="0" t="n">
        <f aca="false">C311</f>
        <v>-0.65</v>
      </c>
      <c r="G311" s="0" t="n">
        <f aca="false">D311</f>
        <v>-0.0499999999999999</v>
      </c>
      <c r="H311" s="0" t="n">
        <f aca="false">C311*D311</f>
        <v>0.0325</v>
      </c>
      <c r="I311" s="0" t="n">
        <f aca="false">C311*C311</f>
        <v>0.4225</v>
      </c>
      <c r="J311" s="0" t="n">
        <f aca="false">D311*D311</f>
        <v>0.00249999999999999</v>
      </c>
      <c r="K311" s="0" t="n">
        <f aca="false">SUMPRODUCT(E311:J311,_XtX!$B$53:$G$53)</f>
        <v>45.4210826149425</v>
      </c>
      <c r="L311" s="0" t="n">
        <f aca="false">SUMPRODUCT(MMULT(E311:J311,_XtX!$B$44:$G$49),E311:J311)</f>
        <v>0.219922611350575</v>
      </c>
      <c r="M311" s="0" t="n">
        <f aca="false">04_回帰ANOVA!$K$19*04_回帰ANOVA!$K$14*SQRT(1+L311)</f>
        <v>1.49672741260948</v>
      </c>
      <c r="N311" s="0" t="n">
        <f aca="false">K311-M311</f>
        <v>43.9243552023331</v>
      </c>
      <c r="O311" s="0" t="n">
        <f aca="false">K311+M311</f>
        <v>46.917810027552</v>
      </c>
      <c r="P311" s="54" t="b">
        <f aca="false">AND(C311&gt;=01_因子設定!$L$5-0.000000001,C311&lt;=01_因子設定!$M$5+0.000000001,D311&gt;=01_因子設定!$L$6-0.000000001,D311&lt;=01_因子設定!$M$6+0.000000001,IF(01_因子設定!$B$20="Box-Behnken",C311^2+D311^2&lt;=2+0.000000001,TRUE()))</f>
        <v>1</v>
      </c>
      <c r="Q311" s="55" t="n">
        <f aca="false">IF(P311,IF(01_因子設定!$B$13="最大化",N311-01_因子設定!$B$14,IF(01_因子設定!$B$13="最小化",01_因子設定!$B$15-O311,MIN(N311-01_因子設定!$B$14,01_因子設定!$B$15-O311))),-1E+030)</f>
        <v>-2.57564479766695</v>
      </c>
      <c r="R311" s="55" t="n">
        <f aca="false">IF(P311,IF(01_因子設定!$B$13="最大化",K311,IF(01_因子設定!$B$13="最小化",-K311,-ABS(K311-01_因子設定!$B$16))),-1E+030)</f>
        <v>45.4210826149425</v>
      </c>
      <c r="S311" s="55" t="n">
        <f aca="false">Q311+ROW()*0.000000001</f>
        <v>-2.57564448666695</v>
      </c>
      <c r="T311" s="55" t="n">
        <f aca="false">R311+ROW()*0.000000001</f>
        <v>45.4210829259425</v>
      </c>
    </row>
    <row r="312" customFormat="false" ht="15" hidden="false" customHeight="false" outlineLevel="0" collapsed="false">
      <c r="A312" s="0" t="n">
        <v>7</v>
      </c>
      <c r="B312" s="0" t="n">
        <v>20</v>
      </c>
      <c r="C312" s="0" t="n">
        <f aca="false">-1+A312*0.05</f>
        <v>-0.65</v>
      </c>
      <c r="D312" s="0" t="n">
        <f aca="false">-1+B312*0.05</f>
        <v>0</v>
      </c>
      <c r="E312" s="0" t="n">
        <f aca="false">1</f>
        <v>1</v>
      </c>
      <c r="F312" s="0" t="n">
        <f aca="false">C312</f>
        <v>-0.65</v>
      </c>
      <c r="G312" s="0" t="n">
        <f aca="false">D312</f>
        <v>0</v>
      </c>
      <c r="H312" s="0" t="n">
        <f aca="false">C312*D312</f>
        <v>-0</v>
      </c>
      <c r="I312" s="0" t="n">
        <f aca="false">C312*C312</f>
        <v>0.4225</v>
      </c>
      <c r="J312" s="0" t="n">
        <f aca="false">D312*D312</f>
        <v>0</v>
      </c>
      <c r="K312" s="0" t="n">
        <f aca="false">SUMPRODUCT(E312:J312,_XtX!$B$53:$G$53)</f>
        <v>45.5203778735632</v>
      </c>
      <c r="L312" s="0" t="n">
        <f aca="false">SUMPRODUCT(MMULT(E312:J312,_XtX!$B$44:$G$49),E312:J312)</f>
        <v>0.220048239942529</v>
      </c>
      <c r="M312" s="0" t="n">
        <f aca="false">04_回帰ANOVA!$K$19*04_回帰ANOVA!$K$14*SQRT(1+L312)</f>
        <v>1.49680447770974</v>
      </c>
      <c r="N312" s="0" t="n">
        <f aca="false">K312-M312</f>
        <v>44.0235733958535</v>
      </c>
      <c r="O312" s="0" t="n">
        <f aca="false">K312+M312</f>
        <v>47.017182351273</v>
      </c>
      <c r="P312" s="54" t="b">
        <f aca="false">AND(C312&gt;=01_因子設定!$L$5-0.000000001,C312&lt;=01_因子設定!$M$5+0.000000001,D312&gt;=01_因子設定!$L$6-0.000000001,D312&lt;=01_因子設定!$M$6+0.000000001,IF(01_因子設定!$B$20="Box-Behnken",C312^2+D312^2&lt;=2+0.000000001,TRUE()))</f>
        <v>1</v>
      </c>
      <c r="Q312" s="55" t="n">
        <f aca="false">IF(P312,IF(01_因子設定!$B$13="最大化",N312-01_因子設定!$B$14,IF(01_因子設定!$B$13="最小化",01_因子設定!$B$15-O312,MIN(N312-01_因子設定!$B$14,01_因子設定!$B$15-O312))),-1E+030)</f>
        <v>-2.47642660414654</v>
      </c>
      <c r="R312" s="55" t="n">
        <f aca="false">IF(P312,IF(01_因子設定!$B$13="最大化",K312,IF(01_因子設定!$B$13="最小化",-K312,-ABS(K312-01_因子設定!$B$16))),-1E+030)</f>
        <v>45.5203778735632</v>
      </c>
      <c r="S312" s="55" t="n">
        <f aca="false">Q312+ROW()*0.000000001</f>
        <v>-2.47642629214654</v>
      </c>
      <c r="T312" s="55" t="n">
        <f aca="false">R312+ROW()*0.000000001</f>
        <v>45.5203781855632</v>
      </c>
    </row>
    <row r="313" customFormat="false" ht="15" hidden="false" customHeight="false" outlineLevel="0" collapsed="false">
      <c r="A313" s="0" t="n">
        <v>7</v>
      </c>
      <c r="B313" s="0" t="n">
        <v>21</v>
      </c>
      <c r="C313" s="0" t="n">
        <f aca="false">-1+A313*0.05</f>
        <v>-0.65</v>
      </c>
      <c r="D313" s="0" t="n">
        <f aca="false">-1+B313*0.05</f>
        <v>0.05</v>
      </c>
      <c r="E313" s="0" t="n">
        <f aca="false">1</f>
        <v>1</v>
      </c>
      <c r="F313" s="0" t="n">
        <f aca="false">C313</f>
        <v>-0.65</v>
      </c>
      <c r="G313" s="0" t="n">
        <f aca="false">D313</f>
        <v>0.05</v>
      </c>
      <c r="H313" s="0" t="n">
        <f aca="false">C313*D313</f>
        <v>-0.0325</v>
      </c>
      <c r="I313" s="0" t="n">
        <f aca="false">C313*C313</f>
        <v>0.4225</v>
      </c>
      <c r="J313" s="0" t="n">
        <f aca="false">D313*D313</f>
        <v>0.0025</v>
      </c>
      <c r="K313" s="0" t="n">
        <f aca="false">SUMPRODUCT(E313:J313,_XtX!$B$53:$G$53)</f>
        <v>45.6119576149425</v>
      </c>
      <c r="L313" s="0" t="n">
        <f aca="false">SUMPRODUCT(MMULT(E313:J313,_XtX!$B$44:$G$49),E313:J313)</f>
        <v>0.219922611350575</v>
      </c>
      <c r="M313" s="0" t="n">
        <f aca="false">04_回帰ANOVA!$K$19*04_回帰ANOVA!$K$14*SQRT(1+L313)</f>
        <v>1.49672741260948</v>
      </c>
      <c r="N313" s="0" t="n">
        <f aca="false">K313-M313</f>
        <v>44.115230202333</v>
      </c>
      <c r="O313" s="0" t="n">
        <f aca="false">K313+M313</f>
        <v>47.108685027552</v>
      </c>
      <c r="P313" s="54" t="b">
        <f aca="false">AND(C313&gt;=01_因子設定!$L$5-0.000000001,C313&lt;=01_因子設定!$M$5+0.000000001,D313&gt;=01_因子設定!$L$6-0.000000001,D313&lt;=01_因子設定!$M$6+0.000000001,IF(01_因子設定!$B$20="Box-Behnken",C313^2+D313^2&lt;=2+0.000000001,TRUE()))</f>
        <v>1</v>
      </c>
      <c r="Q313" s="55" t="n">
        <f aca="false">IF(P313,IF(01_因子設定!$B$13="最大化",N313-01_因子設定!$B$14,IF(01_因子設定!$B$13="最小化",01_因子設定!$B$15-O313,MIN(N313-01_因子設定!$B$14,01_因子設定!$B$15-O313))),-1E+030)</f>
        <v>-2.38476979766696</v>
      </c>
      <c r="R313" s="55" t="n">
        <f aca="false">IF(P313,IF(01_因子設定!$B$13="最大化",K313,IF(01_因子設定!$B$13="最小化",-K313,-ABS(K313-01_因子設定!$B$16))),-1E+030)</f>
        <v>45.6119576149425</v>
      </c>
      <c r="S313" s="55" t="n">
        <f aca="false">Q313+ROW()*0.000000001</f>
        <v>-2.38476948466696</v>
      </c>
      <c r="T313" s="55" t="n">
        <f aca="false">R313+ROW()*0.000000001</f>
        <v>45.6119579279425</v>
      </c>
    </row>
    <row r="314" customFormat="false" ht="15" hidden="false" customHeight="false" outlineLevel="0" collapsed="false">
      <c r="A314" s="0" t="n">
        <v>7</v>
      </c>
      <c r="B314" s="0" t="n">
        <v>22</v>
      </c>
      <c r="C314" s="0" t="n">
        <f aca="false">-1+A314*0.05</f>
        <v>-0.65</v>
      </c>
      <c r="D314" s="0" t="n">
        <f aca="false">-1+B314*0.05</f>
        <v>0.1</v>
      </c>
      <c r="E314" s="0" t="n">
        <f aca="false">1</f>
        <v>1</v>
      </c>
      <c r="F314" s="0" t="n">
        <f aca="false">C314</f>
        <v>-0.65</v>
      </c>
      <c r="G314" s="0" t="n">
        <f aca="false">D314</f>
        <v>0.1</v>
      </c>
      <c r="H314" s="0" t="n">
        <f aca="false">C314*D314</f>
        <v>-0.065</v>
      </c>
      <c r="I314" s="0" t="n">
        <f aca="false">C314*C314</f>
        <v>0.4225</v>
      </c>
      <c r="J314" s="0" t="n">
        <f aca="false">D314*D314</f>
        <v>0.01</v>
      </c>
      <c r="K314" s="0" t="n">
        <f aca="false">SUMPRODUCT(E314:J314,_XtX!$B$53:$G$53)</f>
        <v>45.6958218390805</v>
      </c>
      <c r="L314" s="0" t="n">
        <f aca="false">SUMPRODUCT(MMULT(E314:J314,_XtX!$B$44:$G$49),E314:J314)</f>
        <v>0.219572880747126</v>
      </c>
      <c r="M314" s="0" t="n">
        <f aca="false">04_回帰ANOVA!$K$19*04_回帰ANOVA!$K$14*SQRT(1+L314)</f>
        <v>1.49651285436709</v>
      </c>
      <c r="N314" s="0" t="n">
        <f aca="false">K314-M314</f>
        <v>44.1993089847134</v>
      </c>
      <c r="O314" s="0" t="n">
        <f aca="false">K314+M314</f>
        <v>47.1923346934475</v>
      </c>
      <c r="P314" s="54" t="b">
        <f aca="false">AND(C314&gt;=01_因子設定!$L$5-0.000000001,C314&lt;=01_因子設定!$M$5+0.000000001,D314&gt;=01_因子設定!$L$6-0.000000001,D314&lt;=01_因子設定!$M$6+0.000000001,IF(01_因子設定!$B$20="Box-Behnken",C314^2+D314^2&lt;=2+0.000000001,TRUE()))</f>
        <v>1</v>
      </c>
      <c r="Q314" s="55" t="n">
        <f aca="false">IF(P314,IF(01_因子設定!$B$13="最大化",N314-01_因子設定!$B$14,IF(01_因子設定!$B$13="最小化",01_因子設定!$B$15-O314,MIN(N314-01_因子設定!$B$14,01_因子設定!$B$15-O314))),-1E+030)</f>
        <v>-2.30069101528663</v>
      </c>
      <c r="R314" s="55" t="n">
        <f aca="false">IF(P314,IF(01_因子設定!$B$13="最大化",K314,IF(01_因子設定!$B$13="最小化",-K314,-ABS(K314-01_因子設定!$B$16))),-1E+030)</f>
        <v>45.6958218390805</v>
      </c>
      <c r="S314" s="55" t="n">
        <f aca="false">Q314+ROW()*0.000000001</f>
        <v>-2.30069070128663</v>
      </c>
      <c r="T314" s="55" t="n">
        <f aca="false">R314+ROW()*0.000000001</f>
        <v>45.6958221530805</v>
      </c>
    </row>
    <row r="315" customFormat="false" ht="15" hidden="false" customHeight="false" outlineLevel="0" collapsed="false">
      <c r="A315" s="0" t="n">
        <v>7</v>
      </c>
      <c r="B315" s="0" t="n">
        <v>23</v>
      </c>
      <c r="C315" s="0" t="n">
        <f aca="false">-1+A315*0.05</f>
        <v>-0.65</v>
      </c>
      <c r="D315" s="0" t="n">
        <f aca="false">-1+B315*0.05</f>
        <v>0.15</v>
      </c>
      <c r="E315" s="0" t="n">
        <f aca="false">1</f>
        <v>1</v>
      </c>
      <c r="F315" s="0" t="n">
        <f aca="false">C315</f>
        <v>-0.65</v>
      </c>
      <c r="G315" s="0" t="n">
        <f aca="false">D315</f>
        <v>0.15</v>
      </c>
      <c r="H315" s="0" t="n">
        <f aca="false">C315*D315</f>
        <v>-0.0975000000000001</v>
      </c>
      <c r="I315" s="0" t="n">
        <f aca="false">C315*C315</f>
        <v>0.4225</v>
      </c>
      <c r="J315" s="0" t="n">
        <f aca="false">D315*D315</f>
        <v>0.0225</v>
      </c>
      <c r="K315" s="0" t="n">
        <f aca="false">SUMPRODUCT(E315:J315,_XtX!$B$53:$G$53)</f>
        <v>45.771970545977</v>
      </c>
      <c r="L315" s="0" t="n">
        <f aca="false">SUMPRODUCT(MMULT(E315:J315,_XtX!$B$44:$G$49),E315:J315)</f>
        <v>0.219080513649425</v>
      </c>
      <c r="M315" s="0" t="n">
        <f aca="false">04_回帰ANOVA!$K$19*04_回帰ANOVA!$K$14*SQRT(1+L315)</f>
        <v>1.49621073709053</v>
      </c>
      <c r="N315" s="0" t="n">
        <f aca="false">K315-M315</f>
        <v>44.2757598088865</v>
      </c>
      <c r="O315" s="0" t="n">
        <f aca="false">K315+M315</f>
        <v>47.2681812830675</v>
      </c>
      <c r="P315" s="54" t="b">
        <f aca="false">AND(C315&gt;=01_因子設定!$L$5-0.000000001,C315&lt;=01_因子設定!$M$5+0.000000001,D315&gt;=01_因子設定!$L$6-0.000000001,D315&lt;=01_因子設定!$M$6+0.000000001,IF(01_因子設定!$B$20="Box-Behnken",C315^2+D315^2&lt;=2+0.000000001,TRUE()))</f>
        <v>1</v>
      </c>
      <c r="Q315" s="55" t="n">
        <f aca="false">IF(P315,IF(01_因子設定!$B$13="最大化",N315-01_因子設定!$B$14,IF(01_因子設定!$B$13="最小化",01_因子設定!$B$15-O315,MIN(N315-01_因子設定!$B$14,01_因子設定!$B$15-O315))),-1E+030)</f>
        <v>-2.22424019111353</v>
      </c>
      <c r="R315" s="55" t="n">
        <f aca="false">IF(P315,IF(01_因子設定!$B$13="最大化",K315,IF(01_因子設定!$B$13="最小化",-K315,-ABS(K315-01_因子設定!$B$16))),-1E+030)</f>
        <v>45.771970545977</v>
      </c>
      <c r="S315" s="55" t="n">
        <f aca="false">Q315+ROW()*0.000000001</f>
        <v>-2.22423987611353</v>
      </c>
      <c r="T315" s="55" t="n">
        <f aca="false">R315+ROW()*0.000000001</f>
        <v>45.771970860977</v>
      </c>
    </row>
    <row r="316" customFormat="false" ht="15" hidden="false" customHeight="false" outlineLevel="0" collapsed="false">
      <c r="A316" s="0" t="n">
        <v>7</v>
      </c>
      <c r="B316" s="0" t="n">
        <v>24</v>
      </c>
      <c r="C316" s="0" t="n">
        <f aca="false">-1+A316*0.05</f>
        <v>-0.65</v>
      </c>
      <c r="D316" s="0" t="n">
        <f aca="false">-1+B316*0.05</f>
        <v>0.2</v>
      </c>
      <c r="E316" s="0" t="n">
        <f aca="false">1</f>
        <v>1</v>
      </c>
      <c r="F316" s="0" t="n">
        <f aca="false">C316</f>
        <v>-0.65</v>
      </c>
      <c r="G316" s="0" t="n">
        <f aca="false">D316</f>
        <v>0.2</v>
      </c>
      <c r="H316" s="0" t="n">
        <f aca="false">C316*D316</f>
        <v>-0.13</v>
      </c>
      <c r="I316" s="0" t="n">
        <f aca="false">C316*C316</f>
        <v>0.4225</v>
      </c>
      <c r="J316" s="0" t="n">
        <f aca="false">D316*D316</f>
        <v>0.0400000000000001</v>
      </c>
      <c r="K316" s="0" t="n">
        <f aca="false">SUMPRODUCT(E316:J316,_XtX!$B$53:$G$53)</f>
        <v>45.8404037356322</v>
      </c>
      <c r="L316" s="0" t="n">
        <f aca="false">SUMPRODUCT(MMULT(E316:J316,_XtX!$B$44:$G$49),E316:J316)</f>
        <v>0.21858128591954</v>
      </c>
      <c r="M316" s="0" t="n">
        <f aca="false">04_回帰ANOVA!$K$19*04_回帰ANOVA!$K$14*SQRT(1+L316)</f>
        <v>1.49590434782083</v>
      </c>
      <c r="N316" s="0" t="n">
        <f aca="false">K316-M316</f>
        <v>44.3444993878113</v>
      </c>
      <c r="O316" s="0" t="n">
        <f aca="false">K316+M316</f>
        <v>47.336308083453</v>
      </c>
      <c r="P316" s="54" t="b">
        <f aca="false">AND(C316&gt;=01_因子設定!$L$5-0.000000001,C316&lt;=01_因子設定!$M$5+0.000000001,D316&gt;=01_因子設定!$L$6-0.000000001,D316&lt;=01_因子設定!$M$6+0.000000001,IF(01_因子設定!$B$20="Box-Behnken",C316^2+D316^2&lt;=2+0.000000001,TRUE()))</f>
        <v>1</v>
      </c>
      <c r="Q316" s="55" t="n">
        <f aca="false">IF(P316,IF(01_因子設定!$B$13="最大化",N316-01_因子設定!$B$14,IF(01_因子設定!$B$13="最小化",01_因子設定!$B$15-O316,MIN(N316-01_因子設定!$B$14,01_因子設定!$B$15-O316))),-1E+030)</f>
        <v>-2.15550061218866</v>
      </c>
      <c r="R316" s="55" t="n">
        <f aca="false">IF(P316,IF(01_因子設定!$B$13="最大化",K316,IF(01_因子設定!$B$13="最小化",-K316,-ABS(K316-01_因子設定!$B$16))),-1E+030)</f>
        <v>45.8404037356322</v>
      </c>
      <c r="S316" s="55" t="n">
        <f aca="false">Q316+ROW()*0.000000001</f>
        <v>-2.15550029618866</v>
      </c>
      <c r="T316" s="55" t="n">
        <f aca="false">R316+ROW()*0.000000001</f>
        <v>45.8404040516322</v>
      </c>
    </row>
    <row r="317" customFormat="false" ht="15" hidden="false" customHeight="false" outlineLevel="0" collapsed="false">
      <c r="A317" s="0" t="n">
        <v>7</v>
      </c>
      <c r="B317" s="0" t="n">
        <v>25</v>
      </c>
      <c r="C317" s="0" t="n">
        <f aca="false">-1+A317*0.05</f>
        <v>-0.65</v>
      </c>
      <c r="D317" s="0" t="n">
        <f aca="false">-1+B317*0.05</f>
        <v>0.25</v>
      </c>
      <c r="E317" s="0" t="n">
        <f aca="false">1</f>
        <v>1</v>
      </c>
      <c r="F317" s="0" t="n">
        <f aca="false">C317</f>
        <v>-0.65</v>
      </c>
      <c r="G317" s="0" t="n">
        <f aca="false">D317</f>
        <v>0.25</v>
      </c>
      <c r="H317" s="0" t="n">
        <f aca="false">C317*D317</f>
        <v>-0.1625</v>
      </c>
      <c r="I317" s="0" t="n">
        <f aca="false">C317*C317</f>
        <v>0.4225</v>
      </c>
      <c r="J317" s="0" t="n">
        <f aca="false">D317*D317</f>
        <v>0.0625</v>
      </c>
      <c r="K317" s="0" t="n">
        <f aca="false">SUMPRODUCT(E317:J317,_XtX!$B$53:$G$53)</f>
        <v>45.901121408046</v>
      </c>
      <c r="L317" s="0" t="n">
        <f aca="false">SUMPRODUCT(MMULT(E317:J317,_XtX!$B$44:$G$49),E317:J317)</f>
        <v>0.218265283764368</v>
      </c>
      <c r="M317" s="0" t="n">
        <f aca="false">04_回帰ANOVA!$K$19*04_回帰ANOVA!$K$14*SQRT(1+L317)</f>
        <v>1.49571037649821</v>
      </c>
      <c r="N317" s="0" t="n">
        <f aca="false">K317-M317</f>
        <v>44.4054110315478</v>
      </c>
      <c r="O317" s="0" t="n">
        <f aca="false">K317+M317</f>
        <v>47.3968317845442</v>
      </c>
      <c r="P317" s="54" t="b">
        <f aca="false">AND(C317&gt;=01_因子設定!$L$5-0.000000001,C317&lt;=01_因子設定!$M$5+0.000000001,D317&gt;=01_因子設定!$L$6-0.000000001,D317&lt;=01_因子設定!$M$6+0.000000001,IF(01_因子設定!$B$20="Box-Behnken",C317^2+D317^2&lt;=2+0.000000001,TRUE()))</f>
        <v>1</v>
      </c>
      <c r="Q317" s="55" t="n">
        <f aca="false">IF(P317,IF(01_因子設定!$B$13="最大化",N317-01_因子設定!$B$14,IF(01_因子設定!$B$13="最小化",01_因子設定!$B$15-O317,MIN(N317-01_因子設定!$B$14,01_因子設定!$B$15-O317))),-1E+030)</f>
        <v>-2.09458896845224</v>
      </c>
      <c r="R317" s="55" t="n">
        <f aca="false">IF(P317,IF(01_因子設定!$B$13="最大化",K317,IF(01_因子設定!$B$13="最小化",-K317,-ABS(K317-01_因子設定!$B$16))),-1E+030)</f>
        <v>45.901121408046</v>
      </c>
      <c r="S317" s="55" t="n">
        <f aca="false">Q317+ROW()*0.000000001</f>
        <v>-2.09458865145224</v>
      </c>
      <c r="T317" s="55" t="n">
        <f aca="false">R317+ROW()*0.000000001</f>
        <v>45.901121725046</v>
      </c>
    </row>
    <row r="318" customFormat="false" ht="15" hidden="false" customHeight="false" outlineLevel="0" collapsed="false">
      <c r="A318" s="0" t="n">
        <v>7</v>
      </c>
      <c r="B318" s="0" t="n">
        <v>26</v>
      </c>
      <c r="C318" s="0" t="n">
        <f aca="false">-1+A318*0.05</f>
        <v>-0.65</v>
      </c>
      <c r="D318" s="0" t="n">
        <f aca="false">-1+B318*0.05</f>
        <v>0.3</v>
      </c>
      <c r="E318" s="0" t="n">
        <f aca="false">1</f>
        <v>1</v>
      </c>
      <c r="F318" s="0" t="n">
        <f aca="false">C318</f>
        <v>-0.65</v>
      </c>
      <c r="G318" s="0" t="n">
        <f aca="false">D318</f>
        <v>0.3</v>
      </c>
      <c r="H318" s="0" t="n">
        <f aca="false">C318*D318</f>
        <v>-0.195</v>
      </c>
      <c r="I318" s="0" t="n">
        <f aca="false">C318*C318</f>
        <v>0.4225</v>
      </c>
      <c r="J318" s="0" t="n">
        <f aca="false">D318*D318</f>
        <v>0.09</v>
      </c>
      <c r="K318" s="0" t="n">
        <f aca="false">SUMPRODUCT(E318:J318,_XtX!$B$53:$G$53)</f>
        <v>45.9541235632184</v>
      </c>
      <c r="L318" s="0" t="n">
        <f aca="false">SUMPRODUCT(MMULT(E318:J318,_XtX!$B$44:$G$49),E318:J318)</f>
        <v>0.218376903735632</v>
      </c>
      <c r="M318" s="0" t="n">
        <f aca="false">04_回帰ANOVA!$K$19*04_回帰ANOVA!$K$14*SQRT(1+L318)</f>
        <v>1.49577889495948</v>
      </c>
      <c r="N318" s="0" t="n">
        <f aca="false">K318-M318</f>
        <v>44.4583446682589</v>
      </c>
      <c r="O318" s="0" t="n">
        <f aca="false">K318+M318</f>
        <v>47.4499024581779</v>
      </c>
      <c r="P318" s="54" t="b">
        <f aca="false">AND(C318&gt;=01_因子設定!$L$5-0.000000001,C318&lt;=01_因子設定!$M$5+0.000000001,D318&gt;=01_因子設定!$L$6-0.000000001,D318&lt;=01_因子設定!$M$6+0.000000001,IF(01_因子設定!$B$20="Box-Behnken",C318^2+D318^2&lt;=2+0.000000001,TRUE()))</f>
        <v>1</v>
      </c>
      <c r="Q318" s="55" t="n">
        <f aca="false">IF(P318,IF(01_因子設定!$B$13="最大化",N318-01_因子設定!$B$14,IF(01_因子設定!$B$13="最小化",01_因子設定!$B$15-O318,MIN(N318-01_因子設定!$B$14,01_因子設定!$B$15-O318))),-1E+030)</f>
        <v>-2.0416553317411</v>
      </c>
      <c r="R318" s="55" t="n">
        <f aca="false">IF(P318,IF(01_因子設定!$B$13="最大化",K318,IF(01_因子設定!$B$13="最小化",-K318,-ABS(K318-01_因子設定!$B$16))),-1E+030)</f>
        <v>45.9541235632184</v>
      </c>
      <c r="S318" s="55" t="n">
        <f aca="false">Q318+ROW()*0.000000001</f>
        <v>-2.0416550137411</v>
      </c>
      <c r="T318" s="55" t="n">
        <f aca="false">R318+ROW()*0.000000001</f>
        <v>45.9541238812184</v>
      </c>
    </row>
    <row r="319" customFormat="false" ht="15" hidden="false" customHeight="false" outlineLevel="0" collapsed="false">
      <c r="A319" s="0" t="n">
        <v>7</v>
      </c>
      <c r="B319" s="0" t="n">
        <v>27</v>
      </c>
      <c r="C319" s="0" t="n">
        <f aca="false">-1+A319*0.05</f>
        <v>-0.65</v>
      </c>
      <c r="D319" s="0" t="n">
        <f aca="false">-1+B319*0.05</f>
        <v>0.35</v>
      </c>
      <c r="E319" s="0" t="n">
        <f aca="false">1</f>
        <v>1</v>
      </c>
      <c r="F319" s="0" t="n">
        <f aca="false">C319</f>
        <v>-0.65</v>
      </c>
      <c r="G319" s="0" t="n">
        <f aca="false">D319</f>
        <v>0.35</v>
      </c>
      <c r="H319" s="0" t="n">
        <f aca="false">C319*D319</f>
        <v>-0.2275</v>
      </c>
      <c r="I319" s="0" t="n">
        <f aca="false">C319*C319</f>
        <v>0.4225</v>
      </c>
      <c r="J319" s="0" t="n">
        <f aca="false">D319*D319</f>
        <v>0.1225</v>
      </c>
      <c r="K319" s="0" t="n">
        <f aca="false">SUMPRODUCT(E319:J319,_XtX!$B$53:$G$53)</f>
        <v>45.9994102011494</v>
      </c>
      <c r="L319" s="0" t="n">
        <f aca="false">SUMPRODUCT(MMULT(E319:J319,_XtX!$B$44:$G$49),E319:J319)</f>
        <v>0.219214852729885</v>
      </c>
      <c r="M319" s="0" t="n">
        <f aca="false">04_回帰ANOVA!$K$19*04_回帰ANOVA!$K$14*SQRT(1+L319)</f>
        <v>1.49629317382676</v>
      </c>
      <c r="N319" s="0" t="n">
        <f aca="false">K319-M319</f>
        <v>44.5031170273227</v>
      </c>
      <c r="O319" s="0" t="n">
        <f aca="false">K319+M319</f>
        <v>47.4957033749762</v>
      </c>
      <c r="P319" s="54" t="b">
        <f aca="false">AND(C319&gt;=01_因子設定!$L$5-0.000000001,C319&lt;=01_因子設定!$M$5+0.000000001,D319&gt;=01_因子設定!$L$6-0.000000001,D319&lt;=01_因子設定!$M$6+0.000000001,IF(01_因子設定!$B$20="Box-Behnken",C319^2+D319^2&lt;=2+0.000000001,TRUE()))</f>
        <v>1</v>
      </c>
      <c r="Q319" s="55" t="n">
        <f aca="false">IF(P319,IF(01_因子設定!$B$13="最大化",N319-01_因子設定!$B$14,IF(01_因子設定!$B$13="最小化",01_因子設定!$B$15-O319,MIN(N319-01_因子設定!$B$14,01_因子設定!$B$15-O319))),-1E+030)</f>
        <v>-1.99688297267735</v>
      </c>
      <c r="R319" s="55" t="n">
        <f aca="false">IF(P319,IF(01_因子設定!$B$13="最大化",K319,IF(01_因子設定!$B$13="最小化",-K319,-ABS(K319-01_因子設定!$B$16))),-1E+030)</f>
        <v>45.9994102011494</v>
      </c>
      <c r="S319" s="55" t="n">
        <f aca="false">Q319+ROW()*0.000000001</f>
        <v>-1.99688265367735</v>
      </c>
      <c r="T319" s="55" t="n">
        <f aca="false">R319+ROW()*0.000000001</f>
        <v>45.9994105201494</v>
      </c>
    </row>
    <row r="320" customFormat="false" ht="15" hidden="false" customHeight="false" outlineLevel="0" collapsed="false">
      <c r="A320" s="0" t="n">
        <v>7</v>
      </c>
      <c r="B320" s="0" t="n">
        <v>28</v>
      </c>
      <c r="C320" s="0" t="n">
        <f aca="false">-1+A320*0.05</f>
        <v>-0.65</v>
      </c>
      <c r="D320" s="0" t="n">
        <f aca="false">-1+B320*0.05</f>
        <v>0.4</v>
      </c>
      <c r="E320" s="0" t="n">
        <f aca="false">1</f>
        <v>1</v>
      </c>
      <c r="F320" s="0" t="n">
        <f aca="false">C320</f>
        <v>-0.65</v>
      </c>
      <c r="G320" s="0" t="n">
        <f aca="false">D320</f>
        <v>0.4</v>
      </c>
      <c r="H320" s="0" t="n">
        <f aca="false">C320*D320</f>
        <v>-0.26</v>
      </c>
      <c r="I320" s="0" t="n">
        <f aca="false">C320*C320</f>
        <v>0.4225</v>
      </c>
      <c r="J320" s="0" t="n">
        <f aca="false">D320*D320</f>
        <v>0.16</v>
      </c>
      <c r="K320" s="0" t="n">
        <f aca="false">SUMPRODUCT(E320:J320,_XtX!$B$53:$G$53)</f>
        <v>46.0369813218391</v>
      </c>
      <c r="L320" s="0" t="n">
        <f aca="false">SUMPRODUCT(MMULT(E320:J320,_XtX!$B$44:$G$49),E320:J320)</f>
        <v>0.221132147988506</v>
      </c>
      <c r="M320" s="0" t="n">
        <f aca="false">04_回帰ANOVA!$K$19*04_回帰ANOVA!$K$14*SQRT(1+L320)</f>
        <v>1.4974692211941</v>
      </c>
      <c r="N320" s="0" t="n">
        <f aca="false">K320-M320</f>
        <v>44.539512100645</v>
      </c>
      <c r="O320" s="0" t="n">
        <f aca="false">K320+M320</f>
        <v>47.5344505430332</v>
      </c>
      <c r="P320" s="54" t="b">
        <f aca="false">AND(C320&gt;=01_因子設定!$L$5-0.000000001,C320&lt;=01_因子設定!$M$5+0.000000001,D320&gt;=01_因子設定!$L$6-0.000000001,D320&lt;=01_因子設定!$M$6+0.000000001,IF(01_因子設定!$B$20="Box-Behnken",C320^2+D320^2&lt;=2+0.000000001,TRUE()))</f>
        <v>1</v>
      </c>
      <c r="Q320" s="55" t="n">
        <f aca="false">IF(P320,IF(01_因子設定!$B$13="最大化",N320-01_因子設定!$B$14,IF(01_因子設定!$B$13="最小化",01_因子設定!$B$15-O320,MIN(N320-01_因子設定!$B$14,01_因子設定!$B$15-O320))),-1E+030)</f>
        <v>-1.96048789935503</v>
      </c>
      <c r="R320" s="55" t="n">
        <f aca="false">IF(P320,IF(01_因子設定!$B$13="最大化",K320,IF(01_因子設定!$B$13="最小化",-K320,-ABS(K320-01_因子設定!$B$16))),-1E+030)</f>
        <v>46.0369813218391</v>
      </c>
      <c r="S320" s="55" t="n">
        <f aca="false">Q320+ROW()*0.000000001</f>
        <v>-1.96048757935503</v>
      </c>
      <c r="T320" s="55" t="n">
        <f aca="false">R320+ROW()*0.000000001</f>
        <v>46.0369816418391</v>
      </c>
    </row>
    <row r="321" customFormat="false" ht="15" hidden="false" customHeight="false" outlineLevel="0" collapsed="false">
      <c r="A321" s="0" t="n">
        <v>7</v>
      </c>
      <c r="B321" s="0" t="n">
        <v>29</v>
      </c>
      <c r="C321" s="0" t="n">
        <f aca="false">-1+A321*0.05</f>
        <v>-0.65</v>
      </c>
      <c r="D321" s="0" t="n">
        <f aca="false">-1+B321*0.05</f>
        <v>0.45</v>
      </c>
      <c r="E321" s="0" t="n">
        <f aca="false">1</f>
        <v>1</v>
      </c>
      <c r="F321" s="0" t="n">
        <f aca="false">C321</f>
        <v>-0.65</v>
      </c>
      <c r="G321" s="0" t="n">
        <f aca="false">D321</f>
        <v>0.45</v>
      </c>
      <c r="H321" s="0" t="n">
        <f aca="false">C321*D321</f>
        <v>-0.2925</v>
      </c>
      <c r="I321" s="0" t="n">
        <f aca="false">C321*C321</f>
        <v>0.4225</v>
      </c>
      <c r="J321" s="0" t="n">
        <f aca="false">D321*D321</f>
        <v>0.2025</v>
      </c>
      <c r="K321" s="0" t="n">
        <f aca="false">SUMPRODUCT(E321:J321,_XtX!$B$53:$G$53)</f>
        <v>46.0668369252874</v>
      </c>
      <c r="L321" s="0" t="n">
        <f aca="false">SUMPRODUCT(MMULT(E321:J321,_XtX!$B$44:$G$49),E321:J321)</f>
        <v>0.224536117097701</v>
      </c>
      <c r="M321" s="0" t="n">
        <f aca="false">04_回帰ANOVA!$K$19*04_回帰ANOVA!$K$14*SQRT(1+L321)</f>
        <v>1.49955490522416</v>
      </c>
      <c r="N321" s="0" t="n">
        <f aca="false">K321-M321</f>
        <v>44.5672820200632</v>
      </c>
      <c r="O321" s="0" t="n">
        <f aca="false">K321+M321</f>
        <v>47.5663918305115</v>
      </c>
      <c r="P321" s="54" t="b">
        <f aca="false">AND(C321&gt;=01_因子設定!$L$5-0.000000001,C321&lt;=01_因子設定!$M$5+0.000000001,D321&gt;=01_因子設定!$L$6-0.000000001,D321&lt;=01_因子設定!$M$6+0.000000001,IF(01_因子設定!$B$20="Box-Behnken",C321^2+D321^2&lt;=2+0.000000001,TRUE()))</f>
        <v>1</v>
      </c>
      <c r="Q321" s="55" t="n">
        <f aca="false">IF(P321,IF(01_因子設定!$B$13="最大化",N321-01_因子設定!$B$14,IF(01_因子設定!$B$13="最小化",01_因子設定!$B$15-O321,MIN(N321-01_因子設定!$B$14,01_因子設定!$B$15-O321))),-1E+030)</f>
        <v>-1.93271797993681</v>
      </c>
      <c r="R321" s="55" t="n">
        <f aca="false">IF(P321,IF(01_因子設定!$B$13="最大化",K321,IF(01_因子設定!$B$13="最小化",-K321,-ABS(K321-01_因子設定!$B$16))),-1E+030)</f>
        <v>46.0668369252874</v>
      </c>
      <c r="S321" s="55" t="n">
        <f aca="false">Q321+ROW()*0.000000001</f>
        <v>-1.93271765893681</v>
      </c>
      <c r="T321" s="55" t="n">
        <f aca="false">R321+ROW()*0.000000001</f>
        <v>46.0668372462874</v>
      </c>
    </row>
    <row r="322" customFormat="false" ht="15" hidden="false" customHeight="false" outlineLevel="0" collapsed="false">
      <c r="A322" s="0" t="n">
        <v>7</v>
      </c>
      <c r="B322" s="0" t="n">
        <v>30</v>
      </c>
      <c r="C322" s="0" t="n">
        <f aca="false">-1+A322*0.05</f>
        <v>-0.65</v>
      </c>
      <c r="D322" s="0" t="n">
        <f aca="false">-1+B322*0.05</f>
        <v>0.5</v>
      </c>
      <c r="E322" s="0" t="n">
        <f aca="false">1</f>
        <v>1</v>
      </c>
      <c r="F322" s="0" t="n">
        <f aca="false">C322</f>
        <v>-0.65</v>
      </c>
      <c r="G322" s="0" t="n">
        <f aca="false">D322</f>
        <v>0.5</v>
      </c>
      <c r="H322" s="0" t="n">
        <f aca="false">C322*D322</f>
        <v>-0.325</v>
      </c>
      <c r="I322" s="0" t="n">
        <f aca="false">C322*C322</f>
        <v>0.4225</v>
      </c>
      <c r="J322" s="0" t="n">
        <f aca="false">D322*D322</f>
        <v>0.25</v>
      </c>
      <c r="K322" s="0" t="n">
        <f aca="false">SUMPRODUCT(E322:J322,_XtX!$B$53:$G$53)</f>
        <v>46.0889770114942</v>
      </c>
      <c r="L322" s="0" t="n">
        <f aca="false">SUMPRODUCT(MMULT(E322:J322,_XtX!$B$44:$G$49),E322:J322)</f>
        <v>0.229888397988506</v>
      </c>
      <c r="M322" s="0" t="n">
        <f aca="false">04_回帰ANOVA!$K$19*04_回帰ANOVA!$K$14*SQRT(1+L322)</f>
        <v>1.50282850731928</v>
      </c>
      <c r="N322" s="0" t="n">
        <f aca="false">K322-M322</f>
        <v>44.586148504175</v>
      </c>
      <c r="O322" s="0" t="n">
        <f aca="false">K322+M322</f>
        <v>47.5918055188135</v>
      </c>
      <c r="P322" s="54" t="b">
        <f aca="false">AND(C322&gt;=01_因子設定!$L$5-0.000000001,C322&lt;=01_因子設定!$M$5+0.000000001,D322&gt;=01_因子設定!$L$6-0.000000001,D322&lt;=01_因子設定!$M$6+0.000000001,IF(01_因子設定!$B$20="Box-Behnken",C322^2+D322^2&lt;=2+0.000000001,TRUE()))</f>
        <v>1</v>
      </c>
      <c r="Q322" s="55" t="n">
        <f aca="false">IF(P322,IF(01_因子設定!$B$13="最大化",N322-01_因子設定!$B$14,IF(01_因子設定!$B$13="最小化",01_因子設定!$B$15-O322,MIN(N322-01_因子設定!$B$14,01_因子設定!$B$15-O322))),-1E+030)</f>
        <v>-1.91385149582504</v>
      </c>
      <c r="R322" s="55" t="n">
        <f aca="false">IF(P322,IF(01_因子設定!$B$13="最大化",K322,IF(01_因子設定!$B$13="最小化",-K322,-ABS(K322-01_因子設定!$B$16))),-1E+030)</f>
        <v>46.0889770114942</v>
      </c>
      <c r="S322" s="55" t="n">
        <f aca="false">Q322+ROW()*0.000000001</f>
        <v>-1.91385117382504</v>
      </c>
      <c r="T322" s="55" t="n">
        <f aca="false">R322+ROW()*0.000000001</f>
        <v>46.0889773334942</v>
      </c>
    </row>
    <row r="323" customFormat="false" ht="15" hidden="false" customHeight="false" outlineLevel="0" collapsed="false">
      <c r="A323" s="0" t="n">
        <v>7</v>
      </c>
      <c r="B323" s="0" t="n">
        <v>31</v>
      </c>
      <c r="C323" s="0" t="n">
        <f aca="false">-1+A323*0.05</f>
        <v>-0.65</v>
      </c>
      <c r="D323" s="0" t="n">
        <f aca="false">-1+B323*0.05</f>
        <v>0.55</v>
      </c>
      <c r="E323" s="0" t="n">
        <f aca="false">1</f>
        <v>1</v>
      </c>
      <c r="F323" s="0" t="n">
        <f aca="false">C323</f>
        <v>-0.65</v>
      </c>
      <c r="G323" s="0" t="n">
        <f aca="false">D323</f>
        <v>0.55</v>
      </c>
      <c r="H323" s="0" t="n">
        <f aca="false">C323*D323</f>
        <v>-0.3575</v>
      </c>
      <c r="I323" s="0" t="n">
        <f aca="false">C323*C323</f>
        <v>0.4225</v>
      </c>
      <c r="J323" s="0" t="n">
        <f aca="false">D323*D323</f>
        <v>0.3025</v>
      </c>
      <c r="K323" s="0" t="n">
        <f aca="false">SUMPRODUCT(E323:J323,_XtX!$B$53:$G$53)</f>
        <v>46.1034015804598</v>
      </c>
      <c r="L323" s="0" t="n">
        <f aca="false">SUMPRODUCT(MMULT(E323:J323,_XtX!$B$44:$G$49),E323:J323)</f>
        <v>0.237704938936782</v>
      </c>
      <c r="M323" s="0" t="n">
        <f aca="false">04_回帰ANOVA!$K$19*04_回帰ANOVA!$K$14*SQRT(1+L323)</f>
        <v>1.5075965477804</v>
      </c>
      <c r="N323" s="0" t="n">
        <f aca="false">K323-M323</f>
        <v>44.5958050326794</v>
      </c>
      <c r="O323" s="0" t="n">
        <f aca="false">K323+M323</f>
        <v>47.6109981282402</v>
      </c>
      <c r="P323" s="54" t="b">
        <f aca="false">AND(C323&gt;=01_因子設定!$L$5-0.000000001,C323&lt;=01_因子設定!$M$5+0.000000001,D323&gt;=01_因子設定!$L$6-0.000000001,D323&lt;=01_因子設定!$M$6+0.000000001,IF(01_因子設定!$B$20="Box-Behnken",C323^2+D323^2&lt;=2+0.000000001,TRUE()))</f>
        <v>1</v>
      </c>
      <c r="Q323" s="55" t="n">
        <f aca="false">IF(P323,IF(01_因子設定!$B$13="最大化",N323-01_因子設定!$B$14,IF(01_因子設定!$B$13="最小化",01_因子設定!$B$15-O323,MIN(N323-01_因子設定!$B$14,01_因子設定!$B$15-O323))),-1E+030)</f>
        <v>-1.90419496732063</v>
      </c>
      <c r="R323" s="55" t="n">
        <f aca="false">IF(P323,IF(01_因子設定!$B$13="最大化",K323,IF(01_因子設定!$B$13="最小化",-K323,-ABS(K323-01_因子設定!$B$16))),-1E+030)</f>
        <v>46.1034015804598</v>
      </c>
      <c r="S323" s="55" t="n">
        <f aca="false">Q323+ROW()*0.000000001</f>
        <v>-1.90419464432063</v>
      </c>
      <c r="T323" s="55" t="n">
        <f aca="false">R323+ROW()*0.000000001</f>
        <v>46.1034019034598</v>
      </c>
    </row>
    <row r="324" customFormat="false" ht="15" hidden="false" customHeight="false" outlineLevel="0" collapsed="false">
      <c r="A324" s="0" t="n">
        <v>7</v>
      </c>
      <c r="B324" s="0" t="n">
        <v>32</v>
      </c>
      <c r="C324" s="0" t="n">
        <f aca="false">-1+A324*0.05</f>
        <v>-0.65</v>
      </c>
      <c r="D324" s="0" t="n">
        <f aca="false">-1+B324*0.05</f>
        <v>0.6</v>
      </c>
      <c r="E324" s="0" t="n">
        <f aca="false">1</f>
        <v>1</v>
      </c>
      <c r="F324" s="0" t="n">
        <f aca="false">C324</f>
        <v>-0.65</v>
      </c>
      <c r="G324" s="0" t="n">
        <f aca="false">D324</f>
        <v>0.6</v>
      </c>
      <c r="H324" s="0" t="n">
        <f aca="false">C324*D324</f>
        <v>-0.39</v>
      </c>
      <c r="I324" s="0" t="n">
        <f aca="false">C324*C324</f>
        <v>0.4225</v>
      </c>
      <c r="J324" s="0" t="n">
        <f aca="false">D324*D324</f>
        <v>0.36</v>
      </c>
      <c r="K324" s="0" t="n">
        <f aca="false">SUMPRODUCT(E324:J324,_XtX!$B$53:$G$53)</f>
        <v>46.1101106321839</v>
      </c>
      <c r="L324" s="0" t="n">
        <f aca="false">SUMPRODUCT(MMULT(E324:J324,_XtX!$B$44:$G$49),E324:J324)</f>
        <v>0.248555998563218</v>
      </c>
      <c r="M324" s="0" t="n">
        <f aca="false">04_回帰ANOVA!$K$19*04_回帰ANOVA!$K$14*SQRT(1+L324)</f>
        <v>1.51419073700187</v>
      </c>
      <c r="N324" s="0" t="n">
        <f aca="false">K324-M324</f>
        <v>44.595919895182</v>
      </c>
      <c r="O324" s="0" t="n">
        <f aca="false">K324+M324</f>
        <v>47.6243013691858</v>
      </c>
      <c r="P324" s="54" t="b">
        <f aca="false">AND(C324&gt;=01_因子設定!$L$5-0.000000001,C324&lt;=01_因子設定!$M$5+0.000000001,D324&gt;=01_因子設定!$L$6-0.000000001,D324&lt;=01_因子設定!$M$6+0.000000001,IF(01_因子設定!$B$20="Box-Behnken",C324^2+D324^2&lt;=2+0.000000001,TRUE()))</f>
        <v>1</v>
      </c>
      <c r="Q324" s="55" t="n">
        <f aca="false">IF(P324,IF(01_因子設定!$B$13="最大化",N324-01_因子設定!$B$14,IF(01_因子設定!$B$13="最小化",01_因子設定!$B$15-O324,MIN(N324-01_因子設定!$B$14,01_因子設定!$B$15-O324))),-1E+030)</f>
        <v>-1.90408010481797</v>
      </c>
      <c r="R324" s="55" t="n">
        <f aca="false">IF(P324,IF(01_因子設定!$B$13="最大化",K324,IF(01_因子設定!$B$13="最小化",-K324,-ABS(K324-01_因子設定!$B$16))),-1E+030)</f>
        <v>46.1101106321839</v>
      </c>
      <c r="S324" s="55" t="n">
        <f aca="false">Q324+ROW()*0.000000001</f>
        <v>-1.90407978081797</v>
      </c>
      <c r="T324" s="55" t="n">
        <f aca="false">R324+ROW()*0.000000001</f>
        <v>46.1101109561839</v>
      </c>
    </row>
    <row r="325" customFormat="false" ht="15" hidden="false" customHeight="false" outlineLevel="0" collapsed="false">
      <c r="A325" s="0" t="n">
        <v>7</v>
      </c>
      <c r="B325" s="0" t="n">
        <v>33</v>
      </c>
      <c r="C325" s="0" t="n">
        <f aca="false">-1+A325*0.05</f>
        <v>-0.65</v>
      </c>
      <c r="D325" s="0" t="n">
        <f aca="false">-1+B325*0.05</f>
        <v>0.65</v>
      </c>
      <c r="E325" s="0" t="n">
        <f aca="false">1</f>
        <v>1</v>
      </c>
      <c r="F325" s="0" t="n">
        <f aca="false">C325</f>
        <v>-0.65</v>
      </c>
      <c r="G325" s="0" t="n">
        <f aca="false">D325</f>
        <v>0.65</v>
      </c>
      <c r="H325" s="0" t="n">
        <f aca="false">C325*D325</f>
        <v>-0.4225</v>
      </c>
      <c r="I325" s="0" t="n">
        <f aca="false">C325*C325</f>
        <v>0.4225</v>
      </c>
      <c r="J325" s="0" t="n">
        <f aca="false">D325*D325</f>
        <v>0.4225</v>
      </c>
      <c r="K325" s="0" t="n">
        <f aca="false">SUMPRODUCT(E325:J325,_XtX!$B$53:$G$53)</f>
        <v>46.1091041666667</v>
      </c>
      <c r="L325" s="0" t="n">
        <f aca="false">SUMPRODUCT(MMULT(E325:J325,_XtX!$B$44:$G$49),E325:J325)</f>
        <v>0.263066145833333</v>
      </c>
      <c r="M325" s="0" t="n">
        <f aca="false">04_回帰ANOVA!$K$19*04_回帰ANOVA!$K$14*SQRT(1+L325)</f>
        <v>1.52296393750712</v>
      </c>
      <c r="N325" s="0" t="n">
        <f aca="false">K325-M325</f>
        <v>44.5861402291596</v>
      </c>
      <c r="O325" s="0" t="n">
        <f aca="false">K325+M325</f>
        <v>47.6320681041738</v>
      </c>
      <c r="P325" s="54" t="b">
        <f aca="false">AND(C325&gt;=01_因子設定!$L$5-0.000000001,C325&lt;=01_因子設定!$M$5+0.000000001,D325&gt;=01_因子設定!$L$6-0.000000001,D325&lt;=01_因子設定!$M$6+0.000000001,IF(01_因子設定!$B$20="Box-Behnken",C325^2+D325^2&lt;=2+0.000000001,TRUE()))</f>
        <v>1</v>
      </c>
      <c r="Q325" s="55" t="n">
        <f aca="false">IF(P325,IF(01_因子設定!$B$13="最大化",N325-01_因子設定!$B$14,IF(01_因子設定!$B$13="最小化",01_因子設定!$B$15-O325,MIN(N325-01_因子設定!$B$14,01_因子設定!$B$15-O325))),-1E+030)</f>
        <v>-1.91385977084045</v>
      </c>
      <c r="R325" s="55" t="n">
        <f aca="false">IF(P325,IF(01_因子設定!$B$13="最大化",K325,IF(01_因子設定!$B$13="最小化",-K325,-ABS(K325-01_因子設定!$B$16))),-1E+030)</f>
        <v>46.1091041666667</v>
      </c>
      <c r="S325" s="55" t="n">
        <f aca="false">Q325+ROW()*0.000000001</f>
        <v>-1.91385944584045</v>
      </c>
      <c r="T325" s="55" t="n">
        <f aca="false">R325+ROW()*0.000000001</f>
        <v>46.1091044916667</v>
      </c>
    </row>
    <row r="326" customFormat="false" ht="15" hidden="false" customHeight="false" outlineLevel="0" collapsed="false">
      <c r="A326" s="0" t="n">
        <v>7</v>
      </c>
      <c r="B326" s="0" t="n">
        <v>34</v>
      </c>
      <c r="C326" s="0" t="n">
        <f aca="false">-1+A326*0.05</f>
        <v>-0.65</v>
      </c>
      <c r="D326" s="0" t="n">
        <f aca="false">-1+B326*0.05</f>
        <v>0.7</v>
      </c>
      <c r="E326" s="0" t="n">
        <f aca="false">1</f>
        <v>1</v>
      </c>
      <c r="F326" s="0" t="n">
        <f aca="false">C326</f>
        <v>-0.65</v>
      </c>
      <c r="G326" s="0" t="n">
        <f aca="false">D326</f>
        <v>0.7</v>
      </c>
      <c r="H326" s="0" t="n">
        <f aca="false">C326*D326</f>
        <v>-0.455</v>
      </c>
      <c r="I326" s="0" t="n">
        <f aca="false">C326*C326</f>
        <v>0.4225</v>
      </c>
      <c r="J326" s="0" t="n">
        <f aca="false">D326*D326</f>
        <v>0.49</v>
      </c>
      <c r="K326" s="0" t="n">
        <f aca="false">SUMPRODUCT(E326:J326,_XtX!$B$53:$G$53)</f>
        <v>46.100382183908</v>
      </c>
      <c r="L326" s="0" t="n">
        <f aca="false">SUMPRODUCT(MMULT(E326:J326,_XtX!$B$44:$G$49),E326:J326)</f>
        <v>0.281914260057471</v>
      </c>
      <c r="M326" s="0" t="n">
        <f aca="false">04_回帰ANOVA!$K$19*04_回帰ANOVA!$K$14*SQRT(1+L326)</f>
        <v>1.53428507945275</v>
      </c>
      <c r="N326" s="0" t="n">
        <f aca="false">K326-M326</f>
        <v>44.5660971044553</v>
      </c>
      <c r="O326" s="0" t="n">
        <f aca="false">K326+M326</f>
        <v>47.6346672633608</v>
      </c>
      <c r="P326" s="54" t="b">
        <f aca="false">AND(C326&gt;=01_因子設定!$L$5-0.000000001,C326&lt;=01_因子設定!$M$5+0.000000001,D326&gt;=01_因子設定!$L$6-0.000000001,D326&lt;=01_因子設定!$M$6+0.000000001,IF(01_因子設定!$B$20="Box-Behnken",C326^2+D326^2&lt;=2+0.000000001,TRUE()))</f>
        <v>1</v>
      </c>
      <c r="Q326" s="55" t="n">
        <f aca="false">IF(P326,IF(01_因子設定!$B$13="最大化",N326-01_因子設定!$B$14,IF(01_因子設定!$B$13="最小化",01_因子設定!$B$15-O326,MIN(N326-01_因子設定!$B$14,01_因子設定!$B$15-O326))),-1E+030)</f>
        <v>-1.93390289554471</v>
      </c>
      <c r="R326" s="55" t="n">
        <f aca="false">IF(P326,IF(01_因子設定!$B$13="最大化",K326,IF(01_因子設定!$B$13="最小化",-K326,-ABS(K326-01_因子設定!$B$16))),-1E+030)</f>
        <v>46.100382183908</v>
      </c>
      <c r="S326" s="55" t="n">
        <f aca="false">Q326+ROW()*0.000000001</f>
        <v>-1.93390256954471</v>
      </c>
      <c r="T326" s="55" t="n">
        <f aca="false">R326+ROW()*0.000000001</f>
        <v>46.100382509908</v>
      </c>
    </row>
    <row r="327" customFormat="false" ht="15" hidden="false" customHeight="false" outlineLevel="0" collapsed="false">
      <c r="A327" s="0" t="n">
        <v>7</v>
      </c>
      <c r="B327" s="0" t="n">
        <v>35</v>
      </c>
      <c r="C327" s="0" t="n">
        <f aca="false">-1+A327*0.05</f>
        <v>-0.65</v>
      </c>
      <c r="D327" s="0" t="n">
        <f aca="false">-1+B327*0.05</f>
        <v>0.75</v>
      </c>
      <c r="E327" s="0" t="n">
        <f aca="false">1</f>
        <v>1</v>
      </c>
      <c r="F327" s="0" t="n">
        <f aca="false">C327</f>
        <v>-0.65</v>
      </c>
      <c r="G327" s="0" t="n">
        <f aca="false">D327</f>
        <v>0.75</v>
      </c>
      <c r="H327" s="0" t="n">
        <f aca="false">C327*D327</f>
        <v>-0.4875</v>
      </c>
      <c r="I327" s="0" t="n">
        <f aca="false">C327*C327</f>
        <v>0.4225</v>
      </c>
      <c r="J327" s="0" t="n">
        <f aca="false">D327*D327</f>
        <v>0.5625</v>
      </c>
      <c r="K327" s="0" t="n">
        <f aca="false">SUMPRODUCT(E327:J327,_XtX!$B$53:$G$53)</f>
        <v>46.083944683908</v>
      </c>
      <c r="L327" s="0" t="n">
        <f aca="false">SUMPRODUCT(MMULT(E327:J327,_XtX!$B$44:$G$49),E327:J327)</f>
        <v>0.305833530890805</v>
      </c>
      <c r="M327" s="0" t="n">
        <f aca="false">04_回帰ANOVA!$K$19*04_回帰ANOVA!$K$14*SQRT(1+L327)</f>
        <v>1.54853305548253</v>
      </c>
      <c r="N327" s="0" t="n">
        <f aca="false">K327-M327</f>
        <v>44.5354116284255</v>
      </c>
      <c r="O327" s="0" t="n">
        <f aca="false">K327+M327</f>
        <v>47.6324777393906</v>
      </c>
      <c r="P327" s="54" t="b">
        <f aca="false">AND(C327&gt;=01_因子設定!$L$5-0.000000001,C327&lt;=01_因子設定!$M$5+0.000000001,D327&gt;=01_因子設定!$L$6-0.000000001,D327&lt;=01_因子設定!$M$6+0.000000001,IF(01_因子設定!$B$20="Box-Behnken",C327^2+D327^2&lt;=2+0.000000001,TRUE()))</f>
        <v>1</v>
      </c>
      <c r="Q327" s="55" t="n">
        <f aca="false">IF(P327,IF(01_因子設定!$B$13="最大化",N327-01_因子設定!$B$14,IF(01_因子設定!$B$13="最小化",01_因子設定!$B$15-O327,MIN(N327-01_因子設定!$B$14,01_因子設定!$B$15-O327))),-1E+030)</f>
        <v>-1.96458837157449</v>
      </c>
      <c r="R327" s="55" t="n">
        <f aca="false">IF(P327,IF(01_因子設定!$B$13="最大化",K327,IF(01_因子設定!$B$13="最小化",-K327,-ABS(K327-01_因子設定!$B$16))),-1E+030)</f>
        <v>46.083944683908</v>
      </c>
      <c r="S327" s="55" t="n">
        <f aca="false">Q327+ROW()*0.000000001</f>
        <v>-1.96458804457449</v>
      </c>
      <c r="T327" s="55" t="n">
        <f aca="false">R327+ROW()*0.000000001</f>
        <v>46.083945010908</v>
      </c>
    </row>
    <row r="328" customFormat="false" ht="15" hidden="false" customHeight="false" outlineLevel="0" collapsed="false">
      <c r="A328" s="0" t="n">
        <v>7</v>
      </c>
      <c r="B328" s="0" t="n">
        <v>36</v>
      </c>
      <c r="C328" s="0" t="n">
        <f aca="false">-1+A328*0.05</f>
        <v>-0.65</v>
      </c>
      <c r="D328" s="0" t="n">
        <f aca="false">-1+B328*0.05</f>
        <v>0.8</v>
      </c>
      <c r="E328" s="0" t="n">
        <f aca="false">1</f>
        <v>1</v>
      </c>
      <c r="F328" s="0" t="n">
        <f aca="false">C328</f>
        <v>-0.65</v>
      </c>
      <c r="G328" s="0" t="n">
        <f aca="false">D328</f>
        <v>0.8</v>
      </c>
      <c r="H328" s="0" t="n">
        <f aca="false">C328*D328</f>
        <v>-0.52</v>
      </c>
      <c r="I328" s="0" t="n">
        <f aca="false">C328*C328</f>
        <v>0.4225</v>
      </c>
      <c r="J328" s="0" t="n">
        <f aca="false">D328*D328</f>
        <v>0.64</v>
      </c>
      <c r="K328" s="0" t="n">
        <f aca="false">SUMPRODUCT(E328:J328,_XtX!$B$53:$G$53)</f>
        <v>46.0597916666667</v>
      </c>
      <c r="L328" s="0" t="n">
        <f aca="false">SUMPRODUCT(MMULT(E328:J328,_XtX!$B$44:$G$49),E328:J328)</f>
        <v>0.335611458333333</v>
      </c>
      <c r="M328" s="0" t="n">
        <f aca="false">04_回帰ANOVA!$K$19*04_回帰ANOVA!$K$14*SQRT(1+L328)</f>
        <v>1.56608972588958</v>
      </c>
      <c r="N328" s="0" t="n">
        <f aca="false">K328-M328</f>
        <v>44.4937019407771</v>
      </c>
      <c r="O328" s="0" t="n">
        <f aca="false">K328+M328</f>
        <v>47.6258813925562</v>
      </c>
      <c r="P328" s="54" t="b">
        <f aca="false">AND(C328&gt;=01_因子設定!$L$5-0.000000001,C328&lt;=01_因子設定!$M$5+0.000000001,D328&gt;=01_因子設定!$L$6-0.000000001,D328&lt;=01_因子設定!$M$6+0.000000001,IF(01_因子設定!$B$20="Box-Behnken",C328^2+D328^2&lt;=2+0.000000001,TRUE()))</f>
        <v>1</v>
      </c>
      <c r="Q328" s="55" t="n">
        <f aca="false">IF(P328,IF(01_因子設定!$B$13="最大化",N328-01_因子設定!$B$14,IF(01_因子設定!$B$13="最小化",01_因子設定!$B$15-O328,MIN(N328-01_因子設定!$B$14,01_因子設定!$B$15-O328))),-1E+030)</f>
        <v>-2.00629805922291</v>
      </c>
      <c r="R328" s="55" t="n">
        <f aca="false">IF(P328,IF(01_因子設定!$B$13="最大化",K328,IF(01_因子設定!$B$13="最小化",-K328,-ABS(K328-01_因子設定!$B$16))),-1E+030)</f>
        <v>46.0597916666667</v>
      </c>
      <c r="S328" s="55" t="n">
        <f aca="false">Q328+ROW()*0.000000001</f>
        <v>-2.00629773122291</v>
      </c>
      <c r="T328" s="55" t="n">
        <f aca="false">R328+ROW()*0.000000001</f>
        <v>46.0597919946667</v>
      </c>
    </row>
    <row r="329" customFormat="false" ht="15" hidden="false" customHeight="false" outlineLevel="0" collapsed="false">
      <c r="A329" s="0" t="n">
        <v>7</v>
      </c>
      <c r="B329" s="0" t="n">
        <v>37</v>
      </c>
      <c r="C329" s="0" t="n">
        <f aca="false">-1+A329*0.05</f>
        <v>-0.65</v>
      </c>
      <c r="D329" s="0" t="n">
        <f aca="false">-1+B329*0.05</f>
        <v>0.85</v>
      </c>
      <c r="E329" s="0" t="n">
        <f aca="false">1</f>
        <v>1</v>
      </c>
      <c r="F329" s="0" t="n">
        <f aca="false">C329</f>
        <v>-0.65</v>
      </c>
      <c r="G329" s="0" t="n">
        <f aca="false">D329</f>
        <v>0.85</v>
      </c>
      <c r="H329" s="0" t="n">
        <f aca="false">C329*D329</f>
        <v>-0.5525</v>
      </c>
      <c r="I329" s="0" t="n">
        <f aca="false">C329*C329</f>
        <v>0.4225</v>
      </c>
      <c r="J329" s="0" t="n">
        <f aca="false">D329*D329</f>
        <v>0.7225</v>
      </c>
      <c r="K329" s="0" t="n">
        <f aca="false">SUMPRODUCT(E329:J329,_XtX!$B$53:$G$53)</f>
        <v>46.0279231321839</v>
      </c>
      <c r="L329" s="0" t="n">
        <f aca="false">SUMPRODUCT(MMULT(E329:J329,_XtX!$B$44:$G$49),E329:J329)</f>
        <v>0.372089852729885</v>
      </c>
      <c r="M329" s="0" t="n">
        <f aca="false">04_回帰ANOVA!$K$19*04_回帰ANOVA!$K$14*SQRT(1+L329)</f>
        <v>1.58733228155404</v>
      </c>
      <c r="N329" s="0" t="n">
        <f aca="false">K329-M329</f>
        <v>44.4405908506299</v>
      </c>
      <c r="O329" s="0" t="n">
        <f aca="false">K329+M329</f>
        <v>47.6152554137379</v>
      </c>
      <c r="P329" s="54" t="b">
        <f aca="false">AND(C329&gt;=01_因子設定!$L$5-0.000000001,C329&lt;=01_因子設定!$M$5+0.000000001,D329&gt;=01_因子設定!$L$6-0.000000001,D329&lt;=01_因子設定!$M$6+0.000000001,IF(01_因子設定!$B$20="Box-Behnken",C329^2+D329^2&lt;=2+0.000000001,TRUE()))</f>
        <v>1</v>
      </c>
      <c r="Q329" s="55" t="n">
        <f aca="false">IF(P329,IF(01_因子設定!$B$13="最大化",N329-01_因子設定!$B$14,IF(01_因子設定!$B$13="最小化",01_因子設定!$B$15-O329,MIN(N329-01_因子設定!$B$14,01_因子設定!$B$15-O329))),-1E+030)</f>
        <v>-2.05940914937014</v>
      </c>
      <c r="R329" s="55" t="n">
        <f aca="false">IF(P329,IF(01_因子設定!$B$13="最大化",K329,IF(01_因子設定!$B$13="最小化",-K329,-ABS(K329-01_因子設定!$B$16))),-1E+030)</f>
        <v>46.0279231321839</v>
      </c>
      <c r="S329" s="55" t="n">
        <f aca="false">Q329+ROW()*0.000000001</f>
        <v>-2.05940882037014</v>
      </c>
      <c r="T329" s="55" t="n">
        <f aca="false">R329+ROW()*0.000000001</f>
        <v>46.0279234611839</v>
      </c>
    </row>
    <row r="330" customFormat="false" ht="15" hidden="false" customHeight="false" outlineLevel="0" collapsed="false">
      <c r="A330" s="0" t="n">
        <v>7</v>
      </c>
      <c r="B330" s="0" t="n">
        <v>38</v>
      </c>
      <c r="C330" s="0" t="n">
        <f aca="false">-1+A330*0.05</f>
        <v>-0.65</v>
      </c>
      <c r="D330" s="0" t="n">
        <f aca="false">-1+B330*0.05</f>
        <v>0.9</v>
      </c>
      <c r="E330" s="0" t="n">
        <f aca="false">1</f>
        <v>1</v>
      </c>
      <c r="F330" s="0" t="n">
        <f aca="false">C330</f>
        <v>-0.65</v>
      </c>
      <c r="G330" s="0" t="n">
        <f aca="false">D330</f>
        <v>0.9</v>
      </c>
      <c r="H330" s="0" t="n">
        <f aca="false">C330*D330</f>
        <v>-0.585</v>
      </c>
      <c r="I330" s="0" t="n">
        <f aca="false">C330*C330</f>
        <v>0.4225</v>
      </c>
      <c r="J330" s="0" t="n">
        <f aca="false">D330*D330</f>
        <v>0.81</v>
      </c>
      <c r="K330" s="0" t="n">
        <f aca="false">SUMPRODUCT(E330:J330,_XtX!$B$53:$G$53)</f>
        <v>45.9883390804598</v>
      </c>
      <c r="L330" s="0" t="n">
        <f aca="false">SUMPRODUCT(MMULT(E330:J330,_XtX!$B$44:$G$49),E330:J330)</f>
        <v>0.416164834770115</v>
      </c>
      <c r="M330" s="0" t="n">
        <f aca="false">04_回帰ANOVA!$K$19*04_回帰ANOVA!$K$14*SQRT(1+L330)</f>
        <v>1.61262532348959</v>
      </c>
      <c r="N330" s="0" t="n">
        <f aca="false">K330-M330</f>
        <v>44.3757137569702</v>
      </c>
      <c r="O330" s="0" t="n">
        <f aca="false">K330+M330</f>
        <v>47.6009644039494</v>
      </c>
      <c r="P330" s="54" t="b">
        <f aca="false">AND(C330&gt;=01_因子設定!$L$5-0.000000001,C330&lt;=01_因子設定!$M$5+0.000000001,D330&gt;=01_因子設定!$L$6-0.000000001,D330&lt;=01_因子設定!$M$6+0.000000001,IF(01_因子設定!$B$20="Box-Behnken",C330^2+D330^2&lt;=2+0.000000001,TRUE()))</f>
        <v>1</v>
      </c>
      <c r="Q330" s="55" t="n">
        <f aca="false">IF(P330,IF(01_因子設定!$B$13="最大化",N330-01_因子設定!$B$14,IF(01_因子設定!$B$13="最小化",01_因子設定!$B$15-O330,MIN(N330-01_因子設定!$B$14,01_因子設定!$B$15-O330))),-1E+030)</f>
        <v>-2.12428624302983</v>
      </c>
      <c r="R330" s="55" t="n">
        <f aca="false">IF(P330,IF(01_因子設定!$B$13="最大化",K330,IF(01_因子設定!$B$13="最小化",-K330,-ABS(K330-01_因子設定!$B$16))),-1E+030)</f>
        <v>45.9883390804598</v>
      </c>
      <c r="S330" s="55" t="n">
        <f aca="false">Q330+ROW()*0.000000001</f>
        <v>-2.12428591302983</v>
      </c>
      <c r="T330" s="55" t="n">
        <f aca="false">R330+ROW()*0.000000001</f>
        <v>45.9883394104598</v>
      </c>
    </row>
    <row r="331" customFormat="false" ht="15" hidden="false" customHeight="false" outlineLevel="0" collapsed="false">
      <c r="A331" s="0" t="n">
        <v>7</v>
      </c>
      <c r="B331" s="0" t="n">
        <v>39</v>
      </c>
      <c r="C331" s="0" t="n">
        <f aca="false">-1+A331*0.05</f>
        <v>-0.65</v>
      </c>
      <c r="D331" s="0" t="n">
        <f aca="false">-1+B331*0.05</f>
        <v>0.95</v>
      </c>
      <c r="E331" s="0" t="n">
        <f aca="false">1</f>
        <v>1</v>
      </c>
      <c r="F331" s="0" t="n">
        <f aca="false">C331</f>
        <v>-0.65</v>
      </c>
      <c r="G331" s="0" t="n">
        <f aca="false">D331</f>
        <v>0.95</v>
      </c>
      <c r="H331" s="0" t="n">
        <f aca="false">C331*D331</f>
        <v>-0.6175</v>
      </c>
      <c r="I331" s="0" t="n">
        <f aca="false">C331*C331</f>
        <v>0.4225</v>
      </c>
      <c r="J331" s="0" t="n">
        <f aca="false">D331*D331</f>
        <v>0.9025</v>
      </c>
      <c r="K331" s="0" t="n">
        <f aca="false">SUMPRODUCT(E331:J331,_XtX!$B$53:$G$53)</f>
        <v>45.9410395114942</v>
      </c>
      <c r="L331" s="0" t="n">
        <f aca="false">SUMPRODUCT(MMULT(E331:J331,_XtX!$B$44:$G$49),E331:J331)</f>
        <v>0.468786835488506</v>
      </c>
      <c r="M331" s="0" t="n">
        <f aca="false">04_回帰ANOVA!$K$19*04_回帰ANOVA!$K$14*SQRT(1+L331)</f>
        <v>1.64231310350799</v>
      </c>
      <c r="N331" s="0" t="n">
        <f aca="false">K331-M331</f>
        <v>44.2987264079863</v>
      </c>
      <c r="O331" s="0" t="n">
        <f aca="false">K331+M331</f>
        <v>47.5833526150022</v>
      </c>
      <c r="P331" s="54" t="b">
        <f aca="false">AND(C331&gt;=01_因子設定!$L$5-0.000000001,C331&lt;=01_因子設定!$M$5+0.000000001,D331&gt;=01_因子設定!$L$6-0.000000001,D331&lt;=01_因子設定!$M$6+0.000000001,IF(01_因子設定!$B$20="Box-Behnken",C331^2+D331^2&lt;=2+0.000000001,TRUE()))</f>
        <v>1</v>
      </c>
      <c r="Q331" s="55" t="n">
        <f aca="false">IF(P331,IF(01_因子設定!$B$13="最大化",N331-01_因子設定!$B$14,IF(01_因子設定!$B$13="最小化",01_因子設定!$B$15-O331,MIN(N331-01_因子設定!$B$14,01_因子設定!$B$15-O331))),-1E+030)</f>
        <v>-2.20127359201375</v>
      </c>
      <c r="R331" s="55" t="n">
        <f aca="false">IF(P331,IF(01_因子設定!$B$13="最大化",K331,IF(01_因子設定!$B$13="最小化",-K331,-ABS(K331-01_因子設定!$B$16))),-1E+030)</f>
        <v>45.9410395114942</v>
      </c>
      <c r="S331" s="55" t="n">
        <f aca="false">Q331+ROW()*0.000000001</f>
        <v>-2.20127326101375</v>
      </c>
      <c r="T331" s="55" t="n">
        <f aca="false">R331+ROW()*0.000000001</f>
        <v>45.9410398424943</v>
      </c>
    </row>
    <row r="332" customFormat="false" ht="15" hidden="false" customHeight="false" outlineLevel="0" collapsed="false">
      <c r="A332" s="0" t="n">
        <v>7</v>
      </c>
      <c r="B332" s="0" t="n">
        <v>40</v>
      </c>
      <c r="C332" s="0" t="n">
        <f aca="false">-1+A332*0.05</f>
        <v>-0.65</v>
      </c>
      <c r="D332" s="0" t="n">
        <f aca="false">-1+B332*0.05</f>
        <v>1</v>
      </c>
      <c r="E332" s="0" t="n">
        <f aca="false">1</f>
        <v>1</v>
      </c>
      <c r="F332" s="0" t="n">
        <f aca="false">C332</f>
        <v>-0.65</v>
      </c>
      <c r="G332" s="0" t="n">
        <f aca="false">D332</f>
        <v>1</v>
      </c>
      <c r="H332" s="0" t="n">
        <f aca="false">C332*D332</f>
        <v>-0.65</v>
      </c>
      <c r="I332" s="0" t="n">
        <f aca="false">C332*C332</f>
        <v>0.4225</v>
      </c>
      <c r="J332" s="0" t="n">
        <f aca="false">D332*D332</f>
        <v>1</v>
      </c>
      <c r="K332" s="0" t="n">
        <f aca="false">SUMPRODUCT(E332:J332,_XtX!$B$53:$G$53)</f>
        <v>45.8860244252874</v>
      </c>
      <c r="L332" s="0" t="n">
        <f aca="false">SUMPRODUCT(MMULT(E332:J332,_XtX!$B$44:$G$49),E332:J332)</f>
        <v>0.530960596264368</v>
      </c>
      <c r="M332" s="0" t="n">
        <f aca="false">04_回帰ANOVA!$K$19*04_回帰ANOVA!$K$14*SQRT(1+L332)</f>
        <v>1.6767124103567</v>
      </c>
      <c r="N332" s="0" t="n">
        <f aca="false">K332-M332</f>
        <v>44.2093120149306</v>
      </c>
      <c r="O332" s="0" t="n">
        <f aca="false">K332+M332</f>
        <v>47.5627368356441</v>
      </c>
      <c r="P332" s="54" t="b">
        <f aca="false">AND(C332&gt;=01_因子設定!$L$5-0.000000001,C332&lt;=01_因子設定!$M$5+0.000000001,D332&gt;=01_因子設定!$L$6-0.000000001,D332&lt;=01_因子設定!$M$6+0.000000001,IF(01_因子設定!$B$20="Box-Behnken",C332^2+D332^2&lt;=2+0.000000001,TRUE()))</f>
        <v>1</v>
      </c>
      <c r="Q332" s="55" t="n">
        <f aca="false">IF(P332,IF(01_因子設定!$B$13="最大化",N332-01_因子設定!$B$14,IF(01_因子設定!$B$13="最小化",01_因子設定!$B$15-O332,MIN(N332-01_因子設定!$B$14,01_因子設定!$B$15-O332))),-1E+030)</f>
        <v>-2.29068798506935</v>
      </c>
      <c r="R332" s="55" t="n">
        <f aca="false">IF(P332,IF(01_因子設定!$B$13="最大化",K332,IF(01_因子設定!$B$13="最小化",-K332,-ABS(K332-01_因子設定!$B$16))),-1E+030)</f>
        <v>45.8860244252874</v>
      </c>
      <c r="S332" s="55" t="n">
        <f aca="false">Q332+ROW()*0.000000001</f>
        <v>-2.29068765306935</v>
      </c>
      <c r="T332" s="55" t="n">
        <f aca="false">R332+ROW()*0.000000001</f>
        <v>45.8860247572874</v>
      </c>
    </row>
    <row r="333" customFormat="false" ht="15" hidden="false" customHeight="false" outlineLevel="0" collapsed="false">
      <c r="A333" s="0" t="n">
        <v>8</v>
      </c>
      <c r="B333" s="0" t="n">
        <v>0</v>
      </c>
      <c r="C333" s="0" t="n">
        <f aca="false">-1+A333*0.05</f>
        <v>-0.6</v>
      </c>
      <c r="D333" s="0" t="n">
        <f aca="false">-1+B333*0.05</f>
        <v>-1</v>
      </c>
      <c r="E333" s="0" t="n">
        <f aca="false">1</f>
        <v>1</v>
      </c>
      <c r="F333" s="0" t="n">
        <f aca="false">C333</f>
        <v>-0.6</v>
      </c>
      <c r="G333" s="0" t="n">
        <f aca="false">D333</f>
        <v>-1</v>
      </c>
      <c r="H333" s="0" t="n">
        <f aca="false">C333*D333</f>
        <v>0.6</v>
      </c>
      <c r="I333" s="0" t="n">
        <f aca="false">C333*C333</f>
        <v>0.36</v>
      </c>
      <c r="J333" s="0" t="n">
        <f aca="false">D333*D333</f>
        <v>1</v>
      </c>
      <c r="K333" s="0" t="n">
        <f aca="false">SUMPRODUCT(E333:J333,_XtX!$B$53:$G$53)</f>
        <v>42.3195517241379</v>
      </c>
      <c r="L333" s="0" t="n">
        <f aca="false">SUMPRODUCT(MMULT(E333:J333,_XtX!$B$44:$G$49),E333:J333)</f>
        <v>0.517383908045977</v>
      </c>
      <c r="M333" s="0" t="n">
        <f aca="false">04_回帰ANOVA!$K$19*04_回帰ANOVA!$K$14*SQRT(1+L333)</f>
        <v>1.66926124034343</v>
      </c>
      <c r="N333" s="0" t="n">
        <f aca="false">K333-M333</f>
        <v>40.6502904837945</v>
      </c>
      <c r="O333" s="0" t="n">
        <f aca="false">K333+M333</f>
        <v>43.9888129644814</v>
      </c>
      <c r="P333" s="54" t="b">
        <f aca="false">AND(C333&gt;=01_因子設定!$L$5-0.000000001,C333&lt;=01_因子設定!$M$5+0.000000001,D333&gt;=01_因子設定!$L$6-0.000000001,D333&lt;=01_因子設定!$M$6+0.000000001,IF(01_因子設定!$B$20="Box-Behnken",C333^2+D333^2&lt;=2+0.000000001,TRUE()))</f>
        <v>1</v>
      </c>
      <c r="Q333" s="55" t="n">
        <f aca="false">IF(P333,IF(01_因子設定!$B$13="最大化",N333-01_因子設定!$B$14,IF(01_因子設定!$B$13="最小化",01_因子設定!$B$15-O333,MIN(N333-01_因子設定!$B$14,01_因子設定!$B$15-O333))),-1E+030)</f>
        <v>-5.84970951620551</v>
      </c>
      <c r="R333" s="55" t="n">
        <f aca="false">IF(P333,IF(01_因子設定!$B$13="最大化",K333,IF(01_因子設定!$B$13="最小化",-K333,-ABS(K333-01_因子設定!$B$16))),-1E+030)</f>
        <v>42.3195517241379</v>
      </c>
      <c r="S333" s="55" t="n">
        <f aca="false">Q333+ROW()*0.000000001</f>
        <v>-5.84970918320551</v>
      </c>
      <c r="T333" s="55" t="n">
        <f aca="false">R333+ROW()*0.000000001</f>
        <v>42.3195520571379</v>
      </c>
    </row>
    <row r="334" customFormat="false" ht="15" hidden="false" customHeight="false" outlineLevel="0" collapsed="false">
      <c r="A334" s="0" t="n">
        <v>8</v>
      </c>
      <c r="B334" s="0" t="n">
        <v>1</v>
      </c>
      <c r="C334" s="0" t="n">
        <f aca="false">-1+A334*0.05</f>
        <v>-0.6</v>
      </c>
      <c r="D334" s="0" t="n">
        <f aca="false">-1+B334*0.05</f>
        <v>-0.95</v>
      </c>
      <c r="E334" s="0" t="n">
        <f aca="false">1</f>
        <v>1</v>
      </c>
      <c r="F334" s="0" t="n">
        <f aca="false">C334</f>
        <v>-0.6</v>
      </c>
      <c r="G334" s="0" t="n">
        <f aca="false">D334</f>
        <v>-0.95</v>
      </c>
      <c r="H334" s="0" t="n">
        <f aca="false">C334*D334</f>
        <v>0.57</v>
      </c>
      <c r="I334" s="0" t="n">
        <f aca="false">C334*C334</f>
        <v>0.36</v>
      </c>
      <c r="J334" s="0" t="n">
        <f aca="false">D334*D334</f>
        <v>0.9025</v>
      </c>
      <c r="K334" s="0" t="n">
        <f aca="false">SUMPRODUCT(E334:J334,_XtX!$B$53:$G$53)</f>
        <v>42.5667543103448</v>
      </c>
      <c r="L334" s="0" t="n">
        <f aca="false">SUMPRODUCT(MMULT(E334:J334,_XtX!$B$44:$G$49),E334:J334)</f>
        <v>0.455052550287356</v>
      </c>
      <c r="M334" s="0" t="n">
        <f aca="false">04_回帰ANOVA!$K$19*04_回帰ANOVA!$K$14*SQRT(1+L334)</f>
        <v>1.63461662470009</v>
      </c>
      <c r="N334" s="0" t="n">
        <f aca="false">K334-M334</f>
        <v>40.9321376856447</v>
      </c>
      <c r="O334" s="0" t="n">
        <f aca="false">K334+M334</f>
        <v>44.2013709350449</v>
      </c>
      <c r="P334" s="54" t="b">
        <f aca="false">AND(C334&gt;=01_因子設定!$L$5-0.000000001,C334&lt;=01_因子設定!$M$5+0.000000001,D334&gt;=01_因子設定!$L$6-0.000000001,D334&lt;=01_因子設定!$M$6+0.000000001,IF(01_因子設定!$B$20="Box-Behnken",C334^2+D334^2&lt;=2+0.000000001,TRUE()))</f>
        <v>1</v>
      </c>
      <c r="Q334" s="55" t="n">
        <f aca="false">IF(P334,IF(01_因子設定!$B$13="最大化",N334-01_因子設定!$B$14,IF(01_因子設定!$B$13="最小化",01_因子設定!$B$15-O334,MIN(N334-01_因子設定!$B$14,01_因子設定!$B$15-O334))),-1E+030)</f>
        <v>-5.56786231435527</v>
      </c>
      <c r="R334" s="55" t="n">
        <f aca="false">IF(P334,IF(01_因子設定!$B$13="最大化",K334,IF(01_因子設定!$B$13="最小化",-K334,-ABS(K334-01_因子設定!$B$16))),-1E+030)</f>
        <v>42.5667543103448</v>
      </c>
      <c r="S334" s="55" t="n">
        <f aca="false">Q334+ROW()*0.000000001</f>
        <v>-5.56786198035527</v>
      </c>
      <c r="T334" s="55" t="n">
        <f aca="false">R334+ROW()*0.000000001</f>
        <v>42.5667546443448</v>
      </c>
    </row>
    <row r="335" customFormat="false" ht="15" hidden="false" customHeight="false" outlineLevel="0" collapsed="false">
      <c r="A335" s="0" t="n">
        <v>8</v>
      </c>
      <c r="B335" s="0" t="n">
        <v>2</v>
      </c>
      <c r="C335" s="0" t="n">
        <f aca="false">-1+A335*0.05</f>
        <v>-0.6</v>
      </c>
      <c r="D335" s="0" t="n">
        <f aca="false">-1+B335*0.05</f>
        <v>-0.9</v>
      </c>
      <c r="E335" s="0" t="n">
        <f aca="false">1</f>
        <v>1</v>
      </c>
      <c r="F335" s="0" t="n">
        <f aca="false">C335</f>
        <v>-0.6</v>
      </c>
      <c r="G335" s="0" t="n">
        <f aca="false">D335</f>
        <v>-0.9</v>
      </c>
      <c r="H335" s="0" t="n">
        <f aca="false">C335*D335</f>
        <v>0.54</v>
      </c>
      <c r="I335" s="0" t="n">
        <f aca="false">C335*C335</f>
        <v>0.36</v>
      </c>
      <c r="J335" s="0" t="n">
        <f aca="false">D335*D335</f>
        <v>0.81</v>
      </c>
      <c r="K335" s="0" t="n">
        <f aca="false">SUMPRODUCT(E335:J335,_XtX!$B$53:$G$53)</f>
        <v>42.8062413793103</v>
      </c>
      <c r="L335" s="0" t="n">
        <f aca="false">SUMPRODUCT(MMULT(E335:J335,_XtX!$B$44:$G$49),E335:J335)</f>
        <v>0.402281034482759</v>
      </c>
      <c r="M335" s="0" t="n">
        <f aca="false">04_回帰ANOVA!$K$19*04_回帰ANOVA!$K$14*SQRT(1+L335)</f>
        <v>1.60470092328339</v>
      </c>
      <c r="N335" s="0" t="n">
        <f aca="false">K335-M335</f>
        <v>41.201540456027</v>
      </c>
      <c r="O335" s="0" t="n">
        <f aca="false">K335+M335</f>
        <v>44.4109423025937</v>
      </c>
      <c r="P335" s="54" t="b">
        <f aca="false">AND(C335&gt;=01_因子設定!$L$5-0.000000001,C335&lt;=01_因子設定!$M$5+0.000000001,D335&gt;=01_因子設定!$L$6-0.000000001,D335&lt;=01_因子設定!$M$6+0.000000001,IF(01_因子設定!$B$20="Box-Behnken",C335^2+D335^2&lt;=2+0.000000001,TRUE()))</f>
        <v>1</v>
      </c>
      <c r="Q335" s="55" t="n">
        <f aca="false">IF(P335,IF(01_因子設定!$B$13="最大化",N335-01_因子設定!$B$14,IF(01_因子設定!$B$13="最小化",01_因子設定!$B$15-O335,MIN(N335-01_因子設定!$B$14,01_因子設定!$B$15-O335))),-1E+030)</f>
        <v>-5.29845954397305</v>
      </c>
      <c r="R335" s="55" t="n">
        <f aca="false">IF(P335,IF(01_因子設定!$B$13="最大化",K335,IF(01_因子設定!$B$13="最小化",-K335,-ABS(K335-01_因子設定!$B$16))),-1E+030)</f>
        <v>42.8062413793103</v>
      </c>
      <c r="S335" s="55" t="n">
        <f aca="false">Q335+ROW()*0.000000001</f>
        <v>-5.29845920897305</v>
      </c>
      <c r="T335" s="55" t="n">
        <f aca="false">R335+ROW()*0.000000001</f>
        <v>42.8062417143103</v>
      </c>
    </row>
    <row r="336" customFormat="false" ht="15" hidden="false" customHeight="false" outlineLevel="0" collapsed="false">
      <c r="A336" s="0" t="n">
        <v>8</v>
      </c>
      <c r="B336" s="0" t="n">
        <v>3</v>
      </c>
      <c r="C336" s="0" t="n">
        <f aca="false">-1+A336*0.05</f>
        <v>-0.6</v>
      </c>
      <c r="D336" s="0" t="n">
        <f aca="false">-1+B336*0.05</f>
        <v>-0.85</v>
      </c>
      <c r="E336" s="0" t="n">
        <f aca="false">1</f>
        <v>1</v>
      </c>
      <c r="F336" s="0" t="n">
        <f aca="false">C336</f>
        <v>-0.6</v>
      </c>
      <c r="G336" s="0" t="n">
        <f aca="false">D336</f>
        <v>-0.85</v>
      </c>
      <c r="H336" s="0" t="n">
        <f aca="false">C336*D336</f>
        <v>0.51</v>
      </c>
      <c r="I336" s="0" t="n">
        <f aca="false">C336*C336</f>
        <v>0.36</v>
      </c>
      <c r="J336" s="0" t="n">
        <f aca="false">D336*D336</f>
        <v>0.7225</v>
      </c>
      <c r="K336" s="0" t="n">
        <f aca="false">SUMPRODUCT(E336:J336,_XtX!$B$53:$G$53)</f>
        <v>43.0380129310345</v>
      </c>
      <c r="L336" s="0" t="n">
        <f aca="false">SUMPRODUCT(MMULT(E336:J336,_XtX!$B$44:$G$49),E336:J336)</f>
        <v>0.358064619252874</v>
      </c>
      <c r="M336" s="0" t="n">
        <f aca="false">04_回帰ANOVA!$K$19*04_回帰ANOVA!$K$14*SQRT(1+L336)</f>
        <v>1.57919874361545</v>
      </c>
      <c r="N336" s="0" t="n">
        <f aca="false">K336-M336</f>
        <v>41.458814187419</v>
      </c>
      <c r="O336" s="0" t="n">
        <f aca="false">K336+M336</f>
        <v>44.6172116746499</v>
      </c>
      <c r="P336" s="54" t="b">
        <f aca="false">AND(C336&gt;=01_因子設定!$L$5-0.000000001,C336&lt;=01_因子設定!$M$5+0.000000001,D336&gt;=01_因子設定!$L$6-0.000000001,D336&lt;=01_因子設定!$M$6+0.000000001,IF(01_因子設定!$B$20="Box-Behnken",C336^2+D336^2&lt;=2+0.000000001,TRUE()))</f>
        <v>1</v>
      </c>
      <c r="Q336" s="55" t="n">
        <f aca="false">IF(P336,IF(01_因子設定!$B$13="最大化",N336-01_因子設定!$B$14,IF(01_因子設定!$B$13="最小化",01_因子設定!$B$15-O336,MIN(N336-01_因子設定!$B$14,01_因子設定!$B$15-O336))),-1E+030)</f>
        <v>-5.04118581258097</v>
      </c>
      <c r="R336" s="55" t="n">
        <f aca="false">IF(P336,IF(01_因子設定!$B$13="最大化",K336,IF(01_因子設定!$B$13="最小化",-K336,-ABS(K336-01_因子設定!$B$16))),-1E+030)</f>
        <v>43.0380129310345</v>
      </c>
      <c r="S336" s="55" t="n">
        <f aca="false">Q336+ROW()*0.000000001</f>
        <v>-5.04118547658097</v>
      </c>
      <c r="T336" s="55" t="n">
        <f aca="false">R336+ROW()*0.000000001</f>
        <v>43.0380132670345</v>
      </c>
    </row>
    <row r="337" customFormat="false" ht="15" hidden="false" customHeight="false" outlineLevel="0" collapsed="false">
      <c r="A337" s="0" t="n">
        <v>8</v>
      </c>
      <c r="B337" s="0" t="n">
        <v>4</v>
      </c>
      <c r="C337" s="0" t="n">
        <f aca="false">-1+A337*0.05</f>
        <v>-0.6</v>
      </c>
      <c r="D337" s="0" t="n">
        <f aca="false">-1+B337*0.05</f>
        <v>-0.8</v>
      </c>
      <c r="E337" s="0" t="n">
        <f aca="false">1</f>
        <v>1</v>
      </c>
      <c r="F337" s="0" t="n">
        <f aca="false">C337</f>
        <v>-0.6</v>
      </c>
      <c r="G337" s="0" t="n">
        <f aca="false">D337</f>
        <v>-0.8</v>
      </c>
      <c r="H337" s="0" t="n">
        <f aca="false">C337*D337</f>
        <v>0.48</v>
      </c>
      <c r="I337" s="0" t="n">
        <f aca="false">C337*C337</f>
        <v>0.36</v>
      </c>
      <c r="J337" s="0" t="n">
        <f aca="false">D337*D337</f>
        <v>0.64</v>
      </c>
      <c r="K337" s="0" t="n">
        <f aca="false">SUMPRODUCT(E337:J337,_XtX!$B$53:$G$53)</f>
        <v>43.2620689655172</v>
      </c>
      <c r="L337" s="0" t="n">
        <f aca="false">SUMPRODUCT(MMULT(E337:J337,_XtX!$B$44:$G$49),E337:J337)</f>
        <v>0.321452873563218</v>
      </c>
      <c r="M337" s="0" t="n">
        <f aca="false">04_回帰ANOVA!$K$19*04_回帰ANOVA!$K$14*SQRT(1+L337)</f>
        <v>1.55776668694898</v>
      </c>
      <c r="N337" s="0" t="n">
        <f aca="false">K337-M337</f>
        <v>41.7043022785683</v>
      </c>
      <c r="O337" s="0" t="n">
        <f aca="false">K337+M337</f>
        <v>44.8198356524662</v>
      </c>
      <c r="P337" s="54" t="b">
        <f aca="false">AND(C337&gt;=01_因子設定!$L$5-0.000000001,C337&lt;=01_因子設定!$M$5+0.000000001,D337&gt;=01_因子設定!$L$6-0.000000001,D337&lt;=01_因子設定!$M$6+0.000000001,IF(01_因子設定!$B$20="Box-Behnken",C337^2+D337^2&lt;=2+0.000000001,TRUE()))</f>
        <v>1</v>
      </c>
      <c r="Q337" s="55" t="n">
        <f aca="false">IF(P337,IF(01_因子設定!$B$13="最大化",N337-01_因子設定!$B$14,IF(01_因子設定!$B$13="最小化",01_因子設定!$B$15-O337,MIN(N337-01_因子設定!$B$14,01_因子設定!$B$15-O337))),-1E+030)</f>
        <v>-4.79569772143174</v>
      </c>
      <c r="R337" s="55" t="n">
        <f aca="false">IF(P337,IF(01_因子設定!$B$13="最大化",K337,IF(01_因子設定!$B$13="最小化",-K337,-ABS(K337-01_因子設定!$B$16))),-1E+030)</f>
        <v>43.2620689655172</v>
      </c>
      <c r="S337" s="55" t="n">
        <f aca="false">Q337+ROW()*0.000000001</f>
        <v>-4.79569738443174</v>
      </c>
      <c r="T337" s="55" t="n">
        <f aca="false">R337+ROW()*0.000000001</f>
        <v>43.2620693025172</v>
      </c>
    </row>
    <row r="338" customFormat="false" ht="15" hidden="false" customHeight="false" outlineLevel="0" collapsed="false">
      <c r="A338" s="0" t="n">
        <v>8</v>
      </c>
      <c r="B338" s="0" t="n">
        <v>5</v>
      </c>
      <c r="C338" s="0" t="n">
        <f aca="false">-1+A338*0.05</f>
        <v>-0.6</v>
      </c>
      <c r="D338" s="0" t="n">
        <f aca="false">-1+B338*0.05</f>
        <v>-0.75</v>
      </c>
      <c r="E338" s="0" t="n">
        <f aca="false">1</f>
        <v>1</v>
      </c>
      <c r="F338" s="0" t="n">
        <f aca="false">C338</f>
        <v>-0.6</v>
      </c>
      <c r="G338" s="0" t="n">
        <f aca="false">D338</f>
        <v>-0.75</v>
      </c>
      <c r="H338" s="0" t="n">
        <f aca="false">C338*D338</f>
        <v>0.45</v>
      </c>
      <c r="I338" s="0" t="n">
        <f aca="false">C338*C338</f>
        <v>0.36</v>
      </c>
      <c r="J338" s="0" t="n">
        <f aca="false">D338*D338</f>
        <v>0.5625</v>
      </c>
      <c r="K338" s="0" t="n">
        <f aca="false">SUMPRODUCT(E338:J338,_XtX!$B$53:$G$53)</f>
        <v>43.4784094827586</v>
      </c>
      <c r="L338" s="0" t="n">
        <f aca="false">SUMPRODUCT(MMULT(E338:J338,_XtX!$B$44:$G$49),E338:J338)</f>
        <v>0.291549676724138</v>
      </c>
      <c r="M338" s="0" t="n">
        <f aca="false">04_回帰ANOVA!$K$19*04_回帰ANOVA!$K$14*SQRT(1+L338)</f>
        <v>1.54004045665134</v>
      </c>
      <c r="N338" s="0" t="n">
        <f aca="false">K338-M338</f>
        <v>41.9383690261073</v>
      </c>
      <c r="O338" s="0" t="n">
        <f aca="false">K338+M338</f>
        <v>45.01844993941</v>
      </c>
      <c r="P338" s="54" t="b">
        <f aca="false">AND(C338&gt;=01_因子設定!$L$5-0.000000001,C338&lt;=01_因子設定!$M$5+0.000000001,D338&gt;=01_因子設定!$L$6-0.000000001,D338&lt;=01_因子設定!$M$6+0.000000001,IF(01_因子設定!$B$20="Box-Behnken",C338^2+D338^2&lt;=2+0.000000001,TRUE()))</f>
        <v>1</v>
      </c>
      <c r="Q338" s="55" t="n">
        <f aca="false">IF(P338,IF(01_因子設定!$B$13="最大化",N338-01_因子設定!$B$14,IF(01_因子設定!$B$13="最小化",01_因子設定!$B$15-O338,MIN(N338-01_因子設定!$B$14,01_因子設定!$B$15-O338))),-1E+030)</f>
        <v>-4.56163097389272</v>
      </c>
      <c r="R338" s="55" t="n">
        <f aca="false">IF(P338,IF(01_因子設定!$B$13="最大化",K338,IF(01_因子設定!$B$13="最小化",-K338,-ABS(K338-01_因子設定!$B$16))),-1E+030)</f>
        <v>43.4784094827586</v>
      </c>
      <c r="S338" s="55" t="n">
        <f aca="false">Q338+ROW()*0.000000001</f>
        <v>-4.56163063589272</v>
      </c>
      <c r="T338" s="55" t="n">
        <f aca="false">R338+ROW()*0.000000001</f>
        <v>43.4784098207586</v>
      </c>
    </row>
    <row r="339" customFormat="false" ht="15" hidden="false" customHeight="false" outlineLevel="0" collapsed="false">
      <c r="A339" s="0" t="n">
        <v>8</v>
      </c>
      <c r="B339" s="0" t="n">
        <v>6</v>
      </c>
      <c r="C339" s="0" t="n">
        <f aca="false">-1+A339*0.05</f>
        <v>-0.6</v>
      </c>
      <c r="D339" s="0" t="n">
        <f aca="false">-1+B339*0.05</f>
        <v>-0.7</v>
      </c>
      <c r="E339" s="0" t="n">
        <f aca="false">1</f>
        <v>1</v>
      </c>
      <c r="F339" s="0" t="n">
        <f aca="false">C339</f>
        <v>-0.6</v>
      </c>
      <c r="G339" s="0" t="n">
        <f aca="false">D339</f>
        <v>-0.7</v>
      </c>
      <c r="H339" s="0" t="n">
        <f aca="false">C339*D339</f>
        <v>0.42</v>
      </c>
      <c r="I339" s="0" t="n">
        <f aca="false">C339*C339</f>
        <v>0.36</v>
      </c>
      <c r="J339" s="0" t="n">
        <f aca="false">D339*D339</f>
        <v>0.49</v>
      </c>
      <c r="K339" s="0" t="n">
        <f aca="false">SUMPRODUCT(E339:J339,_XtX!$B$53:$G$53)</f>
        <v>43.6870344827586</v>
      </c>
      <c r="L339" s="0" t="n">
        <f aca="false">SUMPRODUCT(MMULT(E339:J339,_XtX!$B$44:$G$49),E339:J339)</f>
        <v>0.267513218390805</v>
      </c>
      <c r="M339" s="0" t="n">
        <f aca="false">04_回帰ANOVA!$K$19*04_回帰ANOVA!$K$14*SQRT(1+L339)</f>
        <v>1.52564264921817</v>
      </c>
      <c r="N339" s="0" t="n">
        <f aca="false">K339-M339</f>
        <v>42.1613918335404</v>
      </c>
      <c r="O339" s="0" t="n">
        <f aca="false">K339+M339</f>
        <v>45.2126771319768</v>
      </c>
      <c r="P339" s="54" t="b">
        <f aca="false">AND(C339&gt;=01_因子設定!$L$5-0.000000001,C339&lt;=01_因子設定!$M$5+0.000000001,D339&gt;=01_因子設定!$L$6-0.000000001,D339&lt;=01_因子設定!$M$6+0.000000001,IF(01_因子設定!$B$20="Box-Behnken",C339^2+D339^2&lt;=2+0.000000001,TRUE()))</f>
        <v>1</v>
      </c>
      <c r="Q339" s="55" t="n">
        <f aca="false">IF(P339,IF(01_因子設定!$B$13="最大化",N339-01_因子設定!$B$14,IF(01_因子設定!$B$13="最小化",01_因子設定!$B$15-O339,MIN(N339-01_因子設定!$B$14,01_因子設定!$B$15-O339))),-1E+030)</f>
        <v>-4.33860816645957</v>
      </c>
      <c r="R339" s="55" t="n">
        <f aca="false">IF(P339,IF(01_因子設定!$B$13="最大化",K339,IF(01_因子設定!$B$13="最小化",-K339,-ABS(K339-01_因子設定!$B$16))),-1E+030)</f>
        <v>43.6870344827586</v>
      </c>
      <c r="S339" s="55" t="n">
        <f aca="false">Q339+ROW()*0.000000001</f>
        <v>-4.33860782745957</v>
      </c>
      <c r="T339" s="55" t="n">
        <f aca="false">R339+ROW()*0.000000001</f>
        <v>43.6870348217586</v>
      </c>
    </row>
    <row r="340" customFormat="false" ht="15" hidden="false" customHeight="false" outlineLevel="0" collapsed="false">
      <c r="A340" s="0" t="n">
        <v>8</v>
      </c>
      <c r="B340" s="0" t="n">
        <v>7</v>
      </c>
      <c r="C340" s="0" t="n">
        <f aca="false">-1+A340*0.05</f>
        <v>-0.6</v>
      </c>
      <c r="D340" s="0" t="n">
        <f aca="false">-1+B340*0.05</f>
        <v>-0.65</v>
      </c>
      <c r="E340" s="0" t="n">
        <f aca="false">1</f>
        <v>1</v>
      </c>
      <c r="F340" s="0" t="n">
        <f aca="false">C340</f>
        <v>-0.6</v>
      </c>
      <c r="G340" s="0" t="n">
        <f aca="false">D340</f>
        <v>-0.65</v>
      </c>
      <c r="H340" s="0" t="n">
        <f aca="false">C340*D340</f>
        <v>0.39</v>
      </c>
      <c r="I340" s="0" t="n">
        <f aca="false">C340*C340</f>
        <v>0.36</v>
      </c>
      <c r="J340" s="0" t="n">
        <f aca="false">D340*D340</f>
        <v>0.4225</v>
      </c>
      <c r="K340" s="0" t="n">
        <f aca="false">SUMPRODUCT(E340:J340,_XtX!$B$53:$G$53)</f>
        <v>43.8879439655172</v>
      </c>
      <c r="L340" s="0" t="n">
        <f aca="false">SUMPRODUCT(MMULT(E340:J340,_XtX!$B$44:$G$49),E340:J340)</f>
        <v>0.248555998563218</v>
      </c>
      <c r="M340" s="0" t="n">
        <f aca="false">04_回帰ANOVA!$K$19*04_回帰ANOVA!$K$14*SQRT(1+L340)</f>
        <v>1.51419073700187</v>
      </c>
      <c r="N340" s="0" t="n">
        <f aca="false">K340-M340</f>
        <v>42.3737532285154</v>
      </c>
      <c r="O340" s="0" t="n">
        <f aca="false">K340+M340</f>
        <v>45.4021347025191</v>
      </c>
      <c r="P340" s="54" t="b">
        <f aca="false">AND(C340&gt;=01_因子設定!$L$5-0.000000001,C340&lt;=01_因子設定!$M$5+0.000000001,D340&gt;=01_因子設定!$L$6-0.000000001,D340&lt;=01_因子設定!$M$6+0.000000001,IF(01_因子設定!$B$20="Box-Behnken",C340^2+D340^2&lt;=2+0.000000001,TRUE()))</f>
        <v>1</v>
      </c>
      <c r="Q340" s="55" t="n">
        <f aca="false">IF(P340,IF(01_因子設定!$B$13="最大化",N340-01_因子設定!$B$14,IF(01_因子設定!$B$13="最小化",01_因子設定!$B$15-O340,MIN(N340-01_因子設定!$B$14,01_因子設定!$B$15-O340))),-1E+030)</f>
        <v>-4.12624677148463</v>
      </c>
      <c r="R340" s="55" t="n">
        <f aca="false">IF(P340,IF(01_因子設定!$B$13="最大化",K340,IF(01_因子設定!$B$13="最小化",-K340,-ABS(K340-01_因子設定!$B$16))),-1E+030)</f>
        <v>43.8879439655172</v>
      </c>
      <c r="S340" s="55" t="n">
        <f aca="false">Q340+ROW()*0.000000001</f>
        <v>-4.12624643148463</v>
      </c>
      <c r="T340" s="55" t="n">
        <f aca="false">R340+ROW()*0.000000001</f>
        <v>43.8879443055172</v>
      </c>
    </row>
    <row r="341" customFormat="false" ht="15" hidden="false" customHeight="false" outlineLevel="0" collapsed="false">
      <c r="A341" s="0" t="n">
        <v>8</v>
      </c>
      <c r="B341" s="0" t="n">
        <v>8</v>
      </c>
      <c r="C341" s="0" t="n">
        <f aca="false">-1+A341*0.05</f>
        <v>-0.6</v>
      </c>
      <c r="D341" s="0" t="n">
        <f aca="false">-1+B341*0.05</f>
        <v>-0.6</v>
      </c>
      <c r="E341" s="0" t="n">
        <f aca="false">1</f>
        <v>1</v>
      </c>
      <c r="F341" s="0" t="n">
        <f aca="false">C341</f>
        <v>-0.6</v>
      </c>
      <c r="G341" s="0" t="n">
        <f aca="false">D341</f>
        <v>-0.6</v>
      </c>
      <c r="H341" s="0" t="n">
        <f aca="false">C341*D341</f>
        <v>0.36</v>
      </c>
      <c r="I341" s="0" t="n">
        <f aca="false">C341*C341</f>
        <v>0.36</v>
      </c>
      <c r="J341" s="0" t="n">
        <f aca="false">D341*D341</f>
        <v>0.36</v>
      </c>
      <c r="K341" s="0" t="n">
        <f aca="false">SUMPRODUCT(E341:J341,_XtX!$B$53:$G$53)</f>
        <v>44.0811379310345</v>
      </c>
      <c r="L341" s="0" t="n">
        <f aca="false">SUMPRODUCT(MMULT(E341:J341,_XtX!$B$44:$G$49),E341:J341)</f>
        <v>0.233944827586207</v>
      </c>
      <c r="M341" s="0" t="n">
        <f aca="false">04_回帰ANOVA!$K$19*04_回帰ANOVA!$K$14*SQRT(1+L341)</f>
        <v>1.50530478880588</v>
      </c>
      <c r="N341" s="0" t="n">
        <f aca="false">K341-M341</f>
        <v>42.5758331422286</v>
      </c>
      <c r="O341" s="0" t="n">
        <f aca="false">K341+M341</f>
        <v>45.5864427198404</v>
      </c>
      <c r="P341" s="54" t="b">
        <f aca="false">AND(C341&gt;=01_因子設定!$L$5-0.000000001,C341&lt;=01_因子設定!$M$5+0.000000001,D341&gt;=01_因子設定!$L$6-0.000000001,D341&lt;=01_因子設定!$M$6+0.000000001,IF(01_因子設定!$B$20="Box-Behnken",C341^2+D341^2&lt;=2+0.000000001,TRUE()))</f>
        <v>1</v>
      </c>
      <c r="Q341" s="55" t="n">
        <f aca="false">IF(P341,IF(01_因子設定!$B$13="最大化",N341-01_因子設定!$B$14,IF(01_因子設定!$B$13="最小化",01_因子設定!$B$15-O341,MIN(N341-01_因子設定!$B$14,01_因子設定!$B$15-O341))),-1E+030)</f>
        <v>-3.9241668577714</v>
      </c>
      <c r="R341" s="55" t="n">
        <f aca="false">IF(P341,IF(01_因子設定!$B$13="最大化",K341,IF(01_因子設定!$B$13="最小化",-K341,-ABS(K341-01_因子設定!$B$16))),-1E+030)</f>
        <v>44.0811379310345</v>
      </c>
      <c r="S341" s="55" t="n">
        <f aca="false">Q341+ROW()*0.000000001</f>
        <v>-3.9241665167714</v>
      </c>
      <c r="T341" s="55" t="n">
        <f aca="false">R341+ROW()*0.000000001</f>
        <v>44.0811382720345</v>
      </c>
    </row>
    <row r="342" customFormat="false" ht="15" hidden="false" customHeight="false" outlineLevel="0" collapsed="false">
      <c r="A342" s="0" t="n">
        <v>8</v>
      </c>
      <c r="B342" s="0" t="n">
        <v>9</v>
      </c>
      <c r="C342" s="0" t="n">
        <f aca="false">-1+A342*0.05</f>
        <v>-0.6</v>
      </c>
      <c r="D342" s="0" t="n">
        <f aca="false">-1+B342*0.05</f>
        <v>-0.55</v>
      </c>
      <c r="E342" s="0" t="n">
        <f aca="false">1</f>
        <v>1</v>
      </c>
      <c r="F342" s="0" t="n">
        <f aca="false">C342</f>
        <v>-0.6</v>
      </c>
      <c r="G342" s="0" t="n">
        <f aca="false">D342</f>
        <v>-0.55</v>
      </c>
      <c r="H342" s="0" t="n">
        <f aca="false">C342*D342</f>
        <v>0.33</v>
      </c>
      <c r="I342" s="0" t="n">
        <f aca="false">C342*C342</f>
        <v>0.36</v>
      </c>
      <c r="J342" s="0" t="n">
        <f aca="false">D342*D342</f>
        <v>0.3025</v>
      </c>
      <c r="K342" s="0" t="n">
        <f aca="false">SUMPRODUCT(E342:J342,_XtX!$B$53:$G$53)</f>
        <v>44.2666163793103</v>
      </c>
      <c r="L342" s="0" t="n">
        <f aca="false">SUMPRODUCT(MMULT(E342:J342,_XtX!$B$44:$G$49),E342:J342)</f>
        <v>0.223000826149425</v>
      </c>
      <c r="M342" s="0" t="n">
        <f aca="false">04_回帰ANOVA!$K$19*04_回帰ANOVA!$K$14*SQRT(1+L342)</f>
        <v>1.49861455927642</v>
      </c>
      <c r="N342" s="0" t="n">
        <f aca="false">K342-M342</f>
        <v>42.7680018200339</v>
      </c>
      <c r="O342" s="0" t="n">
        <f aca="false">K342+M342</f>
        <v>45.7652309385868</v>
      </c>
      <c r="P342" s="54" t="b">
        <f aca="false">AND(C342&gt;=01_因子設定!$L$5-0.000000001,C342&lt;=01_因子設定!$M$5+0.000000001,D342&gt;=01_因子設定!$L$6-0.000000001,D342&lt;=01_因子設定!$M$6+0.000000001,IF(01_因子設定!$B$20="Box-Behnken",C342^2+D342^2&lt;=2+0.000000001,TRUE()))</f>
        <v>1</v>
      </c>
      <c r="Q342" s="55" t="n">
        <f aca="false">IF(P342,IF(01_因子設定!$B$13="最大化",N342-01_因子設定!$B$14,IF(01_因子設定!$B$13="最小化",01_因子設定!$B$15-O342,MIN(N342-01_因子設定!$B$14,01_因子設定!$B$15-O342))),-1E+030)</f>
        <v>-3.73199817996608</v>
      </c>
      <c r="R342" s="55" t="n">
        <f aca="false">IF(P342,IF(01_因子設定!$B$13="最大化",K342,IF(01_因子設定!$B$13="最小化",-K342,-ABS(K342-01_因子設定!$B$16))),-1E+030)</f>
        <v>44.2666163793103</v>
      </c>
      <c r="S342" s="55" t="n">
        <f aca="false">Q342+ROW()*0.000000001</f>
        <v>-3.73199783796608</v>
      </c>
      <c r="T342" s="55" t="n">
        <f aca="false">R342+ROW()*0.000000001</f>
        <v>44.2666167213103</v>
      </c>
    </row>
    <row r="343" customFormat="false" ht="15" hidden="false" customHeight="false" outlineLevel="0" collapsed="false">
      <c r="A343" s="0" t="n">
        <v>8</v>
      </c>
      <c r="B343" s="0" t="n">
        <v>10</v>
      </c>
      <c r="C343" s="0" t="n">
        <f aca="false">-1+A343*0.05</f>
        <v>-0.6</v>
      </c>
      <c r="D343" s="0" t="n">
        <f aca="false">-1+B343*0.05</f>
        <v>-0.5</v>
      </c>
      <c r="E343" s="0" t="n">
        <f aca="false">1</f>
        <v>1</v>
      </c>
      <c r="F343" s="0" t="n">
        <f aca="false">C343</f>
        <v>-0.6</v>
      </c>
      <c r="G343" s="0" t="n">
        <f aca="false">D343</f>
        <v>-0.5</v>
      </c>
      <c r="H343" s="0" t="n">
        <f aca="false">C343*D343</f>
        <v>0.3</v>
      </c>
      <c r="I343" s="0" t="n">
        <f aca="false">C343*C343</f>
        <v>0.36</v>
      </c>
      <c r="J343" s="0" t="n">
        <f aca="false">D343*D343</f>
        <v>0.25</v>
      </c>
      <c r="K343" s="0" t="n">
        <f aca="false">SUMPRODUCT(E343:J343,_XtX!$B$53:$G$53)</f>
        <v>44.4443793103448</v>
      </c>
      <c r="L343" s="0" t="n">
        <f aca="false">SUMPRODUCT(MMULT(E343:J343,_XtX!$B$44:$G$49),E343:J343)</f>
        <v>0.215099425287356</v>
      </c>
      <c r="M343" s="0" t="n">
        <f aca="false">04_回帰ANOVA!$K$19*04_回帰ANOVA!$K$14*SQRT(1+L343)</f>
        <v>1.49376569017207</v>
      </c>
      <c r="N343" s="0" t="n">
        <f aca="false">K343-M343</f>
        <v>42.9506136201728</v>
      </c>
      <c r="O343" s="0" t="n">
        <f aca="false">K343+M343</f>
        <v>45.9381450005169</v>
      </c>
      <c r="P343" s="54" t="b">
        <f aca="false">AND(C343&gt;=01_因子設定!$L$5-0.000000001,C343&lt;=01_因子設定!$M$5+0.000000001,D343&gt;=01_因子設定!$L$6-0.000000001,D343&lt;=01_因子設定!$M$6+0.000000001,IF(01_因子設定!$B$20="Box-Behnken",C343^2+D343^2&lt;=2+0.000000001,TRUE()))</f>
        <v>1</v>
      </c>
      <c r="Q343" s="55" t="n">
        <f aca="false">IF(P343,IF(01_因子設定!$B$13="最大化",N343-01_因子設定!$B$14,IF(01_因子設定!$B$13="最小化",01_因子設定!$B$15-O343,MIN(N343-01_因子設定!$B$14,01_因子設定!$B$15-O343))),-1E+030)</f>
        <v>-3.54938637982725</v>
      </c>
      <c r="R343" s="55" t="n">
        <f aca="false">IF(P343,IF(01_因子設定!$B$13="最大化",K343,IF(01_因子設定!$B$13="最小化",-K343,-ABS(K343-01_因子設定!$B$16))),-1E+030)</f>
        <v>44.4443793103448</v>
      </c>
      <c r="S343" s="55" t="n">
        <f aca="false">Q343+ROW()*0.000000001</f>
        <v>-3.54938603682725</v>
      </c>
      <c r="T343" s="55" t="n">
        <f aca="false">R343+ROW()*0.000000001</f>
        <v>44.4443796533448</v>
      </c>
    </row>
    <row r="344" customFormat="false" ht="15" hidden="false" customHeight="false" outlineLevel="0" collapsed="false">
      <c r="A344" s="0" t="n">
        <v>8</v>
      </c>
      <c r="B344" s="0" t="n">
        <v>11</v>
      </c>
      <c r="C344" s="0" t="n">
        <f aca="false">-1+A344*0.05</f>
        <v>-0.6</v>
      </c>
      <c r="D344" s="0" t="n">
        <f aca="false">-1+B344*0.05</f>
        <v>-0.45</v>
      </c>
      <c r="E344" s="0" t="n">
        <f aca="false">1</f>
        <v>1</v>
      </c>
      <c r="F344" s="0" t="n">
        <f aca="false">C344</f>
        <v>-0.6</v>
      </c>
      <c r="G344" s="0" t="n">
        <f aca="false">D344</f>
        <v>-0.45</v>
      </c>
      <c r="H344" s="0" t="n">
        <f aca="false">C344*D344</f>
        <v>0.27</v>
      </c>
      <c r="I344" s="0" t="n">
        <f aca="false">C344*C344</f>
        <v>0.36</v>
      </c>
      <c r="J344" s="0" t="n">
        <f aca="false">D344*D344</f>
        <v>0.2025</v>
      </c>
      <c r="K344" s="0" t="n">
        <f aca="false">SUMPRODUCT(E344:J344,_XtX!$B$53:$G$53)</f>
        <v>44.6144267241379</v>
      </c>
      <c r="L344" s="0" t="n">
        <f aca="false">SUMPRODUCT(MMULT(E344:J344,_XtX!$B$44:$G$49),E344:J344)</f>
        <v>0.20967036637931</v>
      </c>
      <c r="M344" s="0" t="n">
        <f aca="false">04_回帰ANOVA!$K$19*04_回帰ANOVA!$K$14*SQRT(1+L344)</f>
        <v>1.49042488503951</v>
      </c>
      <c r="N344" s="0" t="n">
        <f aca="false">K344-M344</f>
        <v>43.1240018390984</v>
      </c>
      <c r="O344" s="0" t="n">
        <f aca="false">K344+M344</f>
        <v>46.1048516091774</v>
      </c>
      <c r="P344" s="54" t="b">
        <f aca="false">AND(C344&gt;=01_因子設定!$L$5-0.000000001,C344&lt;=01_因子設定!$M$5+0.000000001,D344&gt;=01_因子設定!$L$6-0.000000001,D344&lt;=01_因子設定!$M$6+0.000000001,IF(01_因子設定!$B$20="Box-Behnken",C344^2+D344^2&lt;=2+0.000000001,TRUE()))</f>
        <v>1</v>
      </c>
      <c r="Q344" s="55" t="n">
        <f aca="false">IF(P344,IF(01_因子設定!$B$13="最大化",N344-01_因子設定!$B$14,IF(01_因子設定!$B$13="最小化",01_因子設定!$B$15-O344,MIN(N344-01_因子設定!$B$14,01_因子設定!$B$15-O344))),-1E+030)</f>
        <v>-3.37599816090159</v>
      </c>
      <c r="R344" s="55" t="n">
        <f aca="false">IF(P344,IF(01_因子設定!$B$13="最大化",K344,IF(01_因子設定!$B$13="最小化",-K344,-ABS(K344-01_因子設定!$B$16))),-1E+030)</f>
        <v>44.6144267241379</v>
      </c>
      <c r="S344" s="55" t="n">
        <f aca="false">Q344+ROW()*0.000000001</f>
        <v>-3.37599781690159</v>
      </c>
      <c r="T344" s="55" t="n">
        <f aca="false">R344+ROW()*0.000000001</f>
        <v>44.6144270681379</v>
      </c>
    </row>
    <row r="345" customFormat="false" ht="15" hidden="false" customHeight="false" outlineLevel="0" collapsed="false">
      <c r="A345" s="0" t="n">
        <v>8</v>
      </c>
      <c r="B345" s="0" t="n">
        <v>12</v>
      </c>
      <c r="C345" s="0" t="n">
        <f aca="false">-1+A345*0.05</f>
        <v>-0.6</v>
      </c>
      <c r="D345" s="0" t="n">
        <f aca="false">-1+B345*0.05</f>
        <v>-0.4</v>
      </c>
      <c r="E345" s="0" t="n">
        <f aca="false">1</f>
        <v>1</v>
      </c>
      <c r="F345" s="0" t="n">
        <f aca="false">C345</f>
        <v>-0.6</v>
      </c>
      <c r="G345" s="0" t="n">
        <f aca="false">D345</f>
        <v>-0.4</v>
      </c>
      <c r="H345" s="0" t="n">
        <f aca="false">C345*D345</f>
        <v>0.24</v>
      </c>
      <c r="I345" s="0" t="n">
        <f aca="false">C345*C345</f>
        <v>0.36</v>
      </c>
      <c r="J345" s="0" t="n">
        <f aca="false">D345*D345</f>
        <v>0.16</v>
      </c>
      <c r="K345" s="0" t="n">
        <f aca="false">SUMPRODUCT(E345:J345,_XtX!$B$53:$G$53)</f>
        <v>44.7767586206897</v>
      </c>
      <c r="L345" s="0" t="n">
        <f aca="false">SUMPRODUCT(MMULT(E345:J345,_XtX!$B$44:$G$49),E345:J345)</f>
        <v>0.206197701149425</v>
      </c>
      <c r="M345" s="0" t="n">
        <f aca="false">04_回帰ANOVA!$K$19*04_回帰ANOVA!$K$14*SQRT(1+L345)</f>
        <v>1.48828402636661</v>
      </c>
      <c r="N345" s="0" t="n">
        <f aca="false">K345-M345</f>
        <v>43.288474594323</v>
      </c>
      <c r="O345" s="0" t="n">
        <f aca="false">K345+M345</f>
        <v>46.2650426470563</v>
      </c>
      <c r="P345" s="54" t="b">
        <f aca="false">AND(C345&gt;=01_因子設定!$L$5-0.000000001,C345&lt;=01_因子設定!$M$5+0.000000001,D345&gt;=01_因子設定!$L$6-0.000000001,D345&lt;=01_因子設定!$M$6+0.000000001,IF(01_因子設定!$B$20="Box-Behnken",C345^2+D345^2&lt;=2+0.000000001,TRUE()))</f>
        <v>1</v>
      </c>
      <c r="Q345" s="55" t="n">
        <f aca="false">IF(P345,IF(01_因子設定!$B$13="最大化",N345-01_因子設定!$B$14,IF(01_因子設定!$B$13="最小化",01_因子設定!$B$15-O345,MIN(N345-01_因子設定!$B$14,01_因子設定!$B$15-O345))),-1E+030)</f>
        <v>-3.21152540567697</v>
      </c>
      <c r="R345" s="55" t="n">
        <f aca="false">IF(P345,IF(01_因子設定!$B$13="最大化",K345,IF(01_因子設定!$B$13="最小化",-K345,-ABS(K345-01_因子設定!$B$16))),-1E+030)</f>
        <v>44.7767586206897</v>
      </c>
      <c r="S345" s="55" t="n">
        <f aca="false">Q345+ROW()*0.000000001</f>
        <v>-3.21152506067697</v>
      </c>
      <c r="T345" s="55" t="n">
        <f aca="false">R345+ROW()*0.000000001</f>
        <v>44.7767589656896</v>
      </c>
    </row>
    <row r="346" customFormat="false" ht="15" hidden="false" customHeight="false" outlineLevel="0" collapsed="false">
      <c r="A346" s="0" t="n">
        <v>8</v>
      </c>
      <c r="B346" s="0" t="n">
        <v>13</v>
      </c>
      <c r="C346" s="0" t="n">
        <f aca="false">-1+A346*0.05</f>
        <v>-0.6</v>
      </c>
      <c r="D346" s="0" t="n">
        <f aca="false">-1+B346*0.05</f>
        <v>-0.35</v>
      </c>
      <c r="E346" s="0" t="n">
        <f aca="false">1</f>
        <v>1</v>
      </c>
      <c r="F346" s="0" t="n">
        <f aca="false">C346</f>
        <v>-0.6</v>
      </c>
      <c r="G346" s="0" t="n">
        <f aca="false">D346</f>
        <v>-0.35</v>
      </c>
      <c r="H346" s="0" t="n">
        <f aca="false">C346*D346</f>
        <v>0.21</v>
      </c>
      <c r="I346" s="0" t="n">
        <f aca="false">C346*C346</f>
        <v>0.36</v>
      </c>
      <c r="J346" s="0" t="n">
        <f aca="false">D346*D346</f>
        <v>0.1225</v>
      </c>
      <c r="K346" s="0" t="n">
        <f aca="false">SUMPRODUCT(E346:J346,_XtX!$B$53:$G$53)</f>
        <v>44.931375</v>
      </c>
      <c r="L346" s="0" t="n">
        <f aca="false">SUMPRODUCT(MMULT(E346:J346,_XtX!$B$44:$G$49),E346:J346)</f>
        <v>0.204219791666667</v>
      </c>
      <c r="M346" s="0" t="n">
        <f aca="false">04_回帰ANOVA!$K$19*04_回帰ANOVA!$K$14*SQRT(1+L346)</f>
        <v>1.48706328998387</v>
      </c>
      <c r="N346" s="0" t="n">
        <f aca="false">K346-M346</f>
        <v>43.4443117100161</v>
      </c>
      <c r="O346" s="0" t="n">
        <f aca="false">K346+M346</f>
        <v>46.4184382899839</v>
      </c>
      <c r="P346" s="54" t="b">
        <f aca="false">AND(C346&gt;=01_因子設定!$L$5-0.000000001,C346&lt;=01_因子設定!$M$5+0.000000001,D346&gt;=01_因子設定!$L$6-0.000000001,D346&lt;=01_因子設定!$M$6+0.000000001,IF(01_因子設定!$B$20="Box-Behnken",C346^2+D346^2&lt;=2+0.000000001,TRUE()))</f>
        <v>1</v>
      </c>
      <c r="Q346" s="55" t="n">
        <f aca="false">IF(P346,IF(01_因子設定!$B$13="最大化",N346-01_因子設定!$B$14,IF(01_因子設定!$B$13="最小化",01_因子設定!$B$15-O346,MIN(N346-01_因子設定!$B$14,01_因子設定!$B$15-O346))),-1E+030)</f>
        <v>-3.05568828998388</v>
      </c>
      <c r="R346" s="55" t="n">
        <f aca="false">IF(P346,IF(01_因子設定!$B$13="最大化",K346,IF(01_因子設定!$B$13="最小化",-K346,-ABS(K346-01_因子設定!$B$16))),-1E+030)</f>
        <v>44.931375</v>
      </c>
      <c r="S346" s="55" t="n">
        <f aca="false">Q346+ROW()*0.000000001</f>
        <v>-3.05568794398388</v>
      </c>
      <c r="T346" s="55" t="n">
        <f aca="false">R346+ROW()*0.000000001</f>
        <v>44.931375346</v>
      </c>
    </row>
    <row r="347" customFormat="false" ht="15" hidden="false" customHeight="false" outlineLevel="0" collapsed="false">
      <c r="A347" s="0" t="n">
        <v>8</v>
      </c>
      <c r="B347" s="0" t="n">
        <v>14</v>
      </c>
      <c r="C347" s="0" t="n">
        <f aca="false">-1+A347*0.05</f>
        <v>-0.6</v>
      </c>
      <c r="D347" s="0" t="n">
        <f aca="false">-1+B347*0.05</f>
        <v>-0.3</v>
      </c>
      <c r="E347" s="0" t="n">
        <f aca="false">1</f>
        <v>1</v>
      </c>
      <c r="F347" s="0" t="n">
        <f aca="false">C347</f>
        <v>-0.6</v>
      </c>
      <c r="G347" s="0" t="n">
        <f aca="false">D347</f>
        <v>-0.3</v>
      </c>
      <c r="H347" s="0" t="n">
        <f aca="false">C347*D347</f>
        <v>0.18</v>
      </c>
      <c r="I347" s="0" t="n">
        <f aca="false">C347*C347</f>
        <v>0.36</v>
      </c>
      <c r="J347" s="0" t="n">
        <f aca="false">D347*D347</f>
        <v>0.09</v>
      </c>
      <c r="K347" s="0" t="n">
        <f aca="false">SUMPRODUCT(E347:J347,_XtX!$B$53:$G$53)</f>
        <v>45.078275862069</v>
      </c>
      <c r="L347" s="0" t="n">
        <f aca="false">SUMPRODUCT(MMULT(E347:J347,_XtX!$B$44:$G$49),E347:J347)</f>
        <v>0.203329310344828</v>
      </c>
      <c r="M347" s="0" t="n">
        <f aca="false">04_回帰ANOVA!$K$19*04_回帰ANOVA!$K$14*SQRT(1+L347)</f>
        <v>1.48651337086407</v>
      </c>
      <c r="N347" s="0" t="n">
        <f aca="false">K347-M347</f>
        <v>43.5917624912049</v>
      </c>
      <c r="O347" s="0" t="n">
        <f aca="false">K347+M347</f>
        <v>46.564789232933</v>
      </c>
      <c r="P347" s="54" t="b">
        <f aca="false">AND(C347&gt;=01_因子設定!$L$5-0.000000001,C347&lt;=01_因子設定!$M$5+0.000000001,D347&gt;=01_因子設定!$L$6-0.000000001,D347&lt;=01_因子設定!$M$6+0.000000001,IF(01_因子設定!$B$20="Box-Behnken",C347^2+D347^2&lt;=2+0.000000001,TRUE()))</f>
        <v>1</v>
      </c>
      <c r="Q347" s="55" t="n">
        <f aca="false">IF(P347,IF(01_因子設定!$B$13="最大化",N347-01_因子設定!$B$14,IF(01_因子設定!$B$13="最小化",01_因子設定!$B$15-O347,MIN(N347-01_因子設定!$B$14,01_因子設定!$B$15-O347))),-1E+030)</f>
        <v>-2.90823750879512</v>
      </c>
      <c r="R347" s="55" t="n">
        <f aca="false">IF(P347,IF(01_因子設定!$B$13="最大化",K347,IF(01_因子設定!$B$13="最小化",-K347,-ABS(K347-01_因子設定!$B$16))),-1E+030)</f>
        <v>45.078275862069</v>
      </c>
      <c r="S347" s="55" t="n">
        <f aca="false">Q347+ROW()*0.000000001</f>
        <v>-2.90823716179512</v>
      </c>
      <c r="T347" s="55" t="n">
        <f aca="false">R347+ROW()*0.000000001</f>
        <v>45.078276209069</v>
      </c>
    </row>
    <row r="348" customFormat="false" ht="15" hidden="false" customHeight="false" outlineLevel="0" collapsed="false">
      <c r="A348" s="0" t="n">
        <v>8</v>
      </c>
      <c r="B348" s="0" t="n">
        <v>15</v>
      </c>
      <c r="C348" s="0" t="n">
        <f aca="false">-1+A348*0.05</f>
        <v>-0.6</v>
      </c>
      <c r="D348" s="0" t="n">
        <f aca="false">-1+B348*0.05</f>
        <v>-0.25</v>
      </c>
      <c r="E348" s="0" t="n">
        <f aca="false">1</f>
        <v>1</v>
      </c>
      <c r="F348" s="0" t="n">
        <f aca="false">C348</f>
        <v>-0.6</v>
      </c>
      <c r="G348" s="0" t="n">
        <f aca="false">D348</f>
        <v>-0.25</v>
      </c>
      <c r="H348" s="0" t="n">
        <f aca="false">C348*D348</f>
        <v>0.15</v>
      </c>
      <c r="I348" s="0" t="n">
        <f aca="false">C348*C348</f>
        <v>0.36</v>
      </c>
      <c r="J348" s="0" t="n">
        <f aca="false">D348*D348</f>
        <v>0.0625</v>
      </c>
      <c r="K348" s="0" t="n">
        <f aca="false">SUMPRODUCT(E348:J348,_XtX!$B$53:$G$53)</f>
        <v>45.2174612068965</v>
      </c>
      <c r="L348" s="0" t="n">
        <f aca="false">SUMPRODUCT(MMULT(E348:J348,_XtX!$B$44:$G$49),E348:J348)</f>
        <v>0.203173239942529</v>
      </c>
      <c r="M348" s="0" t="n">
        <f aca="false">04_回帰ANOVA!$K$19*04_回帰ANOVA!$K$14*SQRT(1+L348)</f>
        <v>1.48641696821649</v>
      </c>
      <c r="N348" s="0" t="n">
        <f aca="false">K348-M348</f>
        <v>43.7310442386801</v>
      </c>
      <c r="O348" s="0" t="n">
        <f aca="false">K348+M348</f>
        <v>46.703878175113</v>
      </c>
      <c r="P348" s="54" t="b">
        <f aca="false">AND(C348&gt;=01_因子設定!$L$5-0.000000001,C348&lt;=01_因子設定!$M$5+0.000000001,D348&gt;=01_因子設定!$L$6-0.000000001,D348&lt;=01_因子設定!$M$6+0.000000001,IF(01_因子設定!$B$20="Box-Behnken",C348^2+D348^2&lt;=2+0.000000001,TRUE()))</f>
        <v>1</v>
      </c>
      <c r="Q348" s="55" t="n">
        <f aca="false">IF(P348,IF(01_因子設定!$B$13="最大化",N348-01_因子設定!$B$14,IF(01_因子設定!$B$13="最小化",01_因子設定!$B$15-O348,MIN(N348-01_因子設定!$B$14,01_因子設定!$B$15-O348))),-1E+030)</f>
        <v>-2.76895576131994</v>
      </c>
      <c r="R348" s="55" t="n">
        <f aca="false">IF(P348,IF(01_因子設定!$B$13="最大化",K348,IF(01_因子設定!$B$13="最小化",-K348,-ABS(K348-01_因子設定!$B$16))),-1E+030)</f>
        <v>45.2174612068965</v>
      </c>
      <c r="S348" s="55" t="n">
        <f aca="false">Q348+ROW()*0.000000001</f>
        <v>-2.76895541331994</v>
      </c>
      <c r="T348" s="55" t="n">
        <f aca="false">R348+ROW()*0.000000001</f>
        <v>45.2174615548965</v>
      </c>
    </row>
    <row r="349" customFormat="false" ht="15" hidden="false" customHeight="false" outlineLevel="0" collapsed="false">
      <c r="A349" s="0" t="n">
        <v>8</v>
      </c>
      <c r="B349" s="0" t="n">
        <v>16</v>
      </c>
      <c r="C349" s="0" t="n">
        <f aca="false">-1+A349*0.05</f>
        <v>-0.6</v>
      </c>
      <c r="D349" s="0" t="n">
        <f aca="false">-1+B349*0.05</f>
        <v>-0.2</v>
      </c>
      <c r="E349" s="0" t="n">
        <f aca="false">1</f>
        <v>1</v>
      </c>
      <c r="F349" s="0" t="n">
        <f aca="false">C349</f>
        <v>-0.6</v>
      </c>
      <c r="G349" s="0" t="n">
        <f aca="false">D349</f>
        <v>-0.2</v>
      </c>
      <c r="H349" s="0" t="n">
        <f aca="false">C349*D349</f>
        <v>0.12</v>
      </c>
      <c r="I349" s="0" t="n">
        <f aca="false">C349*C349</f>
        <v>0.36</v>
      </c>
      <c r="J349" s="0" t="n">
        <f aca="false">D349*D349</f>
        <v>0.04</v>
      </c>
      <c r="K349" s="0" t="n">
        <f aca="false">SUMPRODUCT(E349:J349,_XtX!$B$53:$G$53)</f>
        <v>45.3489310344828</v>
      </c>
      <c r="L349" s="0" t="n">
        <f aca="false">SUMPRODUCT(MMULT(E349:J349,_XtX!$B$44:$G$49),E349:J349)</f>
        <v>0.203452873563218</v>
      </c>
      <c r="M349" s="0" t="n">
        <f aca="false">04_回帰ANOVA!$K$19*04_回帰ANOVA!$K$14*SQRT(1+L349)</f>
        <v>1.48658968981505</v>
      </c>
      <c r="N349" s="0" t="n">
        <f aca="false">K349-M349</f>
        <v>43.8623413446677</v>
      </c>
      <c r="O349" s="0" t="n">
        <f aca="false">K349+M349</f>
        <v>46.8355207242978</v>
      </c>
      <c r="P349" s="54" t="b">
        <f aca="false">AND(C349&gt;=01_因子設定!$L$5-0.000000001,C349&lt;=01_因子設定!$M$5+0.000000001,D349&gt;=01_因子設定!$L$6-0.000000001,D349&lt;=01_因子設定!$M$6+0.000000001,IF(01_因子設定!$B$20="Box-Behnken",C349^2+D349^2&lt;=2+0.000000001,TRUE()))</f>
        <v>1</v>
      </c>
      <c r="Q349" s="55" t="n">
        <f aca="false">IF(P349,IF(01_因子設定!$B$13="最大化",N349-01_因子設定!$B$14,IF(01_因子設定!$B$13="最小化",01_因子設定!$B$15-O349,MIN(N349-01_因子設定!$B$14,01_因子設定!$B$15-O349))),-1E+030)</f>
        <v>-2.6376586553323</v>
      </c>
      <c r="R349" s="55" t="n">
        <f aca="false">IF(P349,IF(01_因子設定!$B$13="最大化",K349,IF(01_因子設定!$B$13="最小化",-K349,-ABS(K349-01_因子設定!$B$16))),-1E+030)</f>
        <v>45.3489310344828</v>
      </c>
      <c r="S349" s="55" t="n">
        <f aca="false">Q349+ROW()*0.000000001</f>
        <v>-2.6376583063323</v>
      </c>
      <c r="T349" s="55" t="n">
        <f aca="false">R349+ROW()*0.000000001</f>
        <v>45.3489313834828</v>
      </c>
    </row>
    <row r="350" customFormat="false" ht="15" hidden="false" customHeight="false" outlineLevel="0" collapsed="false">
      <c r="A350" s="0" t="n">
        <v>8</v>
      </c>
      <c r="B350" s="0" t="n">
        <v>17</v>
      </c>
      <c r="C350" s="0" t="n">
        <f aca="false">-1+A350*0.05</f>
        <v>-0.6</v>
      </c>
      <c r="D350" s="0" t="n">
        <f aca="false">-1+B350*0.05</f>
        <v>-0.15</v>
      </c>
      <c r="E350" s="0" t="n">
        <f aca="false">1</f>
        <v>1</v>
      </c>
      <c r="F350" s="0" t="n">
        <f aca="false">C350</f>
        <v>-0.6</v>
      </c>
      <c r="G350" s="0" t="n">
        <f aca="false">D350</f>
        <v>-0.15</v>
      </c>
      <c r="H350" s="0" t="n">
        <f aca="false">C350*D350</f>
        <v>0.0899999999999999</v>
      </c>
      <c r="I350" s="0" t="n">
        <f aca="false">C350*C350</f>
        <v>0.36</v>
      </c>
      <c r="J350" s="0" t="n">
        <f aca="false">D350*D350</f>
        <v>0.0225</v>
      </c>
      <c r="K350" s="0" t="n">
        <f aca="false">SUMPRODUCT(E350:J350,_XtX!$B$53:$G$53)</f>
        <v>45.4726853448276</v>
      </c>
      <c r="L350" s="0" t="n">
        <f aca="false">SUMPRODUCT(MMULT(E350:J350,_XtX!$B$44:$G$49),E350:J350)</f>
        <v>0.203923814655172</v>
      </c>
      <c r="M350" s="0" t="n">
        <f aca="false">04_回帰ANOVA!$K$19*04_回帰ANOVA!$K$14*SQRT(1+L350)</f>
        <v>1.48688053115555</v>
      </c>
      <c r="N350" s="0" t="n">
        <f aca="false">K350-M350</f>
        <v>43.985804813672</v>
      </c>
      <c r="O350" s="0" t="n">
        <f aca="false">K350+M350</f>
        <v>46.9595658759831</v>
      </c>
      <c r="P350" s="54" t="b">
        <f aca="false">AND(C350&gt;=01_因子設定!$L$5-0.000000001,C350&lt;=01_因子設定!$M$5+0.000000001,D350&gt;=01_因子設定!$L$6-0.000000001,D350&lt;=01_因子設定!$M$6+0.000000001,IF(01_因子設定!$B$20="Box-Behnken",C350^2+D350^2&lt;=2+0.000000001,TRUE()))</f>
        <v>1</v>
      </c>
      <c r="Q350" s="55" t="n">
        <f aca="false">IF(P350,IF(01_因子設定!$B$13="最大化",N350-01_因子設定!$B$14,IF(01_因子設定!$B$13="最小化",01_因子設定!$B$15-O350,MIN(N350-01_因子設定!$B$14,01_因子設定!$B$15-O350))),-1E+030)</f>
        <v>-2.51419518632797</v>
      </c>
      <c r="R350" s="55" t="n">
        <f aca="false">IF(P350,IF(01_因子設定!$B$13="最大化",K350,IF(01_因子設定!$B$13="最小化",-K350,-ABS(K350-01_因子設定!$B$16))),-1E+030)</f>
        <v>45.4726853448276</v>
      </c>
      <c r="S350" s="55" t="n">
        <f aca="false">Q350+ROW()*0.000000001</f>
        <v>-2.51419483632797</v>
      </c>
      <c r="T350" s="55" t="n">
        <f aca="false">R350+ROW()*0.000000001</f>
        <v>45.4726856948276</v>
      </c>
    </row>
    <row r="351" customFormat="false" ht="15" hidden="false" customHeight="false" outlineLevel="0" collapsed="false">
      <c r="A351" s="0" t="n">
        <v>8</v>
      </c>
      <c r="B351" s="0" t="n">
        <v>18</v>
      </c>
      <c r="C351" s="0" t="n">
        <f aca="false">-1+A351*0.05</f>
        <v>-0.6</v>
      </c>
      <c r="D351" s="0" t="n">
        <f aca="false">-1+B351*0.05</f>
        <v>-0.1</v>
      </c>
      <c r="E351" s="0" t="n">
        <f aca="false">1</f>
        <v>1</v>
      </c>
      <c r="F351" s="0" t="n">
        <f aca="false">C351</f>
        <v>-0.6</v>
      </c>
      <c r="G351" s="0" t="n">
        <f aca="false">D351</f>
        <v>-0.1</v>
      </c>
      <c r="H351" s="0" t="n">
        <f aca="false">C351*D351</f>
        <v>0.06</v>
      </c>
      <c r="I351" s="0" t="n">
        <f aca="false">C351*C351</f>
        <v>0.36</v>
      </c>
      <c r="J351" s="0" t="n">
        <f aca="false">D351*D351</f>
        <v>0.01</v>
      </c>
      <c r="K351" s="0" t="n">
        <f aca="false">SUMPRODUCT(E351:J351,_XtX!$B$53:$G$53)</f>
        <v>45.588724137931</v>
      </c>
      <c r="L351" s="0" t="n">
        <f aca="false">SUMPRODUCT(MMULT(E351:J351,_XtX!$B$44:$G$49),E351:J351)</f>
        <v>0.204395977011494</v>
      </c>
      <c r="M351" s="0" t="n">
        <f aca="false">04_回帰ANOVA!$K$19*04_回帰ANOVA!$K$14*SQRT(1+L351)</f>
        <v>1.48717206961779</v>
      </c>
      <c r="N351" s="0" t="n">
        <f aca="false">K351-M351</f>
        <v>44.1015520683132</v>
      </c>
      <c r="O351" s="0" t="n">
        <f aca="false">K351+M351</f>
        <v>47.0758962075488</v>
      </c>
      <c r="P351" s="54" t="b">
        <f aca="false">AND(C351&gt;=01_因子設定!$L$5-0.000000001,C351&lt;=01_因子設定!$M$5+0.000000001,D351&gt;=01_因子設定!$L$6-0.000000001,D351&lt;=01_因子設定!$M$6+0.000000001,IF(01_因子設定!$B$20="Box-Behnken",C351^2+D351^2&lt;=2+0.000000001,TRUE()))</f>
        <v>1</v>
      </c>
      <c r="Q351" s="55" t="n">
        <f aca="false">IF(P351,IF(01_因子設定!$B$13="最大化",N351-01_因子設定!$B$14,IF(01_因子設定!$B$13="最小化",01_因子設定!$B$15-O351,MIN(N351-01_因子設定!$B$14,01_因子設定!$B$15-O351))),-1E+030)</f>
        <v>-2.39844793168677</v>
      </c>
      <c r="R351" s="55" t="n">
        <f aca="false">IF(P351,IF(01_因子設定!$B$13="最大化",K351,IF(01_因子設定!$B$13="最小化",-K351,-ABS(K351-01_因子設定!$B$16))),-1E+030)</f>
        <v>45.588724137931</v>
      </c>
      <c r="S351" s="55" t="n">
        <f aca="false">Q351+ROW()*0.000000001</f>
        <v>-2.39844758068677</v>
      </c>
      <c r="T351" s="55" t="n">
        <f aca="false">R351+ROW()*0.000000001</f>
        <v>45.588724488931</v>
      </c>
    </row>
    <row r="352" customFormat="false" ht="15" hidden="false" customHeight="false" outlineLevel="0" collapsed="false">
      <c r="A352" s="0" t="n">
        <v>8</v>
      </c>
      <c r="B352" s="0" t="n">
        <v>19</v>
      </c>
      <c r="C352" s="0" t="n">
        <f aca="false">-1+A352*0.05</f>
        <v>-0.6</v>
      </c>
      <c r="D352" s="0" t="n">
        <f aca="false">-1+B352*0.05</f>
        <v>-0.0499999999999999</v>
      </c>
      <c r="E352" s="0" t="n">
        <f aca="false">1</f>
        <v>1</v>
      </c>
      <c r="F352" s="0" t="n">
        <f aca="false">C352</f>
        <v>-0.6</v>
      </c>
      <c r="G352" s="0" t="n">
        <f aca="false">D352</f>
        <v>-0.0499999999999999</v>
      </c>
      <c r="H352" s="0" t="n">
        <f aca="false">C352*D352</f>
        <v>0.03</v>
      </c>
      <c r="I352" s="0" t="n">
        <f aca="false">C352*C352</f>
        <v>0.36</v>
      </c>
      <c r="J352" s="0" t="n">
        <f aca="false">D352*D352</f>
        <v>0.00249999999999999</v>
      </c>
      <c r="K352" s="0" t="n">
        <f aca="false">SUMPRODUCT(E352:J352,_XtX!$B$53:$G$53)</f>
        <v>45.6970474137931</v>
      </c>
      <c r="L352" s="0" t="n">
        <f aca="false">SUMPRODUCT(MMULT(E352:J352,_XtX!$B$44:$G$49),E352:J352)</f>
        <v>0.204733584770115</v>
      </c>
      <c r="M352" s="0" t="n">
        <f aca="false">04_回帰ANOVA!$K$19*04_回帰ANOVA!$K$14*SQRT(1+L352)</f>
        <v>1.48738049178902</v>
      </c>
      <c r="N352" s="0" t="n">
        <f aca="false">K352-M352</f>
        <v>44.2096669220041</v>
      </c>
      <c r="O352" s="0" t="n">
        <f aca="false">K352+M352</f>
        <v>47.1844279055821</v>
      </c>
      <c r="P352" s="54" t="b">
        <f aca="false">AND(C352&gt;=01_因子設定!$L$5-0.000000001,C352&lt;=01_因子設定!$M$5+0.000000001,D352&gt;=01_因子設定!$L$6-0.000000001,D352&lt;=01_因子設定!$M$6+0.000000001,IF(01_因子設定!$B$20="Box-Behnken",C352^2+D352^2&lt;=2+0.000000001,TRUE()))</f>
        <v>1</v>
      </c>
      <c r="Q352" s="55" t="n">
        <f aca="false">IF(P352,IF(01_因子設定!$B$13="最大化",N352-01_因子設定!$B$14,IF(01_因子設定!$B$13="最小化",01_因子設定!$B$15-O352,MIN(N352-01_因子設定!$B$14,01_因子設定!$B$15-O352))),-1E+030)</f>
        <v>-2.29033307799593</v>
      </c>
      <c r="R352" s="55" t="n">
        <f aca="false">IF(P352,IF(01_因子設定!$B$13="最大化",K352,IF(01_因子設定!$B$13="最小化",-K352,-ABS(K352-01_因子設定!$B$16))),-1E+030)</f>
        <v>45.6970474137931</v>
      </c>
      <c r="S352" s="55" t="n">
        <f aca="false">Q352+ROW()*0.000000001</f>
        <v>-2.29033272599593</v>
      </c>
      <c r="T352" s="55" t="n">
        <f aca="false">R352+ROW()*0.000000001</f>
        <v>45.6970477657931</v>
      </c>
    </row>
    <row r="353" customFormat="false" ht="15" hidden="false" customHeight="false" outlineLevel="0" collapsed="false">
      <c r="A353" s="0" t="n">
        <v>8</v>
      </c>
      <c r="B353" s="0" t="n">
        <v>20</v>
      </c>
      <c r="C353" s="0" t="n">
        <f aca="false">-1+A353*0.05</f>
        <v>-0.6</v>
      </c>
      <c r="D353" s="0" t="n">
        <f aca="false">-1+B353*0.05</f>
        <v>0</v>
      </c>
      <c r="E353" s="0" t="n">
        <f aca="false">1</f>
        <v>1</v>
      </c>
      <c r="F353" s="0" t="n">
        <f aca="false">C353</f>
        <v>-0.6</v>
      </c>
      <c r="G353" s="0" t="n">
        <f aca="false">D353</f>
        <v>0</v>
      </c>
      <c r="H353" s="0" t="n">
        <f aca="false">C353*D353</f>
        <v>-0</v>
      </c>
      <c r="I353" s="0" t="n">
        <f aca="false">C353*C353</f>
        <v>0.36</v>
      </c>
      <c r="J353" s="0" t="n">
        <f aca="false">D353*D353</f>
        <v>0</v>
      </c>
      <c r="K353" s="0" t="n">
        <f aca="false">SUMPRODUCT(E353:J353,_XtX!$B$53:$G$53)</f>
        <v>45.7976551724138</v>
      </c>
      <c r="L353" s="0" t="n">
        <f aca="false">SUMPRODUCT(MMULT(E353:J353,_XtX!$B$44:$G$49),E353:J353)</f>
        <v>0.204855172413793</v>
      </c>
      <c r="M353" s="0" t="n">
        <f aca="false">04_回帰ANOVA!$K$19*04_回帰ANOVA!$K$14*SQRT(1+L353)</f>
        <v>1.48745554677577</v>
      </c>
      <c r="N353" s="0" t="n">
        <f aca="false">K353-M353</f>
        <v>44.310199625638</v>
      </c>
      <c r="O353" s="0" t="n">
        <f aca="false">K353+M353</f>
        <v>47.2851107191896</v>
      </c>
      <c r="P353" s="54" t="b">
        <f aca="false">AND(C353&gt;=01_因子設定!$L$5-0.000000001,C353&lt;=01_因子設定!$M$5+0.000000001,D353&gt;=01_因子設定!$L$6-0.000000001,D353&lt;=01_因子設定!$M$6+0.000000001,IF(01_因子設定!$B$20="Box-Behnken",C353^2+D353^2&lt;=2+0.000000001,TRUE()))</f>
        <v>1</v>
      </c>
      <c r="Q353" s="55" t="n">
        <f aca="false">IF(P353,IF(01_因子設定!$B$13="最大化",N353-01_因子設定!$B$14,IF(01_因子設定!$B$13="最小化",01_因子設定!$B$15-O353,MIN(N353-01_因子設定!$B$14,01_因子設定!$B$15-O353))),-1E+030)</f>
        <v>-2.18980037436199</v>
      </c>
      <c r="R353" s="55" t="n">
        <f aca="false">IF(P353,IF(01_因子設定!$B$13="最大化",K353,IF(01_因子設定!$B$13="最小化",-K353,-ABS(K353-01_因子設定!$B$16))),-1E+030)</f>
        <v>45.7976551724138</v>
      </c>
      <c r="S353" s="55" t="n">
        <f aca="false">Q353+ROW()*0.000000001</f>
        <v>-2.18980002136199</v>
      </c>
      <c r="T353" s="55" t="n">
        <f aca="false">R353+ROW()*0.000000001</f>
        <v>45.7976555254138</v>
      </c>
    </row>
    <row r="354" customFormat="false" ht="15" hidden="false" customHeight="false" outlineLevel="0" collapsed="false">
      <c r="A354" s="0" t="n">
        <v>8</v>
      </c>
      <c r="B354" s="0" t="n">
        <v>21</v>
      </c>
      <c r="C354" s="0" t="n">
        <f aca="false">-1+A354*0.05</f>
        <v>-0.6</v>
      </c>
      <c r="D354" s="0" t="n">
        <f aca="false">-1+B354*0.05</f>
        <v>0.05</v>
      </c>
      <c r="E354" s="0" t="n">
        <f aca="false">1</f>
        <v>1</v>
      </c>
      <c r="F354" s="0" t="n">
        <f aca="false">C354</f>
        <v>-0.6</v>
      </c>
      <c r="G354" s="0" t="n">
        <f aca="false">D354</f>
        <v>0.05</v>
      </c>
      <c r="H354" s="0" t="n">
        <f aca="false">C354*D354</f>
        <v>-0.03</v>
      </c>
      <c r="I354" s="0" t="n">
        <f aca="false">C354*C354</f>
        <v>0.36</v>
      </c>
      <c r="J354" s="0" t="n">
        <f aca="false">D354*D354</f>
        <v>0.0025</v>
      </c>
      <c r="K354" s="0" t="n">
        <f aca="false">SUMPRODUCT(E354:J354,_XtX!$B$53:$G$53)</f>
        <v>45.8905474137931</v>
      </c>
      <c r="L354" s="0" t="n">
        <f aca="false">SUMPRODUCT(MMULT(E354:J354,_XtX!$B$44:$G$49),E354:J354)</f>
        <v>0.204733584770115</v>
      </c>
      <c r="M354" s="0" t="n">
        <f aca="false">04_回帰ANOVA!$K$19*04_回帰ANOVA!$K$14*SQRT(1+L354)</f>
        <v>1.48738049178902</v>
      </c>
      <c r="N354" s="0" t="n">
        <f aca="false">K354-M354</f>
        <v>44.4031669220041</v>
      </c>
      <c r="O354" s="0" t="n">
        <f aca="false">K354+M354</f>
        <v>47.3779279055821</v>
      </c>
      <c r="P354" s="54" t="b">
        <f aca="false">AND(C354&gt;=01_因子設定!$L$5-0.000000001,C354&lt;=01_因子設定!$M$5+0.000000001,D354&gt;=01_因子設定!$L$6-0.000000001,D354&lt;=01_因子設定!$M$6+0.000000001,IF(01_因子設定!$B$20="Box-Behnken",C354^2+D354^2&lt;=2+0.000000001,TRUE()))</f>
        <v>1</v>
      </c>
      <c r="Q354" s="55" t="n">
        <f aca="false">IF(P354,IF(01_因子設定!$B$13="最大化",N354-01_因子設定!$B$14,IF(01_因子設定!$B$13="最小化",01_因子設定!$B$15-O354,MIN(N354-01_因子設定!$B$14,01_因子設定!$B$15-O354))),-1E+030)</f>
        <v>-2.09683307799592</v>
      </c>
      <c r="R354" s="55" t="n">
        <f aca="false">IF(P354,IF(01_因子設定!$B$13="最大化",K354,IF(01_因子設定!$B$13="最小化",-K354,-ABS(K354-01_因子設定!$B$16))),-1E+030)</f>
        <v>45.8905474137931</v>
      </c>
      <c r="S354" s="55" t="n">
        <f aca="false">Q354+ROW()*0.000000001</f>
        <v>-2.09683272399592</v>
      </c>
      <c r="T354" s="55" t="n">
        <f aca="false">R354+ROW()*0.000000001</f>
        <v>45.8905477677931</v>
      </c>
    </row>
    <row r="355" customFormat="false" ht="15" hidden="false" customHeight="false" outlineLevel="0" collapsed="false">
      <c r="A355" s="0" t="n">
        <v>8</v>
      </c>
      <c r="B355" s="0" t="n">
        <v>22</v>
      </c>
      <c r="C355" s="0" t="n">
        <f aca="false">-1+A355*0.05</f>
        <v>-0.6</v>
      </c>
      <c r="D355" s="0" t="n">
        <f aca="false">-1+B355*0.05</f>
        <v>0.1</v>
      </c>
      <c r="E355" s="0" t="n">
        <f aca="false">1</f>
        <v>1</v>
      </c>
      <c r="F355" s="0" t="n">
        <f aca="false">C355</f>
        <v>-0.6</v>
      </c>
      <c r="G355" s="0" t="n">
        <f aca="false">D355</f>
        <v>0.1</v>
      </c>
      <c r="H355" s="0" t="n">
        <f aca="false">C355*D355</f>
        <v>-0.0600000000000001</v>
      </c>
      <c r="I355" s="0" t="n">
        <f aca="false">C355*C355</f>
        <v>0.36</v>
      </c>
      <c r="J355" s="0" t="n">
        <f aca="false">D355*D355</f>
        <v>0.01</v>
      </c>
      <c r="K355" s="0" t="n">
        <f aca="false">SUMPRODUCT(E355:J355,_XtX!$B$53:$G$53)</f>
        <v>45.975724137931</v>
      </c>
      <c r="L355" s="0" t="n">
        <f aca="false">SUMPRODUCT(MMULT(E355:J355,_XtX!$B$44:$G$49),E355:J355)</f>
        <v>0.204395977011494</v>
      </c>
      <c r="M355" s="0" t="n">
        <f aca="false">04_回帰ANOVA!$K$19*04_回帰ANOVA!$K$14*SQRT(1+L355)</f>
        <v>1.48717206961779</v>
      </c>
      <c r="N355" s="0" t="n">
        <f aca="false">K355-M355</f>
        <v>44.4885520683132</v>
      </c>
      <c r="O355" s="0" t="n">
        <f aca="false">K355+M355</f>
        <v>47.4628962075488</v>
      </c>
      <c r="P355" s="54" t="b">
        <f aca="false">AND(C355&gt;=01_因子設定!$L$5-0.000000001,C355&lt;=01_因子設定!$M$5+0.000000001,D355&gt;=01_因子設定!$L$6-0.000000001,D355&lt;=01_因子設定!$M$6+0.000000001,IF(01_因子設定!$B$20="Box-Behnken",C355^2+D355^2&lt;=2+0.000000001,TRUE()))</f>
        <v>1</v>
      </c>
      <c r="Q355" s="55" t="n">
        <f aca="false">IF(P355,IF(01_因子設定!$B$13="最大化",N355-01_因子設定!$B$14,IF(01_因子設定!$B$13="最小化",01_因子設定!$B$15-O355,MIN(N355-01_因子設定!$B$14,01_因子設定!$B$15-O355))),-1E+030)</f>
        <v>-2.01144793168677</v>
      </c>
      <c r="R355" s="55" t="n">
        <f aca="false">IF(P355,IF(01_因子設定!$B$13="最大化",K355,IF(01_因子設定!$B$13="最小化",-K355,-ABS(K355-01_因子設定!$B$16))),-1E+030)</f>
        <v>45.975724137931</v>
      </c>
      <c r="S355" s="55" t="n">
        <f aca="false">Q355+ROW()*0.000000001</f>
        <v>-2.01144757668677</v>
      </c>
      <c r="T355" s="55" t="n">
        <f aca="false">R355+ROW()*0.000000001</f>
        <v>45.975724492931</v>
      </c>
    </row>
    <row r="356" customFormat="false" ht="15" hidden="false" customHeight="false" outlineLevel="0" collapsed="false">
      <c r="A356" s="0" t="n">
        <v>8</v>
      </c>
      <c r="B356" s="0" t="n">
        <v>23</v>
      </c>
      <c r="C356" s="0" t="n">
        <f aca="false">-1+A356*0.05</f>
        <v>-0.6</v>
      </c>
      <c r="D356" s="0" t="n">
        <f aca="false">-1+B356*0.05</f>
        <v>0.15</v>
      </c>
      <c r="E356" s="0" t="n">
        <f aca="false">1</f>
        <v>1</v>
      </c>
      <c r="F356" s="0" t="n">
        <f aca="false">C356</f>
        <v>-0.6</v>
      </c>
      <c r="G356" s="0" t="n">
        <f aca="false">D356</f>
        <v>0.15</v>
      </c>
      <c r="H356" s="0" t="n">
        <f aca="false">C356*D356</f>
        <v>-0.0900000000000001</v>
      </c>
      <c r="I356" s="0" t="n">
        <f aca="false">C356*C356</f>
        <v>0.36</v>
      </c>
      <c r="J356" s="0" t="n">
        <f aca="false">D356*D356</f>
        <v>0.0225</v>
      </c>
      <c r="K356" s="0" t="n">
        <f aca="false">SUMPRODUCT(E356:J356,_XtX!$B$53:$G$53)</f>
        <v>46.0531853448276</v>
      </c>
      <c r="L356" s="0" t="n">
        <f aca="false">SUMPRODUCT(MMULT(E356:J356,_XtX!$B$44:$G$49),E356:J356)</f>
        <v>0.203923814655172</v>
      </c>
      <c r="M356" s="0" t="n">
        <f aca="false">04_回帰ANOVA!$K$19*04_回帰ANOVA!$K$14*SQRT(1+L356)</f>
        <v>1.48688053115555</v>
      </c>
      <c r="N356" s="0" t="n">
        <f aca="false">K356-M356</f>
        <v>44.566304813672</v>
      </c>
      <c r="O356" s="0" t="n">
        <f aca="false">K356+M356</f>
        <v>47.5400658759831</v>
      </c>
      <c r="P356" s="54" t="b">
        <f aca="false">AND(C356&gt;=01_因子設定!$L$5-0.000000001,C356&lt;=01_因子設定!$M$5+0.000000001,D356&gt;=01_因子設定!$L$6-0.000000001,D356&lt;=01_因子設定!$M$6+0.000000001,IF(01_因子設定!$B$20="Box-Behnken",C356^2+D356^2&lt;=2+0.000000001,TRUE()))</f>
        <v>1</v>
      </c>
      <c r="Q356" s="55" t="n">
        <f aca="false">IF(P356,IF(01_因子設定!$B$13="最大化",N356-01_因子設定!$B$14,IF(01_因子設定!$B$13="最小化",01_因子設定!$B$15-O356,MIN(N356-01_因子設定!$B$14,01_因子設定!$B$15-O356))),-1E+030)</f>
        <v>-1.93369518632797</v>
      </c>
      <c r="R356" s="55" t="n">
        <f aca="false">IF(P356,IF(01_因子設定!$B$13="最大化",K356,IF(01_因子設定!$B$13="最小化",-K356,-ABS(K356-01_因子設定!$B$16))),-1E+030)</f>
        <v>46.0531853448276</v>
      </c>
      <c r="S356" s="55" t="n">
        <f aca="false">Q356+ROW()*0.000000001</f>
        <v>-1.93369483032797</v>
      </c>
      <c r="T356" s="55" t="n">
        <f aca="false">R356+ROW()*0.000000001</f>
        <v>46.0531857008276</v>
      </c>
    </row>
    <row r="357" customFormat="false" ht="15" hidden="false" customHeight="false" outlineLevel="0" collapsed="false">
      <c r="A357" s="0" t="n">
        <v>8</v>
      </c>
      <c r="B357" s="0" t="n">
        <v>24</v>
      </c>
      <c r="C357" s="0" t="n">
        <f aca="false">-1+A357*0.05</f>
        <v>-0.6</v>
      </c>
      <c r="D357" s="0" t="n">
        <f aca="false">-1+B357*0.05</f>
        <v>0.2</v>
      </c>
      <c r="E357" s="0" t="n">
        <f aca="false">1</f>
        <v>1</v>
      </c>
      <c r="F357" s="0" t="n">
        <f aca="false">C357</f>
        <v>-0.6</v>
      </c>
      <c r="G357" s="0" t="n">
        <f aca="false">D357</f>
        <v>0.2</v>
      </c>
      <c r="H357" s="0" t="n">
        <f aca="false">C357*D357</f>
        <v>-0.12</v>
      </c>
      <c r="I357" s="0" t="n">
        <f aca="false">C357*C357</f>
        <v>0.36</v>
      </c>
      <c r="J357" s="0" t="n">
        <f aca="false">D357*D357</f>
        <v>0.0400000000000001</v>
      </c>
      <c r="K357" s="0" t="n">
        <f aca="false">SUMPRODUCT(E357:J357,_XtX!$B$53:$G$53)</f>
        <v>46.1229310344828</v>
      </c>
      <c r="L357" s="0" t="n">
        <f aca="false">SUMPRODUCT(MMULT(E357:J357,_XtX!$B$44:$G$49),E357:J357)</f>
        <v>0.203452873563218</v>
      </c>
      <c r="M357" s="0" t="n">
        <f aca="false">04_回帰ANOVA!$K$19*04_回帰ANOVA!$K$14*SQRT(1+L357)</f>
        <v>1.48658968981505</v>
      </c>
      <c r="N357" s="0" t="n">
        <f aca="false">K357-M357</f>
        <v>44.6363413446677</v>
      </c>
      <c r="O357" s="0" t="n">
        <f aca="false">K357+M357</f>
        <v>47.6095207242978</v>
      </c>
      <c r="P357" s="54" t="b">
        <f aca="false">AND(C357&gt;=01_因子設定!$L$5-0.000000001,C357&lt;=01_因子設定!$M$5+0.000000001,D357&gt;=01_因子設定!$L$6-0.000000001,D357&lt;=01_因子設定!$M$6+0.000000001,IF(01_因子設定!$B$20="Box-Behnken",C357^2+D357^2&lt;=2+0.000000001,TRUE()))</f>
        <v>1</v>
      </c>
      <c r="Q357" s="55" t="n">
        <f aca="false">IF(P357,IF(01_因子設定!$B$13="最大化",N357-01_因子設定!$B$14,IF(01_因子設定!$B$13="最小化",01_因子設定!$B$15-O357,MIN(N357-01_因子設定!$B$14,01_因子設定!$B$15-O357))),-1E+030)</f>
        <v>-1.86365865533231</v>
      </c>
      <c r="R357" s="55" t="n">
        <f aca="false">IF(P357,IF(01_因子設定!$B$13="最大化",K357,IF(01_因子設定!$B$13="最小化",-K357,-ABS(K357-01_因子設定!$B$16))),-1E+030)</f>
        <v>46.1229310344828</v>
      </c>
      <c r="S357" s="55" t="n">
        <f aca="false">Q357+ROW()*0.000000001</f>
        <v>-1.86365829833231</v>
      </c>
      <c r="T357" s="55" t="n">
        <f aca="false">R357+ROW()*0.000000001</f>
        <v>46.1229313914827</v>
      </c>
    </row>
    <row r="358" customFormat="false" ht="15" hidden="false" customHeight="false" outlineLevel="0" collapsed="false">
      <c r="A358" s="0" t="n">
        <v>8</v>
      </c>
      <c r="B358" s="0" t="n">
        <v>25</v>
      </c>
      <c r="C358" s="0" t="n">
        <f aca="false">-1+A358*0.05</f>
        <v>-0.6</v>
      </c>
      <c r="D358" s="0" t="n">
        <f aca="false">-1+B358*0.05</f>
        <v>0.25</v>
      </c>
      <c r="E358" s="0" t="n">
        <f aca="false">1</f>
        <v>1</v>
      </c>
      <c r="F358" s="0" t="n">
        <f aca="false">C358</f>
        <v>-0.6</v>
      </c>
      <c r="G358" s="0" t="n">
        <f aca="false">D358</f>
        <v>0.25</v>
      </c>
      <c r="H358" s="0" t="n">
        <f aca="false">C358*D358</f>
        <v>-0.15</v>
      </c>
      <c r="I358" s="0" t="n">
        <f aca="false">C358*C358</f>
        <v>0.36</v>
      </c>
      <c r="J358" s="0" t="n">
        <f aca="false">D358*D358</f>
        <v>0.0625</v>
      </c>
      <c r="K358" s="0" t="n">
        <f aca="false">SUMPRODUCT(E358:J358,_XtX!$B$53:$G$53)</f>
        <v>46.1849612068965</v>
      </c>
      <c r="L358" s="0" t="n">
        <f aca="false">SUMPRODUCT(MMULT(E358:J358,_XtX!$B$44:$G$49),E358:J358)</f>
        <v>0.203173239942529</v>
      </c>
      <c r="M358" s="0" t="n">
        <f aca="false">04_回帰ANOVA!$K$19*04_回帰ANOVA!$K$14*SQRT(1+L358)</f>
        <v>1.48641696821649</v>
      </c>
      <c r="N358" s="0" t="n">
        <f aca="false">K358-M358</f>
        <v>44.6985442386801</v>
      </c>
      <c r="O358" s="0" t="n">
        <f aca="false">K358+M358</f>
        <v>47.671378175113</v>
      </c>
      <c r="P358" s="54" t="b">
        <f aca="false">AND(C358&gt;=01_因子設定!$L$5-0.000000001,C358&lt;=01_因子設定!$M$5+0.000000001,D358&gt;=01_因子設定!$L$6-0.000000001,D358&lt;=01_因子設定!$M$6+0.000000001,IF(01_因子設定!$B$20="Box-Behnken",C358^2+D358^2&lt;=2+0.000000001,TRUE()))</f>
        <v>1</v>
      </c>
      <c r="Q358" s="55" t="n">
        <f aca="false">IF(P358,IF(01_因子設定!$B$13="最大化",N358-01_因子設定!$B$14,IF(01_因子設定!$B$13="最小化",01_因子設定!$B$15-O358,MIN(N358-01_因子設定!$B$14,01_因子設定!$B$15-O358))),-1E+030)</f>
        <v>-1.80145576131994</v>
      </c>
      <c r="R358" s="55" t="n">
        <f aca="false">IF(P358,IF(01_因子設定!$B$13="最大化",K358,IF(01_因子設定!$B$13="最小化",-K358,-ABS(K358-01_因子設定!$B$16))),-1E+030)</f>
        <v>46.1849612068965</v>
      </c>
      <c r="S358" s="55" t="n">
        <f aca="false">Q358+ROW()*0.000000001</f>
        <v>-1.80145540331994</v>
      </c>
      <c r="T358" s="55" t="n">
        <f aca="false">R358+ROW()*0.000000001</f>
        <v>46.1849615648966</v>
      </c>
    </row>
    <row r="359" customFormat="false" ht="15" hidden="false" customHeight="false" outlineLevel="0" collapsed="false">
      <c r="A359" s="0" t="n">
        <v>8</v>
      </c>
      <c r="B359" s="0" t="n">
        <v>26</v>
      </c>
      <c r="C359" s="0" t="n">
        <f aca="false">-1+A359*0.05</f>
        <v>-0.6</v>
      </c>
      <c r="D359" s="0" t="n">
        <f aca="false">-1+B359*0.05</f>
        <v>0.3</v>
      </c>
      <c r="E359" s="0" t="n">
        <f aca="false">1</f>
        <v>1</v>
      </c>
      <c r="F359" s="0" t="n">
        <f aca="false">C359</f>
        <v>-0.6</v>
      </c>
      <c r="G359" s="0" t="n">
        <f aca="false">D359</f>
        <v>0.3</v>
      </c>
      <c r="H359" s="0" t="n">
        <f aca="false">C359*D359</f>
        <v>-0.18</v>
      </c>
      <c r="I359" s="0" t="n">
        <f aca="false">C359*C359</f>
        <v>0.36</v>
      </c>
      <c r="J359" s="0" t="n">
        <f aca="false">D359*D359</f>
        <v>0.09</v>
      </c>
      <c r="K359" s="0" t="n">
        <f aca="false">SUMPRODUCT(E359:J359,_XtX!$B$53:$G$53)</f>
        <v>46.239275862069</v>
      </c>
      <c r="L359" s="0" t="n">
        <f aca="false">SUMPRODUCT(MMULT(E359:J359,_XtX!$B$44:$G$49),E359:J359)</f>
        <v>0.203329310344828</v>
      </c>
      <c r="M359" s="0" t="n">
        <f aca="false">04_回帰ANOVA!$K$19*04_回帰ANOVA!$K$14*SQRT(1+L359)</f>
        <v>1.48651337086407</v>
      </c>
      <c r="N359" s="0" t="n">
        <f aca="false">K359-M359</f>
        <v>44.7527624912049</v>
      </c>
      <c r="O359" s="0" t="n">
        <f aca="false">K359+M359</f>
        <v>47.725789232933</v>
      </c>
      <c r="P359" s="54" t="b">
        <f aca="false">AND(C359&gt;=01_因子設定!$L$5-0.000000001,C359&lt;=01_因子設定!$M$5+0.000000001,D359&gt;=01_因子設定!$L$6-0.000000001,D359&lt;=01_因子設定!$M$6+0.000000001,IF(01_因子設定!$B$20="Box-Behnken",C359^2+D359^2&lt;=2+0.000000001,TRUE()))</f>
        <v>1</v>
      </c>
      <c r="Q359" s="55" t="n">
        <f aca="false">IF(P359,IF(01_因子設定!$B$13="最大化",N359-01_因子設定!$B$14,IF(01_因子設定!$B$13="最小化",01_因子設定!$B$15-O359,MIN(N359-01_因子設定!$B$14,01_因子設定!$B$15-O359))),-1E+030)</f>
        <v>-1.74723750879512</v>
      </c>
      <c r="R359" s="55" t="n">
        <f aca="false">IF(P359,IF(01_因子設定!$B$13="最大化",K359,IF(01_因子設定!$B$13="最小化",-K359,-ABS(K359-01_因子設定!$B$16))),-1E+030)</f>
        <v>46.239275862069</v>
      </c>
      <c r="S359" s="55" t="n">
        <f aca="false">Q359+ROW()*0.000000001</f>
        <v>-1.74723714979512</v>
      </c>
      <c r="T359" s="55" t="n">
        <f aca="false">R359+ROW()*0.000000001</f>
        <v>46.239276221069</v>
      </c>
    </row>
    <row r="360" customFormat="false" ht="15" hidden="false" customHeight="false" outlineLevel="0" collapsed="false">
      <c r="A360" s="0" t="n">
        <v>8</v>
      </c>
      <c r="B360" s="0" t="n">
        <v>27</v>
      </c>
      <c r="C360" s="0" t="n">
        <f aca="false">-1+A360*0.05</f>
        <v>-0.6</v>
      </c>
      <c r="D360" s="0" t="n">
        <f aca="false">-1+B360*0.05</f>
        <v>0.35</v>
      </c>
      <c r="E360" s="0" t="n">
        <f aca="false">1</f>
        <v>1</v>
      </c>
      <c r="F360" s="0" t="n">
        <f aca="false">C360</f>
        <v>-0.6</v>
      </c>
      <c r="G360" s="0" t="n">
        <f aca="false">D360</f>
        <v>0.35</v>
      </c>
      <c r="H360" s="0" t="n">
        <f aca="false">C360*D360</f>
        <v>-0.21</v>
      </c>
      <c r="I360" s="0" t="n">
        <f aca="false">C360*C360</f>
        <v>0.36</v>
      </c>
      <c r="J360" s="0" t="n">
        <f aca="false">D360*D360</f>
        <v>0.1225</v>
      </c>
      <c r="K360" s="0" t="n">
        <f aca="false">SUMPRODUCT(E360:J360,_XtX!$B$53:$G$53)</f>
        <v>46.285875</v>
      </c>
      <c r="L360" s="0" t="n">
        <f aca="false">SUMPRODUCT(MMULT(E360:J360,_XtX!$B$44:$G$49),E360:J360)</f>
        <v>0.204219791666667</v>
      </c>
      <c r="M360" s="0" t="n">
        <f aca="false">04_回帰ANOVA!$K$19*04_回帰ANOVA!$K$14*SQRT(1+L360)</f>
        <v>1.48706328998387</v>
      </c>
      <c r="N360" s="0" t="n">
        <f aca="false">K360-M360</f>
        <v>44.7988117100161</v>
      </c>
      <c r="O360" s="0" t="n">
        <f aca="false">K360+M360</f>
        <v>47.7729382899839</v>
      </c>
      <c r="P360" s="54" t="b">
        <f aca="false">AND(C360&gt;=01_因子設定!$L$5-0.000000001,C360&lt;=01_因子設定!$M$5+0.000000001,D360&gt;=01_因子設定!$L$6-0.000000001,D360&lt;=01_因子設定!$M$6+0.000000001,IF(01_因子設定!$B$20="Box-Behnken",C360^2+D360^2&lt;=2+0.000000001,TRUE()))</f>
        <v>1</v>
      </c>
      <c r="Q360" s="55" t="n">
        <f aca="false">IF(P360,IF(01_因子設定!$B$13="最大化",N360-01_因子設定!$B$14,IF(01_因子設定!$B$13="最小化",01_因子設定!$B$15-O360,MIN(N360-01_因子設定!$B$14,01_因子設定!$B$15-O360))),-1E+030)</f>
        <v>-1.70118828998388</v>
      </c>
      <c r="R360" s="55" t="n">
        <f aca="false">IF(P360,IF(01_因子設定!$B$13="最大化",K360,IF(01_因子設定!$B$13="最小化",-K360,-ABS(K360-01_因子設定!$B$16))),-1E+030)</f>
        <v>46.285875</v>
      </c>
      <c r="S360" s="55" t="n">
        <f aca="false">Q360+ROW()*0.000000001</f>
        <v>-1.70118792998388</v>
      </c>
      <c r="T360" s="55" t="n">
        <f aca="false">R360+ROW()*0.000000001</f>
        <v>46.28587536</v>
      </c>
    </row>
    <row r="361" customFormat="false" ht="15" hidden="false" customHeight="false" outlineLevel="0" collapsed="false">
      <c r="A361" s="0" t="n">
        <v>8</v>
      </c>
      <c r="B361" s="0" t="n">
        <v>28</v>
      </c>
      <c r="C361" s="0" t="n">
        <f aca="false">-1+A361*0.05</f>
        <v>-0.6</v>
      </c>
      <c r="D361" s="0" t="n">
        <f aca="false">-1+B361*0.05</f>
        <v>0.4</v>
      </c>
      <c r="E361" s="0" t="n">
        <f aca="false">1</f>
        <v>1</v>
      </c>
      <c r="F361" s="0" t="n">
        <f aca="false">C361</f>
        <v>-0.6</v>
      </c>
      <c r="G361" s="0" t="n">
        <f aca="false">D361</f>
        <v>0.4</v>
      </c>
      <c r="H361" s="0" t="n">
        <f aca="false">C361*D361</f>
        <v>-0.24</v>
      </c>
      <c r="I361" s="0" t="n">
        <f aca="false">C361*C361</f>
        <v>0.36</v>
      </c>
      <c r="J361" s="0" t="n">
        <f aca="false">D361*D361</f>
        <v>0.16</v>
      </c>
      <c r="K361" s="0" t="n">
        <f aca="false">SUMPRODUCT(E361:J361,_XtX!$B$53:$G$53)</f>
        <v>46.3247586206897</v>
      </c>
      <c r="L361" s="0" t="n">
        <f aca="false">SUMPRODUCT(MMULT(E361:J361,_XtX!$B$44:$G$49),E361:J361)</f>
        <v>0.206197701149425</v>
      </c>
      <c r="M361" s="0" t="n">
        <f aca="false">04_回帰ANOVA!$K$19*04_回帰ANOVA!$K$14*SQRT(1+L361)</f>
        <v>1.48828402636661</v>
      </c>
      <c r="N361" s="0" t="n">
        <f aca="false">K361-M361</f>
        <v>44.836474594323</v>
      </c>
      <c r="O361" s="0" t="n">
        <f aca="false">K361+M361</f>
        <v>47.8130426470563</v>
      </c>
      <c r="P361" s="54" t="b">
        <f aca="false">AND(C361&gt;=01_因子設定!$L$5-0.000000001,C361&lt;=01_因子設定!$M$5+0.000000001,D361&gt;=01_因子設定!$L$6-0.000000001,D361&lt;=01_因子設定!$M$6+0.000000001,IF(01_因子設定!$B$20="Box-Behnken",C361^2+D361^2&lt;=2+0.000000001,TRUE()))</f>
        <v>1</v>
      </c>
      <c r="Q361" s="55" t="n">
        <f aca="false">IF(P361,IF(01_因子設定!$B$13="最大化",N361-01_因子設定!$B$14,IF(01_因子設定!$B$13="最小化",01_因子設定!$B$15-O361,MIN(N361-01_因子設定!$B$14,01_因子設定!$B$15-O361))),-1E+030)</f>
        <v>-1.66352540567696</v>
      </c>
      <c r="R361" s="55" t="n">
        <f aca="false">IF(P361,IF(01_因子設定!$B$13="最大化",K361,IF(01_因子設定!$B$13="最小化",-K361,-ABS(K361-01_因子設定!$B$16))),-1E+030)</f>
        <v>46.3247586206897</v>
      </c>
      <c r="S361" s="55" t="n">
        <f aca="false">Q361+ROW()*0.000000001</f>
        <v>-1.66352504467696</v>
      </c>
      <c r="T361" s="55" t="n">
        <f aca="false">R361+ROW()*0.000000001</f>
        <v>46.3247589816897</v>
      </c>
    </row>
    <row r="362" customFormat="false" ht="15" hidden="false" customHeight="false" outlineLevel="0" collapsed="false">
      <c r="A362" s="0" t="n">
        <v>8</v>
      </c>
      <c r="B362" s="0" t="n">
        <v>29</v>
      </c>
      <c r="C362" s="0" t="n">
        <f aca="false">-1+A362*0.05</f>
        <v>-0.6</v>
      </c>
      <c r="D362" s="0" t="n">
        <f aca="false">-1+B362*0.05</f>
        <v>0.45</v>
      </c>
      <c r="E362" s="0" t="n">
        <f aca="false">1</f>
        <v>1</v>
      </c>
      <c r="F362" s="0" t="n">
        <f aca="false">C362</f>
        <v>-0.6</v>
      </c>
      <c r="G362" s="0" t="n">
        <f aca="false">D362</f>
        <v>0.45</v>
      </c>
      <c r="H362" s="0" t="n">
        <f aca="false">C362*D362</f>
        <v>-0.27</v>
      </c>
      <c r="I362" s="0" t="n">
        <f aca="false">C362*C362</f>
        <v>0.36</v>
      </c>
      <c r="J362" s="0" t="n">
        <f aca="false">D362*D362</f>
        <v>0.2025</v>
      </c>
      <c r="K362" s="0" t="n">
        <f aca="false">SUMPRODUCT(E362:J362,_XtX!$B$53:$G$53)</f>
        <v>46.3559267241379</v>
      </c>
      <c r="L362" s="0" t="n">
        <f aca="false">SUMPRODUCT(MMULT(E362:J362,_XtX!$B$44:$G$49),E362:J362)</f>
        <v>0.20967036637931</v>
      </c>
      <c r="M362" s="0" t="n">
        <f aca="false">04_回帰ANOVA!$K$19*04_回帰ANOVA!$K$14*SQRT(1+L362)</f>
        <v>1.49042488503951</v>
      </c>
      <c r="N362" s="0" t="n">
        <f aca="false">K362-M362</f>
        <v>44.8655018390984</v>
      </c>
      <c r="O362" s="0" t="n">
        <f aca="false">K362+M362</f>
        <v>47.8463516091774</v>
      </c>
      <c r="P362" s="54" t="b">
        <f aca="false">AND(C362&gt;=01_因子設定!$L$5-0.000000001,C362&lt;=01_因子設定!$M$5+0.000000001,D362&gt;=01_因子設定!$L$6-0.000000001,D362&lt;=01_因子設定!$M$6+0.000000001,IF(01_因子設定!$B$20="Box-Behnken",C362^2+D362^2&lt;=2+0.000000001,TRUE()))</f>
        <v>1</v>
      </c>
      <c r="Q362" s="55" t="n">
        <f aca="false">IF(P362,IF(01_因子設定!$B$13="最大化",N362-01_因子設定!$B$14,IF(01_因子設定!$B$13="最小化",01_因子設定!$B$15-O362,MIN(N362-01_因子設定!$B$14,01_因子設定!$B$15-O362))),-1E+030)</f>
        <v>-1.63449816090159</v>
      </c>
      <c r="R362" s="55" t="n">
        <f aca="false">IF(P362,IF(01_因子設定!$B$13="最大化",K362,IF(01_因子設定!$B$13="最小化",-K362,-ABS(K362-01_因子設定!$B$16))),-1E+030)</f>
        <v>46.3559267241379</v>
      </c>
      <c r="S362" s="55" t="n">
        <f aca="false">Q362+ROW()*0.000000001</f>
        <v>-1.63449779890159</v>
      </c>
      <c r="T362" s="55" t="n">
        <f aca="false">R362+ROW()*0.000000001</f>
        <v>46.3559270861379</v>
      </c>
    </row>
    <row r="363" customFormat="false" ht="15" hidden="false" customHeight="false" outlineLevel="0" collapsed="false">
      <c r="A363" s="0" t="n">
        <v>8</v>
      </c>
      <c r="B363" s="0" t="n">
        <v>30</v>
      </c>
      <c r="C363" s="0" t="n">
        <f aca="false">-1+A363*0.05</f>
        <v>-0.6</v>
      </c>
      <c r="D363" s="0" t="n">
        <f aca="false">-1+B363*0.05</f>
        <v>0.5</v>
      </c>
      <c r="E363" s="0" t="n">
        <f aca="false">1</f>
        <v>1</v>
      </c>
      <c r="F363" s="0" t="n">
        <f aca="false">C363</f>
        <v>-0.6</v>
      </c>
      <c r="G363" s="0" t="n">
        <f aca="false">D363</f>
        <v>0.5</v>
      </c>
      <c r="H363" s="0" t="n">
        <f aca="false">C363*D363</f>
        <v>-0.3</v>
      </c>
      <c r="I363" s="0" t="n">
        <f aca="false">C363*C363</f>
        <v>0.36</v>
      </c>
      <c r="J363" s="0" t="n">
        <f aca="false">D363*D363</f>
        <v>0.25</v>
      </c>
      <c r="K363" s="0" t="n">
        <f aca="false">SUMPRODUCT(E363:J363,_XtX!$B$53:$G$53)</f>
        <v>46.3793793103448</v>
      </c>
      <c r="L363" s="0" t="n">
        <f aca="false">SUMPRODUCT(MMULT(E363:J363,_XtX!$B$44:$G$49),E363:J363)</f>
        <v>0.215099425287356</v>
      </c>
      <c r="M363" s="0" t="n">
        <f aca="false">04_回帰ANOVA!$K$19*04_回帰ANOVA!$K$14*SQRT(1+L363)</f>
        <v>1.49376569017207</v>
      </c>
      <c r="N363" s="0" t="n">
        <f aca="false">K363-M363</f>
        <v>44.8856136201728</v>
      </c>
      <c r="O363" s="0" t="n">
        <f aca="false">K363+M363</f>
        <v>47.8731450005169</v>
      </c>
      <c r="P363" s="54" t="b">
        <f aca="false">AND(C363&gt;=01_因子設定!$L$5-0.000000001,C363&lt;=01_因子設定!$M$5+0.000000001,D363&gt;=01_因子設定!$L$6-0.000000001,D363&lt;=01_因子設定!$M$6+0.000000001,IF(01_因子設定!$B$20="Box-Behnken",C363^2+D363^2&lt;=2+0.000000001,TRUE()))</f>
        <v>1</v>
      </c>
      <c r="Q363" s="55" t="n">
        <f aca="false">IF(P363,IF(01_因子設定!$B$13="最大化",N363-01_因子設定!$B$14,IF(01_因子設定!$B$13="最小化",01_因子設定!$B$15-O363,MIN(N363-01_因子設定!$B$14,01_因子設定!$B$15-O363))),-1E+030)</f>
        <v>-1.61438637982725</v>
      </c>
      <c r="R363" s="55" t="n">
        <f aca="false">IF(P363,IF(01_因子設定!$B$13="最大化",K363,IF(01_因子設定!$B$13="最小化",-K363,-ABS(K363-01_因子設定!$B$16))),-1E+030)</f>
        <v>46.3793793103448</v>
      </c>
      <c r="S363" s="55" t="n">
        <f aca="false">Q363+ROW()*0.000000001</f>
        <v>-1.61438601682725</v>
      </c>
      <c r="T363" s="55" t="n">
        <f aca="false">R363+ROW()*0.000000001</f>
        <v>46.3793796733448</v>
      </c>
    </row>
    <row r="364" customFormat="false" ht="15" hidden="false" customHeight="false" outlineLevel="0" collapsed="false">
      <c r="A364" s="0" t="n">
        <v>8</v>
      </c>
      <c r="B364" s="0" t="n">
        <v>31</v>
      </c>
      <c r="C364" s="0" t="n">
        <f aca="false">-1+A364*0.05</f>
        <v>-0.6</v>
      </c>
      <c r="D364" s="0" t="n">
        <f aca="false">-1+B364*0.05</f>
        <v>0.55</v>
      </c>
      <c r="E364" s="0" t="n">
        <f aca="false">1</f>
        <v>1</v>
      </c>
      <c r="F364" s="0" t="n">
        <f aca="false">C364</f>
        <v>-0.6</v>
      </c>
      <c r="G364" s="0" t="n">
        <f aca="false">D364</f>
        <v>0.55</v>
      </c>
      <c r="H364" s="0" t="n">
        <f aca="false">C364*D364</f>
        <v>-0.33</v>
      </c>
      <c r="I364" s="0" t="n">
        <f aca="false">C364*C364</f>
        <v>0.36</v>
      </c>
      <c r="J364" s="0" t="n">
        <f aca="false">D364*D364</f>
        <v>0.3025</v>
      </c>
      <c r="K364" s="0" t="n">
        <f aca="false">SUMPRODUCT(E364:J364,_XtX!$B$53:$G$53)</f>
        <v>46.3951163793103</v>
      </c>
      <c r="L364" s="0" t="n">
        <f aca="false">SUMPRODUCT(MMULT(E364:J364,_XtX!$B$44:$G$49),E364:J364)</f>
        <v>0.223000826149425</v>
      </c>
      <c r="M364" s="0" t="n">
        <f aca="false">04_回帰ANOVA!$K$19*04_回帰ANOVA!$K$14*SQRT(1+L364)</f>
        <v>1.49861455927642</v>
      </c>
      <c r="N364" s="0" t="n">
        <f aca="false">K364-M364</f>
        <v>44.8965018200339</v>
      </c>
      <c r="O364" s="0" t="n">
        <f aca="false">K364+M364</f>
        <v>47.8937309385868</v>
      </c>
      <c r="P364" s="54" t="b">
        <f aca="false">AND(C364&gt;=01_因子設定!$L$5-0.000000001,C364&lt;=01_因子設定!$M$5+0.000000001,D364&gt;=01_因子設定!$L$6-0.000000001,D364&lt;=01_因子設定!$M$6+0.000000001,IF(01_因子設定!$B$20="Box-Behnken",C364^2+D364^2&lt;=2+0.000000001,TRUE()))</f>
        <v>1</v>
      </c>
      <c r="Q364" s="55" t="n">
        <f aca="false">IF(P364,IF(01_因子設定!$B$13="最大化",N364-01_因子設定!$B$14,IF(01_因子設定!$B$13="最小化",01_因子設定!$B$15-O364,MIN(N364-01_因子設定!$B$14,01_因子設定!$B$15-O364))),-1E+030)</f>
        <v>-1.60349817996608</v>
      </c>
      <c r="R364" s="55" t="n">
        <f aca="false">IF(P364,IF(01_因子設定!$B$13="最大化",K364,IF(01_因子設定!$B$13="最小化",-K364,-ABS(K364-01_因子設定!$B$16))),-1E+030)</f>
        <v>46.3951163793103</v>
      </c>
      <c r="S364" s="55" t="n">
        <f aca="false">Q364+ROW()*0.000000001</f>
        <v>-1.60349781596608</v>
      </c>
      <c r="T364" s="55" t="n">
        <f aca="false">R364+ROW()*0.000000001</f>
        <v>46.3951167433103</v>
      </c>
    </row>
    <row r="365" customFormat="false" ht="15" hidden="false" customHeight="false" outlineLevel="0" collapsed="false">
      <c r="A365" s="0" t="n">
        <v>8</v>
      </c>
      <c r="B365" s="0" t="n">
        <v>32</v>
      </c>
      <c r="C365" s="0" t="n">
        <f aca="false">-1+A365*0.05</f>
        <v>-0.6</v>
      </c>
      <c r="D365" s="0" t="n">
        <f aca="false">-1+B365*0.05</f>
        <v>0.6</v>
      </c>
      <c r="E365" s="0" t="n">
        <f aca="false">1</f>
        <v>1</v>
      </c>
      <c r="F365" s="0" t="n">
        <f aca="false">C365</f>
        <v>-0.6</v>
      </c>
      <c r="G365" s="0" t="n">
        <f aca="false">D365</f>
        <v>0.6</v>
      </c>
      <c r="H365" s="0" t="n">
        <f aca="false">C365*D365</f>
        <v>-0.36</v>
      </c>
      <c r="I365" s="0" t="n">
        <f aca="false">C365*C365</f>
        <v>0.36</v>
      </c>
      <c r="J365" s="0" t="n">
        <f aca="false">D365*D365</f>
        <v>0.36</v>
      </c>
      <c r="K365" s="0" t="n">
        <f aca="false">SUMPRODUCT(E365:J365,_XtX!$B$53:$G$53)</f>
        <v>46.4031379310345</v>
      </c>
      <c r="L365" s="0" t="n">
        <f aca="false">SUMPRODUCT(MMULT(E365:J365,_XtX!$B$44:$G$49),E365:J365)</f>
        <v>0.233944827586207</v>
      </c>
      <c r="M365" s="0" t="n">
        <f aca="false">04_回帰ANOVA!$K$19*04_回帰ANOVA!$K$14*SQRT(1+L365)</f>
        <v>1.50530478880588</v>
      </c>
      <c r="N365" s="0" t="n">
        <f aca="false">K365-M365</f>
        <v>44.8978331422286</v>
      </c>
      <c r="O365" s="0" t="n">
        <f aca="false">K365+M365</f>
        <v>47.9084427198404</v>
      </c>
      <c r="P365" s="54" t="b">
        <f aca="false">AND(C365&gt;=01_因子設定!$L$5-0.000000001,C365&lt;=01_因子設定!$M$5+0.000000001,D365&gt;=01_因子設定!$L$6-0.000000001,D365&lt;=01_因子設定!$M$6+0.000000001,IF(01_因子設定!$B$20="Box-Behnken",C365^2+D365^2&lt;=2+0.000000001,TRUE()))</f>
        <v>1</v>
      </c>
      <c r="Q365" s="55" t="n">
        <f aca="false">IF(P365,IF(01_因子設定!$B$13="最大化",N365-01_因子設定!$B$14,IF(01_因子設定!$B$13="最小化",01_因子設定!$B$15-O365,MIN(N365-01_因子設定!$B$14,01_因子設定!$B$15-O365))),-1E+030)</f>
        <v>-1.60216685777141</v>
      </c>
      <c r="R365" s="55" t="n">
        <f aca="false">IF(P365,IF(01_因子設定!$B$13="最大化",K365,IF(01_因子設定!$B$13="最小化",-K365,-ABS(K365-01_因子設定!$B$16))),-1E+030)</f>
        <v>46.4031379310345</v>
      </c>
      <c r="S365" s="55" t="n">
        <f aca="false">Q365+ROW()*0.000000001</f>
        <v>-1.60216649277141</v>
      </c>
      <c r="T365" s="55" t="n">
        <f aca="false">R365+ROW()*0.000000001</f>
        <v>46.4031382960345</v>
      </c>
    </row>
    <row r="366" customFormat="false" ht="15" hidden="false" customHeight="false" outlineLevel="0" collapsed="false">
      <c r="A366" s="0" t="n">
        <v>8</v>
      </c>
      <c r="B366" s="0" t="n">
        <v>33</v>
      </c>
      <c r="C366" s="0" t="n">
        <f aca="false">-1+A366*0.05</f>
        <v>-0.6</v>
      </c>
      <c r="D366" s="0" t="n">
        <f aca="false">-1+B366*0.05</f>
        <v>0.65</v>
      </c>
      <c r="E366" s="0" t="n">
        <f aca="false">1</f>
        <v>1</v>
      </c>
      <c r="F366" s="0" t="n">
        <f aca="false">C366</f>
        <v>-0.6</v>
      </c>
      <c r="G366" s="0" t="n">
        <f aca="false">D366</f>
        <v>0.65</v>
      </c>
      <c r="H366" s="0" t="n">
        <f aca="false">C366*D366</f>
        <v>-0.39</v>
      </c>
      <c r="I366" s="0" t="n">
        <f aca="false">C366*C366</f>
        <v>0.36</v>
      </c>
      <c r="J366" s="0" t="n">
        <f aca="false">D366*D366</f>
        <v>0.4225</v>
      </c>
      <c r="K366" s="0" t="n">
        <f aca="false">SUMPRODUCT(E366:J366,_XtX!$B$53:$G$53)</f>
        <v>46.4034439655172</v>
      </c>
      <c r="L366" s="0" t="n">
        <f aca="false">SUMPRODUCT(MMULT(E366:J366,_XtX!$B$44:$G$49),E366:J366)</f>
        <v>0.248555998563218</v>
      </c>
      <c r="M366" s="0" t="n">
        <f aca="false">04_回帰ANOVA!$K$19*04_回帰ANOVA!$K$14*SQRT(1+L366)</f>
        <v>1.51419073700187</v>
      </c>
      <c r="N366" s="0" t="n">
        <f aca="false">K366-M366</f>
        <v>44.8892532285154</v>
      </c>
      <c r="O366" s="0" t="n">
        <f aca="false">K366+M366</f>
        <v>47.9176347025191</v>
      </c>
      <c r="P366" s="54" t="b">
        <f aca="false">AND(C366&gt;=01_因子設定!$L$5-0.000000001,C366&lt;=01_因子設定!$M$5+0.000000001,D366&gt;=01_因子設定!$L$6-0.000000001,D366&lt;=01_因子設定!$M$6+0.000000001,IF(01_因子設定!$B$20="Box-Behnken",C366^2+D366^2&lt;=2+0.000000001,TRUE()))</f>
        <v>1</v>
      </c>
      <c r="Q366" s="55" t="n">
        <f aca="false">IF(P366,IF(01_因子設定!$B$13="最大化",N366-01_因子設定!$B$14,IF(01_因子設定!$B$13="最小化",01_因子設定!$B$15-O366,MIN(N366-01_因子設定!$B$14,01_因子設定!$B$15-O366))),-1E+030)</f>
        <v>-1.61074677148464</v>
      </c>
      <c r="R366" s="55" t="n">
        <f aca="false">IF(P366,IF(01_因子設定!$B$13="最大化",K366,IF(01_因子設定!$B$13="最小化",-K366,-ABS(K366-01_因子設定!$B$16))),-1E+030)</f>
        <v>46.4034439655172</v>
      </c>
      <c r="S366" s="55" t="n">
        <f aca="false">Q366+ROW()*0.000000001</f>
        <v>-1.61074640548464</v>
      </c>
      <c r="T366" s="55" t="n">
        <f aca="false">R366+ROW()*0.000000001</f>
        <v>46.4034443315172</v>
      </c>
    </row>
    <row r="367" customFormat="false" ht="15" hidden="false" customHeight="false" outlineLevel="0" collapsed="false">
      <c r="A367" s="0" t="n">
        <v>8</v>
      </c>
      <c r="B367" s="0" t="n">
        <v>34</v>
      </c>
      <c r="C367" s="0" t="n">
        <f aca="false">-1+A367*0.05</f>
        <v>-0.6</v>
      </c>
      <c r="D367" s="0" t="n">
        <f aca="false">-1+B367*0.05</f>
        <v>0.7</v>
      </c>
      <c r="E367" s="0" t="n">
        <f aca="false">1</f>
        <v>1</v>
      </c>
      <c r="F367" s="0" t="n">
        <f aca="false">C367</f>
        <v>-0.6</v>
      </c>
      <c r="G367" s="0" t="n">
        <f aca="false">D367</f>
        <v>0.7</v>
      </c>
      <c r="H367" s="0" t="n">
        <f aca="false">C367*D367</f>
        <v>-0.42</v>
      </c>
      <c r="I367" s="0" t="n">
        <f aca="false">C367*C367</f>
        <v>0.36</v>
      </c>
      <c r="J367" s="0" t="n">
        <f aca="false">D367*D367</f>
        <v>0.49</v>
      </c>
      <c r="K367" s="0" t="n">
        <f aca="false">SUMPRODUCT(E367:J367,_XtX!$B$53:$G$53)</f>
        <v>46.3960344827586</v>
      </c>
      <c r="L367" s="0" t="n">
        <f aca="false">SUMPRODUCT(MMULT(E367:J367,_XtX!$B$44:$G$49),E367:J367)</f>
        <v>0.267513218390805</v>
      </c>
      <c r="M367" s="0" t="n">
        <f aca="false">04_回帰ANOVA!$K$19*04_回帰ANOVA!$K$14*SQRT(1+L367)</f>
        <v>1.52564264921817</v>
      </c>
      <c r="N367" s="0" t="n">
        <f aca="false">K367-M367</f>
        <v>44.8703918335404</v>
      </c>
      <c r="O367" s="0" t="n">
        <f aca="false">K367+M367</f>
        <v>47.9216771319768</v>
      </c>
      <c r="P367" s="54" t="b">
        <f aca="false">AND(C367&gt;=01_因子設定!$L$5-0.000000001,C367&lt;=01_因子設定!$M$5+0.000000001,D367&gt;=01_因子設定!$L$6-0.000000001,D367&lt;=01_因子設定!$M$6+0.000000001,IF(01_因子設定!$B$20="Box-Behnken",C367^2+D367^2&lt;=2+0.000000001,TRUE()))</f>
        <v>1</v>
      </c>
      <c r="Q367" s="55" t="n">
        <f aca="false">IF(P367,IF(01_因子設定!$B$13="最大化",N367-01_因子設定!$B$14,IF(01_因子設定!$B$13="最小化",01_因子設定!$B$15-O367,MIN(N367-01_因子設定!$B$14,01_因子設定!$B$15-O367))),-1E+030)</f>
        <v>-1.62960816645956</v>
      </c>
      <c r="R367" s="55" t="n">
        <f aca="false">IF(P367,IF(01_因子設定!$B$13="最大化",K367,IF(01_因子設定!$B$13="最小化",-K367,-ABS(K367-01_因子設定!$B$16))),-1E+030)</f>
        <v>46.3960344827586</v>
      </c>
      <c r="S367" s="55" t="n">
        <f aca="false">Q367+ROW()*0.000000001</f>
        <v>-1.62960779945956</v>
      </c>
      <c r="T367" s="55" t="n">
        <f aca="false">R367+ROW()*0.000000001</f>
        <v>46.3960348497586</v>
      </c>
    </row>
    <row r="368" customFormat="false" ht="15" hidden="false" customHeight="false" outlineLevel="0" collapsed="false">
      <c r="A368" s="0" t="n">
        <v>8</v>
      </c>
      <c r="B368" s="0" t="n">
        <v>35</v>
      </c>
      <c r="C368" s="0" t="n">
        <f aca="false">-1+A368*0.05</f>
        <v>-0.6</v>
      </c>
      <c r="D368" s="0" t="n">
        <f aca="false">-1+B368*0.05</f>
        <v>0.75</v>
      </c>
      <c r="E368" s="0" t="n">
        <f aca="false">1</f>
        <v>1</v>
      </c>
      <c r="F368" s="0" t="n">
        <f aca="false">C368</f>
        <v>-0.6</v>
      </c>
      <c r="G368" s="0" t="n">
        <f aca="false">D368</f>
        <v>0.75</v>
      </c>
      <c r="H368" s="0" t="n">
        <f aca="false">C368*D368</f>
        <v>-0.45</v>
      </c>
      <c r="I368" s="0" t="n">
        <f aca="false">C368*C368</f>
        <v>0.36</v>
      </c>
      <c r="J368" s="0" t="n">
        <f aca="false">D368*D368</f>
        <v>0.5625</v>
      </c>
      <c r="K368" s="0" t="n">
        <f aca="false">SUMPRODUCT(E368:J368,_XtX!$B$53:$G$53)</f>
        <v>46.3809094827586</v>
      </c>
      <c r="L368" s="0" t="n">
        <f aca="false">SUMPRODUCT(MMULT(E368:J368,_XtX!$B$44:$G$49),E368:J368)</f>
        <v>0.291549676724138</v>
      </c>
      <c r="M368" s="0" t="n">
        <f aca="false">04_回帰ANOVA!$K$19*04_回帰ANOVA!$K$14*SQRT(1+L368)</f>
        <v>1.54004045665134</v>
      </c>
      <c r="N368" s="0" t="n">
        <f aca="false">K368-M368</f>
        <v>44.8408690261073</v>
      </c>
      <c r="O368" s="0" t="n">
        <f aca="false">K368+M368</f>
        <v>47.9209499394099</v>
      </c>
      <c r="P368" s="54" t="b">
        <f aca="false">AND(C368&gt;=01_因子設定!$L$5-0.000000001,C368&lt;=01_因子設定!$M$5+0.000000001,D368&gt;=01_因子設定!$L$6-0.000000001,D368&lt;=01_因子設定!$M$6+0.000000001,IF(01_因子設定!$B$20="Box-Behnken",C368^2+D368^2&lt;=2+0.000000001,TRUE()))</f>
        <v>1</v>
      </c>
      <c r="Q368" s="55" t="n">
        <f aca="false">IF(P368,IF(01_因子設定!$B$13="最大化",N368-01_因子設定!$B$14,IF(01_因子設定!$B$13="最小化",01_因子設定!$B$15-O368,MIN(N368-01_因子設定!$B$14,01_因子設定!$B$15-O368))),-1E+030)</f>
        <v>-1.65913097389272</v>
      </c>
      <c r="R368" s="55" t="n">
        <f aca="false">IF(P368,IF(01_因子設定!$B$13="最大化",K368,IF(01_因子設定!$B$13="最小化",-K368,-ABS(K368-01_因子設定!$B$16))),-1E+030)</f>
        <v>46.3809094827586</v>
      </c>
      <c r="S368" s="55" t="n">
        <f aca="false">Q368+ROW()*0.000000001</f>
        <v>-1.65913060589272</v>
      </c>
      <c r="T368" s="55" t="n">
        <f aca="false">R368+ROW()*0.000000001</f>
        <v>46.3809098507586</v>
      </c>
    </row>
    <row r="369" customFormat="false" ht="15" hidden="false" customHeight="false" outlineLevel="0" collapsed="false">
      <c r="A369" s="0" t="n">
        <v>8</v>
      </c>
      <c r="B369" s="0" t="n">
        <v>36</v>
      </c>
      <c r="C369" s="0" t="n">
        <f aca="false">-1+A369*0.05</f>
        <v>-0.6</v>
      </c>
      <c r="D369" s="0" t="n">
        <f aca="false">-1+B369*0.05</f>
        <v>0.8</v>
      </c>
      <c r="E369" s="0" t="n">
        <f aca="false">1</f>
        <v>1</v>
      </c>
      <c r="F369" s="0" t="n">
        <f aca="false">C369</f>
        <v>-0.6</v>
      </c>
      <c r="G369" s="0" t="n">
        <f aca="false">D369</f>
        <v>0.8</v>
      </c>
      <c r="H369" s="0" t="n">
        <f aca="false">C369*D369</f>
        <v>-0.48</v>
      </c>
      <c r="I369" s="0" t="n">
        <f aca="false">C369*C369</f>
        <v>0.36</v>
      </c>
      <c r="J369" s="0" t="n">
        <f aca="false">D369*D369</f>
        <v>0.64</v>
      </c>
      <c r="K369" s="0" t="n">
        <f aca="false">SUMPRODUCT(E369:J369,_XtX!$B$53:$G$53)</f>
        <v>46.3580689655172</v>
      </c>
      <c r="L369" s="0" t="n">
        <f aca="false">SUMPRODUCT(MMULT(E369:J369,_XtX!$B$44:$G$49),E369:J369)</f>
        <v>0.321452873563218</v>
      </c>
      <c r="M369" s="0" t="n">
        <f aca="false">04_回帰ANOVA!$K$19*04_回帰ANOVA!$K$14*SQRT(1+L369)</f>
        <v>1.55776668694898</v>
      </c>
      <c r="N369" s="0" t="n">
        <f aca="false">K369-M369</f>
        <v>44.8003022785683</v>
      </c>
      <c r="O369" s="0" t="n">
        <f aca="false">K369+M369</f>
        <v>47.9158356524662</v>
      </c>
      <c r="P369" s="54" t="b">
        <f aca="false">AND(C369&gt;=01_因子設定!$L$5-0.000000001,C369&lt;=01_因子設定!$M$5+0.000000001,D369&gt;=01_因子設定!$L$6-0.000000001,D369&lt;=01_因子設定!$M$6+0.000000001,IF(01_因子設定!$B$20="Box-Behnken",C369^2+D369^2&lt;=2+0.000000001,TRUE()))</f>
        <v>1</v>
      </c>
      <c r="Q369" s="55" t="n">
        <f aca="false">IF(P369,IF(01_因子設定!$B$13="最大化",N369-01_因子設定!$B$14,IF(01_因子設定!$B$13="最小化",01_因子設定!$B$15-O369,MIN(N369-01_因子設定!$B$14,01_因子設定!$B$15-O369))),-1E+030)</f>
        <v>-1.69969772143175</v>
      </c>
      <c r="R369" s="55" t="n">
        <f aca="false">IF(P369,IF(01_因子設定!$B$13="最大化",K369,IF(01_因子設定!$B$13="最小化",-K369,-ABS(K369-01_因子設定!$B$16))),-1E+030)</f>
        <v>46.3580689655172</v>
      </c>
      <c r="S369" s="55" t="n">
        <f aca="false">Q369+ROW()*0.000000001</f>
        <v>-1.69969735243175</v>
      </c>
      <c r="T369" s="55" t="n">
        <f aca="false">R369+ROW()*0.000000001</f>
        <v>46.3580693345172</v>
      </c>
    </row>
    <row r="370" customFormat="false" ht="15" hidden="false" customHeight="false" outlineLevel="0" collapsed="false">
      <c r="A370" s="0" t="n">
        <v>8</v>
      </c>
      <c r="B370" s="0" t="n">
        <v>37</v>
      </c>
      <c r="C370" s="0" t="n">
        <f aca="false">-1+A370*0.05</f>
        <v>-0.6</v>
      </c>
      <c r="D370" s="0" t="n">
        <f aca="false">-1+B370*0.05</f>
        <v>0.85</v>
      </c>
      <c r="E370" s="0" t="n">
        <f aca="false">1</f>
        <v>1</v>
      </c>
      <c r="F370" s="0" t="n">
        <f aca="false">C370</f>
        <v>-0.6</v>
      </c>
      <c r="G370" s="0" t="n">
        <f aca="false">D370</f>
        <v>0.85</v>
      </c>
      <c r="H370" s="0" t="n">
        <f aca="false">C370*D370</f>
        <v>-0.51</v>
      </c>
      <c r="I370" s="0" t="n">
        <f aca="false">C370*C370</f>
        <v>0.36</v>
      </c>
      <c r="J370" s="0" t="n">
        <f aca="false">D370*D370</f>
        <v>0.7225</v>
      </c>
      <c r="K370" s="0" t="n">
        <f aca="false">SUMPRODUCT(E370:J370,_XtX!$B$53:$G$53)</f>
        <v>46.3275129310345</v>
      </c>
      <c r="L370" s="0" t="n">
        <f aca="false">SUMPRODUCT(MMULT(E370:J370,_XtX!$B$44:$G$49),E370:J370)</f>
        <v>0.358064619252874</v>
      </c>
      <c r="M370" s="0" t="n">
        <f aca="false">04_回帰ANOVA!$K$19*04_回帰ANOVA!$K$14*SQRT(1+L370)</f>
        <v>1.57919874361545</v>
      </c>
      <c r="N370" s="0" t="n">
        <f aca="false">K370-M370</f>
        <v>44.748314187419</v>
      </c>
      <c r="O370" s="0" t="n">
        <f aca="false">K370+M370</f>
        <v>47.9067116746499</v>
      </c>
      <c r="P370" s="54" t="b">
        <f aca="false">AND(C370&gt;=01_因子設定!$L$5-0.000000001,C370&lt;=01_因子設定!$M$5+0.000000001,D370&gt;=01_因子設定!$L$6-0.000000001,D370&lt;=01_因子設定!$M$6+0.000000001,IF(01_因子設定!$B$20="Box-Behnken",C370^2+D370^2&lt;=2+0.000000001,TRUE()))</f>
        <v>1</v>
      </c>
      <c r="Q370" s="55" t="n">
        <f aca="false">IF(P370,IF(01_因子設定!$B$13="最大化",N370-01_因子設定!$B$14,IF(01_因子設定!$B$13="最小化",01_因子設定!$B$15-O370,MIN(N370-01_因子設定!$B$14,01_因子設定!$B$15-O370))),-1E+030)</f>
        <v>-1.75168581258097</v>
      </c>
      <c r="R370" s="55" t="n">
        <f aca="false">IF(P370,IF(01_因子設定!$B$13="最大化",K370,IF(01_因子設定!$B$13="最小化",-K370,-ABS(K370-01_因子設定!$B$16))),-1E+030)</f>
        <v>46.3275129310345</v>
      </c>
      <c r="S370" s="55" t="n">
        <f aca="false">Q370+ROW()*0.000000001</f>
        <v>-1.75168544258097</v>
      </c>
      <c r="T370" s="55" t="n">
        <f aca="false">R370+ROW()*0.000000001</f>
        <v>46.3275133010345</v>
      </c>
    </row>
    <row r="371" customFormat="false" ht="15" hidden="false" customHeight="false" outlineLevel="0" collapsed="false">
      <c r="A371" s="0" t="n">
        <v>8</v>
      </c>
      <c r="B371" s="0" t="n">
        <v>38</v>
      </c>
      <c r="C371" s="0" t="n">
        <f aca="false">-1+A371*0.05</f>
        <v>-0.6</v>
      </c>
      <c r="D371" s="0" t="n">
        <f aca="false">-1+B371*0.05</f>
        <v>0.9</v>
      </c>
      <c r="E371" s="0" t="n">
        <f aca="false">1</f>
        <v>1</v>
      </c>
      <c r="F371" s="0" t="n">
        <f aca="false">C371</f>
        <v>-0.6</v>
      </c>
      <c r="G371" s="0" t="n">
        <f aca="false">D371</f>
        <v>0.9</v>
      </c>
      <c r="H371" s="0" t="n">
        <f aca="false">C371*D371</f>
        <v>-0.54</v>
      </c>
      <c r="I371" s="0" t="n">
        <f aca="false">C371*C371</f>
        <v>0.36</v>
      </c>
      <c r="J371" s="0" t="n">
        <f aca="false">D371*D371</f>
        <v>0.81</v>
      </c>
      <c r="K371" s="0" t="n">
        <f aca="false">SUMPRODUCT(E371:J371,_XtX!$B$53:$G$53)</f>
        <v>46.2892413793103</v>
      </c>
      <c r="L371" s="0" t="n">
        <f aca="false">SUMPRODUCT(MMULT(E371:J371,_XtX!$B$44:$G$49),E371:J371)</f>
        <v>0.402281034482759</v>
      </c>
      <c r="M371" s="0" t="n">
        <f aca="false">04_回帰ANOVA!$K$19*04_回帰ANOVA!$K$14*SQRT(1+L371)</f>
        <v>1.60470092328339</v>
      </c>
      <c r="N371" s="0" t="n">
        <f aca="false">K371-M371</f>
        <v>44.684540456027</v>
      </c>
      <c r="O371" s="0" t="n">
        <f aca="false">K371+M371</f>
        <v>47.8939423025937</v>
      </c>
      <c r="P371" s="54" t="b">
        <f aca="false">AND(C371&gt;=01_因子設定!$L$5-0.000000001,C371&lt;=01_因子設定!$M$5+0.000000001,D371&gt;=01_因子設定!$L$6-0.000000001,D371&lt;=01_因子設定!$M$6+0.000000001,IF(01_因子設定!$B$20="Box-Behnken",C371^2+D371^2&lt;=2+0.000000001,TRUE()))</f>
        <v>1</v>
      </c>
      <c r="Q371" s="55" t="n">
        <f aca="false">IF(P371,IF(01_因子設定!$B$13="最大化",N371-01_因子設定!$B$14,IF(01_因子設定!$B$13="最小化",01_因子設定!$B$15-O371,MIN(N371-01_因子設定!$B$14,01_因子設定!$B$15-O371))),-1E+030)</f>
        <v>-1.81545954397305</v>
      </c>
      <c r="R371" s="55" t="n">
        <f aca="false">IF(P371,IF(01_因子設定!$B$13="最大化",K371,IF(01_因子設定!$B$13="最小化",-K371,-ABS(K371-01_因子設定!$B$16))),-1E+030)</f>
        <v>46.2892413793103</v>
      </c>
      <c r="S371" s="55" t="n">
        <f aca="false">Q371+ROW()*0.000000001</f>
        <v>-1.81545917297305</v>
      </c>
      <c r="T371" s="55" t="n">
        <f aca="false">R371+ROW()*0.000000001</f>
        <v>46.2892417503103</v>
      </c>
    </row>
    <row r="372" customFormat="false" ht="15" hidden="false" customHeight="false" outlineLevel="0" collapsed="false">
      <c r="A372" s="0" t="n">
        <v>8</v>
      </c>
      <c r="B372" s="0" t="n">
        <v>39</v>
      </c>
      <c r="C372" s="0" t="n">
        <f aca="false">-1+A372*0.05</f>
        <v>-0.6</v>
      </c>
      <c r="D372" s="0" t="n">
        <f aca="false">-1+B372*0.05</f>
        <v>0.95</v>
      </c>
      <c r="E372" s="0" t="n">
        <f aca="false">1</f>
        <v>1</v>
      </c>
      <c r="F372" s="0" t="n">
        <f aca="false">C372</f>
        <v>-0.6</v>
      </c>
      <c r="G372" s="0" t="n">
        <f aca="false">D372</f>
        <v>0.95</v>
      </c>
      <c r="H372" s="0" t="n">
        <f aca="false">C372*D372</f>
        <v>-0.57</v>
      </c>
      <c r="I372" s="0" t="n">
        <f aca="false">C372*C372</f>
        <v>0.36</v>
      </c>
      <c r="J372" s="0" t="n">
        <f aca="false">D372*D372</f>
        <v>0.9025</v>
      </c>
      <c r="K372" s="0" t="n">
        <f aca="false">SUMPRODUCT(E372:J372,_XtX!$B$53:$G$53)</f>
        <v>46.2432543103448</v>
      </c>
      <c r="L372" s="0" t="n">
        <f aca="false">SUMPRODUCT(MMULT(E372:J372,_XtX!$B$44:$G$49),E372:J372)</f>
        <v>0.455052550287356</v>
      </c>
      <c r="M372" s="0" t="n">
        <f aca="false">04_回帰ANOVA!$K$19*04_回帰ANOVA!$K$14*SQRT(1+L372)</f>
        <v>1.63461662470009</v>
      </c>
      <c r="N372" s="0" t="n">
        <f aca="false">K372-M372</f>
        <v>44.6086376856447</v>
      </c>
      <c r="O372" s="0" t="n">
        <f aca="false">K372+M372</f>
        <v>47.8778709350449</v>
      </c>
      <c r="P372" s="54" t="b">
        <f aca="false">AND(C372&gt;=01_因子設定!$L$5-0.000000001,C372&lt;=01_因子設定!$M$5+0.000000001,D372&gt;=01_因子設定!$L$6-0.000000001,D372&lt;=01_因子設定!$M$6+0.000000001,IF(01_因子設定!$B$20="Box-Behnken",C372^2+D372^2&lt;=2+0.000000001,TRUE()))</f>
        <v>1</v>
      </c>
      <c r="Q372" s="55" t="n">
        <f aca="false">IF(P372,IF(01_因子設定!$B$13="最大化",N372-01_因子設定!$B$14,IF(01_因子設定!$B$13="最小化",01_因子設定!$B$15-O372,MIN(N372-01_因子設定!$B$14,01_因子設定!$B$15-O372))),-1E+030)</f>
        <v>-1.89136231435526</v>
      </c>
      <c r="R372" s="55" t="n">
        <f aca="false">IF(P372,IF(01_因子設定!$B$13="最大化",K372,IF(01_因子設定!$B$13="最小化",-K372,-ABS(K372-01_因子設定!$B$16))),-1E+030)</f>
        <v>46.2432543103448</v>
      </c>
      <c r="S372" s="55" t="n">
        <f aca="false">Q372+ROW()*0.000000001</f>
        <v>-1.89136194235526</v>
      </c>
      <c r="T372" s="55" t="n">
        <f aca="false">R372+ROW()*0.000000001</f>
        <v>46.2432546823448</v>
      </c>
    </row>
    <row r="373" customFormat="false" ht="15" hidden="false" customHeight="false" outlineLevel="0" collapsed="false">
      <c r="A373" s="0" t="n">
        <v>8</v>
      </c>
      <c r="B373" s="0" t="n">
        <v>40</v>
      </c>
      <c r="C373" s="0" t="n">
        <f aca="false">-1+A373*0.05</f>
        <v>-0.6</v>
      </c>
      <c r="D373" s="0" t="n">
        <f aca="false">-1+B373*0.05</f>
        <v>1</v>
      </c>
      <c r="E373" s="0" t="n">
        <f aca="false">1</f>
        <v>1</v>
      </c>
      <c r="F373" s="0" t="n">
        <f aca="false">C373</f>
        <v>-0.6</v>
      </c>
      <c r="G373" s="0" t="n">
        <f aca="false">D373</f>
        <v>1</v>
      </c>
      <c r="H373" s="0" t="n">
        <f aca="false">C373*D373</f>
        <v>-0.6</v>
      </c>
      <c r="I373" s="0" t="n">
        <f aca="false">C373*C373</f>
        <v>0.36</v>
      </c>
      <c r="J373" s="0" t="n">
        <f aca="false">D373*D373</f>
        <v>1</v>
      </c>
      <c r="K373" s="0" t="n">
        <f aca="false">SUMPRODUCT(E373:J373,_XtX!$B$53:$G$53)</f>
        <v>46.1895517241379</v>
      </c>
      <c r="L373" s="0" t="n">
        <f aca="false">SUMPRODUCT(MMULT(E373:J373,_XtX!$B$44:$G$49),E373:J373)</f>
        <v>0.517383908045977</v>
      </c>
      <c r="M373" s="0" t="n">
        <f aca="false">04_回帰ANOVA!$K$19*04_回帰ANOVA!$K$14*SQRT(1+L373)</f>
        <v>1.66926124034343</v>
      </c>
      <c r="N373" s="0" t="n">
        <f aca="false">K373-M373</f>
        <v>44.5202904837945</v>
      </c>
      <c r="O373" s="0" t="n">
        <f aca="false">K373+M373</f>
        <v>47.8588129644814</v>
      </c>
      <c r="P373" s="54" t="b">
        <f aca="false">AND(C373&gt;=01_因子設定!$L$5-0.000000001,C373&lt;=01_因子設定!$M$5+0.000000001,D373&gt;=01_因子設定!$L$6-0.000000001,D373&lt;=01_因子設定!$M$6+0.000000001,IF(01_因子設定!$B$20="Box-Behnken",C373^2+D373^2&lt;=2+0.000000001,TRUE()))</f>
        <v>1</v>
      </c>
      <c r="Q373" s="55" t="n">
        <f aca="false">IF(P373,IF(01_因子設定!$B$13="最大化",N373-01_因子設定!$B$14,IF(01_因子設定!$B$13="最小化",01_因子設定!$B$15-O373,MIN(N373-01_因子設定!$B$14,01_因子設定!$B$15-O373))),-1E+030)</f>
        <v>-1.9797095162055</v>
      </c>
      <c r="R373" s="55" t="n">
        <f aca="false">IF(P373,IF(01_因子設定!$B$13="最大化",K373,IF(01_因子設定!$B$13="最小化",-K373,-ABS(K373-01_因子設定!$B$16))),-1E+030)</f>
        <v>46.1895517241379</v>
      </c>
      <c r="S373" s="55" t="n">
        <f aca="false">Q373+ROW()*0.000000001</f>
        <v>-1.9797091432055</v>
      </c>
      <c r="T373" s="55" t="n">
        <f aca="false">R373+ROW()*0.000000001</f>
        <v>46.1895520971379</v>
      </c>
    </row>
    <row r="374" customFormat="false" ht="15" hidden="false" customHeight="false" outlineLevel="0" collapsed="false">
      <c r="A374" s="0" t="n">
        <v>9</v>
      </c>
      <c r="B374" s="0" t="n">
        <v>0</v>
      </c>
      <c r="C374" s="0" t="n">
        <f aca="false">-1+A374*0.05</f>
        <v>-0.55</v>
      </c>
      <c r="D374" s="0" t="n">
        <f aca="false">-1+B374*0.05</f>
        <v>-1</v>
      </c>
      <c r="E374" s="0" t="n">
        <f aca="false">1</f>
        <v>1</v>
      </c>
      <c r="F374" s="0" t="n">
        <f aca="false">C374</f>
        <v>-0.55</v>
      </c>
      <c r="G374" s="0" t="n">
        <f aca="false">D374</f>
        <v>-1</v>
      </c>
      <c r="H374" s="0" t="n">
        <f aca="false">C374*D374</f>
        <v>0.55</v>
      </c>
      <c r="I374" s="0" t="n">
        <f aca="false">C374*C374</f>
        <v>0.3025</v>
      </c>
      <c r="J374" s="0" t="n">
        <f aca="false">D374*D374</f>
        <v>1</v>
      </c>
      <c r="K374" s="0" t="n">
        <f aca="false">SUMPRODUCT(E374:J374,_XtX!$B$53:$G$53)</f>
        <v>42.5568635057471</v>
      </c>
      <c r="L374" s="0" t="n">
        <f aca="false">SUMPRODUCT(MMULT(E374:J374,_XtX!$B$44:$G$49),E374:J374)</f>
        <v>0.507391630747127</v>
      </c>
      <c r="M374" s="0" t="n">
        <f aca="false">04_回帰ANOVA!$K$19*04_回帰ANOVA!$K$14*SQRT(1+L374)</f>
        <v>1.66375595202306</v>
      </c>
      <c r="N374" s="0" t="n">
        <f aca="false">K374-M374</f>
        <v>40.8931075537241</v>
      </c>
      <c r="O374" s="0" t="n">
        <f aca="false">K374+M374</f>
        <v>44.2206194577702</v>
      </c>
      <c r="P374" s="54" t="b">
        <f aca="false">AND(C374&gt;=01_因子設定!$L$5-0.000000001,C374&lt;=01_因子設定!$M$5+0.000000001,D374&gt;=01_因子設定!$L$6-0.000000001,D374&lt;=01_因子設定!$M$6+0.000000001,IF(01_因子設定!$B$20="Box-Behnken",C374^2+D374^2&lt;=2+0.000000001,TRUE()))</f>
        <v>1</v>
      </c>
      <c r="Q374" s="55" t="n">
        <f aca="false">IF(P374,IF(01_因子設定!$B$13="最大化",N374-01_因子設定!$B$14,IF(01_因子設定!$B$13="最小化",01_因子設定!$B$15-O374,MIN(N374-01_因子設定!$B$14,01_因子設定!$B$15-O374))),-1E+030)</f>
        <v>-5.60689244627593</v>
      </c>
      <c r="R374" s="55" t="n">
        <f aca="false">IF(P374,IF(01_因子設定!$B$13="最大化",K374,IF(01_因子設定!$B$13="最小化",-K374,-ABS(K374-01_因子設定!$B$16))),-1E+030)</f>
        <v>42.5568635057471</v>
      </c>
      <c r="S374" s="55" t="n">
        <f aca="false">Q374+ROW()*0.000000001</f>
        <v>-5.60689207227593</v>
      </c>
      <c r="T374" s="55" t="n">
        <f aca="false">R374+ROW()*0.000000001</f>
        <v>42.5568638797471</v>
      </c>
    </row>
    <row r="375" customFormat="false" ht="15" hidden="false" customHeight="false" outlineLevel="0" collapsed="false">
      <c r="A375" s="0" t="n">
        <v>9</v>
      </c>
      <c r="B375" s="0" t="n">
        <v>1</v>
      </c>
      <c r="C375" s="0" t="n">
        <f aca="false">-1+A375*0.05</f>
        <v>-0.55</v>
      </c>
      <c r="D375" s="0" t="n">
        <f aca="false">-1+B375*0.05</f>
        <v>-0.95</v>
      </c>
      <c r="E375" s="0" t="n">
        <f aca="false">1</f>
        <v>1</v>
      </c>
      <c r="F375" s="0" t="n">
        <f aca="false">C375</f>
        <v>-0.55</v>
      </c>
      <c r="G375" s="0" t="n">
        <f aca="false">D375</f>
        <v>-0.95</v>
      </c>
      <c r="H375" s="0" t="n">
        <f aca="false">C375*D375</f>
        <v>0.5225</v>
      </c>
      <c r="I375" s="0" t="n">
        <f aca="false">C375*C375</f>
        <v>0.3025</v>
      </c>
      <c r="J375" s="0" t="n">
        <f aca="false">D375*D375</f>
        <v>0.9025</v>
      </c>
      <c r="K375" s="0" t="n">
        <f aca="false">SUMPRODUCT(E375:J375,_XtX!$B$53:$G$53)</f>
        <v>42.805378591954</v>
      </c>
      <c r="L375" s="0" t="n">
        <f aca="false">SUMPRODUCT(MMULT(E375:J375,_XtX!$B$44:$G$49),E375:J375)</f>
        <v>0.444915283764368</v>
      </c>
      <c r="M375" s="0" t="n">
        <f aca="false">04_回帰ANOVA!$K$19*04_回帰ANOVA!$K$14*SQRT(1+L375)</f>
        <v>1.62891253282135</v>
      </c>
      <c r="N375" s="0" t="n">
        <f aca="false">K375-M375</f>
        <v>41.1764660591327</v>
      </c>
      <c r="O375" s="0" t="n">
        <f aca="false">K375+M375</f>
        <v>44.4342911247754</v>
      </c>
      <c r="P375" s="54" t="b">
        <f aca="false">AND(C375&gt;=01_因子設定!$L$5-0.000000001,C375&lt;=01_因子設定!$M$5+0.000000001,D375&gt;=01_因子設定!$L$6-0.000000001,D375&lt;=01_因子設定!$M$6+0.000000001,IF(01_因子設定!$B$20="Box-Behnken",C375^2+D375^2&lt;=2+0.000000001,TRUE()))</f>
        <v>1</v>
      </c>
      <c r="Q375" s="55" t="n">
        <f aca="false">IF(P375,IF(01_因子設定!$B$13="最大化",N375-01_因子設定!$B$14,IF(01_因子設定!$B$13="最小化",01_因子設定!$B$15-O375,MIN(N375-01_因子設定!$B$14,01_因子設定!$B$15-O375))),-1E+030)</f>
        <v>-5.32353394086733</v>
      </c>
      <c r="R375" s="55" t="n">
        <f aca="false">IF(P375,IF(01_因子設定!$B$13="最大化",K375,IF(01_因子設定!$B$13="最小化",-K375,-ABS(K375-01_因子設定!$B$16))),-1E+030)</f>
        <v>42.805378591954</v>
      </c>
      <c r="S375" s="55" t="n">
        <f aca="false">Q375+ROW()*0.000000001</f>
        <v>-5.32353356586733</v>
      </c>
      <c r="T375" s="55" t="n">
        <f aca="false">R375+ROW()*0.000000001</f>
        <v>42.805378966954</v>
      </c>
    </row>
    <row r="376" customFormat="false" ht="15" hidden="false" customHeight="false" outlineLevel="0" collapsed="false">
      <c r="A376" s="0" t="n">
        <v>9</v>
      </c>
      <c r="B376" s="0" t="n">
        <v>2</v>
      </c>
      <c r="C376" s="0" t="n">
        <f aca="false">-1+A376*0.05</f>
        <v>-0.55</v>
      </c>
      <c r="D376" s="0" t="n">
        <f aca="false">-1+B376*0.05</f>
        <v>-0.9</v>
      </c>
      <c r="E376" s="0" t="n">
        <f aca="false">1</f>
        <v>1</v>
      </c>
      <c r="F376" s="0" t="n">
        <f aca="false">C376</f>
        <v>-0.55</v>
      </c>
      <c r="G376" s="0" t="n">
        <f aca="false">D376</f>
        <v>-0.9</v>
      </c>
      <c r="H376" s="0" t="n">
        <f aca="false">C376*D376</f>
        <v>0.495</v>
      </c>
      <c r="I376" s="0" t="n">
        <f aca="false">C376*C376</f>
        <v>0.3025</v>
      </c>
      <c r="J376" s="0" t="n">
        <f aca="false">D376*D376</f>
        <v>0.81</v>
      </c>
      <c r="K376" s="0" t="n">
        <f aca="false">SUMPRODUCT(E376:J376,_XtX!$B$53:$G$53)</f>
        <v>43.0461781609195</v>
      </c>
      <c r="L376" s="0" t="n">
        <f aca="false">SUMPRODUCT(MMULT(E376:J376,_XtX!$B$44:$G$49),E376:J376)</f>
        <v>0.39200621408046</v>
      </c>
      <c r="M376" s="0" t="n">
        <f aca="false">04_回帰ANOVA!$K$19*04_回帰ANOVA!$K$14*SQRT(1+L376)</f>
        <v>1.59881111683123</v>
      </c>
      <c r="N376" s="0" t="n">
        <f aca="false">K376-M376</f>
        <v>41.4473670440883</v>
      </c>
      <c r="O376" s="0" t="n">
        <f aca="false">K376+M376</f>
        <v>44.6449892777508</v>
      </c>
      <c r="P376" s="54" t="b">
        <f aca="false">AND(C376&gt;=01_因子設定!$L$5-0.000000001,C376&lt;=01_因子設定!$M$5+0.000000001,D376&gt;=01_因子設定!$L$6-0.000000001,D376&lt;=01_因子設定!$M$6+0.000000001,IF(01_因子設定!$B$20="Box-Behnken",C376^2+D376^2&lt;=2+0.000000001,TRUE()))</f>
        <v>1</v>
      </c>
      <c r="Q376" s="55" t="n">
        <f aca="false">IF(P376,IF(01_因子設定!$B$13="最大化",N376-01_因子設定!$B$14,IF(01_因子設定!$B$13="最小化",01_因子設定!$B$15-O376,MIN(N376-01_因子設定!$B$14,01_因子設定!$B$15-O376))),-1E+030)</f>
        <v>-5.05263295591169</v>
      </c>
      <c r="R376" s="55" t="n">
        <f aca="false">IF(P376,IF(01_因子設定!$B$13="最大化",K376,IF(01_因子設定!$B$13="最小化",-K376,-ABS(K376-01_因子設定!$B$16))),-1E+030)</f>
        <v>43.0461781609195</v>
      </c>
      <c r="S376" s="55" t="n">
        <f aca="false">Q376+ROW()*0.000000001</f>
        <v>-5.05263257991169</v>
      </c>
      <c r="T376" s="55" t="n">
        <f aca="false">R376+ROW()*0.000000001</f>
        <v>43.0461785369195</v>
      </c>
    </row>
    <row r="377" customFormat="false" ht="15" hidden="false" customHeight="false" outlineLevel="0" collapsed="false">
      <c r="A377" s="0" t="n">
        <v>9</v>
      </c>
      <c r="B377" s="0" t="n">
        <v>3</v>
      </c>
      <c r="C377" s="0" t="n">
        <f aca="false">-1+A377*0.05</f>
        <v>-0.55</v>
      </c>
      <c r="D377" s="0" t="n">
        <f aca="false">-1+B377*0.05</f>
        <v>-0.85</v>
      </c>
      <c r="E377" s="0" t="n">
        <f aca="false">1</f>
        <v>1</v>
      </c>
      <c r="F377" s="0" t="n">
        <f aca="false">C377</f>
        <v>-0.55</v>
      </c>
      <c r="G377" s="0" t="n">
        <f aca="false">D377</f>
        <v>-0.85</v>
      </c>
      <c r="H377" s="0" t="n">
        <f aca="false">C377*D377</f>
        <v>0.4675</v>
      </c>
      <c r="I377" s="0" t="n">
        <f aca="false">C377*C377</f>
        <v>0.3025</v>
      </c>
      <c r="J377" s="0" t="n">
        <f aca="false">D377*D377</f>
        <v>0.7225</v>
      </c>
      <c r="K377" s="0" t="n">
        <f aca="false">SUMPRODUCT(E377:J377,_XtX!$B$53:$G$53)</f>
        <v>43.2792622126437</v>
      </c>
      <c r="L377" s="0" t="n">
        <f aca="false">SUMPRODUCT(MMULT(E377:J377,_XtX!$B$44:$G$49),E377:J377)</f>
        <v>0.347659680316092</v>
      </c>
      <c r="M377" s="0" t="n">
        <f aca="false">04_回帰ANOVA!$K$19*04_回帰ANOVA!$K$14*SQRT(1+L377)</f>
        <v>1.57313752229609</v>
      </c>
      <c r="N377" s="0" t="n">
        <f aca="false">K377-M377</f>
        <v>41.7061246903476</v>
      </c>
      <c r="O377" s="0" t="n">
        <f aca="false">K377+M377</f>
        <v>44.8523997349398</v>
      </c>
      <c r="P377" s="54" t="b">
        <f aca="false">AND(C377&gt;=01_因子設定!$L$5-0.000000001,C377&lt;=01_因子設定!$M$5+0.000000001,D377&gt;=01_因子設定!$L$6-0.000000001,D377&lt;=01_因子設定!$M$6+0.000000001,IF(01_因子設定!$B$20="Box-Behnken",C377^2+D377^2&lt;=2+0.000000001,TRUE()))</f>
        <v>1</v>
      </c>
      <c r="Q377" s="55" t="n">
        <f aca="false">IF(P377,IF(01_因子設定!$B$13="最大化",N377-01_因子設定!$B$14,IF(01_因子設定!$B$13="最小化",01_因子設定!$B$15-O377,MIN(N377-01_因子設定!$B$14,01_因子設定!$B$15-O377))),-1E+030)</f>
        <v>-4.79387530965241</v>
      </c>
      <c r="R377" s="55" t="n">
        <f aca="false">IF(P377,IF(01_因子設定!$B$13="最大化",K377,IF(01_因子設定!$B$13="最小化",-K377,-ABS(K377-01_因子設定!$B$16))),-1E+030)</f>
        <v>43.2792622126437</v>
      </c>
      <c r="S377" s="55" t="n">
        <f aca="false">Q377+ROW()*0.000000001</f>
        <v>-4.79387493265241</v>
      </c>
      <c r="T377" s="55" t="n">
        <f aca="false">R377+ROW()*0.000000001</f>
        <v>43.2792625896437</v>
      </c>
    </row>
    <row r="378" customFormat="false" ht="15" hidden="false" customHeight="false" outlineLevel="0" collapsed="false">
      <c r="A378" s="0" t="n">
        <v>9</v>
      </c>
      <c r="B378" s="0" t="n">
        <v>4</v>
      </c>
      <c r="C378" s="0" t="n">
        <f aca="false">-1+A378*0.05</f>
        <v>-0.55</v>
      </c>
      <c r="D378" s="0" t="n">
        <f aca="false">-1+B378*0.05</f>
        <v>-0.8</v>
      </c>
      <c r="E378" s="0" t="n">
        <f aca="false">1</f>
        <v>1</v>
      </c>
      <c r="F378" s="0" t="n">
        <f aca="false">C378</f>
        <v>-0.55</v>
      </c>
      <c r="G378" s="0" t="n">
        <f aca="false">D378</f>
        <v>-0.8</v>
      </c>
      <c r="H378" s="0" t="n">
        <f aca="false">C378*D378</f>
        <v>0.44</v>
      </c>
      <c r="I378" s="0" t="n">
        <f aca="false">C378*C378</f>
        <v>0.3025</v>
      </c>
      <c r="J378" s="0" t="n">
        <f aca="false">D378*D378</f>
        <v>0.64</v>
      </c>
      <c r="K378" s="0" t="n">
        <f aca="false">SUMPRODUCT(E378:J378,_XtX!$B$53:$G$53)</f>
        <v>43.5046307471264</v>
      </c>
      <c r="L378" s="0" t="n">
        <f aca="false">SUMPRODUCT(MMULT(E378:J378,_XtX!$B$44:$G$49),E378:J378)</f>
        <v>0.310925251436782</v>
      </c>
      <c r="M378" s="0" t="n">
        <f aca="false">04_回帰ANOVA!$K$19*04_回帰ANOVA!$K$14*SQRT(1+L378)</f>
        <v>1.551549146857</v>
      </c>
      <c r="N378" s="0" t="n">
        <f aca="false">K378-M378</f>
        <v>41.9530816002694</v>
      </c>
      <c r="O378" s="0" t="n">
        <f aca="false">K378+M378</f>
        <v>45.0561798939834</v>
      </c>
      <c r="P378" s="54" t="b">
        <f aca="false">AND(C378&gt;=01_因子設定!$L$5-0.000000001,C378&lt;=01_因子設定!$M$5+0.000000001,D378&gt;=01_因子設定!$L$6-0.000000001,D378&lt;=01_因子設定!$M$6+0.000000001,IF(01_因子設定!$B$20="Box-Behnken",C378^2+D378^2&lt;=2+0.000000001,TRUE()))</f>
        <v>1</v>
      </c>
      <c r="Q378" s="55" t="n">
        <f aca="false">IF(P378,IF(01_因子設定!$B$13="最大化",N378-01_因子設定!$B$14,IF(01_因子設定!$B$13="最小化",01_因子設定!$B$15-O378,MIN(N378-01_因子設定!$B$14,01_因子設定!$B$15-O378))),-1E+030)</f>
        <v>-4.54691839973057</v>
      </c>
      <c r="R378" s="55" t="n">
        <f aca="false">IF(P378,IF(01_因子設定!$B$13="最大化",K378,IF(01_因子設定!$B$13="最小化",-K378,-ABS(K378-01_因子設定!$B$16))),-1E+030)</f>
        <v>43.5046307471264</v>
      </c>
      <c r="S378" s="55" t="n">
        <f aca="false">Q378+ROW()*0.000000001</f>
        <v>-4.54691802173057</v>
      </c>
      <c r="T378" s="55" t="n">
        <f aca="false">R378+ROW()*0.000000001</f>
        <v>43.5046311251264</v>
      </c>
    </row>
    <row r="379" customFormat="false" ht="15" hidden="false" customHeight="false" outlineLevel="0" collapsed="false">
      <c r="A379" s="0" t="n">
        <v>9</v>
      </c>
      <c r="B379" s="0" t="n">
        <v>5</v>
      </c>
      <c r="C379" s="0" t="n">
        <f aca="false">-1+A379*0.05</f>
        <v>-0.55</v>
      </c>
      <c r="D379" s="0" t="n">
        <f aca="false">-1+B379*0.05</f>
        <v>-0.75</v>
      </c>
      <c r="E379" s="0" t="n">
        <f aca="false">1</f>
        <v>1</v>
      </c>
      <c r="F379" s="0" t="n">
        <f aca="false">C379</f>
        <v>-0.55</v>
      </c>
      <c r="G379" s="0" t="n">
        <f aca="false">D379</f>
        <v>-0.75</v>
      </c>
      <c r="H379" s="0" t="n">
        <f aca="false">C379*D379</f>
        <v>0.4125</v>
      </c>
      <c r="I379" s="0" t="n">
        <f aca="false">C379*C379</f>
        <v>0.3025</v>
      </c>
      <c r="J379" s="0" t="n">
        <f aca="false">D379*D379</f>
        <v>0.5625</v>
      </c>
      <c r="K379" s="0" t="n">
        <f aca="false">SUMPRODUCT(E379:J379,_XtX!$B$53:$G$53)</f>
        <v>43.7222837643678</v>
      </c>
      <c r="L379" s="0" t="n">
        <f aca="false">SUMPRODUCT(MMULT(E379:J379,_XtX!$B$44:$G$49),E379:J379)</f>
        <v>0.280906806752874</v>
      </c>
      <c r="M379" s="0" t="n">
        <f aca="false">04_回帰ANOVA!$K$19*04_回帰ANOVA!$K$14*SQRT(1+L379)</f>
        <v>1.53368206549325</v>
      </c>
      <c r="N379" s="0" t="n">
        <f aca="false">K379-M379</f>
        <v>42.1886016988746</v>
      </c>
      <c r="O379" s="0" t="n">
        <f aca="false">K379+M379</f>
        <v>45.2559658298611</v>
      </c>
      <c r="P379" s="54" t="b">
        <f aca="false">AND(C379&gt;=01_因子設定!$L$5-0.000000001,C379&lt;=01_因子設定!$M$5+0.000000001,D379&gt;=01_因子設定!$L$6-0.000000001,D379&lt;=01_因子設定!$M$6+0.000000001,IF(01_因子設定!$B$20="Box-Behnken",C379^2+D379^2&lt;=2+0.000000001,TRUE()))</f>
        <v>1</v>
      </c>
      <c r="Q379" s="55" t="n">
        <f aca="false">IF(P379,IF(01_因子設定!$B$13="最大化",N379-01_因子設定!$B$14,IF(01_因子設定!$B$13="最小化",01_因子設定!$B$15-O379,MIN(N379-01_因子設定!$B$14,01_因子設定!$B$15-O379))),-1E+030)</f>
        <v>-4.31139830112544</v>
      </c>
      <c r="R379" s="55" t="n">
        <f aca="false">IF(P379,IF(01_因子設定!$B$13="最大化",K379,IF(01_因子設定!$B$13="最小化",-K379,-ABS(K379-01_因子設定!$B$16))),-1E+030)</f>
        <v>43.7222837643678</v>
      </c>
      <c r="S379" s="55" t="n">
        <f aca="false">Q379+ROW()*0.000000001</f>
        <v>-4.31139792212544</v>
      </c>
      <c r="T379" s="55" t="n">
        <f aca="false">R379+ROW()*0.000000001</f>
        <v>43.7222841433678</v>
      </c>
    </row>
    <row r="380" customFormat="false" ht="15" hidden="false" customHeight="false" outlineLevel="0" collapsed="false">
      <c r="A380" s="0" t="n">
        <v>9</v>
      </c>
      <c r="B380" s="0" t="n">
        <v>6</v>
      </c>
      <c r="C380" s="0" t="n">
        <f aca="false">-1+A380*0.05</f>
        <v>-0.55</v>
      </c>
      <c r="D380" s="0" t="n">
        <f aca="false">-1+B380*0.05</f>
        <v>-0.7</v>
      </c>
      <c r="E380" s="0" t="n">
        <f aca="false">1</f>
        <v>1</v>
      </c>
      <c r="F380" s="0" t="n">
        <f aca="false">C380</f>
        <v>-0.55</v>
      </c>
      <c r="G380" s="0" t="n">
        <f aca="false">D380</f>
        <v>-0.7</v>
      </c>
      <c r="H380" s="0" t="n">
        <f aca="false">C380*D380</f>
        <v>0.385</v>
      </c>
      <c r="I380" s="0" t="n">
        <f aca="false">C380*C380</f>
        <v>0.3025</v>
      </c>
      <c r="J380" s="0" t="n">
        <f aca="false">D380*D380</f>
        <v>0.49</v>
      </c>
      <c r="K380" s="0" t="n">
        <f aca="false">SUMPRODUCT(E380:J380,_XtX!$B$53:$G$53)</f>
        <v>43.9322212643678</v>
      </c>
      <c r="L380" s="0" t="n">
        <f aca="false">SUMPRODUCT(MMULT(E380:J380,_XtX!$B$44:$G$49),E380:J380)</f>
        <v>0.25676253591954</v>
      </c>
      <c r="M380" s="0" t="n">
        <f aca="false">04_回帰ANOVA!$K$19*04_回帰ANOVA!$K$14*SQRT(1+L380)</f>
        <v>1.51915884046963</v>
      </c>
      <c r="N380" s="0" t="n">
        <f aca="false">K380-M380</f>
        <v>42.4130624238982</v>
      </c>
      <c r="O380" s="0" t="n">
        <f aca="false">K380+M380</f>
        <v>45.4513801048375</v>
      </c>
      <c r="P380" s="54" t="b">
        <f aca="false">AND(C380&gt;=01_因子設定!$L$5-0.000000001,C380&lt;=01_因子設定!$M$5+0.000000001,D380&gt;=01_因子設定!$L$6-0.000000001,D380&lt;=01_因子設定!$M$6+0.000000001,IF(01_因子設定!$B$20="Box-Behnken",C380^2+D380^2&lt;=2+0.000000001,TRUE()))</f>
        <v>1</v>
      </c>
      <c r="Q380" s="55" t="n">
        <f aca="false">IF(P380,IF(01_因子設定!$B$13="最大化",N380-01_因子設定!$B$14,IF(01_因子設定!$B$13="最小化",01_因子設定!$B$15-O380,MIN(N380-01_因子設定!$B$14,01_因子設定!$B$15-O380))),-1E+030)</f>
        <v>-4.08693757610183</v>
      </c>
      <c r="R380" s="55" t="n">
        <f aca="false">IF(P380,IF(01_因子設定!$B$13="最大化",K380,IF(01_因子設定!$B$13="最小化",-K380,-ABS(K380-01_因子設定!$B$16))),-1E+030)</f>
        <v>43.9322212643678</v>
      </c>
      <c r="S380" s="55" t="n">
        <f aca="false">Q380+ROW()*0.000000001</f>
        <v>-4.08693719610182</v>
      </c>
      <c r="T380" s="55" t="n">
        <f aca="false">R380+ROW()*0.000000001</f>
        <v>43.9322216443678</v>
      </c>
    </row>
    <row r="381" customFormat="false" ht="15" hidden="false" customHeight="false" outlineLevel="0" collapsed="false">
      <c r="A381" s="0" t="n">
        <v>9</v>
      </c>
      <c r="B381" s="0" t="n">
        <v>7</v>
      </c>
      <c r="C381" s="0" t="n">
        <f aca="false">-1+A381*0.05</f>
        <v>-0.55</v>
      </c>
      <c r="D381" s="0" t="n">
        <f aca="false">-1+B381*0.05</f>
        <v>-0.65</v>
      </c>
      <c r="E381" s="0" t="n">
        <f aca="false">1</f>
        <v>1</v>
      </c>
      <c r="F381" s="0" t="n">
        <f aca="false">C381</f>
        <v>-0.55</v>
      </c>
      <c r="G381" s="0" t="n">
        <f aca="false">D381</f>
        <v>-0.65</v>
      </c>
      <c r="H381" s="0" t="n">
        <f aca="false">C381*D381</f>
        <v>0.3575</v>
      </c>
      <c r="I381" s="0" t="n">
        <f aca="false">C381*C381</f>
        <v>0.3025</v>
      </c>
      <c r="J381" s="0" t="n">
        <f aca="false">D381*D381</f>
        <v>0.4225</v>
      </c>
      <c r="K381" s="0" t="n">
        <f aca="false">SUMPRODUCT(E381:J381,_XtX!$B$53:$G$53)</f>
        <v>44.1344432471264</v>
      </c>
      <c r="L381" s="0" t="n">
        <f aca="false">SUMPRODUCT(MMULT(E381:J381,_XtX!$B$44:$G$49),E381:J381)</f>
        <v>0.237704938936782</v>
      </c>
      <c r="M381" s="0" t="n">
        <f aca="false">04_回帰ANOVA!$K$19*04_回帰ANOVA!$K$14*SQRT(1+L381)</f>
        <v>1.5075965477804</v>
      </c>
      <c r="N381" s="0" t="n">
        <f aca="false">K381-M381</f>
        <v>42.626846699346</v>
      </c>
      <c r="O381" s="0" t="n">
        <f aca="false">K381+M381</f>
        <v>45.6420397949068</v>
      </c>
      <c r="P381" s="54" t="b">
        <f aca="false">AND(C381&gt;=01_因子設定!$L$5-0.000000001,C381&lt;=01_因子設定!$M$5+0.000000001,D381&gt;=01_因子設定!$L$6-0.000000001,D381&lt;=01_因子設定!$M$6+0.000000001,IF(01_因子設定!$B$20="Box-Behnken",C381^2+D381^2&lt;=2+0.000000001,TRUE()))</f>
        <v>1</v>
      </c>
      <c r="Q381" s="55" t="n">
        <f aca="false">IF(P381,IF(01_因子設定!$B$13="最大化",N381-01_因子設定!$B$14,IF(01_因子設定!$B$13="最小化",01_因子設定!$B$15-O381,MIN(N381-01_因子設定!$B$14,01_因子設定!$B$15-O381))),-1E+030)</f>
        <v>-3.87315330065396</v>
      </c>
      <c r="R381" s="55" t="n">
        <f aca="false">IF(P381,IF(01_因子設定!$B$13="最大化",K381,IF(01_因子設定!$B$13="最小化",-K381,-ABS(K381-01_因子設定!$B$16))),-1E+030)</f>
        <v>44.1344432471264</v>
      </c>
      <c r="S381" s="55" t="n">
        <f aca="false">Q381+ROW()*0.000000001</f>
        <v>-3.87315291965396</v>
      </c>
      <c r="T381" s="55" t="n">
        <f aca="false">R381+ROW()*0.000000001</f>
        <v>44.1344436281264</v>
      </c>
    </row>
    <row r="382" customFormat="false" ht="15" hidden="false" customHeight="false" outlineLevel="0" collapsed="false">
      <c r="A382" s="0" t="n">
        <v>9</v>
      </c>
      <c r="B382" s="0" t="n">
        <v>8</v>
      </c>
      <c r="C382" s="0" t="n">
        <f aca="false">-1+A382*0.05</f>
        <v>-0.55</v>
      </c>
      <c r="D382" s="0" t="n">
        <f aca="false">-1+B382*0.05</f>
        <v>-0.6</v>
      </c>
      <c r="E382" s="0" t="n">
        <f aca="false">1</f>
        <v>1</v>
      </c>
      <c r="F382" s="0" t="n">
        <f aca="false">C382</f>
        <v>-0.55</v>
      </c>
      <c r="G382" s="0" t="n">
        <f aca="false">D382</f>
        <v>-0.6</v>
      </c>
      <c r="H382" s="0" t="n">
        <f aca="false">C382*D382</f>
        <v>0.33</v>
      </c>
      <c r="I382" s="0" t="n">
        <f aca="false">C382*C382</f>
        <v>0.3025</v>
      </c>
      <c r="J382" s="0" t="n">
        <f aca="false">D382*D382</f>
        <v>0.36</v>
      </c>
      <c r="K382" s="0" t="n">
        <f aca="false">SUMPRODUCT(E382:J382,_XtX!$B$53:$G$53)</f>
        <v>44.3289497126437</v>
      </c>
      <c r="L382" s="0" t="n">
        <f aca="false">SUMPRODUCT(MMULT(E382:J382,_XtX!$B$44:$G$49),E382:J382)</f>
        <v>0.223000826149425</v>
      </c>
      <c r="M382" s="0" t="n">
        <f aca="false">04_回帰ANOVA!$K$19*04_回帰ANOVA!$K$14*SQRT(1+L382)</f>
        <v>1.49861455927642</v>
      </c>
      <c r="N382" s="0" t="n">
        <f aca="false">K382-M382</f>
        <v>42.8303351533673</v>
      </c>
      <c r="O382" s="0" t="n">
        <f aca="false">K382+M382</f>
        <v>45.8275642719201</v>
      </c>
      <c r="P382" s="54" t="b">
        <f aca="false">AND(C382&gt;=01_因子設定!$L$5-0.000000001,C382&lt;=01_因子設定!$M$5+0.000000001,D382&gt;=01_因子設定!$L$6-0.000000001,D382&lt;=01_因子設定!$M$6+0.000000001,IF(01_因子設定!$B$20="Box-Behnken",C382^2+D382^2&lt;=2+0.000000001,TRUE()))</f>
        <v>1</v>
      </c>
      <c r="Q382" s="55" t="n">
        <f aca="false">IF(P382,IF(01_因子設定!$B$13="最大化",N382-01_因子設定!$B$14,IF(01_因子設定!$B$13="最小化",01_因子設定!$B$15-O382,MIN(N382-01_因子設定!$B$14,01_因子設定!$B$15-O382))),-1E+030)</f>
        <v>-3.66966484663275</v>
      </c>
      <c r="R382" s="55" t="n">
        <f aca="false">IF(P382,IF(01_因子設定!$B$13="最大化",K382,IF(01_因子設定!$B$13="最小化",-K382,-ABS(K382-01_因子設定!$B$16))),-1E+030)</f>
        <v>44.3289497126437</v>
      </c>
      <c r="S382" s="55" t="n">
        <f aca="false">Q382+ROW()*0.000000001</f>
        <v>-3.66966446463275</v>
      </c>
      <c r="T382" s="55" t="n">
        <f aca="false">R382+ROW()*0.000000001</f>
        <v>44.3289500946437</v>
      </c>
    </row>
    <row r="383" customFormat="false" ht="15" hidden="false" customHeight="false" outlineLevel="0" collapsed="false">
      <c r="A383" s="0" t="n">
        <v>9</v>
      </c>
      <c r="B383" s="0" t="n">
        <v>9</v>
      </c>
      <c r="C383" s="0" t="n">
        <f aca="false">-1+A383*0.05</f>
        <v>-0.55</v>
      </c>
      <c r="D383" s="0" t="n">
        <f aca="false">-1+B383*0.05</f>
        <v>-0.55</v>
      </c>
      <c r="E383" s="0" t="n">
        <f aca="false">1</f>
        <v>1</v>
      </c>
      <c r="F383" s="0" t="n">
        <f aca="false">C383</f>
        <v>-0.55</v>
      </c>
      <c r="G383" s="0" t="n">
        <f aca="false">D383</f>
        <v>-0.55</v>
      </c>
      <c r="H383" s="0" t="n">
        <f aca="false">C383*D383</f>
        <v>0.3025</v>
      </c>
      <c r="I383" s="0" t="n">
        <f aca="false">C383*C383</f>
        <v>0.3025</v>
      </c>
      <c r="J383" s="0" t="n">
        <f aca="false">D383*D383</f>
        <v>0.3025</v>
      </c>
      <c r="K383" s="0" t="n">
        <f aca="false">SUMPRODUCT(E383:J383,_XtX!$B$53:$G$53)</f>
        <v>44.5157406609195</v>
      </c>
      <c r="L383" s="0" t="n">
        <f aca="false">SUMPRODUCT(MMULT(E383:J383,_XtX!$B$44:$G$49),E383:J383)</f>
        <v>0.211971318247126</v>
      </c>
      <c r="M383" s="0" t="n">
        <f aca="false">04_回帰ANOVA!$K$19*04_回帰ANOVA!$K$14*SQRT(1+L383)</f>
        <v>1.49184170352873</v>
      </c>
      <c r="N383" s="0" t="n">
        <f aca="false">K383-M383</f>
        <v>43.0238989573908</v>
      </c>
      <c r="O383" s="0" t="n">
        <f aca="false">K383+M383</f>
        <v>46.0075823644483</v>
      </c>
      <c r="P383" s="54" t="b">
        <f aca="false">AND(C383&gt;=01_因子設定!$L$5-0.000000001,C383&lt;=01_因子設定!$M$5+0.000000001,D383&gt;=01_因子設定!$L$6-0.000000001,D383&lt;=01_因子設定!$M$6+0.000000001,IF(01_因子設定!$B$20="Box-Behnken",C383^2+D383^2&lt;=2+0.000000001,TRUE()))</f>
        <v>1</v>
      </c>
      <c r="Q383" s="55" t="n">
        <f aca="false">IF(P383,IF(01_因子設定!$B$13="最大化",N383-01_因子設定!$B$14,IF(01_因子設定!$B$13="最小化",01_因子設定!$B$15-O383,MIN(N383-01_因子設定!$B$14,01_因子設定!$B$15-O383))),-1E+030)</f>
        <v>-3.47610104260919</v>
      </c>
      <c r="R383" s="55" t="n">
        <f aca="false">IF(P383,IF(01_因子設定!$B$13="最大化",K383,IF(01_因子設定!$B$13="最小化",-K383,-ABS(K383-01_因子設定!$B$16))),-1E+030)</f>
        <v>44.5157406609195</v>
      </c>
      <c r="S383" s="55" t="n">
        <f aca="false">Q383+ROW()*0.000000001</f>
        <v>-3.47610065960919</v>
      </c>
      <c r="T383" s="55" t="n">
        <f aca="false">R383+ROW()*0.000000001</f>
        <v>44.5157410439195</v>
      </c>
    </row>
    <row r="384" customFormat="false" ht="15" hidden="false" customHeight="false" outlineLevel="0" collapsed="false">
      <c r="A384" s="0" t="n">
        <v>9</v>
      </c>
      <c r="B384" s="0" t="n">
        <v>10</v>
      </c>
      <c r="C384" s="0" t="n">
        <f aca="false">-1+A384*0.05</f>
        <v>-0.55</v>
      </c>
      <c r="D384" s="0" t="n">
        <f aca="false">-1+B384*0.05</f>
        <v>-0.5</v>
      </c>
      <c r="E384" s="0" t="n">
        <f aca="false">1</f>
        <v>1</v>
      </c>
      <c r="F384" s="0" t="n">
        <f aca="false">C384</f>
        <v>-0.55</v>
      </c>
      <c r="G384" s="0" t="n">
        <f aca="false">D384</f>
        <v>-0.5</v>
      </c>
      <c r="H384" s="0" t="n">
        <f aca="false">C384*D384</f>
        <v>0.275</v>
      </c>
      <c r="I384" s="0" t="n">
        <f aca="false">C384*C384</f>
        <v>0.3025</v>
      </c>
      <c r="J384" s="0" t="n">
        <f aca="false">D384*D384</f>
        <v>0.25</v>
      </c>
      <c r="K384" s="0" t="n">
        <f aca="false">SUMPRODUCT(E384:J384,_XtX!$B$53:$G$53)</f>
        <v>44.694816091954</v>
      </c>
      <c r="L384" s="0" t="n">
        <f aca="false">SUMPRODUCT(MMULT(E384:J384,_XtX!$B$44:$G$49),E384:J384)</f>
        <v>0.203991846264368</v>
      </c>
      <c r="M384" s="0" t="n">
        <f aca="false">04_回帰ANOVA!$K$19*04_回帰ANOVA!$K$14*SQRT(1+L384)</f>
        <v>1.48692254105892</v>
      </c>
      <c r="N384" s="0" t="n">
        <f aca="false">K384-M384</f>
        <v>43.2078935508951</v>
      </c>
      <c r="O384" s="0" t="n">
        <f aca="false">K384+M384</f>
        <v>46.1817386330129</v>
      </c>
      <c r="P384" s="54" t="b">
        <f aca="false">AND(C384&gt;=01_因子設定!$L$5-0.000000001,C384&lt;=01_因子設定!$M$5+0.000000001,D384&gt;=01_因子設定!$L$6-0.000000001,D384&lt;=01_因子設定!$M$6+0.000000001,IF(01_因子設定!$B$20="Box-Behnken",C384^2+D384^2&lt;=2+0.000000001,TRUE()))</f>
        <v>1</v>
      </c>
      <c r="Q384" s="55" t="n">
        <f aca="false">IF(P384,IF(01_因子設定!$B$13="最大化",N384-01_因子設定!$B$14,IF(01_因子設定!$B$13="最小化",01_因子設定!$B$15-O384,MIN(N384-01_因子設定!$B$14,01_因子設定!$B$15-O384))),-1E+030)</f>
        <v>-3.2921064491049</v>
      </c>
      <c r="R384" s="55" t="n">
        <f aca="false">IF(P384,IF(01_因子設定!$B$13="最大化",K384,IF(01_因子設定!$B$13="最小化",-K384,-ABS(K384-01_因子設定!$B$16))),-1E+030)</f>
        <v>44.694816091954</v>
      </c>
      <c r="S384" s="55" t="n">
        <f aca="false">Q384+ROW()*0.000000001</f>
        <v>-3.2921060651049</v>
      </c>
      <c r="T384" s="55" t="n">
        <f aca="false">R384+ROW()*0.000000001</f>
        <v>44.694816475954</v>
      </c>
    </row>
    <row r="385" customFormat="false" ht="15" hidden="false" customHeight="false" outlineLevel="0" collapsed="false">
      <c r="A385" s="0" t="n">
        <v>9</v>
      </c>
      <c r="B385" s="0" t="n">
        <v>11</v>
      </c>
      <c r="C385" s="0" t="n">
        <f aca="false">-1+A385*0.05</f>
        <v>-0.55</v>
      </c>
      <c r="D385" s="0" t="n">
        <f aca="false">-1+B385*0.05</f>
        <v>-0.45</v>
      </c>
      <c r="E385" s="0" t="n">
        <f aca="false">1</f>
        <v>1</v>
      </c>
      <c r="F385" s="0" t="n">
        <f aca="false">C385</f>
        <v>-0.55</v>
      </c>
      <c r="G385" s="0" t="n">
        <f aca="false">D385</f>
        <v>-0.45</v>
      </c>
      <c r="H385" s="0" t="n">
        <f aca="false">C385*D385</f>
        <v>0.2475</v>
      </c>
      <c r="I385" s="0" t="n">
        <f aca="false">C385*C385</f>
        <v>0.3025</v>
      </c>
      <c r="J385" s="0" t="n">
        <f aca="false">D385*D385</f>
        <v>0.2025</v>
      </c>
      <c r="K385" s="0" t="n">
        <f aca="false">SUMPRODUCT(E385:J385,_XtX!$B$53:$G$53)</f>
        <v>44.8661760057471</v>
      </c>
      <c r="L385" s="0" t="n">
        <f aca="false">SUMPRODUCT(MMULT(E385:J385,_XtX!$B$44:$G$49),E385:J385)</f>
        <v>0.19849215158046</v>
      </c>
      <c r="M385" s="0" t="n">
        <f aca="false">04_回帰ANOVA!$K$19*04_回帰ANOVA!$K$14*SQRT(1+L385)</f>
        <v>1.48352260940076</v>
      </c>
      <c r="N385" s="0" t="n">
        <f aca="false">K385-M385</f>
        <v>43.3826533963464</v>
      </c>
      <c r="O385" s="0" t="n">
        <f aca="false">K385+M385</f>
        <v>46.3496986151479</v>
      </c>
      <c r="P385" s="54" t="b">
        <f aca="false">AND(C385&gt;=01_因子設定!$L$5-0.000000001,C385&lt;=01_因子設定!$M$5+0.000000001,D385&gt;=01_因子設定!$L$6-0.000000001,D385&lt;=01_因子設定!$M$6+0.000000001,IF(01_因子設定!$B$20="Box-Behnken",C385^2+D385^2&lt;=2+0.000000001,TRUE()))</f>
        <v>1</v>
      </c>
      <c r="Q385" s="55" t="n">
        <f aca="false">IF(P385,IF(01_因子設定!$B$13="最大化",N385-01_因子設定!$B$14,IF(01_因子設定!$B$13="最小化",01_因子設定!$B$15-O385,MIN(N385-01_因子設定!$B$14,01_因子設定!$B$15-O385))),-1E+030)</f>
        <v>-3.11734660365364</v>
      </c>
      <c r="R385" s="55" t="n">
        <f aca="false">IF(P385,IF(01_因子設定!$B$13="最大化",K385,IF(01_因子設定!$B$13="最小化",-K385,-ABS(K385-01_因子設定!$B$16))),-1E+030)</f>
        <v>44.8661760057471</v>
      </c>
      <c r="S385" s="55" t="n">
        <f aca="false">Q385+ROW()*0.000000001</f>
        <v>-3.11734621865364</v>
      </c>
      <c r="T385" s="55" t="n">
        <f aca="false">R385+ROW()*0.000000001</f>
        <v>44.8661763907471</v>
      </c>
    </row>
    <row r="386" customFormat="false" ht="15" hidden="false" customHeight="false" outlineLevel="0" collapsed="false">
      <c r="A386" s="0" t="n">
        <v>9</v>
      </c>
      <c r="B386" s="0" t="n">
        <v>12</v>
      </c>
      <c r="C386" s="0" t="n">
        <f aca="false">-1+A386*0.05</f>
        <v>-0.55</v>
      </c>
      <c r="D386" s="0" t="n">
        <f aca="false">-1+B386*0.05</f>
        <v>-0.4</v>
      </c>
      <c r="E386" s="0" t="n">
        <f aca="false">1</f>
        <v>1</v>
      </c>
      <c r="F386" s="0" t="n">
        <f aca="false">C386</f>
        <v>-0.55</v>
      </c>
      <c r="G386" s="0" t="n">
        <f aca="false">D386</f>
        <v>-0.4</v>
      </c>
      <c r="H386" s="0" t="n">
        <f aca="false">C386*D386</f>
        <v>0.22</v>
      </c>
      <c r="I386" s="0" t="n">
        <f aca="false">C386*C386</f>
        <v>0.3025</v>
      </c>
      <c r="J386" s="0" t="n">
        <f aca="false">D386*D386</f>
        <v>0.16</v>
      </c>
      <c r="K386" s="0" t="n">
        <f aca="false">SUMPRODUCT(E386:J386,_XtX!$B$53:$G$53)</f>
        <v>45.0298204022988</v>
      </c>
      <c r="L386" s="0" t="n">
        <f aca="false">SUMPRODUCT(MMULT(E386:J386,_XtX!$B$44:$G$49),E386:J386)</f>
        <v>0.19495628591954</v>
      </c>
      <c r="M386" s="0" t="n">
        <f aca="false">04_回帰ANOVA!$K$19*04_回帰ANOVA!$K$14*SQRT(1+L386)</f>
        <v>1.48133260286245</v>
      </c>
      <c r="N386" s="0" t="n">
        <f aca="false">K386-M386</f>
        <v>43.5484877994364</v>
      </c>
      <c r="O386" s="0" t="n">
        <f aca="false">K386+M386</f>
        <v>46.5111530051613</v>
      </c>
      <c r="P386" s="54" t="b">
        <f aca="false">AND(C386&gt;=01_因子設定!$L$5-0.000000001,C386&lt;=01_因子設定!$M$5+0.000000001,D386&gt;=01_因子設定!$L$6-0.000000001,D386&lt;=01_因子設定!$M$6+0.000000001,IF(01_因子設定!$B$20="Box-Behnken",C386^2+D386^2&lt;=2+0.000000001,TRUE()))</f>
        <v>1</v>
      </c>
      <c r="Q386" s="55" t="n">
        <f aca="false">IF(P386,IF(01_因子設定!$B$13="最大化",N386-01_因子設定!$B$14,IF(01_因子設定!$B$13="最小化",01_因子設定!$B$15-O386,MIN(N386-01_因子設定!$B$14,01_因子設定!$B$15-O386))),-1E+030)</f>
        <v>-2.95151220056361</v>
      </c>
      <c r="R386" s="55" t="n">
        <f aca="false">IF(P386,IF(01_因子設定!$B$13="最大化",K386,IF(01_因子設定!$B$13="最小化",-K386,-ABS(K386-01_因子設定!$B$16))),-1E+030)</f>
        <v>45.0298204022988</v>
      </c>
      <c r="S386" s="55" t="n">
        <f aca="false">Q386+ROW()*0.000000001</f>
        <v>-2.95151181456361</v>
      </c>
      <c r="T386" s="55" t="n">
        <f aca="false">R386+ROW()*0.000000001</f>
        <v>45.0298207882989</v>
      </c>
    </row>
    <row r="387" customFormat="false" ht="15" hidden="false" customHeight="false" outlineLevel="0" collapsed="false">
      <c r="A387" s="0" t="n">
        <v>9</v>
      </c>
      <c r="B387" s="0" t="n">
        <v>13</v>
      </c>
      <c r="C387" s="0" t="n">
        <f aca="false">-1+A387*0.05</f>
        <v>-0.55</v>
      </c>
      <c r="D387" s="0" t="n">
        <f aca="false">-1+B387*0.05</f>
        <v>-0.35</v>
      </c>
      <c r="E387" s="0" t="n">
        <f aca="false">1</f>
        <v>1</v>
      </c>
      <c r="F387" s="0" t="n">
        <f aca="false">C387</f>
        <v>-0.55</v>
      </c>
      <c r="G387" s="0" t="n">
        <f aca="false">D387</f>
        <v>-0.35</v>
      </c>
      <c r="H387" s="0" t="n">
        <f aca="false">C387*D387</f>
        <v>0.1925</v>
      </c>
      <c r="I387" s="0" t="n">
        <f aca="false">C387*C387</f>
        <v>0.3025</v>
      </c>
      <c r="J387" s="0" t="n">
        <f aca="false">D387*D387</f>
        <v>0.1225</v>
      </c>
      <c r="K387" s="0" t="n">
        <f aca="false">SUMPRODUCT(E387:J387,_XtX!$B$53:$G$53)</f>
        <v>45.1857492816092</v>
      </c>
      <c r="L387" s="0" t="n">
        <f aca="false">SUMPRODUCT(MMULT(E387:J387,_XtX!$B$44:$G$49),E387:J387)</f>
        <v>0.192922611350575</v>
      </c>
      <c r="M387" s="0" t="n">
        <f aca="false">04_回帰ANOVA!$K$19*04_回帰ANOVA!$K$14*SQRT(1+L387)</f>
        <v>1.48007153945768</v>
      </c>
      <c r="N387" s="0" t="n">
        <f aca="false">K387-M387</f>
        <v>43.7056777421515</v>
      </c>
      <c r="O387" s="0" t="n">
        <f aca="false">K387+M387</f>
        <v>46.6658208210669</v>
      </c>
      <c r="P387" s="54" t="b">
        <f aca="false">AND(C387&gt;=01_因子設定!$L$5-0.000000001,C387&lt;=01_因子設定!$M$5+0.000000001,D387&gt;=01_因子設定!$L$6-0.000000001,D387&lt;=01_因子設定!$M$6+0.000000001,IF(01_因子設定!$B$20="Box-Behnken",C387^2+D387^2&lt;=2+0.000000001,TRUE()))</f>
        <v>1</v>
      </c>
      <c r="Q387" s="55" t="n">
        <f aca="false">IF(P387,IF(01_因子設定!$B$13="最大化",N387-01_因子設定!$B$14,IF(01_因子設定!$B$13="最小化",01_因子設定!$B$15-O387,MIN(N387-01_因子設定!$B$14,01_因子設定!$B$15-O387))),-1E+030)</f>
        <v>-2.79432225784849</v>
      </c>
      <c r="R387" s="55" t="n">
        <f aca="false">IF(P387,IF(01_因子設定!$B$13="最大化",K387,IF(01_因子設定!$B$13="最小化",-K387,-ABS(K387-01_因子設定!$B$16))),-1E+030)</f>
        <v>45.1857492816092</v>
      </c>
      <c r="S387" s="55" t="n">
        <f aca="false">Q387+ROW()*0.000000001</f>
        <v>-2.79432187084849</v>
      </c>
      <c r="T387" s="55" t="n">
        <f aca="false">R387+ROW()*0.000000001</f>
        <v>45.1857496686092</v>
      </c>
    </row>
    <row r="388" customFormat="false" ht="15" hidden="false" customHeight="false" outlineLevel="0" collapsed="false">
      <c r="A388" s="0" t="n">
        <v>9</v>
      </c>
      <c r="B388" s="0" t="n">
        <v>14</v>
      </c>
      <c r="C388" s="0" t="n">
        <f aca="false">-1+A388*0.05</f>
        <v>-0.55</v>
      </c>
      <c r="D388" s="0" t="n">
        <f aca="false">-1+B388*0.05</f>
        <v>-0.3</v>
      </c>
      <c r="E388" s="0" t="n">
        <f aca="false">1</f>
        <v>1</v>
      </c>
      <c r="F388" s="0" t="n">
        <f aca="false">C388</f>
        <v>-0.55</v>
      </c>
      <c r="G388" s="0" t="n">
        <f aca="false">D388</f>
        <v>-0.3</v>
      </c>
      <c r="H388" s="0" t="n">
        <f aca="false">C388*D388</f>
        <v>0.165</v>
      </c>
      <c r="I388" s="0" t="n">
        <f aca="false">C388*C388</f>
        <v>0.3025</v>
      </c>
      <c r="J388" s="0" t="n">
        <f aca="false">D388*D388</f>
        <v>0.09</v>
      </c>
      <c r="K388" s="0" t="n">
        <f aca="false">SUMPRODUCT(E388:J388,_XtX!$B$53:$G$53)</f>
        <v>45.3339626436782</v>
      </c>
      <c r="L388" s="0" t="n">
        <f aca="false">SUMPRODUCT(MMULT(E388:J388,_XtX!$B$44:$G$49),E388:J388)</f>
        <v>0.191983800287356</v>
      </c>
      <c r="M388" s="0" t="n">
        <f aca="false">04_回帰ANOVA!$K$19*04_回帰ANOVA!$K$14*SQRT(1+L388)</f>
        <v>1.47948902848418</v>
      </c>
      <c r="N388" s="0" t="n">
        <f aca="false">K388-M388</f>
        <v>43.854473615194</v>
      </c>
      <c r="O388" s="0" t="n">
        <f aca="false">K388+M388</f>
        <v>46.8134516721623</v>
      </c>
      <c r="P388" s="54" t="b">
        <f aca="false">AND(C388&gt;=01_因子設定!$L$5-0.000000001,C388&lt;=01_因子設定!$M$5+0.000000001,D388&gt;=01_因子設定!$L$6-0.000000001,D388&lt;=01_因子設定!$M$6+0.000000001,IF(01_因子設定!$B$20="Box-Behnken",C388^2+D388^2&lt;=2+0.000000001,TRUE()))</f>
        <v>1</v>
      </c>
      <c r="Q388" s="55" t="n">
        <f aca="false">IF(P388,IF(01_因子設定!$B$13="最大化",N388-01_因子設定!$B$14,IF(01_因子設定!$B$13="最小化",01_因子設定!$B$15-O388,MIN(N388-01_因子設定!$B$14,01_因子設定!$B$15-O388))),-1E+030)</f>
        <v>-2.64552638480603</v>
      </c>
      <c r="R388" s="55" t="n">
        <f aca="false">IF(P388,IF(01_因子設定!$B$13="最大化",K388,IF(01_因子設定!$B$13="最小化",-K388,-ABS(K388-01_因子設定!$B$16))),-1E+030)</f>
        <v>45.3339626436782</v>
      </c>
      <c r="S388" s="55" t="n">
        <f aca="false">Q388+ROW()*0.000000001</f>
        <v>-2.64552599680603</v>
      </c>
      <c r="T388" s="55" t="n">
        <f aca="false">R388+ROW()*0.000000001</f>
        <v>45.3339630316782</v>
      </c>
    </row>
    <row r="389" customFormat="false" ht="15" hidden="false" customHeight="false" outlineLevel="0" collapsed="false">
      <c r="A389" s="0" t="n">
        <v>9</v>
      </c>
      <c r="B389" s="0" t="n">
        <v>15</v>
      </c>
      <c r="C389" s="0" t="n">
        <f aca="false">-1+A389*0.05</f>
        <v>-0.55</v>
      </c>
      <c r="D389" s="0" t="n">
        <f aca="false">-1+B389*0.05</f>
        <v>-0.25</v>
      </c>
      <c r="E389" s="0" t="n">
        <f aca="false">1</f>
        <v>1</v>
      </c>
      <c r="F389" s="0" t="n">
        <f aca="false">C389</f>
        <v>-0.55</v>
      </c>
      <c r="G389" s="0" t="n">
        <f aca="false">D389</f>
        <v>-0.25</v>
      </c>
      <c r="H389" s="0" t="n">
        <f aca="false">C389*D389</f>
        <v>0.1375</v>
      </c>
      <c r="I389" s="0" t="n">
        <f aca="false">C389*C389</f>
        <v>0.3025</v>
      </c>
      <c r="J389" s="0" t="n">
        <f aca="false">D389*D389</f>
        <v>0.0625</v>
      </c>
      <c r="K389" s="0" t="n">
        <f aca="false">SUMPRODUCT(E389:J389,_XtX!$B$53:$G$53)</f>
        <v>45.4744604885057</v>
      </c>
      <c r="L389" s="0" t="n">
        <f aca="false">SUMPRODUCT(MMULT(E389:J389,_XtX!$B$44:$G$49),E389:J389)</f>
        <v>0.191786835488506</v>
      </c>
      <c r="M389" s="0" t="n">
        <f aca="false">04_回帰ANOVA!$K$19*04_回帰ANOVA!$K$14*SQRT(1+L389)</f>
        <v>1.47936678718445</v>
      </c>
      <c r="N389" s="0" t="n">
        <f aca="false">K389-M389</f>
        <v>43.9950937013213</v>
      </c>
      <c r="O389" s="0" t="n">
        <f aca="false">K389+M389</f>
        <v>46.9538272756902</v>
      </c>
      <c r="P389" s="54" t="b">
        <f aca="false">AND(C389&gt;=01_因子設定!$L$5-0.000000001,C389&lt;=01_因子設定!$M$5+0.000000001,D389&gt;=01_因子設定!$L$6-0.000000001,D389&lt;=01_因子設定!$M$6+0.000000001,IF(01_因子設定!$B$20="Box-Behnken",C389^2+D389^2&lt;=2+0.000000001,TRUE()))</f>
        <v>1</v>
      </c>
      <c r="Q389" s="55" t="n">
        <f aca="false">IF(P389,IF(01_因子設定!$B$13="最大化",N389-01_因子設定!$B$14,IF(01_因子設定!$B$13="最小化",01_因子設定!$B$15-O389,MIN(N389-01_因子設定!$B$14,01_因子設定!$B$15-O389))),-1E+030)</f>
        <v>-2.50490629867871</v>
      </c>
      <c r="R389" s="55" t="n">
        <f aca="false">IF(P389,IF(01_因子設定!$B$13="最大化",K389,IF(01_因子設定!$B$13="最小化",-K389,-ABS(K389-01_因子設定!$B$16))),-1E+030)</f>
        <v>45.4744604885057</v>
      </c>
      <c r="S389" s="55" t="n">
        <f aca="false">Q389+ROW()*0.000000001</f>
        <v>-2.5049059096787</v>
      </c>
      <c r="T389" s="55" t="n">
        <f aca="false">R389+ROW()*0.000000001</f>
        <v>45.4744608775057</v>
      </c>
    </row>
    <row r="390" customFormat="false" ht="15" hidden="false" customHeight="false" outlineLevel="0" collapsed="false">
      <c r="A390" s="0" t="n">
        <v>9</v>
      </c>
      <c r="B390" s="0" t="n">
        <v>16</v>
      </c>
      <c r="C390" s="0" t="n">
        <f aca="false">-1+A390*0.05</f>
        <v>-0.55</v>
      </c>
      <c r="D390" s="0" t="n">
        <f aca="false">-1+B390*0.05</f>
        <v>-0.2</v>
      </c>
      <c r="E390" s="0" t="n">
        <f aca="false">1</f>
        <v>1</v>
      </c>
      <c r="F390" s="0" t="n">
        <f aca="false">C390</f>
        <v>-0.55</v>
      </c>
      <c r="G390" s="0" t="n">
        <f aca="false">D390</f>
        <v>-0.2</v>
      </c>
      <c r="H390" s="0" t="n">
        <f aca="false">C390*D390</f>
        <v>0.11</v>
      </c>
      <c r="I390" s="0" t="n">
        <f aca="false">C390*C390</f>
        <v>0.3025</v>
      </c>
      <c r="J390" s="0" t="n">
        <f aca="false">D390*D390</f>
        <v>0.04</v>
      </c>
      <c r="K390" s="0" t="n">
        <f aca="false">SUMPRODUCT(E390:J390,_XtX!$B$53:$G$53)</f>
        <v>45.607242816092</v>
      </c>
      <c r="L390" s="0" t="n">
        <f aca="false">SUMPRODUCT(MMULT(E390:J390,_XtX!$B$44:$G$49),E390:J390)</f>
        <v>0.192033010057471</v>
      </c>
      <c r="M390" s="0" t="n">
        <f aca="false">04_回帰ANOVA!$K$19*04_回帰ANOVA!$K$14*SQRT(1+L390)</f>
        <v>1.47951956772622</v>
      </c>
      <c r="N390" s="0" t="n">
        <f aca="false">K390-M390</f>
        <v>44.1277232483657</v>
      </c>
      <c r="O390" s="0" t="n">
        <f aca="false">K390+M390</f>
        <v>47.0867623838182</v>
      </c>
      <c r="P390" s="54" t="b">
        <f aca="false">AND(C390&gt;=01_因子設定!$L$5-0.000000001,C390&lt;=01_因子設定!$M$5+0.000000001,D390&gt;=01_因子設定!$L$6-0.000000001,D390&lt;=01_因子設定!$M$6+0.000000001,IF(01_因子設定!$B$20="Box-Behnken",C390^2+D390^2&lt;=2+0.000000001,TRUE()))</f>
        <v>1</v>
      </c>
      <c r="Q390" s="55" t="n">
        <f aca="false">IF(P390,IF(01_因子設定!$B$13="最大化",N390-01_因子設定!$B$14,IF(01_因子設定!$B$13="最小化",01_因子設定!$B$15-O390,MIN(N390-01_因子設定!$B$14,01_因子設定!$B$15-O390))),-1E+030)</f>
        <v>-2.37227675163427</v>
      </c>
      <c r="R390" s="55" t="n">
        <f aca="false">IF(P390,IF(01_因子設定!$B$13="最大化",K390,IF(01_因子設定!$B$13="最小化",-K390,-ABS(K390-01_因子設定!$B$16))),-1E+030)</f>
        <v>45.607242816092</v>
      </c>
      <c r="S390" s="55" t="n">
        <f aca="false">Q390+ROW()*0.000000001</f>
        <v>-2.37227636163427</v>
      </c>
      <c r="T390" s="55" t="n">
        <f aca="false">R390+ROW()*0.000000001</f>
        <v>45.6072432060919</v>
      </c>
    </row>
    <row r="391" customFormat="false" ht="15" hidden="false" customHeight="false" outlineLevel="0" collapsed="false">
      <c r="A391" s="0" t="n">
        <v>9</v>
      </c>
      <c r="B391" s="0" t="n">
        <v>17</v>
      </c>
      <c r="C391" s="0" t="n">
        <f aca="false">-1+A391*0.05</f>
        <v>-0.55</v>
      </c>
      <c r="D391" s="0" t="n">
        <f aca="false">-1+B391*0.05</f>
        <v>-0.15</v>
      </c>
      <c r="E391" s="0" t="n">
        <f aca="false">1</f>
        <v>1</v>
      </c>
      <c r="F391" s="0" t="n">
        <f aca="false">C391</f>
        <v>-0.55</v>
      </c>
      <c r="G391" s="0" t="n">
        <f aca="false">D391</f>
        <v>-0.15</v>
      </c>
      <c r="H391" s="0" t="n">
        <f aca="false">C391*D391</f>
        <v>0.0825</v>
      </c>
      <c r="I391" s="0" t="n">
        <f aca="false">C391*C391</f>
        <v>0.3025</v>
      </c>
      <c r="J391" s="0" t="n">
        <f aca="false">D391*D391</f>
        <v>0.0225</v>
      </c>
      <c r="K391" s="0" t="n">
        <f aca="false">SUMPRODUCT(E391:J391,_XtX!$B$53:$G$53)</f>
        <v>45.7323096264368</v>
      </c>
      <c r="L391" s="0" t="n">
        <f aca="false">SUMPRODUCT(MMULT(E391:J391,_XtX!$B$44:$G$49),E391:J391)</f>
        <v>0.192477927442529</v>
      </c>
      <c r="M391" s="0" t="n">
        <f aca="false">04_回帰ANOVA!$K$19*04_回帰ANOVA!$K$14*SQRT(1+L391)</f>
        <v>1.47979565176085</v>
      </c>
      <c r="N391" s="0" t="n">
        <f aca="false">K391-M391</f>
        <v>44.2525139746759</v>
      </c>
      <c r="O391" s="0" t="n">
        <f aca="false">K391+M391</f>
        <v>47.2121052781976</v>
      </c>
      <c r="P391" s="54" t="b">
        <f aca="false">AND(C391&gt;=01_因子設定!$L$5-0.000000001,C391&lt;=01_因子設定!$M$5+0.000000001,D391&gt;=01_因子設定!$L$6-0.000000001,D391&lt;=01_因子設定!$M$6+0.000000001,IF(01_因子設定!$B$20="Box-Behnken",C391^2+D391^2&lt;=2+0.000000001,TRUE()))</f>
        <v>1</v>
      </c>
      <c r="Q391" s="55" t="n">
        <f aca="false">IF(P391,IF(01_因子設定!$B$13="最大化",N391-01_因子設定!$B$14,IF(01_因子設定!$B$13="最小化",01_因子設定!$B$15-O391,MIN(N391-01_因子設定!$B$14,01_因子設定!$B$15-O391))),-1E+030)</f>
        <v>-2.24748602532407</v>
      </c>
      <c r="R391" s="55" t="n">
        <f aca="false">IF(P391,IF(01_因子設定!$B$13="最大化",K391,IF(01_因子設定!$B$13="最小化",-K391,-ABS(K391-01_因子設定!$B$16))),-1E+030)</f>
        <v>45.7323096264368</v>
      </c>
      <c r="S391" s="55" t="n">
        <f aca="false">Q391+ROW()*0.000000001</f>
        <v>-2.24748563432407</v>
      </c>
      <c r="T391" s="55" t="n">
        <f aca="false">R391+ROW()*0.000000001</f>
        <v>45.7323100174368</v>
      </c>
    </row>
    <row r="392" customFormat="false" ht="15" hidden="false" customHeight="false" outlineLevel="0" collapsed="false">
      <c r="A392" s="0" t="n">
        <v>9</v>
      </c>
      <c r="B392" s="0" t="n">
        <v>18</v>
      </c>
      <c r="C392" s="0" t="n">
        <f aca="false">-1+A392*0.05</f>
        <v>-0.55</v>
      </c>
      <c r="D392" s="0" t="n">
        <f aca="false">-1+B392*0.05</f>
        <v>-0.1</v>
      </c>
      <c r="E392" s="0" t="n">
        <f aca="false">1</f>
        <v>1</v>
      </c>
      <c r="F392" s="0" t="n">
        <f aca="false">C392</f>
        <v>-0.55</v>
      </c>
      <c r="G392" s="0" t="n">
        <f aca="false">D392</f>
        <v>-0.1</v>
      </c>
      <c r="H392" s="0" t="n">
        <f aca="false">C392*D392</f>
        <v>0.055</v>
      </c>
      <c r="I392" s="0" t="n">
        <f aca="false">C392*C392</f>
        <v>0.3025</v>
      </c>
      <c r="J392" s="0" t="n">
        <f aca="false">D392*D392</f>
        <v>0.01</v>
      </c>
      <c r="K392" s="0" t="n">
        <f aca="false">SUMPRODUCT(E392:J392,_XtX!$B$53:$G$53)</f>
        <v>45.8496609195402</v>
      </c>
      <c r="L392" s="0" t="n">
        <f aca="false">SUMPRODUCT(MMULT(E392:J392,_XtX!$B$44:$G$49),E392:J392)</f>
        <v>0.192931501436782</v>
      </c>
      <c r="M392" s="0" t="n">
        <f aca="false">04_回帰ANOVA!$K$19*04_回帰ANOVA!$K$14*SQRT(1+L392)</f>
        <v>1.48007705445879</v>
      </c>
      <c r="N392" s="0" t="n">
        <f aca="false">K392-M392</f>
        <v>44.3695838650814</v>
      </c>
      <c r="O392" s="0" t="n">
        <f aca="false">K392+M392</f>
        <v>47.329737973999</v>
      </c>
      <c r="P392" s="54" t="b">
        <f aca="false">AND(C392&gt;=01_因子設定!$L$5-0.000000001,C392&lt;=01_因子設定!$M$5+0.000000001,D392&gt;=01_因子設定!$L$6-0.000000001,D392&lt;=01_因子設定!$M$6+0.000000001,IF(01_因子設定!$B$20="Box-Behnken",C392^2+D392^2&lt;=2+0.000000001,TRUE()))</f>
        <v>1</v>
      </c>
      <c r="Q392" s="55" t="n">
        <f aca="false">IF(P392,IF(01_因子設定!$B$13="最大化",N392-01_因子設定!$B$14,IF(01_因子設定!$B$13="最小化",01_因子設定!$B$15-O392,MIN(N392-01_因子設定!$B$14,01_因子設定!$B$15-O392))),-1E+030)</f>
        <v>-2.13041613491857</v>
      </c>
      <c r="R392" s="55" t="n">
        <f aca="false">IF(P392,IF(01_因子設定!$B$13="最大化",K392,IF(01_因子設定!$B$13="最小化",-K392,-ABS(K392-01_因子設定!$B$16))),-1E+030)</f>
        <v>45.8496609195402</v>
      </c>
      <c r="S392" s="55" t="n">
        <f aca="false">Q392+ROW()*0.000000001</f>
        <v>-2.13041574291857</v>
      </c>
      <c r="T392" s="55" t="n">
        <f aca="false">R392+ROW()*0.000000001</f>
        <v>45.8496613115402</v>
      </c>
    </row>
    <row r="393" customFormat="false" ht="15" hidden="false" customHeight="false" outlineLevel="0" collapsed="false">
      <c r="A393" s="0" t="n">
        <v>9</v>
      </c>
      <c r="B393" s="0" t="n">
        <v>19</v>
      </c>
      <c r="C393" s="0" t="n">
        <f aca="false">-1+A393*0.05</f>
        <v>-0.55</v>
      </c>
      <c r="D393" s="0" t="n">
        <f aca="false">-1+B393*0.05</f>
        <v>-0.0499999999999999</v>
      </c>
      <c r="E393" s="0" t="n">
        <f aca="false">1</f>
        <v>1</v>
      </c>
      <c r="F393" s="0" t="n">
        <f aca="false">C393</f>
        <v>-0.55</v>
      </c>
      <c r="G393" s="0" t="n">
        <f aca="false">D393</f>
        <v>-0.0499999999999999</v>
      </c>
      <c r="H393" s="0" t="n">
        <f aca="false">C393*D393</f>
        <v>0.0275</v>
      </c>
      <c r="I393" s="0" t="n">
        <f aca="false">C393*C393</f>
        <v>0.3025</v>
      </c>
      <c r="J393" s="0" t="n">
        <f aca="false">D393*D393</f>
        <v>0.00249999999999999</v>
      </c>
      <c r="K393" s="0" t="n">
        <f aca="false">SUMPRODUCT(E393:J393,_XtX!$B$53:$G$53)</f>
        <v>45.9592966954023</v>
      </c>
      <c r="L393" s="0" t="n">
        <f aca="false">SUMPRODUCT(MMULT(E393:J393,_XtX!$B$44:$G$49),E393:J393)</f>
        <v>0.193257956178161</v>
      </c>
      <c r="M393" s="0" t="n">
        <f aca="false">04_回帰ANOVA!$K$19*04_回帰ANOVA!$K$14*SQRT(1+L393)</f>
        <v>1.48027955775409</v>
      </c>
      <c r="N393" s="0" t="n">
        <f aca="false">K393-M393</f>
        <v>44.4790171376482</v>
      </c>
      <c r="O393" s="0" t="n">
        <f aca="false">K393+M393</f>
        <v>47.4395762531564</v>
      </c>
      <c r="P393" s="54" t="b">
        <f aca="false">AND(C393&gt;=01_因子設定!$L$5-0.000000001,C393&lt;=01_因子設定!$M$5+0.000000001,D393&gt;=01_因子設定!$L$6-0.000000001,D393&lt;=01_因子設定!$M$6+0.000000001,IF(01_因子設定!$B$20="Box-Behnken",C393^2+D393^2&lt;=2+0.000000001,TRUE()))</f>
        <v>1</v>
      </c>
      <c r="Q393" s="55" t="n">
        <f aca="false">IF(P393,IF(01_因子設定!$B$13="最大化",N393-01_因子設定!$B$14,IF(01_因子設定!$B$13="最小化",01_因子設定!$B$15-O393,MIN(N393-01_因子設定!$B$14,01_因子設定!$B$15-O393))),-1E+030)</f>
        <v>-2.0209828623518</v>
      </c>
      <c r="R393" s="55" t="n">
        <f aca="false">IF(P393,IF(01_因子設定!$B$13="最大化",K393,IF(01_因子設定!$B$13="最小化",-K393,-ABS(K393-01_因子設定!$B$16))),-1E+030)</f>
        <v>45.9592966954023</v>
      </c>
      <c r="S393" s="55" t="n">
        <f aca="false">Q393+ROW()*0.000000001</f>
        <v>-2.0209824693518</v>
      </c>
      <c r="T393" s="55" t="n">
        <f aca="false">R393+ROW()*0.000000001</f>
        <v>45.9592970884023</v>
      </c>
    </row>
    <row r="394" customFormat="false" ht="15" hidden="false" customHeight="false" outlineLevel="0" collapsed="false">
      <c r="A394" s="0" t="n">
        <v>9</v>
      </c>
      <c r="B394" s="0" t="n">
        <v>20</v>
      </c>
      <c r="C394" s="0" t="n">
        <f aca="false">-1+A394*0.05</f>
        <v>-0.55</v>
      </c>
      <c r="D394" s="0" t="n">
        <f aca="false">-1+B394*0.05</f>
        <v>0</v>
      </c>
      <c r="E394" s="0" t="n">
        <f aca="false">1</f>
        <v>1</v>
      </c>
      <c r="F394" s="0" t="n">
        <f aca="false">C394</f>
        <v>-0.55</v>
      </c>
      <c r="G394" s="0" t="n">
        <f aca="false">D394</f>
        <v>0</v>
      </c>
      <c r="H394" s="0" t="n">
        <f aca="false">C394*D394</f>
        <v>-0</v>
      </c>
      <c r="I394" s="0" t="n">
        <f aca="false">C394*C394</f>
        <v>0.3025</v>
      </c>
      <c r="J394" s="0" t="n">
        <f aca="false">D394*D394</f>
        <v>0</v>
      </c>
      <c r="K394" s="0" t="n">
        <f aca="false">SUMPRODUCT(E394:J394,_XtX!$B$53:$G$53)</f>
        <v>46.061216954023</v>
      </c>
      <c r="L394" s="0" t="n">
        <f aca="false">SUMPRODUCT(MMULT(E394:J394,_XtX!$B$44:$G$49),E394:J394)</f>
        <v>0.193375826149425</v>
      </c>
      <c r="M394" s="0" t="n">
        <f aca="false">04_回帰ANOVA!$K$19*04_回帰ANOVA!$K$14*SQRT(1+L394)</f>
        <v>1.48035266692527</v>
      </c>
      <c r="N394" s="0" t="n">
        <f aca="false">K394-M394</f>
        <v>44.5808642870977</v>
      </c>
      <c r="O394" s="0" t="n">
        <f aca="false">K394+M394</f>
        <v>47.5415696209483</v>
      </c>
      <c r="P394" s="54" t="b">
        <f aca="false">AND(C394&gt;=01_因子設定!$L$5-0.000000001,C394&lt;=01_因子設定!$M$5+0.000000001,D394&gt;=01_因子設定!$L$6-0.000000001,D394&lt;=01_因子設定!$M$6+0.000000001,IF(01_因子設定!$B$20="Box-Behnken",C394^2+D394^2&lt;=2+0.000000001,TRUE()))</f>
        <v>1</v>
      </c>
      <c r="Q394" s="55" t="n">
        <f aca="false">IF(P394,IF(01_因子設定!$B$13="最大化",N394-01_因子設定!$B$14,IF(01_因子設定!$B$13="最小化",01_因子設定!$B$15-O394,MIN(N394-01_因子設定!$B$14,01_因子設定!$B$15-O394))),-1E+030)</f>
        <v>-1.91913571290229</v>
      </c>
      <c r="R394" s="55" t="n">
        <f aca="false">IF(P394,IF(01_因子設定!$B$13="最大化",K394,IF(01_因子設定!$B$13="最小化",-K394,-ABS(K394-01_因子設定!$B$16))),-1E+030)</f>
        <v>46.061216954023</v>
      </c>
      <c r="S394" s="55" t="n">
        <f aca="false">Q394+ROW()*0.000000001</f>
        <v>-1.91913531890229</v>
      </c>
      <c r="T394" s="55" t="n">
        <f aca="false">R394+ROW()*0.000000001</f>
        <v>46.061217348023</v>
      </c>
    </row>
    <row r="395" customFormat="false" ht="15" hidden="false" customHeight="false" outlineLevel="0" collapsed="false">
      <c r="A395" s="0" t="n">
        <v>9</v>
      </c>
      <c r="B395" s="0" t="n">
        <v>21</v>
      </c>
      <c r="C395" s="0" t="n">
        <f aca="false">-1+A395*0.05</f>
        <v>-0.55</v>
      </c>
      <c r="D395" s="0" t="n">
        <f aca="false">-1+B395*0.05</f>
        <v>0.05</v>
      </c>
      <c r="E395" s="0" t="n">
        <f aca="false">1</f>
        <v>1</v>
      </c>
      <c r="F395" s="0" t="n">
        <f aca="false">C395</f>
        <v>-0.55</v>
      </c>
      <c r="G395" s="0" t="n">
        <f aca="false">D395</f>
        <v>0.05</v>
      </c>
      <c r="H395" s="0" t="n">
        <f aca="false">C395*D395</f>
        <v>-0.0275</v>
      </c>
      <c r="I395" s="0" t="n">
        <f aca="false">C395*C395</f>
        <v>0.3025</v>
      </c>
      <c r="J395" s="0" t="n">
        <f aca="false">D395*D395</f>
        <v>0.0025</v>
      </c>
      <c r="K395" s="0" t="n">
        <f aca="false">SUMPRODUCT(E395:J395,_XtX!$B$53:$G$53)</f>
        <v>46.1554216954023</v>
      </c>
      <c r="L395" s="0" t="n">
        <f aca="false">SUMPRODUCT(MMULT(E395:J395,_XtX!$B$44:$G$49),E395:J395)</f>
        <v>0.193257956178161</v>
      </c>
      <c r="M395" s="0" t="n">
        <f aca="false">04_回帰ANOVA!$K$19*04_回帰ANOVA!$K$14*SQRT(1+L395)</f>
        <v>1.48027955775409</v>
      </c>
      <c r="N395" s="0" t="n">
        <f aca="false">K395-M395</f>
        <v>44.6751421376482</v>
      </c>
      <c r="O395" s="0" t="n">
        <f aca="false">K395+M395</f>
        <v>47.6357012531564</v>
      </c>
      <c r="P395" s="54" t="b">
        <f aca="false">AND(C395&gt;=01_因子設定!$L$5-0.000000001,C395&lt;=01_因子設定!$M$5+0.000000001,D395&gt;=01_因子設定!$L$6-0.000000001,D395&lt;=01_因子設定!$M$6+0.000000001,IF(01_因子設定!$B$20="Box-Behnken",C395^2+D395^2&lt;=2+0.000000001,TRUE()))</f>
        <v>1</v>
      </c>
      <c r="Q395" s="55" t="n">
        <f aca="false">IF(P395,IF(01_因子設定!$B$13="最大化",N395-01_因子設定!$B$14,IF(01_因子設定!$B$13="最小化",01_因子設定!$B$15-O395,MIN(N395-01_因子設定!$B$14,01_因子設定!$B$15-O395))),-1E+030)</f>
        <v>-1.82485786235181</v>
      </c>
      <c r="R395" s="55" t="n">
        <f aca="false">IF(P395,IF(01_因子設定!$B$13="最大化",K395,IF(01_因子設定!$B$13="最小化",-K395,-ABS(K395-01_因子設定!$B$16))),-1E+030)</f>
        <v>46.1554216954023</v>
      </c>
      <c r="S395" s="55" t="n">
        <f aca="false">Q395+ROW()*0.000000001</f>
        <v>-1.82485746735181</v>
      </c>
      <c r="T395" s="55" t="n">
        <f aca="false">R395+ROW()*0.000000001</f>
        <v>46.1554220904023</v>
      </c>
    </row>
    <row r="396" customFormat="false" ht="15" hidden="false" customHeight="false" outlineLevel="0" collapsed="false">
      <c r="A396" s="0" t="n">
        <v>9</v>
      </c>
      <c r="B396" s="0" t="n">
        <v>22</v>
      </c>
      <c r="C396" s="0" t="n">
        <f aca="false">-1+A396*0.05</f>
        <v>-0.55</v>
      </c>
      <c r="D396" s="0" t="n">
        <f aca="false">-1+B396*0.05</f>
        <v>0.1</v>
      </c>
      <c r="E396" s="0" t="n">
        <f aca="false">1</f>
        <v>1</v>
      </c>
      <c r="F396" s="0" t="n">
        <f aca="false">C396</f>
        <v>-0.55</v>
      </c>
      <c r="G396" s="0" t="n">
        <f aca="false">D396</f>
        <v>0.1</v>
      </c>
      <c r="H396" s="0" t="n">
        <f aca="false">C396*D396</f>
        <v>-0.0550000000000001</v>
      </c>
      <c r="I396" s="0" t="n">
        <f aca="false">C396*C396</f>
        <v>0.3025</v>
      </c>
      <c r="J396" s="0" t="n">
        <f aca="false">D396*D396</f>
        <v>0.01</v>
      </c>
      <c r="K396" s="0" t="n">
        <f aca="false">SUMPRODUCT(E396:J396,_XtX!$B$53:$G$53)</f>
        <v>46.2419109195402</v>
      </c>
      <c r="L396" s="0" t="n">
        <f aca="false">SUMPRODUCT(MMULT(E396:J396,_XtX!$B$44:$G$49),E396:J396)</f>
        <v>0.192931501436782</v>
      </c>
      <c r="M396" s="0" t="n">
        <f aca="false">04_回帰ANOVA!$K$19*04_回帰ANOVA!$K$14*SQRT(1+L396)</f>
        <v>1.48007705445879</v>
      </c>
      <c r="N396" s="0" t="n">
        <f aca="false">K396-M396</f>
        <v>44.7618338650814</v>
      </c>
      <c r="O396" s="0" t="n">
        <f aca="false">K396+M396</f>
        <v>47.721987973999</v>
      </c>
      <c r="P396" s="54" t="b">
        <f aca="false">AND(C396&gt;=01_因子設定!$L$5-0.000000001,C396&lt;=01_因子設定!$M$5+0.000000001,D396&gt;=01_因子設定!$L$6-0.000000001,D396&lt;=01_因子設定!$M$6+0.000000001,IF(01_因子設定!$B$20="Box-Behnken",C396^2+D396^2&lt;=2+0.000000001,TRUE()))</f>
        <v>1</v>
      </c>
      <c r="Q396" s="55" t="n">
        <f aca="false">IF(P396,IF(01_因子設定!$B$13="最大化",N396-01_因子設定!$B$14,IF(01_因子設定!$B$13="最小化",01_因子設定!$B$15-O396,MIN(N396-01_因子設定!$B$14,01_因子設定!$B$15-O396))),-1E+030)</f>
        <v>-1.73816613491856</v>
      </c>
      <c r="R396" s="55" t="n">
        <f aca="false">IF(P396,IF(01_因子設定!$B$13="最大化",K396,IF(01_因子設定!$B$13="最小化",-K396,-ABS(K396-01_因子設定!$B$16))),-1E+030)</f>
        <v>46.2419109195402</v>
      </c>
      <c r="S396" s="55" t="n">
        <f aca="false">Q396+ROW()*0.000000001</f>
        <v>-1.73816573891857</v>
      </c>
      <c r="T396" s="55" t="n">
        <f aca="false">R396+ROW()*0.000000001</f>
        <v>46.2419113155402</v>
      </c>
    </row>
    <row r="397" customFormat="false" ht="15" hidden="false" customHeight="false" outlineLevel="0" collapsed="false">
      <c r="A397" s="0" t="n">
        <v>9</v>
      </c>
      <c r="B397" s="0" t="n">
        <v>23</v>
      </c>
      <c r="C397" s="0" t="n">
        <f aca="false">-1+A397*0.05</f>
        <v>-0.55</v>
      </c>
      <c r="D397" s="0" t="n">
        <f aca="false">-1+B397*0.05</f>
        <v>0.15</v>
      </c>
      <c r="E397" s="0" t="n">
        <f aca="false">1</f>
        <v>1</v>
      </c>
      <c r="F397" s="0" t="n">
        <f aca="false">C397</f>
        <v>-0.55</v>
      </c>
      <c r="G397" s="0" t="n">
        <f aca="false">D397</f>
        <v>0.15</v>
      </c>
      <c r="H397" s="0" t="n">
        <f aca="false">C397*D397</f>
        <v>-0.0825000000000001</v>
      </c>
      <c r="I397" s="0" t="n">
        <f aca="false">C397*C397</f>
        <v>0.3025</v>
      </c>
      <c r="J397" s="0" t="n">
        <f aca="false">D397*D397</f>
        <v>0.0225</v>
      </c>
      <c r="K397" s="0" t="n">
        <f aca="false">SUMPRODUCT(E397:J397,_XtX!$B$53:$G$53)</f>
        <v>46.3206846264368</v>
      </c>
      <c r="L397" s="0" t="n">
        <f aca="false">SUMPRODUCT(MMULT(E397:J397,_XtX!$B$44:$G$49),E397:J397)</f>
        <v>0.192477927442529</v>
      </c>
      <c r="M397" s="0" t="n">
        <f aca="false">04_回帰ANOVA!$K$19*04_回帰ANOVA!$K$14*SQRT(1+L397)</f>
        <v>1.47979565176085</v>
      </c>
      <c r="N397" s="0" t="n">
        <f aca="false">K397-M397</f>
        <v>44.8408889746759</v>
      </c>
      <c r="O397" s="0" t="n">
        <f aca="false">K397+M397</f>
        <v>47.8004802781976</v>
      </c>
      <c r="P397" s="54" t="b">
        <f aca="false">AND(C397&gt;=01_因子設定!$L$5-0.000000001,C397&lt;=01_因子設定!$M$5+0.000000001,D397&gt;=01_因子設定!$L$6-0.000000001,D397&lt;=01_因子設定!$M$6+0.000000001,IF(01_因子設定!$B$20="Box-Behnken",C397^2+D397^2&lt;=2+0.000000001,TRUE()))</f>
        <v>1</v>
      </c>
      <c r="Q397" s="55" t="n">
        <f aca="false">IF(P397,IF(01_因子設定!$B$13="最大化",N397-01_因子設定!$B$14,IF(01_因子設定!$B$13="最小化",01_因子設定!$B$15-O397,MIN(N397-01_因子設定!$B$14,01_因子設定!$B$15-O397))),-1E+030)</f>
        <v>-1.65911102532407</v>
      </c>
      <c r="R397" s="55" t="n">
        <f aca="false">IF(P397,IF(01_因子設定!$B$13="最大化",K397,IF(01_因子設定!$B$13="最小化",-K397,-ABS(K397-01_因子設定!$B$16))),-1E+030)</f>
        <v>46.3206846264368</v>
      </c>
      <c r="S397" s="55" t="n">
        <f aca="false">Q397+ROW()*0.000000001</f>
        <v>-1.65911062832407</v>
      </c>
      <c r="T397" s="55" t="n">
        <f aca="false">R397+ROW()*0.000000001</f>
        <v>46.3206850234368</v>
      </c>
    </row>
    <row r="398" customFormat="false" ht="15" hidden="false" customHeight="false" outlineLevel="0" collapsed="false">
      <c r="A398" s="0" t="n">
        <v>9</v>
      </c>
      <c r="B398" s="0" t="n">
        <v>24</v>
      </c>
      <c r="C398" s="0" t="n">
        <f aca="false">-1+A398*0.05</f>
        <v>-0.55</v>
      </c>
      <c r="D398" s="0" t="n">
        <f aca="false">-1+B398*0.05</f>
        <v>0.2</v>
      </c>
      <c r="E398" s="0" t="n">
        <f aca="false">1</f>
        <v>1</v>
      </c>
      <c r="F398" s="0" t="n">
        <f aca="false">C398</f>
        <v>-0.55</v>
      </c>
      <c r="G398" s="0" t="n">
        <f aca="false">D398</f>
        <v>0.2</v>
      </c>
      <c r="H398" s="0" t="n">
        <f aca="false">C398*D398</f>
        <v>-0.11</v>
      </c>
      <c r="I398" s="0" t="n">
        <f aca="false">C398*C398</f>
        <v>0.3025</v>
      </c>
      <c r="J398" s="0" t="n">
        <f aca="false">D398*D398</f>
        <v>0.0400000000000001</v>
      </c>
      <c r="K398" s="0" t="n">
        <f aca="false">SUMPRODUCT(E398:J398,_XtX!$B$53:$G$53)</f>
        <v>46.391742816092</v>
      </c>
      <c r="L398" s="0" t="n">
        <f aca="false">SUMPRODUCT(MMULT(E398:J398,_XtX!$B$44:$G$49),E398:J398)</f>
        <v>0.192033010057471</v>
      </c>
      <c r="M398" s="0" t="n">
        <f aca="false">04_回帰ANOVA!$K$19*04_回帰ANOVA!$K$14*SQRT(1+L398)</f>
        <v>1.47951956772622</v>
      </c>
      <c r="N398" s="0" t="n">
        <f aca="false">K398-M398</f>
        <v>44.9122232483657</v>
      </c>
      <c r="O398" s="0" t="n">
        <f aca="false">K398+M398</f>
        <v>47.8712623838182</v>
      </c>
      <c r="P398" s="54" t="b">
        <f aca="false">AND(C398&gt;=01_因子設定!$L$5-0.000000001,C398&lt;=01_因子設定!$M$5+0.000000001,D398&gt;=01_因子設定!$L$6-0.000000001,D398&lt;=01_因子設定!$M$6+0.000000001,IF(01_因子設定!$B$20="Box-Behnken",C398^2+D398^2&lt;=2+0.000000001,TRUE()))</f>
        <v>1</v>
      </c>
      <c r="Q398" s="55" t="n">
        <f aca="false">IF(P398,IF(01_因子設定!$B$13="最大化",N398-01_因子設定!$B$14,IF(01_因子設定!$B$13="最小化",01_因子設定!$B$15-O398,MIN(N398-01_因子設定!$B$14,01_因子設定!$B$15-O398))),-1E+030)</f>
        <v>-1.58777675163427</v>
      </c>
      <c r="R398" s="55" t="n">
        <f aca="false">IF(P398,IF(01_因子設定!$B$13="最大化",K398,IF(01_因子設定!$B$13="最小化",-K398,-ABS(K398-01_因子設定!$B$16))),-1E+030)</f>
        <v>46.391742816092</v>
      </c>
      <c r="S398" s="55" t="n">
        <f aca="false">Q398+ROW()*0.000000001</f>
        <v>-1.58777635363427</v>
      </c>
      <c r="T398" s="55" t="n">
        <f aca="false">R398+ROW()*0.000000001</f>
        <v>46.3917432140919</v>
      </c>
    </row>
    <row r="399" customFormat="false" ht="15" hidden="false" customHeight="false" outlineLevel="0" collapsed="false">
      <c r="A399" s="0" t="n">
        <v>9</v>
      </c>
      <c r="B399" s="0" t="n">
        <v>25</v>
      </c>
      <c r="C399" s="0" t="n">
        <f aca="false">-1+A399*0.05</f>
        <v>-0.55</v>
      </c>
      <c r="D399" s="0" t="n">
        <f aca="false">-1+B399*0.05</f>
        <v>0.25</v>
      </c>
      <c r="E399" s="0" t="n">
        <f aca="false">1</f>
        <v>1</v>
      </c>
      <c r="F399" s="0" t="n">
        <f aca="false">C399</f>
        <v>-0.55</v>
      </c>
      <c r="G399" s="0" t="n">
        <f aca="false">D399</f>
        <v>0.25</v>
      </c>
      <c r="H399" s="0" t="n">
        <f aca="false">C399*D399</f>
        <v>-0.1375</v>
      </c>
      <c r="I399" s="0" t="n">
        <f aca="false">C399*C399</f>
        <v>0.3025</v>
      </c>
      <c r="J399" s="0" t="n">
        <f aca="false">D399*D399</f>
        <v>0.0625</v>
      </c>
      <c r="K399" s="0" t="n">
        <f aca="false">SUMPRODUCT(E399:J399,_XtX!$B$53:$G$53)</f>
        <v>46.4550854885057</v>
      </c>
      <c r="L399" s="0" t="n">
        <f aca="false">SUMPRODUCT(MMULT(E399:J399,_XtX!$B$44:$G$49),E399:J399)</f>
        <v>0.191786835488506</v>
      </c>
      <c r="M399" s="0" t="n">
        <f aca="false">04_回帰ANOVA!$K$19*04_回帰ANOVA!$K$14*SQRT(1+L399)</f>
        <v>1.47936678718445</v>
      </c>
      <c r="N399" s="0" t="n">
        <f aca="false">K399-M399</f>
        <v>44.9757187013213</v>
      </c>
      <c r="O399" s="0" t="n">
        <f aca="false">K399+M399</f>
        <v>47.9344522756902</v>
      </c>
      <c r="P399" s="54" t="b">
        <f aca="false">AND(C399&gt;=01_因子設定!$L$5-0.000000001,C399&lt;=01_因子設定!$M$5+0.000000001,D399&gt;=01_因子設定!$L$6-0.000000001,D399&lt;=01_因子設定!$M$6+0.000000001,IF(01_因子設定!$B$20="Box-Behnken",C399^2+D399^2&lt;=2+0.000000001,TRUE()))</f>
        <v>1</v>
      </c>
      <c r="Q399" s="55" t="n">
        <f aca="false">IF(P399,IF(01_因子設定!$B$13="最大化",N399-01_因子設定!$B$14,IF(01_因子設定!$B$13="最小化",01_因子設定!$B$15-O399,MIN(N399-01_因子設定!$B$14,01_因子設定!$B$15-O399))),-1E+030)</f>
        <v>-1.52428129867871</v>
      </c>
      <c r="R399" s="55" t="n">
        <f aca="false">IF(P399,IF(01_因子設定!$B$13="最大化",K399,IF(01_因子設定!$B$13="最小化",-K399,-ABS(K399-01_因子設定!$B$16))),-1E+030)</f>
        <v>46.4550854885057</v>
      </c>
      <c r="S399" s="55" t="n">
        <f aca="false">Q399+ROW()*0.000000001</f>
        <v>-1.52428089967871</v>
      </c>
      <c r="T399" s="55" t="n">
        <f aca="false">R399+ROW()*0.000000001</f>
        <v>46.4550858875057</v>
      </c>
    </row>
    <row r="400" customFormat="false" ht="15" hidden="false" customHeight="false" outlineLevel="0" collapsed="false">
      <c r="A400" s="0" t="n">
        <v>9</v>
      </c>
      <c r="B400" s="0" t="n">
        <v>26</v>
      </c>
      <c r="C400" s="0" t="n">
        <f aca="false">-1+A400*0.05</f>
        <v>-0.55</v>
      </c>
      <c r="D400" s="0" t="n">
        <f aca="false">-1+B400*0.05</f>
        <v>0.3</v>
      </c>
      <c r="E400" s="0" t="n">
        <f aca="false">1</f>
        <v>1</v>
      </c>
      <c r="F400" s="0" t="n">
        <f aca="false">C400</f>
        <v>-0.55</v>
      </c>
      <c r="G400" s="0" t="n">
        <f aca="false">D400</f>
        <v>0.3</v>
      </c>
      <c r="H400" s="0" t="n">
        <f aca="false">C400*D400</f>
        <v>-0.165</v>
      </c>
      <c r="I400" s="0" t="n">
        <f aca="false">C400*C400</f>
        <v>0.3025</v>
      </c>
      <c r="J400" s="0" t="n">
        <f aca="false">D400*D400</f>
        <v>0.09</v>
      </c>
      <c r="K400" s="0" t="n">
        <f aca="false">SUMPRODUCT(E400:J400,_XtX!$B$53:$G$53)</f>
        <v>46.5107126436782</v>
      </c>
      <c r="L400" s="0" t="n">
        <f aca="false">SUMPRODUCT(MMULT(E400:J400,_XtX!$B$44:$G$49),E400:J400)</f>
        <v>0.191983800287356</v>
      </c>
      <c r="M400" s="0" t="n">
        <f aca="false">04_回帰ANOVA!$K$19*04_回帰ANOVA!$K$14*SQRT(1+L400)</f>
        <v>1.47948902848418</v>
      </c>
      <c r="N400" s="0" t="n">
        <f aca="false">K400-M400</f>
        <v>45.031223615194</v>
      </c>
      <c r="O400" s="0" t="n">
        <f aca="false">K400+M400</f>
        <v>47.9902016721623</v>
      </c>
      <c r="P400" s="54" t="b">
        <f aca="false">AND(C400&gt;=01_因子設定!$L$5-0.000000001,C400&lt;=01_因子設定!$M$5+0.000000001,D400&gt;=01_因子設定!$L$6-0.000000001,D400&lt;=01_因子設定!$M$6+0.000000001,IF(01_因子設定!$B$20="Box-Behnken",C400^2+D400^2&lt;=2+0.000000001,TRUE()))</f>
        <v>1</v>
      </c>
      <c r="Q400" s="55" t="n">
        <f aca="false">IF(P400,IF(01_因子設定!$B$13="最大化",N400-01_因子設定!$B$14,IF(01_因子設定!$B$13="最小化",01_因子設定!$B$15-O400,MIN(N400-01_因子設定!$B$14,01_因子設定!$B$15-O400))),-1E+030)</f>
        <v>-1.46877638480603</v>
      </c>
      <c r="R400" s="55" t="n">
        <f aca="false">IF(P400,IF(01_因子設定!$B$13="最大化",K400,IF(01_因子設定!$B$13="最小化",-K400,-ABS(K400-01_因子設定!$B$16))),-1E+030)</f>
        <v>46.5107126436782</v>
      </c>
      <c r="S400" s="55" t="n">
        <f aca="false">Q400+ROW()*0.000000001</f>
        <v>-1.46877598480603</v>
      </c>
      <c r="T400" s="55" t="n">
        <f aca="false">R400+ROW()*0.000000001</f>
        <v>46.5107130436782</v>
      </c>
    </row>
    <row r="401" customFormat="false" ht="15" hidden="false" customHeight="false" outlineLevel="0" collapsed="false">
      <c r="A401" s="0" t="n">
        <v>9</v>
      </c>
      <c r="B401" s="0" t="n">
        <v>27</v>
      </c>
      <c r="C401" s="0" t="n">
        <f aca="false">-1+A401*0.05</f>
        <v>-0.55</v>
      </c>
      <c r="D401" s="0" t="n">
        <f aca="false">-1+B401*0.05</f>
        <v>0.35</v>
      </c>
      <c r="E401" s="0" t="n">
        <f aca="false">1</f>
        <v>1</v>
      </c>
      <c r="F401" s="0" t="n">
        <f aca="false">C401</f>
        <v>-0.55</v>
      </c>
      <c r="G401" s="0" t="n">
        <f aca="false">D401</f>
        <v>0.35</v>
      </c>
      <c r="H401" s="0" t="n">
        <f aca="false">C401*D401</f>
        <v>-0.1925</v>
      </c>
      <c r="I401" s="0" t="n">
        <f aca="false">C401*C401</f>
        <v>0.3025</v>
      </c>
      <c r="J401" s="0" t="n">
        <f aca="false">D401*D401</f>
        <v>0.1225</v>
      </c>
      <c r="K401" s="0" t="n">
        <f aca="false">SUMPRODUCT(E401:J401,_XtX!$B$53:$G$53)</f>
        <v>46.5586242816092</v>
      </c>
      <c r="L401" s="0" t="n">
        <f aca="false">SUMPRODUCT(MMULT(E401:J401,_XtX!$B$44:$G$49),E401:J401)</f>
        <v>0.192922611350575</v>
      </c>
      <c r="M401" s="0" t="n">
        <f aca="false">04_回帰ANOVA!$K$19*04_回帰ANOVA!$K$14*SQRT(1+L401)</f>
        <v>1.48007153945768</v>
      </c>
      <c r="N401" s="0" t="n">
        <f aca="false">K401-M401</f>
        <v>45.0785527421515</v>
      </c>
      <c r="O401" s="0" t="n">
        <f aca="false">K401+M401</f>
        <v>48.0386958210669</v>
      </c>
      <c r="P401" s="54" t="b">
        <f aca="false">AND(C401&gt;=01_因子設定!$L$5-0.000000001,C401&lt;=01_因子設定!$M$5+0.000000001,D401&gt;=01_因子設定!$L$6-0.000000001,D401&lt;=01_因子設定!$M$6+0.000000001,IF(01_因子設定!$B$20="Box-Behnken",C401^2+D401^2&lt;=2+0.000000001,TRUE()))</f>
        <v>1</v>
      </c>
      <c r="Q401" s="55" t="n">
        <f aca="false">IF(P401,IF(01_因子設定!$B$13="最大化",N401-01_因子設定!$B$14,IF(01_因子設定!$B$13="最小化",01_因子設定!$B$15-O401,MIN(N401-01_因子設定!$B$14,01_因子設定!$B$15-O401))),-1E+030)</f>
        <v>-1.42144725784848</v>
      </c>
      <c r="R401" s="55" t="n">
        <f aca="false">IF(P401,IF(01_因子設定!$B$13="最大化",K401,IF(01_因子設定!$B$13="最小化",-K401,-ABS(K401-01_因子設定!$B$16))),-1E+030)</f>
        <v>46.5586242816092</v>
      </c>
      <c r="S401" s="55" t="n">
        <f aca="false">Q401+ROW()*0.000000001</f>
        <v>-1.42144685684848</v>
      </c>
      <c r="T401" s="55" t="n">
        <f aca="false">R401+ROW()*0.000000001</f>
        <v>46.5586246826092</v>
      </c>
    </row>
    <row r="402" customFormat="false" ht="15" hidden="false" customHeight="false" outlineLevel="0" collapsed="false">
      <c r="A402" s="0" t="n">
        <v>9</v>
      </c>
      <c r="B402" s="0" t="n">
        <v>28</v>
      </c>
      <c r="C402" s="0" t="n">
        <f aca="false">-1+A402*0.05</f>
        <v>-0.55</v>
      </c>
      <c r="D402" s="0" t="n">
        <f aca="false">-1+B402*0.05</f>
        <v>0.4</v>
      </c>
      <c r="E402" s="0" t="n">
        <f aca="false">1</f>
        <v>1</v>
      </c>
      <c r="F402" s="0" t="n">
        <f aca="false">C402</f>
        <v>-0.55</v>
      </c>
      <c r="G402" s="0" t="n">
        <f aca="false">D402</f>
        <v>0.4</v>
      </c>
      <c r="H402" s="0" t="n">
        <f aca="false">C402*D402</f>
        <v>-0.22</v>
      </c>
      <c r="I402" s="0" t="n">
        <f aca="false">C402*C402</f>
        <v>0.3025</v>
      </c>
      <c r="J402" s="0" t="n">
        <f aca="false">D402*D402</f>
        <v>0.16</v>
      </c>
      <c r="K402" s="0" t="n">
        <f aca="false">SUMPRODUCT(E402:J402,_XtX!$B$53:$G$53)</f>
        <v>46.5988204022988</v>
      </c>
      <c r="L402" s="0" t="n">
        <f aca="false">SUMPRODUCT(MMULT(E402:J402,_XtX!$B$44:$G$49),E402:J402)</f>
        <v>0.19495628591954</v>
      </c>
      <c r="M402" s="0" t="n">
        <f aca="false">04_回帰ANOVA!$K$19*04_回帰ANOVA!$K$14*SQRT(1+L402)</f>
        <v>1.48133260286245</v>
      </c>
      <c r="N402" s="0" t="n">
        <f aca="false">K402-M402</f>
        <v>45.1174877994364</v>
      </c>
      <c r="O402" s="0" t="n">
        <f aca="false">K402+M402</f>
        <v>48.0801530051613</v>
      </c>
      <c r="P402" s="54" t="b">
        <f aca="false">AND(C402&gt;=01_因子設定!$L$5-0.000000001,C402&lt;=01_因子設定!$M$5+0.000000001,D402&gt;=01_因子設定!$L$6-0.000000001,D402&lt;=01_因子設定!$M$6+0.000000001,IF(01_因子設定!$B$20="Box-Behnken",C402^2+D402^2&lt;=2+0.000000001,TRUE()))</f>
        <v>1</v>
      </c>
      <c r="Q402" s="55" t="n">
        <f aca="false">IF(P402,IF(01_因子設定!$B$13="最大化",N402-01_因子設定!$B$14,IF(01_因子設定!$B$13="最小化",01_因子設定!$B$15-O402,MIN(N402-01_因子設定!$B$14,01_因子設定!$B$15-O402))),-1E+030)</f>
        <v>-1.38251220056361</v>
      </c>
      <c r="R402" s="55" t="n">
        <f aca="false">IF(P402,IF(01_因子設定!$B$13="最大化",K402,IF(01_因子設定!$B$13="最小化",-K402,-ABS(K402-01_因子設定!$B$16))),-1E+030)</f>
        <v>46.5988204022988</v>
      </c>
      <c r="S402" s="55" t="n">
        <f aca="false">Q402+ROW()*0.000000001</f>
        <v>-1.38251179856361</v>
      </c>
      <c r="T402" s="55" t="n">
        <f aca="false">R402+ROW()*0.000000001</f>
        <v>46.5988208042988</v>
      </c>
    </row>
    <row r="403" customFormat="false" ht="15" hidden="false" customHeight="false" outlineLevel="0" collapsed="false">
      <c r="A403" s="0" t="n">
        <v>9</v>
      </c>
      <c r="B403" s="0" t="n">
        <v>29</v>
      </c>
      <c r="C403" s="0" t="n">
        <f aca="false">-1+A403*0.05</f>
        <v>-0.55</v>
      </c>
      <c r="D403" s="0" t="n">
        <f aca="false">-1+B403*0.05</f>
        <v>0.45</v>
      </c>
      <c r="E403" s="0" t="n">
        <f aca="false">1</f>
        <v>1</v>
      </c>
      <c r="F403" s="0" t="n">
        <f aca="false">C403</f>
        <v>-0.55</v>
      </c>
      <c r="G403" s="0" t="n">
        <f aca="false">D403</f>
        <v>0.45</v>
      </c>
      <c r="H403" s="0" t="n">
        <f aca="false">C403*D403</f>
        <v>-0.2475</v>
      </c>
      <c r="I403" s="0" t="n">
        <f aca="false">C403*C403</f>
        <v>0.3025</v>
      </c>
      <c r="J403" s="0" t="n">
        <f aca="false">D403*D403</f>
        <v>0.2025</v>
      </c>
      <c r="K403" s="0" t="n">
        <f aca="false">SUMPRODUCT(E403:J403,_XtX!$B$53:$G$53)</f>
        <v>46.6313010057471</v>
      </c>
      <c r="L403" s="0" t="n">
        <f aca="false">SUMPRODUCT(MMULT(E403:J403,_XtX!$B$44:$G$49),E403:J403)</f>
        <v>0.19849215158046</v>
      </c>
      <c r="M403" s="0" t="n">
        <f aca="false">04_回帰ANOVA!$K$19*04_回帰ANOVA!$K$14*SQRT(1+L403)</f>
        <v>1.48352260940076</v>
      </c>
      <c r="N403" s="0" t="n">
        <f aca="false">K403-M403</f>
        <v>45.1477783963464</v>
      </c>
      <c r="O403" s="0" t="n">
        <f aca="false">K403+M403</f>
        <v>48.1148236151479</v>
      </c>
      <c r="P403" s="54" t="b">
        <f aca="false">AND(C403&gt;=01_因子設定!$L$5-0.000000001,C403&lt;=01_因子設定!$M$5+0.000000001,D403&gt;=01_因子設定!$L$6-0.000000001,D403&lt;=01_因子設定!$M$6+0.000000001,IF(01_因子設定!$B$20="Box-Behnken",C403^2+D403^2&lt;=2+0.000000001,TRUE()))</f>
        <v>1</v>
      </c>
      <c r="Q403" s="55" t="n">
        <f aca="false">IF(P403,IF(01_因子設定!$B$13="最大化",N403-01_因子設定!$B$14,IF(01_因子設定!$B$13="最小化",01_因子設定!$B$15-O403,MIN(N403-01_因子設定!$B$14,01_因子設定!$B$15-O403))),-1E+030)</f>
        <v>-1.35222160365364</v>
      </c>
      <c r="R403" s="55" t="n">
        <f aca="false">IF(P403,IF(01_因子設定!$B$13="最大化",K403,IF(01_因子設定!$B$13="最小化",-K403,-ABS(K403-01_因子設定!$B$16))),-1E+030)</f>
        <v>46.6313010057471</v>
      </c>
      <c r="S403" s="55" t="n">
        <f aca="false">Q403+ROW()*0.000000001</f>
        <v>-1.35222120065364</v>
      </c>
      <c r="T403" s="55" t="n">
        <f aca="false">R403+ROW()*0.000000001</f>
        <v>46.6313014087471</v>
      </c>
    </row>
    <row r="404" customFormat="false" ht="15" hidden="false" customHeight="false" outlineLevel="0" collapsed="false">
      <c r="A404" s="0" t="n">
        <v>9</v>
      </c>
      <c r="B404" s="0" t="n">
        <v>30</v>
      </c>
      <c r="C404" s="0" t="n">
        <f aca="false">-1+A404*0.05</f>
        <v>-0.55</v>
      </c>
      <c r="D404" s="0" t="n">
        <f aca="false">-1+B404*0.05</f>
        <v>0.5</v>
      </c>
      <c r="E404" s="0" t="n">
        <f aca="false">1</f>
        <v>1</v>
      </c>
      <c r="F404" s="0" t="n">
        <f aca="false">C404</f>
        <v>-0.55</v>
      </c>
      <c r="G404" s="0" t="n">
        <f aca="false">D404</f>
        <v>0.5</v>
      </c>
      <c r="H404" s="0" t="n">
        <f aca="false">C404*D404</f>
        <v>-0.275</v>
      </c>
      <c r="I404" s="0" t="n">
        <f aca="false">C404*C404</f>
        <v>0.3025</v>
      </c>
      <c r="J404" s="0" t="n">
        <f aca="false">D404*D404</f>
        <v>0.25</v>
      </c>
      <c r="K404" s="0" t="n">
        <f aca="false">SUMPRODUCT(E404:J404,_XtX!$B$53:$G$53)</f>
        <v>46.656066091954</v>
      </c>
      <c r="L404" s="0" t="n">
        <f aca="false">SUMPRODUCT(MMULT(E404:J404,_XtX!$B$44:$G$49),E404:J404)</f>
        <v>0.203991846264368</v>
      </c>
      <c r="M404" s="0" t="n">
        <f aca="false">04_回帰ANOVA!$K$19*04_回帰ANOVA!$K$14*SQRT(1+L404)</f>
        <v>1.48692254105892</v>
      </c>
      <c r="N404" s="0" t="n">
        <f aca="false">K404-M404</f>
        <v>45.1691435508951</v>
      </c>
      <c r="O404" s="0" t="n">
        <f aca="false">K404+M404</f>
        <v>48.1429886330129</v>
      </c>
      <c r="P404" s="54" t="b">
        <f aca="false">AND(C404&gt;=01_因子設定!$L$5-0.000000001,C404&lt;=01_因子設定!$M$5+0.000000001,D404&gt;=01_因子設定!$L$6-0.000000001,D404&lt;=01_因子設定!$M$6+0.000000001,IF(01_因子設定!$B$20="Box-Behnken",C404^2+D404^2&lt;=2+0.000000001,TRUE()))</f>
        <v>1</v>
      </c>
      <c r="Q404" s="55" t="n">
        <f aca="false">IF(P404,IF(01_因子設定!$B$13="最大化",N404-01_因子設定!$B$14,IF(01_因子設定!$B$13="最小化",01_因子設定!$B$15-O404,MIN(N404-01_因子設定!$B$14,01_因子設定!$B$15-O404))),-1E+030)</f>
        <v>-1.3308564491049</v>
      </c>
      <c r="R404" s="55" t="n">
        <f aca="false">IF(P404,IF(01_因子設定!$B$13="最大化",K404,IF(01_因子設定!$B$13="最小化",-K404,-ABS(K404-01_因子設定!$B$16))),-1E+030)</f>
        <v>46.656066091954</v>
      </c>
      <c r="S404" s="55" t="n">
        <f aca="false">Q404+ROW()*0.000000001</f>
        <v>-1.3308560451049</v>
      </c>
      <c r="T404" s="55" t="n">
        <f aca="false">R404+ROW()*0.000000001</f>
        <v>46.656066495954</v>
      </c>
    </row>
    <row r="405" customFormat="false" ht="15" hidden="false" customHeight="false" outlineLevel="0" collapsed="false">
      <c r="A405" s="0" t="n">
        <v>9</v>
      </c>
      <c r="B405" s="0" t="n">
        <v>31</v>
      </c>
      <c r="C405" s="0" t="n">
        <f aca="false">-1+A405*0.05</f>
        <v>-0.55</v>
      </c>
      <c r="D405" s="0" t="n">
        <f aca="false">-1+B405*0.05</f>
        <v>0.55</v>
      </c>
      <c r="E405" s="0" t="n">
        <f aca="false">1</f>
        <v>1</v>
      </c>
      <c r="F405" s="0" t="n">
        <f aca="false">C405</f>
        <v>-0.55</v>
      </c>
      <c r="G405" s="0" t="n">
        <f aca="false">D405</f>
        <v>0.55</v>
      </c>
      <c r="H405" s="0" t="n">
        <f aca="false">C405*D405</f>
        <v>-0.3025</v>
      </c>
      <c r="I405" s="0" t="n">
        <f aca="false">C405*C405</f>
        <v>0.3025</v>
      </c>
      <c r="J405" s="0" t="n">
        <f aca="false">D405*D405</f>
        <v>0.3025</v>
      </c>
      <c r="K405" s="0" t="n">
        <f aca="false">SUMPRODUCT(E405:J405,_XtX!$B$53:$G$53)</f>
        <v>46.6731156609195</v>
      </c>
      <c r="L405" s="0" t="n">
        <f aca="false">SUMPRODUCT(MMULT(E405:J405,_XtX!$B$44:$G$49),E405:J405)</f>
        <v>0.211971318247126</v>
      </c>
      <c r="M405" s="0" t="n">
        <f aca="false">04_回帰ANOVA!$K$19*04_回帰ANOVA!$K$14*SQRT(1+L405)</f>
        <v>1.49184170352873</v>
      </c>
      <c r="N405" s="0" t="n">
        <f aca="false">K405-M405</f>
        <v>45.1812739573908</v>
      </c>
      <c r="O405" s="0" t="n">
        <f aca="false">K405+M405</f>
        <v>48.1649573644483</v>
      </c>
      <c r="P405" s="54" t="b">
        <f aca="false">AND(C405&gt;=01_因子設定!$L$5-0.000000001,C405&lt;=01_因子設定!$M$5+0.000000001,D405&gt;=01_因子設定!$L$6-0.000000001,D405&lt;=01_因子設定!$M$6+0.000000001,IF(01_因子設定!$B$20="Box-Behnken",C405^2+D405^2&lt;=2+0.000000001,TRUE()))</f>
        <v>1</v>
      </c>
      <c r="Q405" s="55" t="n">
        <f aca="false">IF(P405,IF(01_因子設定!$B$13="最大化",N405-01_因子設定!$B$14,IF(01_因子設定!$B$13="最小化",01_因子設定!$B$15-O405,MIN(N405-01_因子設定!$B$14,01_因子設定!$B$15-O405))),-1E+030)</f>
        <v>-1.31872604260919</v>
      </c>
      <c r="R405" s="55" t="n">
        <f aca="false">IF(P405,IF(01_因子設定!$B$13="最大化",K405,IF(01_因子設定!$B$13="最小化",-K405,-ABS(K405-01_因子設定!$B$16))),-1E+030)</f>
        <v>46.6731156609195</v>
      </c>
      <c r="S405" s="55" t="n">
        <f aca="false">Q405+ROW()*0.000000001</f>
        <v>-1.31872563760919</v>
      </c>
      <c r="T405" s="55" t="n">
        <f aca="false">R405+ROW()*0.000000001</f>
        <v>46.6731160659195</v>
      </c>
    </row>
    <row r="406" customFormat="false" ht="15" hidden="false" customHeight="false" outlineLevel="0" collapsed="false">
      <c r="A406" s="0" t="n">
        <v>9</v>
      </c>
      <c r="B406" s="0" t="n">
        <v>32</v>
      </c>
      <c r="C406" s="0" t="n">
        <f aca="false">-1+A406*0.05</f>
        <v>-0.55</v>
      </c>
      <c r="D406" s="0" t="n">
        <f aca="false">-1+B406*0.05</f>
        <v>0.6</v>
      </c>
      <c r="E406" s="0" t="n">
        <f aca="false">1</f>
        <v>1</v>
      </c>
      <c r="F406" s="0" t="n">
        <f aca="false">C406</f>
        <v>-0.55</v>
      </c>
      <c r="G406" s="0" t="n">
        <f aca="false">D406</f>
        <v>0.6</v>
      </c>
      <c r="H406" s="0" t="n">
        <f aca="false">C406*D406</f>
        <v>-0.33</v>
      </c>
      <c r="I406" s="0" t="n">
        <f aca="false">C406*C406</f>
        <v>0.3025</v>
      </c>
      <c r="J406" s="0" t="n">
        <f aca="false">D406*D406</f>
        <v>0.36</v>
      </c>
      <c r="K406" s="0" t="n">
        <f aca="false">SUMPRODUCT(E406:J406,_XtX!$B$53:$G$53)</f>
        <v>46.6824497126437</v>
      </c>
      <c r="L406" s="0" t="n">
        <f aca="false">SUMPRODUCT(MMULT(E406:J406,_XtX!$B$44:$G$49),E406:J406)</f>
        <v>0.223000826149425</v>
      </c>
      <c r="M406" s="0" t="n">
        <f aca="false">04_回帰ANOVA!$K$19*04_回帰ANOVA!$K$14*SQRT(1+L406)</f>
        <v>1.49861455927642</v>
      </c>
      <c r="N406" s="0" t="n">
        <f aca="false">K406-M406</f>
        <v>45.1838351533673</v>
      </c>
      <c r="O406" s="0" t="n">
        <f aca="false">K406+M406</f>
        <v>48.1810642719201</v>
      </c>
      <c r="P406" s="54" t="b">
        <f aca="false">AND(C406&gt;=01_因子設定!$L$5-0.000000001,C406&lt;=01_因子設定!$M$5+0.000000001,D406&gt;=01_因子設定!$L$6-0.000000001,D406&lt;=01_因子設定!$M$6+0.000000001,IF(01_因子設定!$B$20="Box-Behnken",C406^2+D406^2&lt;=2+0.000000001,TRUE()))</f>
        <v>1</v>
      </c>
      <c r="Q406" s="55" t="n">
        <f aca="false">IF(P406,IF(01_因子設定!$B$13="最大化",N406-01_因子設定!$B$14,IF(01_因子設定!$B$13="最小化",01_因子設定!$B$15-O406,MIN(N406-01_因子設定!$B$14,01_因子設定!$B$15-O406))),-1E+030)</f>
        <v>-1.31616484663275</v>
      </c>
      <c r="R406" s="55" t="n">
        <f aca="false">IF(P406,IF(01_因子設定!$B$13="最大化",K406,IF(01_因子設定!$B$13="最小化",-K406,-ABS(K406-01_因子設定!$B$16))),-1E+030)</f>
        <v>46.6824497126437</v>
      </c>
      <c r="S406" s="55" t="n">
        <f aca="false">Q406+ROW()*0.000000001</f>
        <v>-1.31616444063274</v>
      </c>
      <c r="T406" s="55" t="n">
        <f aca="false">R406+ROW()*0.000000001</f>
        <v>46.6824501186437</v>
      </c>
    </row>
    <row r="407" customFormat="false" ht="15" hidden="false" customHeight="false" outlineLevel="0" collapsed="false">
      <c r="A407" s="0" t="n">
        <v>9</v>
      </c>
      <c r="B407" s="0" t="n">
        <v>33</v>
      </c>
      <c r="C407" s="0" t="n">
        <f aca="false">-1+A407*0.05</f>
        <v>-0.55</v>
      </c>
      <c r="D407" s="0" t="n">
        <f aca="false">-1+B407*0.05</f>
        <v>0.65</v>
      </c>
      <c r="E407" s="0" t="n">
        <f aca="false">1</f>
        <v>1</v>
      </c>
      <c r="F407" s="0" t="n">
        <f aca="false">C407</f>
        <v>-0.55</v>
      </c>
      <c r="G407" s="0" t="n">
        <f aca="false">D407</f>
        <v>0.65</v>
      </c>
      <c r="H407" s="0" t="n">
        <f aca="false">C407*D407</f>
        <v>-0.3575</v>
      </c>
      <c r="I407" s="0" t="n">
        <f aca="false">C407*C407</f>
        <v>0.3025</v>
      </c>
      <c r="J407" s="0" t="n">
        <f aca="false">D407*D407</f>
        <v>0.4225</v>
      </c>
      <c r="K407" s="0" t="n">
        <f aca="false">SUMPRODUCT(E407:J407,_XtX!$B$53:$G$53)</f>
        <v>46.6840682471264</v>
      </c>
      <c r="L407" s="0" t="n">
        <f aca="false">SUMPRODUCT(MMULT(E407:J407,_XtX!$B$44:$G$49),E407:J407)</f>
        <v>0.237704938936782</v>
      </c>
      <c r="M407" s="0" t="n">
        <f aca="false">04_回帰ANOVA!$K$19*04_回帰ANOVA!$K$14*SQRT(1+L407)</f>
        <v>1.5075965477804</v>
      </c>
      <c r="N407" s="0" t="n">
        <f aca="false">K407-M407</f>
        <v>45.176471699346</v>
      </c>
      <c r="O407" s="0" t="n">
        <f aca="false">K407+M407</f>
        <v>48.1916647949068</v>
      </c>
      <c r="P407" s="54" t="b">
        <f aca="false">AND(C407&gt;=01_因子設定!$L$5-0.000000001,C407&lt;=01_因子設定!$M$5+0.000000001,D407&gt;=01_因子設定!$L$6-0.000000001,D407&lt;=01_因子設定!$M$6+0.000000001,IF(01_因子設定!$B$20="Box-Behnken",C407^2+D407^2&lt;=2+0.000000001,TRUE()))</f>
        <v>1</v>
      </c>
      <c r="Q407" s="55" t="n">
        <f aca="false">IF(P407,IF(01_因子設定!$B$13="最大化",N407-01_因子設定!$B$14,IF(01_因子設定!$B$13="最小化",01_因子設定!$B$15-O407,MIN(N407-01_因子設定!$B$14,01_因子設定!$B$15-O407))),-1E+030)</f>
        <v>-1.32352830065396</v>
      </c>
      <c r="R407" s="55" t="n">
        <f aca="false">IF(P407,IF(01_因子設定!$B$13="最大化",K407,IF(01_因子設定!$B$13="最小化",-K407,-ABS(K407-01_因子設定!$B$16))),-1E+030)</f>
        <v>46.6840682471264</v>
      </c>
      <c r="S407" s="55" t="n">
        <f aca="false">Q407+ROW()*0.000000001</f>
        <v>-1.32352789365396</v>
      </c>
      <c r="T407" s="55" t="n">
        <f aca="false">R407+ROW()*0.000000001</f>
        <v>46.6840686541264</v>
      </c>
    </row>
    <row r="408" customFormat="false" ht="15" hidden="false" customHeight="false" outlineLevel="0" collapsed="false">
      <c r="A408" s="0" t="n">
        <v>9</v>
      </c>
      <c r="B408" s="0" t="n">
        <v>34</v>
      </c>
      <c r="C408" s="0" t="n">
        <f aca="false">-1+A408*0.05</f>
        <v>-0.55</v>
      </c>
      <c r="D408" s="0" t="n">
        <f aca="false">-1+B408*0.05</f>
        <v>0.7</v>
      </c>
      <c r="E408" s="0" t="n">
        <f aca="false">1</f>
        <v>1</v>
      </c>
      <c r="F408" s="0" t="n">
        <f aca="false">C408</f>
        <v>-0.55</v>
      </c>
      <c r="G408" s="0" t="n">
        <f aca="false">D408</f>
        <v>0.7</v>
      </c>
      <c r="H408" s="0" t="n">
        <f aca="false">C408*D408</f>
        <v>-0.385</v>
      </c>
      <c r="I408" s="0" t="n">
        <f aca="false">C408*C408</f>
        <v>0.3025</v>
      </c>
      <c r="J408" s="0" t="n">
        <f aca="false">D408*D408</f>
        <v>0.49</v>
      </c>
      <c r="K408" s="0" t="n">
        <f aca="false">SUMPRODUCT(E408:J408,_XtX!$B$53:$G$53)</f>
        <v>46.6779712643678</v>
      </c>
      <c r="L408" s="0" t="n">
        <f aca="false">SUMPRODUCT(MMULT(E408:J408,_XtX!$B$44:$G$49),E408:J408)</f>
        <v>0.25676253591954</v>
      </c>
      <c r="M408" s="0" t="n">
        <f aca="false">04_回帰ANOVA!$K$19*04_回帰ANOVA!$K$14*SQRT(1+L408)</f>
        <v>1.51915884046963</v>
      </c>
      <c r="N408" s="0" t="n">
        <f aca="false">K408-M408</f>
        <v>45.1588124238982</v>
      </c>
      <c r="O408" s="0" t="n">
        <f aca="false">K408+M408</f>
        <v>48.1971301048375</v>
      </c>
      <c r="P408" s="54" t="b">
        <f aca="false">AND(C408&gt;=01_因子設定!$L$5-0.000000001,C408&lt;=01_因子設定!$M$5+0.000000001,D408&gt;=01_因子設定!$L$6-0.000000001,D408&lt;=01_因子設定!$M$6+0.000000001,IF(01_因子設定!$B$20="Box-Behnken",C408^2+D408^2&lt;=2+0.000000001,TRUE()))</f>
        <v>1</v>
      </c>
      <c r="Q408" s="55" t="n">
        <f aca="false">IF(P408,IF(01_因子設定!$B$13="最大化",N408-01_因子設定!$B$14,IF(01_因子設定!$B$13="最小化",01_因子設定!$B$15-O408,MIN(N408-01_因子設定!$B$14,01_因子設定!$B$15-O408))),-1E+030)</f>
        <v>-1.34118757610182</v>
      </c>
      <c r="R408" s="55" t="n">
        <f aca="false">IF(P408,IF(01_因子設定!$B$13="最大化",K408,IF(01_因子設定!$B$13="最小化",-K408,-ABS(K408-01_因子設定!$B$16))),-1E+030)</f>
        <v>46.6779712643678</v>
      </c>
      <c r="S408" s="55" t="n">
        <f aca="false">Q408+ROW()*0.000000001</f>
        <v>-1.34118716810182</v>
      </c>
      <c r="T408" s="55" t="n">
        <f aca="false">R408+ROW()*0.000000001</f>
        <v>46.6779716723678</v>
      </c>
    </row>
    <row r="409" customFormat="false" ht="15" hidden="false" customHeight="false" outlineLevel="0" collapsed="false">
      <c r="A409" s="0" t="n">
        <v>9</v>
      </c>
      <c r="B409" s="0" t="n">
        <v>35</v>
      </c>
      <c r="C409" s="0" t="n">
        <f aca="false">-1+A409*0.05</f>
        <v>-0.55</v>
      </c>
      <c r="D409" s="0" t="n">
        <f aca="false">-1+B409*0.05</f>
        <v>0.75</v>
      </c>
      <c r="E409" s="0" t="n">
        <f aca="false">1</f>
        <v>1</v>
      </c>
      <c r="F409" s="0" t="n">
        <f aca="false">C409</f>
        <v>-0.55</v>
      </c>
      <c r="G409" s="0" t="n">
        <f aca="false">D409</f>
        <v>0.75</v>
      </c>
      <c r="H409" s="0" t="n">
        <f aca="false">C409*D409</f>
        <v>-0.4125</v>
      </c>
      <c r="I409" s="0" t="n">
        <f aca="false">C409*C409</f>
        <v>0.3025</v>
      </c>
      <c r="J409" s="0" t="n">
        <f aca="false">D409*D409</f>
        <v>0.5625</v>
      </c>
      <c r="K409" s="0" t="n">
        <f aca="false">SUMPRODUCT(E409:J409,_XtX!$B$53:$G$53)</f>
        <v>46.6641587643678</v>
      </c>
      <c r="L409" s="0" t="n">
        <f aca="false">SUMPRODUCT(MMULT(E409:J409,_XtX!$B$44:$G$49),E409:J409)</f>
        <v>0.280906806752874</v>
      </c>
      <c r="M409" s="0" t="n">
        <f aca="false">04_回帰ANOVA!$K$19*04_回帰ANOVA!$K$14*SQRT(1+L409)</f>
        <v>1.53368206549325</v>
      </c>
      <c r="N409" s="0" t="n">
        <f aca="false">K409-M409</f>
        <v>45.1304766988746</v>
      </c>
      <c r="O409" s="0" t="n">
        <f aca="false">K409+M409</f>
        <v>48.1978408298611</v>
      </c>
      <c r="P409" s="54" t="b">
        <f aca="false">AND(C409&gt;=01_因子設定!$L$5-0.000000001,C409&lt;=01_因子設定!$M$5+0.000000001,D409&gt;=01_因子設定!$L$6-0.000000001,D409&lt;=01_因子設定!$M$6+0.000000001,IF(01_因子設定!$B$20="Box-Behnken",C409^2+D409^2&lt;=2+0.000000001,TRUE()))</f>
        <v>1</v>
      </c>
      <c r="Q409" s="55" t="n">
        <f aca="false">IF(P409,IF(01_因子設定!$B$13="最大化",N409-01_因子設定!$B$14,IF(01_因子設定!$B$13="最小化",01_因子設定!$B$15-O409,MIN(N409-01_因子設定!$B$14,01_因子設定!$B$15-O409))),-1E+030)</f>
        <v>-1.36952330112543</v>
      </c>
      <c r="R409" s="55" t="n">
        <f aca="false">IF(P409,IF(01_因子設定!$B$13="最大化",K409,IF(01_因子設定!$B$13="最小化",-K409,-ABS(K409-01_因子設定!$B$16))),-1E+030)</f>
        <v>46.6641587643678</v>
      </c>
      <c r="S409" s="55" t="n">
        <f aca="false">Q409+ROW()*0.000000001</f>
        <v>-1.36952289212543</v>
      </c>
      <c r="T409" s="55" t="n">
        <f aca="false">R409+ROW()*0.000000001</f>
        <v>46.6641591733678</v>
      </c>
    </row>
    <row r="410" customFormat="false" ht="15" hidden="false" customHeight="false" outlineLevel="0" collapsed="false">
      <c r="A410" s="0" t="n">
        <v>9</v>
      </c>
      <c r="B410" s="0" t="n">
        <v>36</v>
      </c>
      <c r="C410" s="0" t="n">
        <f aca="false">-1+A410*0.05</f>
        <v>-0.55</v>
      </c>
      <c r="D410" s="0" t="n">
        <f aca="false">-1+B410*0.05</f>
        <v>0.8</v>
      </c>
      <c r="E410" s="0" t="n">
        <f aca="false">1</f>
        <v>1</v>
      </c>
      <c r="F410" s="0" t="n">
        <f aca="false">C410</f>
        <v>-0.55</v>
      </c>
      <c r="G410" s="0" t="n">
        <f aca="false">D410</f>
        <v>0.8</v>
      </c>
      <c r="H410" s="0" t="n">
        <f aca="false">C410*D410</f>
        <v>-0.44</v>
      </c>
      <c r="I410" s="0" t="n">
        <f aca="false">C410*C410</f>
        <v>0.3025</v>
      </c>
      <c r="J410" s="0" t="n">
        <f aca="false">D410*D410</f>
        <v>0.64</v>
      </c>
      <c r="K410" s="0" t="n">
        <f aca="false">SUMPRODUCT(E410:J410,_XtX!$B$53:$G$53)</f>
        <v>46.6426307471264</v>
      </c>
      <c r="L410" s="0" t="n">
        <f aca="false">SUMPRODUCT(MMULT(E410:J410,_XtX!$B$44:$G$49),E410:J410)</f>
        <v>0.310925251436782</v>
      </c>
      <c r="M410" s="0" t="n">
        <f aca="false">04_回帰ANOVA!$K$19*04_回帰ANOVA!$K$14*SQRT(1+L410)</f>
        <v>1.551549146857</v>
      </c>
      <c r="N410" s="0" t="n">
        <f aca="false">K410-M410</f>
        <v>45.0910816002694</v>
      </c>
      <c r="O410" s="0" t="n">
        <f aca="false">K410+M410</f>
        <v>48.1941798939834</v>
      </c>
      <c r="P410" s="54" t="b">
        <f aca="false">AND(C410&gt;=01_因子設定!$L$5-0.000000001,C410&lt;=01_因子設定!$M$5+0.000000001,D410&gt;=01_因子設定!$L$6-0.000000001,D410&lt;=01_因子設定!$M$6+0.000000001,IF(01_因子設定!$B$20="Box-Behnken",C410^2+D410^2&lt;=2+0.000000001,TRUE()))</f>
        <v>1</v>
      </c>
      <c r="Q410" s="55" t="n">
        <f aca="false">IF(P410,IF(01_因子設定!$B$13="最大化",N410-01_因子設定!$B$14,IF(01_因子設定!$B$13="最小化",01_因子設定!$B$15-O410,MIN(N410-01_因子設定!$B$14,01_因子設定!$B$15-O410))),-1E+030)</f>
        <v>-1.40891839973057</v>
      </c>
      <c r="R410" s="55" t="n">
        <f aca="false">IF(P410,IF(01_因子設定!$B$13="最大化",K410,IF(01_因子設定!$B$13="最小化",-K410,-ABS(K410-01_因子設定!$B$16))),-1E+030)</f>
        <v>46.6426307471264</v>
      </c>
      <c r="S410" s="55" t="n">
        <f aca="false">Q410+ROW()*0.000000001</f>
        <v>-1.40891798973057</v>
      </c>
      <c r="T410" s="55" t="n">
        <f aca="false">R410+ROW()*0.000000001</f>
        <v>46.6426311571264</v>
      </c>
    </row>
    <row r="411" customFormat="false" ht="15" hidden="false" customHeight="false" outlineLevel="0" collapsed="false">
      <c r="A411" s="0" t="n">
        <v>9</v>
      </c>
      <c r="B411" s="0" t="n">
        <v>37</v>
      </c>
      <c r="C411" s="0" t="n">
        <f aca="false">-1+A411*0.05</f>
        <v>-0.55</v>
      </c>
      <c r="D411" s="0" t="n">
        <f aca="false">-1+B411*0.05</f>
        <v>0.85</v>
      </c>
      <c r="E411" s="0" t="n">
        <f aca="false">1</f>
        <v>1</v>
      </c>
      <c r="F411" s="0" t="n">
        <f aca="false">C411</f>
        <v>-0.55</v>
      </c>
      <c r="G411" s="0" t="n">
        <f aca="false">D411</f>
        <v>0.85</v>
      </c>
      <c r="H411" s="0" t="n">
        <f aca="false">C411*D411</f>
        <v>-0.4675</v>
      </c>
      <c r="I411" s="0" t="n">
        <f aca="false">C411*C411</f>
        <v>0.3025</v>
      </c>
      <c r="J411" s="0" t="n">
        <f aca="false">D411*D411</f>
        <v>0.7225</v>
      </c>
      <c r="K411" s="0" t="n">
        <f aca="false">SUMPRODUCT(E411:J411,_XtX!$B$53:$G$53)</f>
        <v>46.6133872126437</v>
      </c>
      <c r="L411" s="0" t="n">
        <f aca="false">SUMPRODUCT(MMULT(E411:J411,_XtX!$B$44:$G$49),E411:J411)</f>
        <v>0.347659680316092</v>
      </c>
      <c r="M411" s="0" t="n">
        <f aca="false">04_回帰ANOVA!$K$19*04_回帰ANOVA!$K$14*SQRT(1+L411)</f>
        <v>1.57313752229609</v>
      </c>
      <c r="N411" s="0" t="n">
        <f aca="false">K411-M411</f>
        <v>45.0402496903476</v>
      </c>
      <c r="O411" s="0" t="n">
        <f aca="false">K411+M411</f>
        <v>48.1865247349398</v>
      </c>
      <c r="P411" s="54" t="b">
        <f aca="false">AND(C411&gt;=01_因子設定!$L$5-0.000000001,C411&lt;=01_因子設定!$M$5+0.000000001,D411&gt;=01_因子設定!$L$6-0.000000001,D411&lt;=01_因子設定!$M$6+0.000000001,IF(01_因子設定!$B$20="Box-Behnken",C411^2+D411^2&lt;=2+0.000000001,TRUE()))</f>
        <v>1</v>
      </c>
      <c r="Q411" s="55" t="n">
        <f aca="false">IF(P411,IF(01_因子設定!$B$13="最大化",N411-01_因子設定!$B$14,IF(01_因子設定!$B$13="最小化",01_因子設定!$B$15-O411,MIN(N411-01_因子設定!$B$14,01_因子設定!$B$15-O411))),-1E+030)</f>
        <v>-1.45975030965241</v>
      </c>
      <c r="R411" s="55" t="n">
        <f aca="false">IF(P411,IF(01_因子設定!$B$13="最大化",K411,IF(01_因子設定!$B$13="最小化",-K411,-ABS(K411-01_因子設定!$B$16))),-1E+030)</f>
        <v>46.6133872126437</v>
      </c>
      <c r="S411" s="55" t="n">
        <f aca="false">Q411+ROW()*0.000000001</f>
        <v>-1.45974989865241</v>
      </c>
      <c r="T411" s="55" t="n">
        <f aca="false">R411+ROW()*0.000000001</f>
        <v>46.6133876236437</v>
      </c>
    </row>
    <row r="412" customFormat="false" ht="15" hidden="false" customHeight="false" outlineLevel="0" collapsed="false">
      <c r="A412" s="0" t="n">
        <v>9</v>
      </c>
      <c r="B412" s="0" t="n">
        <v>38</v>
      </c>
      <c r="C412" s="0" t="n">
        <f aca="false">-1+A412*0.05</f>
        <v>-0.55</v>
      </c>
      <c r="D412" s="0" t="n">
        <f aca="false">-1+B412*0.05</f>
        <v>0.9</v>
      </c>
      <c r="E412" s="0" t="n">
        <f aca="false">1</f>
        <v>1</v>
      </c>
      <c r="F412" s="0" t="n">
        <f aca="false">C412</f>
        <v>-0.55</v>
      </c>
      <c r="G412" s="0" t="n">
        <f aca="false">D412</f>
        <v>0.9</v>
      </c>
      <c r="H412" s="0" t="n">
        <f aca="false">C412*D412</f>
        <v>-0.495</v>
      </c>
      <c r="I412" s="0" t="n">
        <f aca="false">C412*C412</f>
        <v>0.3025</v>
      </c>
      <c r="J412" s="0" t="n">
        <f aca="false">D412*D412</f>
        <v>0.81</v>
      </c>
      <c r="K412" s="0" t="n">
        <f aca="false">SUMPRODUCT(E412:J412,_XtX!$B$53:$G$53)</f>
        <v>46.5764281609195</v>
      </c>
      <c r="L412" s="0" t="n">
        <f aca="false">SUMPRODUCT(MMULT(E412:J412,_XtX!$B$44:$G$49),E412:J412)</f>
        <v>0.39200621408046</v>
      </c>
      <c r="M412" s="0" t="n">
        <f aca="false">04_回帰ANOVA!$K$19*04_回帰ANOVA!$K$14*SQRT(1+L412)</f>
        <v>1.59881111683123</v>
      </c>
      <c r="N412" s="0" t="n">
        <f aca="false">K412-M412</f>
        <v>44.9776170440883</v>
      </c>
      <c r="O412" s="0" t="n">
        <f aca="false">K412+M412</f>
        <v>48.1752392777508</v>
      </c>
      <c r="P412" s="54" t="b">
        <f aca="false">AND(C412&gt;=01_因子設定!$L$5-0.000000001,C412&lt;=01_因子設定!$M$5+0.000000001,D412&gt;=01_因子設定!$L$6-0.000000001,D412&lt;=01_因子設定!$M$6+0.000000001,IF(01_因子設定!$B$20="Box-Behnken",C412^2+D412^2&lt;=2+0.000000001,TRUE()))</f>
        <v>1</v>
      </c>
      <c r="Q412" s="55" t="n">
        <f aca="false">IF(P412,IF(01_因子設定!$B$13="最大化",N412-01_因子設定!$B$14,IF(01_因子設定!$B$13="最小化",01_因子設定!$B$15-O412,MIN(N412-01_因子設定!$B$14,01_因子設定!$B$15-O412))),-1E+030)</f>
        <v>-1.5223829559117</v>
      </c>
      <c r="R412" s="55" t="n">
        <f aca="false">IF(P412,IF(01_因子設定!$B$13="最大化",K412,IF(01_因子設定!$B$13="最小化",-K412,-ABS(K412-01_因子設定!$B$16))),-1E+030)</f>
        <v>46.5764281609195</v>
      </c>
      <c r="S412" s="55" t="n">
        <f aca="false">Q412+ROW()*0.000000001</f>
        <v>-1.5223825439117</v>
      </c>
      <c r="T412" s="55" t="n">
        <f aca="false">R412+ROW()*0.000000001</f>
        <v>46.5764285729195</v>
      </c>
    </row>
    <row r="413" customFormat="false" ht="15" hidden="false" customHeight="false" outlineLevel="0" collapsed="false">
      <c r="A413" s="0" t="n">
        <v>9</v>
      </c>
      <c r="B413" s="0" t="n">
        <v>39</v>
      </c>
      <c r="C413" s="0" t="n">
        <f aca="false">-1+A413*0.05</f>
        <v>-0.55</v>
      </c>
      <c r="D413" s="0" t="n">
        <f aca="false">-1+B413*0.05</f>
        <v>0.95</v>
      </c>
      <c r="E413" s="0" t="n">
        <f aca="false">1</f>
        <v>1</v>
      </c>
      <c r="F413" s="0" t="n">
        <f aca="false">C413</f>
        <v>-0.55</v>
      </c>
      <c r="G413" s="0" t="n">
        <f aca="false">D413</f>
        <v>0.95</v>
      </c>
      <c r="H413" s="0" t="n">
        <f aca="false">C413*D413</f>
        <v>-0.5225</v>
      </c>
      <c r="I413" s="0" t="n">
        <f aca="false">C413*C413</f>
        <v>0.3025</v>
      </c>
      <c r="J413" s="0" t="n">
        <f aca="false">D413*D413</f>
        <v>0.9025</v>
      </c>
      <c r="K413" s="0" t="n">
        <f aca="false">SUMPRODUCT(E413:J413,_XtX!$B$53:$G$53)</f>
        <v>46.531753591954</v>
      </c>
      <c r="L413" s="0" t="n">
        <f aca="false">SUMPRODUCT(MMULT(E413:J413,_XtX!$B$44:$G$49),E413:J413)</f>
        <v>0.444915283764368</v>
      </c>
      <c r="M413" s="0" t="n">
        <f aca="false">04_回帰ANOVA!$K$19*04_回帰ANOVA!$K$14*SQRT(1+L413)</f>
        <v>1.62891253282135</v>
      </c>
      <c r="N413" s="0" t="n">
        <f aca="false">K413-M413</f>
        <v>44.9028410591327</v>
      </c>
      <c r="O413" s="0" t="n">
        <f aca="false">K413+M413</f>
        <v>48.1606661247754</v>
      </c>
      <c r="P413" s="54" t="b">
        <f aca="false">AND(C413&gt;=01_因子設定!$L$5-0.000000001,C413&lt;=01_因子設定!$M$5+0.000000001,D413&gt;=01_因子設定!$L$6-0.000000001,D413&lt;=01_因子設定!$M$6+0.000000001,IF(01_因子設定!$B$20="Box-Behnken",C413^2+D413^2&lt;=2+0.000000001,TRUE()))</f>
        <v>1</v>
      </c>
      <c r="Q413" s="55" t="n">
        <f aca="false">IF(P413,IF(01_因子設定!$B$13="最大化",N413-01_因子設定!$B$14,IF(01_因子設定!$B$13="最小化",01_因子設定!$B$15-O413,MIN(N413-01_因子設定!$B$14,01_因子設定!$B$15-O413))),-1E+030)</f>
        <v>-1.59715894086732</v>
      </c>
      <c r="R413" s="55" t="n">
        <f aca="false">IF(P413,IF(01_因子設定!$B$13="最大化",K413,IF(01_因子設定!$B$13="最小化",-K413,-ABS(K413-01_因子設定!$B$16))),-1E+030)</f>
        <v>46.531753591954</v>
      </c>
      <c r="S413" s="55" t="n">
        <f aca="false">Q413+ROW()*0.000000001</f>
        <v>-1.59715852786732</v>
      </c>
      <c r="T413" s="55" t="n">
        <f aca="false">R413+ROW()*0.000000001</f>
        <v>46.531754004954</v>
      </c>
    </row>
    <row r="414" customFormat="false" ht="15" hidden="false" customHeight="false" outlineLevel="0" collapsed="false">
      <c r="A414" s="0" t="n">
        <v>9</v>
      </c>
      <c r="B414" s="0" t="n">
        <v>40</v>
      </c>
      <c r="C414" s="0" t="n">
        <f aca="false">-1+A414*0.05</f>
        <v>-0.55</v>
      </c>
      <c r="D414" s="0" t="n">
        <f aca="false">-1+B414*0.05</f>
        <v>1</v>
      </c>
      <c r="E414" s="0" t="n">
        <f aca="false">1</f>
        <v>1</v>
      </c>
      <c r="F414" s="0" t="n">
        <f aca="false">C414</f>
        <v>-0.55</v>
      </c>
      <c r="G414" s="0" t="n">
        <f aca="false">D414</f>
        <v>1</v>
      </c>
      <c r="H414" s="0" t="n">
        <f aca="false">C414*D414</f>
        <v>-0.55</v>
      </c>
      <c r="I414" s="0" t="n">
        <f aca="false">C414*C414</f>
        <v>0.3025</v>
      </c>
      <c r="J414" s="0" t="n">
        <f aca="false">D414*D414</f>
        <v>1</v>
      </c>
      <c r="K414" s="0" t="n">
        <f aca="false">SUMPRODUCT(E414:J414,_XtX!$B$53:$G$53)</f>
        <v>46.4793635057471</v>
      </c>
      <c r="L414" s="0" t="n">
        <f aca="false">SUMPRODUCT(MMULT(E414:J414,_XtX!$B$44:$G$49),E414:J414)</f>
        <v>0.507391630747127</v>
      </c>
      <c r="M414" s="0" t="n">
        <f aca="false">04_回帰ANOVA!$K$19*04_回帰ANOVA!$K$14*SQRT(1+L414)</f>
        <v>1.66375595202306</v>
      </c>
      <c r="N414" s="0" t="n">
        <f aca="false">K414-M414</f>
        <v>44.8156075537241</v>
      </c>
      <c r="O414" s="0" t="n">
        <f aca="false">K414+M414</f>
        <v>48.1431194577702</v>
      </c>
      <c r="P414" s="54" t="b">
        <f aca="false">AND(C414&gt;=01_因子設定!$L$5-0.000000001,C414&lt;=01_因子設定!$M$5+0.000000001,D414&gt;=01_因子設定!$L$6-0.000000001,D414&lt;=01_因子設定!$M$6+0.000000001,IF(01_因子設定!$B$20="Box-Behnken",C414^2+D414^2&lt;=2+0.000000001,TRUE()))</f>
        <v>1</v>
      </c>
      <c r="Q414" s="55" t="n">
        <f aca="false">IF(P414,IF(01_因子設定!$B$13="最大化",N414-01_因子設定!$B$14,IF(01_因子設定!$B$13="最小化",01_因子設定!$B$15-O414,MIN(N414-01_因子設定!$B$14,01_因子設定!$B$15-O414))),-1E+030)</f>
        <v>-1.68439244627593</v>
      </c>
      <c r="R414" s="55" t="n">
        <f aca="false">IF(P414,IF(01_因子設定!$B$13="最大化",K414,IF(01_因子設定!$B$13="最小化",-K414,-ABS(K414-01_因子設定!$B$16))),-1E+030)</f>
        <v>46.4793635057471</v>
      </c>
      <c r="S414" s="55" t="n">
        <f aca="false">Q414+ROW()*0.000000001</f>
        <v>-1.68439203227593</v>
      </c>
      <c r="T414" s="55" t="n">
        <f aca="false">R414+ROW()*0.000000001</f>
        <v>46.4793639197471</v>
      </c>
    </row>
    <row r="415" customFormat="false" ht="15" hidden="false" customHeight="false" outlineLevel="0" collapsed="false">
      <c r="A415" s="0" t="n">
        <v>10</v>
      </c>
      <c r="B415" s="0" t="n">
        <v>0</v>
      </c>
      <c r="C415" s="0" t="n">
        <f aca="false">-1+A415*0.05</f>
        <v>-0.5</v>
      </c>
      <c r="D415" s="0" t="n">
        <f aca="false">-1+B415*0.05</f>
        <v>-1</v>
      </c>
      <c r="E415" s="0" t="n">
        <f aca="false">1</f>
        <v>1</v>
      </c>
      <c r="F415" s="0" t="n">
        <f aca="false">C415</f>
        <v>-0.5</v>
      </c>
      <c r="G415" s="0" t="n">
        <f aca="false">D415</f>
        <v>-1</v>
      </c>
      <c r="H415" s="0" t="n">
        <f aca="false">C415*D415</f>
        <v>0.5</v>
      </c>
      <c r="I415" s="0" t="n">
        <f aca="false">C415*C415</f>
        <v>0.25</v>
      </c>
      <c r="J415" s="0" t="n">
        <f aca="false">D415*D415</f>
        <v>1</v>
      </c>
      <c r="K415" s="0" t="n">
        <f aca="false">SUMPRODUCT(E415:J415,_XtX!$B$53:$G$53)</f>
        <v>42.7804597701149</v>
      </c>
      <c r="L415" s="0" t="n">
        <f aca="false">SUMPRODUCT(MMULT(E415:J415,_XtX!$B$44:$G$49),E415:J415)</f>
        <v>0.500359195402299</v>
      </c>
      <c r="M415" s="0" t="n">
        <f aca="false">04_回帰ANOVA!$K$19*04_回帰ANOVA!$K$14*SQRT(1+L415)</f>
        <v>1.65987045400384</v>
      </c>
      <c r="N415" s="0" t="n">
        <f aca="false">K415-M415</f>
        <v>41.1205893161111</v>
      </c>
      <c r="O415" s="0" t="n">
        <f aca="false">K415+M415</f>
        <v>44.4403302241188</v>
      </c>
      <c r="P415" s="54" t="b">
        <f aca="false">AND(C415&gt;=01_因子設定!$L$5-0.000000001,C415&lt;=01_因子設定!$M$5+0.000000001,D415&gt;=01_因子設定!$L$6-0.000000001,D415&lt;=01_因子設定!$M$6+0.000000001,IF(01_因子設定!$B$20="Box-Behnken",C415^2+D415^2&lt;=2+0.000000001,TRUE()))</f>
        <v>1</v>
      </c>
      <c r="Q415" s="55" t="n">
        <f aca="false">IF(P415,IF(01_因子設定!$B$13="最大化",N415-01_因子設定!$B$14,IF(01_因子設定!$B$13="最小化",01_因子設定!$B$15-O415,MIN(N415-01_因子設定!$B$14,01_因子設定!$B$15-O415))),-1E+030)</f>
        <v>-5.37941068388891</v>
      </c>
      <c r="R415" s="55" t="n">
        <f aca="false">IF(P415,IF(01_因子設定!$B$13="最大化",K415,IF(01_因子設定!$B$13="最小化",-K415,-ABS(K415-01_因子設定!$B$16))),-1E+030)</f>
        <v>42.7804597701149</v>
      </c>
      <c r="S415" s="55" t="n">
        <f aca="false">Q415+ROW()*0.000000001</f>
        <v>-5.37941026888891</v>
      </c>
      <c r="T415" s="55" t="n">
        <f aca="false">R415+ROW()*0.000000001</f>
        <v>42.7804601851149</v>
      </c>
    </row>
    <row r="416" customFormat="false" ht="15" hidden="false" customHeight="false" outlineLevel="0" collapsed="false">
      <c r="A416" s="0" t="n">
        <v>10</v>
      </c>
      <c r="B416" s="0" t="n">
        <v>1</v>
      </c>
      <c r="C416" s="0" t="n">
        <f aca="false">-1+A416*0.05</f>
        <v>-0.5</v>
      </c>
      <c r="D416" s="0" t="n">
        <f aca="false">-1+B416*0.05</f>
        <v>-0.95</v>
      </c>
      <c r="E416" s="0" t="n">
        <f aca="false">1</f>
        <v>1</v>
      </c>
      <c r="F416" s="0" t="n">
        <f aca="false">C416</f>
        <v>-0.5</v>
      </c>
      <c r="G416" s="0" t="n">
        <f aca="false">D416</f>
        <v>-0.95</v>
      </c>
      <c r="H416" s="0" t="n">
        <f aca="false">C416*D416</f>
        <v>0.475</v>
      </c>
      <c r="I416" s="0" t="n">
        <f aca="false">C416*C416</f>
        <v>0.25</v>
      </c>
      <c r="J416" s="0" t="n">
        <f aca="false">D416*D416</f>
        <v>0.9025</v>
      </c>
      <c r="K416" s="0" t="n">
        <f aca="false">SUMPRODUCT(E416:J416,_XtX!$B$53:$G$53)</f>
        <v>43.0302873563218</v>
      </c>
      <c r="L416" s="0" t="n">
        <f aca="false">SUMPRODUCT(MMULT(E416:J416,_XtX!$B$44:$G$49),E416:J416)</f>
        <v>0.437750466954023</v>
      </c>
      <c r="M416" s="0" t="n">
        <f aca="false">04_回帰ANOVA!$K$19*04_回帰ANOVA!$K$14*SQRT(1+L416)</f>
        <v>1.62486891728431</v>
      </c>
      <c r="N416" s="0" t="n">
        <f aca="false">K416-M416</f>
        <v>41.4054184390375</v>
      </c>
      <c r="O416" s="0" t="n">
        <f aca="false">K416+M416</f>
        <v>44.6551562736061</v>
      </c>
      <c r="P416" s="54" t="b">
        <f aca="false">AND(C416&gt;=01_因子設定!$L$5-0.000000001,C416&lt;=01_因子設定!$M$5+0.000000001,D416&gt;=01_因子設定!$L$6-0.000000001,D416&lt;=01_因子設定!$M$6+0.000000001,IF(01_因子設定!$B$20="Box-Behnken",C416^2+D416^2&lt;=2+0.000000001,TRUE()))</f>
        <v>1</v>
      </c>
      <c r="Q416" s="55" t="n">
        <f aca="false">IF(P416,IF(01_因子設定!$B$13="最大化",N416-01_因子設定!$B$14,IF(01_因子設定!$B$13="最小化",01_因子設定!$B$15-O416,MIN(N416-01_因子設定!$B$14,01_因子設定!$B$15-O416))),-1E+030)</f>
        <v>-5.09458156096247</v>
      </c>
      <c r="R416" s="55" t="n">
        <f aca="false">IF(P416,IF(01_因子設定!$B$13="最大化",K416,IF(01_因子設定!$B$13="最小化",-K416,-ABS(K416-01_因子設定!$B$16))),-1E+030)</f>
        <v>43.0302873563218</v>
      </c>
      <c r="S416" s="55" t="n">
        <f aca="false">Q416+ROW()*0.000000001</f>
        <v>-5.09458114496248</v>
      </c>
      <c r="T416" s="55" t="n">
        <f aca="false">R416+ROW()*0.000000001</f>
        <v>43.0302877723218</v>
      </c>
    </row>
    <row r="417" customFormat="false" ht="15" hidden="false" customHeight="false" outlineLevel="0" collapsed="false">
      <c r="A417" s="0" t="n">
        <v>10</v>
      </c>
      <c r="B417" s="0" t="n">
        <v>2</v>
      </c>
      <c r="C417" s="0" t="n">
        <f aca="false">-1+A417*0.05</f>
        <v>-0.5</v>
      </c>
      <c r="D417" s="0" t="n">
        <f aca="false">-1+B417*0.05</f>
        <v>-0.9</v>
      </c>
      <c r="E417" s="0" t="n">
        <f aca="false">1</f>
        <v>1</v>
      </c>
      <c r="F417" s="0" t="n">
        <f aca="false">C417</f>
        <v>-0.5</v>
      </c>
      <c r="G417" s="0" t="n">
        <f aca="false">D417</f>
        <v>-0.9</v>
      </c>
      <c r="H417" s="0" t="n">
        <f aca="false">C417*D417</f>
        <v>0.45</v>
      </c>
      <c r="I417" s="0" t="n">
        <f aca="false">C417*C417</f>
        <v>0.25</v>
      </c>
      <c r="J417" s="0" t="n">
        <f aca="false">D417*D417</f>
        <v>0.81</v>
      </c>
      <c r="K417" s="0" t="n">
        <f aca="false">SUMPRODUCT(E417:J417,_XtX!$B$53:$G$53)</f>
        <v>43.2723994252874</v>
      </c>
      <c r="L417" s="0" t="n">
        <f aca="false">SUMPRODUCT(MMULT(E417:J417,_XtX!$B$44:$G$49),E417:J417)</f>
        <v>0.384715804597701</v>
      </c>
      <c r="M417" s="0" t="n">
        <f aca="false">04_回帰ANOVA!$K$19*04_回帰ANOVA!$K$14*SQRT(1+L417)</f>
        <v>1.59461886204904</v>
      </c>
      <c r="N417" s="0" t="n">
        <f aca="false">K417-M417</f>
        <v>41.6777805632383</v>
      </c>
      <c r="O417" s="0" t="n">
        <f aca="false">K417+M417</f>
        <v>44.8670182873364</v>
      </c>
      <c r="P417" s="54" t="b">
        <f aca="false">AND(C417&gt;=01_因子設定!$L$5-0.000000001,C417&lt;=01_因子設定!$M$5+0.000000001,D417&gt;=01_因子設定!$L$6-0.000000001,D417&lt;=01_因子設定!$M$6+0.000000001,IF(01_因子設定!$B$20="Box-Behnken",C417^2+D417^2&lt;=2+0.000000001,TRUE()))</f>
        <v>1</v>
      </c>
      <c r="Q417" s="55" t="n">
        <f aca="false">IF(P417,IF(01_因子設定!$B$13="最大化",N417-01_因子設定!$B$14,IF(01_因子設定!$B$13="最小化",01_因子設定!$B$15-O417,MIN(N417-01_因子設定!$B$14,01_因子設定!$B$15-O417))),-1E+030)</f>
        <v>-4.82221943676169</v>
      </c>
      <c r="R417" s="55" t="n">
        <f aca="false">IF(P417,IF(01_因子設定!$B$13="最大化",K417,IF(01_因子設定!$B$13="最小化",-K417,-ABS(K417-01_因子設定!$B$16))),-1E+030)</f>
        <v>43.2723994252874</v>
      </c>
      <c r="S417" s="55" t="n">
        <f aca="false">Q417+ROW()*0.000000001</f>
        <v>-4.82221901976169</v>
      </c>
      <c r="T417" s="55" t="n">
        <f aca="false">R417+ROW()*0.000000001</f>
        <v>43.2723998422874</v>
      </c>
    </row>
    <row r="418" customFormat="false" ht="15" hidden="false" customHeight="false" outlineLevel="0" collapsed="false">
      <c r="A418" s="0" t="n">
        <v>10</v>
      </c>
      <c r="B418" s="0" t="n">
        <v>3</v>
      </c>
      <c r="C418" s="0" t="n">
        <f aca="false">-1+A418*0.05</f>
        <v>-0.5</v>
      </c>
      <c r="D418" s="0" t="n">
        <f aca="false">-1+B418*0.05</f>
        <v>-0.85</v>
      </c>
      <c r="E418" s="0" t="n">
        <f aca="false">1</f>
        <v>1</v>
      </c>
      <c r="F418" s="0" t="n">
        <f aca="false">C418</f>
        <v>-0.5</v>
      </c>
      <c r="G418" s="0" t="n">
        <f aca="false">D418</f>
        <v>-0.85</v>
      </c>
      <c r="H418" s="0" t="n">
        <f aca="false">C418*D418</f>
        <v>0.425</v>
      </c>
      <c r="I418" s="0" t="n">
        <f aca="false">C418*C418</f>
        <v>0.25</v>
      </c>
      <c r="J418" s="0" t="n">
        <f aca="false">D418*D418</f>
        <v>0.7225</v>
      </c>
      <c r="K418" s="0" t="n">
        <f aca="false">SUMPRODUCT(E418:J418,_XtX!$B$53:$G$53)</f>
        <v>43.5067959770115</v>
      </c>
      <c r="L418" s="0" t="n">
        <f aca="false">SUMPRODUCT(MMULT(E418:J418,_XtX!$B$44:$G$49),E418:J418)</f>
        <v>0.340250466954023</v>
      </c>
      <c r="M418" s="0" t="n">
        <f aca="false">04_回帰ANOVA!$K$19*04_回帰ANOVA!$K$14*SQRT(1+L418)</f>
        <v>1.56880713525096</v>
      </c>
      <c r="N418" s="0" t="n">
        <f aca="false">K418-M418</f>
        <v>41.9379888417605</v>
      </c>
      <c r="O418" s="0" t="n">
        <f aca="false">K418+M418</f>
        <v>45.0756031122625</v>
      </c>
      <c r="P418" s="54" t="b">
        <f aca="false">AND(C418&gt;=01_因子設定!$L$5-0.000000001,C418&lt;=01_因子設定!$M$5+0.000000001,D418&gt;=01_因子設定!$L$6-0.000000001,D418&lt;=01_因子設定!$M$6+0.000000001,IF(01_因子設定!$B$20="Box-Behnken",C418^2+D418^2&lt;=2+0.000000001,TRUE()))</f>
        <v>1</v>
      </c>
      <c r="Q418" s="55" t="n">
        <f aca="false">IF(P418,IF(01_因子設定!$B$13="最大化",N418-01_因子設定!$B$14,IF(01_因子設定!$B$13="最小化",01_因子設定!$B$15-O418,MIN(N418-01_因子設定!$B$14,01_因子設定!$B$15-O418))),-1E+030)</f>
        <v>-4.56201115823946</v>
      </c>
      <c r="R418" s="55" t="n">
        <f aca="false">IF(P418,IF(01_因子設定!$B$13="最大化",K418,IF(01_因子設定!$B$13="最小化",-K418,-ABS(K418-01_因子設定!$B$16))),-1E+030)</f>
        <v>43.5067959770115</v>
      </c>
      <c r="S418" s="55" t="n">
        <f aca="false">Q418+ROW()*0.000000001</f>
        <v>-4.56201074023946</v>
      </c>
      <c r="T418" s="55" t="n">
        <f aca="false">R418+ROW()*0.000000001</f>
        <v>43.5067963950115</v>
      </c>
    </row>
    <row r="419" customFormat="false" ht="15" hidden="false" customHeight="false" outlineLevel="0" collapsed="false">
      <c r="A419" s="0" t="n">
        <v>10</v>
      </c>
      <c r="B419" s="0" t="n">
        <v>4</v>
      </c>
      <c r="C419" s="0" t="n">
        <f aca="false">-1+A419*0.05</f>
        <v>-0.5</v>
      </c>
      <c r="D419" s="0" t="n">
        <f aca="false">-1+B419*0.05</f>
        <v>-0.8</v>
      </c>
      <c r="E419" s="0" t="n">
        <f aca="false">1</f>
        <v>1</v>
      </c>
      <c r="F419" s="0" t="n">
        <f aca="false">C419</f>
        <v>-0.5</v>
      </c>
      <c r="G419" s="0" t="n">
        <f aca="false">D419</f>
        <v>-0.8</v>
      </c>
      <c r="H419" s="0" t="n">
        <f aca="false">C419*D419</f>
        <v>0.4</v>
      </c>
      <c r="I419" s="0" t="n">
        <f aca="false">C419*C419</f>
        <v>0.25</v>
      </c>
      <c r="J419" s="0" t="n">
        <f aca="false">D419*D419</f>
        <v>0.64</v>
      </c>
      <c r="K419" s="0" t="n">
        <f aca="false">SUMPRODUCT(E419:J419,_XtX!$B$53:$G$53)</f>
        <v>43.7334770114943</v>
      </c>
      <c r="L419" s="0" t="n">
        <f aca="false">SUMPRODUCT(MMULT(E419:J419,_XtX!$B$44:$G$49),E419:J419)</f>
        <v>0.303404022988506</v>
      </c>
      <c r="M419" s="0" t="n">
        <f aca="false">04_回帰ANOVA!$K$19*04_回帰ANOVA!$K$14*SQRT(1+L419)</f>
        <v>1.54709185921971</v>
      </c>
      <c r="N419" s="0" t="n">
        <f aca="false">K419-M419</f>
        <v>42.1863851522745</v>
      </c>
      <c r="O419" s="0" t="n">
        <f aca="false">K419+M419</f>
        <v>45.280568870714</v>
      </c>
      <c r="P419" s="54" t="b">
        <f aca="false">AND(C419&gt;=01_因子設定!$L$5-0.000000001,C419&lt;=01_因子設定!$M$5+0.000000001,D419&gt;=01_因子設定!$L$6-0.000000001,D419&lt;=01_因子設定!$M$6+0.000000001,IF(01_因子設定!$B$20="Box-Behnken",C419^2+D419^2&lt;=2+0.000000001,TRUE()))</f>
        <v>1</v>
      </c>
      <c r="Q419" s="55" t="n">
        <f aca="false">IF(P419,IF(01_因子設定!$B$13="最大化",N419-01_因子設定!$B$14,IF(01_因子設定!$B$13="最小化",01_因子設定!$B$15-O419,MIN(N419-01_因子設定!$B$14,01_因子設定!$B$15-O419))),-1E+030)</f>
        <v>-4.31361484772545</v>
      </c>
      <c r="R419" s="55" t="n">
        <f aca="false">IF(P419,IF(01_因子設定!$B$13="最大化",K419,IF(01_因子設定!$B$13="最小化",-K419,-ABS(K419-01_因子設定!$B$16))),-1E+030)</f>
        <v>43.7334770114943</v>
      </c>
      <c r="S419" s="55" t="n">
        <f aca="false">Q419+ROW()*0.000000001</f>
        <v>-4.31361442872545</v>
      </c>
      <c r="T419" s="55" t="n">
        <f aca="false">R419+ROW()*0.000000001</f>
        <v>43.7334774304943</v>
      </c>
    </row>
    <row r="420" customFormat="false" ht="15" hidden="false" customHeight="false" outlineLevel="0" collapsed="false">
      <c r="A420" s="0" t="n">
        <v>10</v>
      </c>
      <c r="B420" s="0" t="n">
        <v>5</v>
      </c>
      <c r="C420" s="0" t="n">
        <f aca="false">-1+A420*0.05</f>
        <v>-0.5</v>
      </c>
      <c r="D420" s="0" t="n">
        <f aca="false">-1+B420*0.05</f>
        <v>-0.75</v>
      </c>
      <c r="E420" s="0" t="n">
        <f aca="false">1</f>
        <v>1</v>
      </c>
      <c r="F420" s="0" t="n">
        <f aca="false">C420</f>
        <v>-0.5</v>
      </c>
      <c r="G420" s="0" t="n">
        <f aca="false">D420</f>
        <v>-0.75</v>
      </c>
      <c r="H420" s="0" t="n">
        <f aca="false">C420*D420</f>
        <v>0.375</v>
      </c>
      <c r="I420" s="0" t="n">
        <f aca="false">C420*C420</f>
        <v>0.25</v>
      </c>
      <c r="J420" s="0" t="n">
        <f aca="false">D420*D420</f>
        <v>0.5625</v>
      </c>
      <c r="K420" s="0" t="n">
        <f aca="false">SUMPRODUCT(E420:J420,_XtX!$B$53:$G$53)</f>
        <v>43.9524425287356</v>
      </c>
      <c r="L420" s="0" t="n">
        <f aca="false">SUMPRODUCT(MMULT(E420:J420,_XtX!$B$44:$G$49),E420:J420)</f>
        <v>0.273280352011494</v>
      </c>
      <c r="M420" s="0" t="n">
        <f aca="false">04_回帰ANOVA!$K$19*04_回帰ANOVA!$K$14*SQRT(1+L420)</f>
        <v>1.52910951618691</v>
      </c>
      <c r="N420" s="0" t="n">
        <f aca="false">K420-M420</f>
        <v>42.4233330125487</v>
      </c>
      <c r="O420" s="0" t="n">
        <f aca="false">K420+M420</f>
        <v>45.4815520449225</v>
      </c>
      <c r="P420" s="54" t="b">
        <f aca="false">AND(C420&gt;=01_因子設定!$L$5-0.000000001,C420&lt;=01_因子設定!$M$5+0.000000001,D420&gt;=01_因子設定!$L$6-0.000000001,D420&lt;=01_因子設定!$M$6+0.000000001,IF(01_因子設定!$B$20="Box-Behnken",C420^2+D420^2&lt;=2+0.000000001,TRUE()))</f>
        <v>1</v>
      </c>
      <c r="Q420" s="55" t="n">
        <f aca="false">IF(P420,IF(01_因子設定!$B$13="最大化",N420-01_因子設定!$B$14,IF(01_因子設定!$B$13="最小化",01_因子設定!$B$15-O420,MIN(N420-01_因子設定!$B$14,01_因子設定!$B$15-O420))),-1E+030)</f>
        <v>-4.07666698745128</v>
      </c>
      <c r="R420" s="55" t="n">
        <f aca="false">IF(P420,IF(01_因子設定!$B$13="最大化",K420,IF(01_因子設定!$B$13="最小化",-K420,-ABS(K420-01_因子設定!$B$16))),-1E+030)</f>
        <v>43.9524425287356</v>
      </c>
      <c r="S420" s="55" t="n">
        <f aca="false">Q420+ROW()*0.000000001</f>
        <v>-4.07666656745128</v>
      </c>
      <c r="T420" s="55" t="n">
        <f aca="false">R420+ROW()*0.000000001</f>
        <v>43.9524429487356</v>
      </c>
    </row>
    <row r="421" customFormat="false" ht="15" hidden="false" customHeight="false" outlineLevel="0" collapsed="false">
      <c r="A421" s="0" t="n">
        <v>10</v>
      </c>
      <c r="B421" s="0" t="n">
        <v>6</v>
      </c>
      <c r="C421" s="0" t="n">
        <f aca="false">-1+A421*0.05</f>
        <v>-0.5</v>
      </c>
      <c r="D421" s="0" t="n">
        <f aca="false">-1+B421*0.05</f>
        <v>-0.7</v>
      </c>
      <c r="E421" s="0" t="n">
        <f aca="false">1</f>
        <v>1</v>
      </c>
      <c r="F421" s="0" t="n">
        <f aca="false">C421</f>
        <v>-0.5</v>
      </c>
      <c r="G421" s="0" t="n">
        <f aca="false">D421</f>
        <v>-0.7</v>
      </c>
      <c r="H421" s="0" t="n">
        <f aca="false">C421*D421</f>
        <v>0.35</v>
      </c>
      <c r="I421" s="0" t="n">
        <f aca="false">C421*C421</f>
        <v>0.25</v>
      </c>
      <c r="J421" s="0" t="n">
        <f aca="false">D421*D421</f>
        <v>0.49</v>
      </c>
      <c r="K421" s="0" t="n">
        <f aca="false">SUMPRODUCT(E421:J421,_XtX!$B$53:$G$53)</f>
        <v>44.1636925287356</v>
      </c>
      <c r="L421" s="0" t="n">
        <f aca="false">SUMPRODUCT(MMULT(E421:J421,_XtX!$B$44:$G$49),E421:J421)</f>
        <v>0.249037643678161</v>
      </c>
      <c r="M421" s="0" t="n">
        <f aca="false">04_回帰ANOVA!$K$19*04_回帰ANOVA!$K$14*SQRT(1+L421)</f>
        <v>1.5144827672559</v>
      </c>
      <c r="N421" s="0" t="n">
        <f aca="false">K421-M421</f>
        <v>42.6492097614797</v>
      </c>
      <c r="O421" s="0" t="n">
        <f aca="false">K421+M421</f>
        <v>45.6781752959915</v>
      </c>
      <c r="P421" s="54" t="b">
        <f aca="false">AND(C421&gt;=01_因子設定!$L$5-0.000000001,C421&lt;=01_因子設定!$M$5+0.000000001,D421&gt;=01_因子設定!$L$6-0.000000001,D421&lt;=01_因子設定!$M$6+0.000000001,IF(01_因子設定!$B$20="Box-Behnken",C421^2+D421^2&lt;=2+0.000000001,TRUE()))</f>
        <v>1</v>
      </c>
      <c r="Q421" s="55" t="n">
        <f aca="false">IF(P421,IF(01_因子設定!$B$13="最大化",N421-01_因子設定!$B$14,IF(01_因子設定!$B$13="最小化",01_因子設定!$B$15-O421,MIN(N421-01_因子設定!$B$14,01_因子設定!$B$15-O421))),-1E+030)</f>
        <v>-3.85079023852028</v>
      </c>
      <c r="R421" s="55" t="n">
        <f aca="false">IF(P421,IF(01_因子設定!$B$13="最大化",K421,IF(01_因子設定!$B$13="最小化",-K421,-ABS(K421-01_因子設定!$B$16))),-1E+030)</f>
        <v>44.1636925287356</v>
      </c>
      <c r="S421" s="55" t="n">
        <f aca="false">Q421+ROW()*0.000000001</f>
        <v>-3.85078981752028</v>
      </c>
      <c r="T421" s="55" t="n">
        <f aca="false">R421+ROW()*0.000000001</f>
        <v>44.1636929497356</v>
      </c>
    </row>
    <row r="422" customFormat="false" ht="15" hidden="false" customHeight="false" outlineLevel="0" collapsed="false">
      <c r="A422" s="0" t="n">
        <v>10</v>
      </c>
      <c r="B422" s="0" t="n">
        <v>7</v>
      </c>
      <c r="C422" s="0" t="n">
        <f aca="false">-1+A422*0.05</f>
        <v>-0.5</v>
      </c>
      <c r="D422" s="0" t="n">
        <f aca="false">-1+B422*0.05</f>
        <v>-0.65</v>
      </c>
      <c r="E422" s="0" t="n">
        <f aca="false">1</f>
        <v>1</v>
      </c>
      <c r="F422" s="0" t="n">
        <f aca="false">C422</f>
        <v>-0.5</v>
      </c>
      <c r="G422" s="0" t="n">
        <f aca="false">D422</f>
        <v>-0.65</v>
      </c>
      <c r="H422" s="0" t="n">
        <f aca="false">C422*D422</f>
        <v>0.325</v>
      </c>
      <c r="I422" s="0" t="n">
        <f aca="false">C422*C422</f>
        <v>0.25</v>
      </c>
      <c r="J422" s="0" t="n">
        <f aca="false">D422*D422</f>
        <v>0.4225</v>
      </c>
      <c r="K422" s="0" t="n">
        <f aca="false">SUMPRODUCT(E422:J422,_XtX!$B$53:$G$53)</f>
        <v>44.3672270114943</v>
      </c>
      <c r="L422" s="0" t="n">
        <f aca="false">SUMPRODUCT(MMULT(E422:J422,_XtX!$B$44:$G$49),E422:J422)</f>
        <v>0.229888397988506</v>
      </c>
      <c r="M422" s="0" t="n">
        <f aca="false">04_回帰ANOVA!$K$19*04_回帰ANOVA!$K$14*SQRT(1+L422)</f>
        <v>1.50282850731928</v>
      </c>
      <c r="N422" s="0" t="n">
        <f aca="false">K422-M422</f>
        <v>42.864398504175</v>
      </c>
      <c r="O422" s="0" t="n">
        <f aca="false">K422+M422</f>
        <v>45.8700555188135</v>
      </c>
      <c r="P422" s="54" t="b">
        <f aca="false">AND(C422&gt;=01_因子設定!$L$5-0.000000001,C422&lt;=01_因子設定!$M$5+0.000000001,D422&gt;=01_因子設定!$L$6-0.000000001,D422&lt;=01_因子設定!$M$6+0.000000001,IF(01_因子設定!$B$20="Box-Behnken",C422^2+D422^2&lt;=2+0.000000001,TRUE()))</f>
        <v>1</v>
      </c>
      <c r="Q422" s="55" t="n">
        <f aca="false">IF(P422,IF(01_因子設定!$B$13="最大化",N422-01_因子設定!$B$14,IF(01_因子設定!$B$13="最小化",01_因子設定!$B$15-O422,MIN(N422-01_因子設定!$B$14,01_因子設定!$B$15-O422))),-1E+030)</f>
        <v>-3.63560149582503</v>
      </c>
      <c r="R422" s="55" t="n">
        <f aca="false">IF(P422,IF(01_因子設定!$B$13="最大化",K422,IF(01_因子設定!$B$13="最小化",-K422,-ABS(K422-01_因子設定!$B$16))),-1E+030)</f>
        <v>44.3672270114943</v>
      </c>
      <c r="S422" s="55" t="n">
        <f aca="false">Q422+ROW()*0.000000001</f>
        <v>-3.63560107382503</v>
      </c>
      <c r="T422" s="55" t="n">
        <f aca="false">R422+ROW()*0.000000001</f>
        <v>44.3672274334943</v>
      </c>
    </row>
    <row r="423" customFormat="false" ht="15" hidden="false" customHeight="false" outlineLevel="0" collapsed="false">
      <c r="A423" s="0" t="n">
        <v>10</v>
      </c>
      <c r="B423" s="0" t="n">
        <v>8</v>
      </c>
      <c r="C423" s="0" t="n">
        <f aca="false">-1+A423*0.05</f>
        <v>-0.5</v>
      </c>
      <c r="D423" s="0" t="n">
        <f aca="false">-1+B423*0.05</f>
        <v>-0.6</v>
      </c>
      <c r="E423" s="0" t="n">
        <f aca="false">1</f>
        <v>1</v>
      </c>
      <c r="F423" s="0" t="n">
        <f aca="false">C423</f>
        <v>-0.5</v>
      </c>
      <c r="G423" s="0" t="n">
        <f aca="false">D423</f>
        <v>-0.6</v>
      </c>
      <c r="H423" s="0" t="n">
        <f aca="false">C423*D423</f>
        <v>0.3</v>
      </c>
      <c r="I423" s="0" t="n">
        <f aca="false">C423*C423</f>
        <v>0.25</v>
      </c>
      <c r="J423" s="0" t="n">
        <f aca="false">D423*D423</f>
        <v>0.36</v>
      </c>
      <c r="K423" s="0" t="n">
        <f aca="false">SUMPRODUCT(E423:J423,_XtX!$B$53:$G$53)</f>
        <v>44.5630459770115</v>
      </c>
      <c r="L423" s="0" t="n">
        <f aca="false">SUMPRODUCT(MMULT(E423:J423,_XtX!$B$44:$G$49),E423:J423)</f>
        <v>0.215099425287356</v>
      </c>
      <c r="M423" s="0" t="n">
        <f aca="false">04_回帰ANOVA!$K$19*04_回帰ANOVA!$K$14*SQRT(1+L423)</f>
        <v>1.49376569017207</v>
      </c>
      <c r="N423" s="0" t="n">
        <f aca="false">K423-M423</f>
        <v>43.0692802868394</v>
      </c>
      <c r="O423" s="0" t="n">
        <f aca="false">K423+M423</f>
        <v>46.0568116671836</v>
      </c>
      <c r="P423" s="54" t="b">
        <f aca="false">AND(C423&gt;=01_因子設定!$L$5-0.000000001,C423&lt;=01_因子設定!$M$5+0.000000001,D423&gt;=01_因子設定!$L$6-0.000000001,D423&lt;=01_因子設定!$M$6+0.000000001,IF(01_因子設定!$B$20="Box-Behnken",C423^2+D423^2&lt;=2+0.000000001,TRUE()))</f>
        <v>1</v>
      </c>
      <c r="Q423" s="55" t="n">
        <f aca="false">IF(P423,IF(01_因子設定!$B$13="最大化",N423-01_因子設定!$B$14,IF(01_因子設定!$B$13="最小化",01_因子設定!$B$15-O423,MIN(N423-01_因子設定!$B$14,01_因子設定!$B$15-O423))),-1E+030)</f>
        <v>-3.43071971316058</v>
      </c>
      <c r="R423" s="55" t="n">
        <f aca="false">IF(P423,IF(01_因子設定!$B$13="最大化",K423,IF(01_因子設定!$B$13="最小化",-K423,-ABS(K423-01_因子設定!$B$16))),-1E+030)</f>
        <v>44.5630459770115</v>
      </c>
      <c r="S423" s="55" t="n">
        <f aca="false">Q423+ROW()*0.000000001</f>
        <v>-3.43071929016058</v>
      </c>
      <c r="T423" s="55" t="n">
        <f aca="false">R423+ROW()*0.000000001</f>
        <v>44.5630464000115</v>
      </c>
    </row>
    <row r="424" customFormat="false" ht="15" hidden="false" customHeight="false" outlineLevel="0" collapsed="false">
      <c r="A424" s="0" t="n">
        <v>10</v>
      </c>
      <c r="B424" s="0" t="n">
        <v>9</v>
      </c>
      <c r="C424" s="0" t="n">
        <f aca="false">-1+A424*0.05</f>
        <v>-0.5</v>
      </c>
      <c r="D424" s="0" t="n">
        <f aca="false">-1+B424*0.05</f>
        <v>-0.55</v>
      </c>
      <c r="E424" s="0" t="n">
        <f aca="false">1</f>
        <v>1</v>
      </c>
      <c r="F424" s="0" t="n">
        <f aca="false">C424</f>
        <v>-0.5</v>
      </c>
      <c r="G424" s="0" t="n">
        <f aca="false">D424</f>
        <v>-0.55</v>
      </c>
      <c r="H424" s="0" t="n">
        <f aca="false">C424*D424</f>
        <v>0.275</v>
      </c>
      <c r="I424" s="0" t="n">
        <f aca="false">C424*C424</f>
        <v>0.25</v>
      </c>
      <c r="J424" s="0" t="n">
        <f aca="false">D424*D424</f>
        <v>0.3025</v>
      </c>
      <c r="K424" s="0" t="n">
        <f aca="false">SUMPRODUCT(E424:J424,_XtX!$B$53:$G$53)</f>
        <v>44.7511494252874</v>
      </c>
      <c r="L424" s="0" t="n">
        <f aca="false">SUMPRODUCT(MMULT(E424:J424,_XtX!$B$44:$G$49),E424:J424)</f>
        <v>0.203991846264368</v>
      </c>
      <c r="M424" s="0" t="n">
        <f aca="false">04_回帰ANOVA!$K$19*04_回帰ANOVA!$K$14*SQRT(1+L424)</f>
        <v>1.48692254105892</v>
      </c>
      <c r="N424" s="0" t="n">
        <f aca="false">K424-M424</f>
        <v>43.2642268842284</v>
      </c>
      <c r="O424" s="0" t="n">
        <f aca="false">K424+M424</f>
        <v>46.2380719663463</v>
      </c>
      <c r="P424" s="54" t="b">
        <f aca="false">AND(C424&gt;=01_因子設定!$L$5-0.000000001,C424&lt;=01_因子設定!$M$5+0.000000001,D424&gt;=01_因子設定!$L$6-0.000000001,D424&lt;=01_因子設定!$M$6+0.000000001,IF(01_因子設定!$B$20="Box-Behnken",C424^2+D424^2&lt;=2+0.000000001,TRUE()))</f>
        <v>1</v>
      </c>
      <c r="Q424" s="55" t="n">
        <f aca="false">IF(P424,IF(01_因子設定!$B$13="最大化",N424-01_因子設定!$B$14,IF(01_因子設定!$B$13="最小化",01_因子設定!$B$15-O424,MIN(N424-01_因子設定!$B$14,01_因子設定!$B$15-O424))),-1E+030)</f>
        <v>-3.23577311577157</v>
      </c>
      <c r="R424" s="55" t="n">
        <f aca="false">IF(P424,IF(01_因子設定!$B$13="最大化",K424,IF(01_因子設定!$B$13="最小化",-K424,-ABS(K424-01_因子設定!$B$16))),-1E+030)</f>
        <v>44.7511494252874</v>
      </c>
      <c r="S424" s="55" t="n">
        <f aca="false">Q424+ROW()*0.000000001</f>
        <v>-3.23577269177157</v>
      </c>
      <c r="T424" s="55" t="n">
        <f aca="false">R424+ROW()*0.000000001</f>
        <v>44.7511498492874</v>
      </c>
    </row>
    <row r="425" customFormat="false" ht="15" hidden="false" customHeight="false" outlineLevel="0" collapsed="false">
      <c r="A425" s="0" t="n">
        <v>10</v>
      </c>
      <c r="B425" s="0" t="n">
        <v>10</v>
      </c>
      <c r="C425" s="0" t="n">
        <f aca="false">-1+A425*0.05</f>
        <v>-0.5</v>
      </c>
      <c r="D425" s="0" t="n">
        <f aca="false">-1+B425*0.05</f>
        <v>-0.5</v>
      </c>
      <c r="E425" s="0" t="n">
        <f aca="false">1</f>
        <v>1</v>
      </c>
      <c r="F425" s="0" t="n">
        <f aca="false">C425</f>
        <v>-0.5</v>
      </c>
      <c r="G425" s="0" t="n">
        <f aca="false">D425</f>
        <v>-0.5</v>
      </c>
      <c r="H425" s="0" t="n">
        <f aca="false">C425*D425</f>
        <v>0.25</v>
      </c>
      <c r="I425" s="0" t="n">
        <f aca="false">C425*C425</f>
        <v>0.25</v>
      </c>
      <c r="J425" s="0" t="n">
        <f aca="false">D425*D425</f>
        <v>0.25</v>
      </c>
      <c r="K425" s="0" t="n">
        <f aca="false">SUMPRODUCT(E425:J425,_XtX!$B$53:$G$53)</f>
        <v>44.9315373563218</v>
      </c>
      <c r="L425" s="0" t="n">
        <f aca="false">SUMPRODUCT(MMULT(E425:J425,_XtX!$B$44:$G$49),E425:J425)</f>
        <v>0.195941091954023</v>
      </c>
      <c r="M425" s="0" t="n">
        <f aca="false">04_回帰ANOVA!$K$19*04_回帰ANOVA!$K$14*SQRT(1+L425)</f>
        <v>1.48194288662759</v>
      </c>
      <c r="N425" s="0" t="n">
        <f aca="false">K425-M425</f>
        <v>43.4495944696943</v>
      </c>
      <c r="O425" s="0" t="n">
        <f aca="false">K425+M425</f>
        <v>46.4134802429494</v>
      </c>
      <c r="P425" s="54" t="b">
        <f aca="false">AND(C425&gt;=01_因子設定!$L$5-0.000000001,C425&lt;=01_因子設定!$M$5+0.000000001,D425&gt;=01_因子設定!$L$6-0.000000001,D425&lt;=01_因子設定!$M$6+0.000000001,IF(01_因子設定!$B$20="Box-Behnken",C425^2+D425^2&lt;=2+0.000000001,TRUE()))</f>
        <v>1</v>
      </c>
      <c r="Q425" s="55" t="n">
        <f aca="false">IF(P425,IF(01_因子設定!$B$13="最大化",N425-01_因子設定!$B$14,IF(01_因子設定!$B$13="最小化",01_因子設定!$B$15-O425,MIN(N425-01_因子設定!$B$14,01_因子設定!$B$15-O425))),-1E+030)</f>
        <v>-3.05040553030575</v>
      </c>
      <c r="R425" s="55" t="n">
        <f aca="false">IF(P425,IF(01_因子設定!$B$13="最大化",K425,IF(01_因子設定!$B$13="最小化",-K425,-ABS(K425-01_因子設定!$B$16))),-1E+030)</f>
        <v>44.9315373563218</v>
      </c>
      <c r="S425" s="55" t="n">
        <f aca="false">Q425+ROW()*0.000000001</f>
        <v>-3.05040510530575</v>
      </c>
      <c r="T425" s="55" t="n">
        <f aca="false">R425+ROW()*0.000000001</f>
        <v>44.9315377813218</v>
      </c>
    </row>
    <row r="426" customFormat="false" ht="15" hidden="false" customHeight="false" outlineLevel="0" collapsed="false">
      <c r="A426" s="0" t="n">
        <v>10</v>
      </c>
      <c r="B426" s="0" t="n">
        <v>11</v>
      </c>
      <c r="C426" s="0" t="n">
        <f aca="false">-1+A426*0.05</f>
        <v>-0.5</v>
      </c>
      <c r="D426" s="0" t="n">
        <f aca="false">-1+B426*0.05</f>
        <v>-0.45</v>
      </c>
      <c r="E426" s="0" t="n">
        <f aca="false">1</f>
        <v>1</v>
      </c>
      <c r="F426" s="0" t="n">
        <f aca="false">C426</f>
        <v>-0.5</v>
      </c>
      <c r="G426" s="0" t="n">
        <f aca="false">D426</f>
        <v>-0.45</v>
      </c>
      <c r="H426" s="0" t="n">
        <f aca="false">C426*D426</f>
        <v>0.225</v>
      </c>
      <c r="I426" s="0" t="n">
        <f aca="false">C426*C426</f>
        <v>0.25</v>
      </c>
      <c r="J426" s="0" t="n">
        <f aca="false">D426*D426</f>
        <v>0.2025</v>
      </c>
      <c r="K426" s="0" t="n">
        <f aca="false">SUMPRODUCT(E426:J426,_XtX!$B$53:$G$53)</f>
        <v>45.1042097701149</v>
      </c>
      <c r="L426" s="0" t="n">
        <f aca="false">SUMPRODUCT(MMULT(E426:J426,_XtX!$B$44:$G$49),E426:J426)</f>
        <v>0.190376903735632</v>
      </c>
      <c r="M426" s="0" t="n">
        <f aca="false">04_回帰ANOVA!$K$19*04_回帰ANOVA!$K$14*SQRT(1+L426)</f>
        <v>1.47849145301872</v>
      </c>
      <c r="N426" s="0" t="n">
        <f aca="false">K426-M426</f>
        <v>43.6257183170962</v>
      </c>
      <c r="O426" s="0" t="n">
        <f aca="false">K426+M426</f>
        <v>46.5827012231337</v>
      </c>
      <c r="P426" s="54" t="b">
        <f aca="false">AND(C426&gt;=01_因子設定!$L$5-0.000000001,C426&lt;=01_因子設定!$M$5+0.000000001,D426&gt;=01_因子設定!$L$6-0.000000001,D426&lt;=01_因子設定!$M$6+0.000000001,IF(01_因子設定!$B$20="Box-Behnken",C426^2+D426^2&lt;=2+0.000000001,TRUE()))</f>
        <v>1</v>
      </c>
      <c r="Q426" s="55" t="n">
        <f aca="false">IF(P426,IF(01_因子設定!$B$13="最大化",N426-01_因子設定!$B$14,IF(01_因子設定!$B$13="最小化",01_因子設定!$B$15-O426,MIN(N426-01_因子設定!$B$14,01_因子設定!$B$15-O426))),-1E+030)</f>
        <v>-2.87428168290379</v>
      </c>
      <c r="R426" s="55" t="n">
        <f aca="false">IF(P426,IF(01_因子設定!$B$13="最大化",K426,IF(01_因子設定!$B$13="最小化",-K426,-ABS(K426-01_因子設定!$B$16))),-1E+030)</f>
        <v>45.1042097701149</v>
      </c>
      <c r="S426" s="55" t="n">
        <f aca="false">Q426+ROW()*0.000000001</f>
        <v>-2.87428125690378</v>
      </c>
      <c r="T426" s="55" t="n">
        <f aca="false">R426+ROW()*0.000000001</f>
        <v>45.1042101961149</v>
      </c>
    </row>
    <row r="427" customFormat="false" ht="15" hidden="false" customHeight="false" outlineLevel="0" collapsed="false">
      <c r="A427" s="0" t="n">
        <v>10</v>
      </c>
      <c r="B427" s="0" t="n">
        <v>12</v>
      </c>
      <c r="C427" s="0" t="n">
        <f aca="false">-1+A427*0.05</f>
        <v>-0.5</v>
      </c>
      <c r="D427" s="0" t="n">
        <f aca="false">-1+B427*0.05</f>
        <v>-0.4</v>
      </c>
      <c r="E427" s="0" t="n">
        <f aca="false">1</f>
        <v>1</v>
      </c>
      <c r="F427" s="0" t="n">
        <f aca="false">C427</f>
        <v>-0.5</v>
      </c>
      <c r="G427" s="0" t="n">
        <f aca="false">D427</f>
        <v>-0.4</v>
      </c>
      <c r="H427" s="0" t="n">
        <f aca="false">C427*D427</f>
        <v>0.2</v>
      </c>
      <c r="I427" s="0" t="n">
        <f aca="false">C427*C427</f>
        <v>0.25</v>
      </c>
      <c r="J427" s="0" t="n">
        <f aca="false">D427*D427</f>
        <v>0.16</v>
      </c>
      <c r="K427" s="0" t="n">
        <f aca="false">SUMPRODUCT(E427:J427,_XtX!$B$53:$G$53)</f>
        <v>45.2691666666667</v>
      </c>
      <c r="L427" s="0" t="n">
        <f aca="false">SUMPRODUCT(MMULT(E427:J427,_XtX!$B$44:$G$49),E427:J427)</f>
        <v>0.186783333333333</v>
      </c>
      <c r="M427" s="0" t="n">
        <f aca="false">04_回帰ANOVA!$K$19*04_回帰ANOVA!$K$14*SQRT(1+L427)</f>
        <v>1.47625809356371</v>
      </c>
      <c r="N427" s="0" t="n">
        <f aca="false">K427-M427</f>
        <v>43.792908573103</v>
      </c>
      <c r="O427" s="0" t="n">
        <f aca="false">K427+M427</f>
        <v>46.7454247602304</v>
      </c>
      <c r="P427" s="54" t="b">
        <f aca="false">AND(C427&gt;=01_因子設定!$L$5-0.000000001,C427&lt;=01_因子設定!$M$5+0.000000001,D427&gt;=01_因子設定!$L$6-0.000000001,D427&lt;=01_因子設定!$M$6+0.000000001,IF(01_因子設定!$B$20="Box-Behnken",C427^2+D427^2&lt;=2+0.000000001,TRUE()))</f>
        <v>1</v>
      </c>
      <c r="Q427" s="55" t="n">
        <f aca="false">IF(P427,IF(01_因子設定!$B$13="最大化",N427-01_因子設定!$B$14,IF(01_因子設定!$B$13="最小化",01_因子設定!$B$15-O427,MIN(N427-01_因子設定!$B$14,01_因子設定!$B$15-O427))),-1E+030)</f>
        <v>-2.70709142689704</v>
      </c>
      <c r="R427" s="55" t="n">
        <f aca="false">IF(P427,IF(01_因子設定!$B$13="最大化",K427,IF(01_因子設定!$B$13="最小化",-K427,-ABS(K427-01_因子設定!$B$16))),-1E+030)</f>
        <v>45.2691666666667</v>
      </c>
      <c r="S427" s="55" t="n">
        <f aca="false">Q427+ROW()*0.000000001</f>
        <v>-2.70709099989704</v>
      </c>
      <c r="T427" s="55" t="n">
        <f aca="false">R427+ROW()*0.000000001</f>
        <v>45.2691670936667</v>
      </c>
    </row>
    <row r="428" customFormat="false" ht="15" hidden="false" customHeight="false" outlineLevel="0" collapsed="false">
      <c r="A428" s="0" t="n">
        <v>10</v>
      </c>
      <c r="B428" s="0" t="n">
        <v>13</v>
      </c>
      <c r="C428" s="0" t="n">
        <f aca="false">-1+A428*0.05</f>
        <v>-0.5</v>
      </c>
      <c r="D428" s="0" t="n">
        <f aca="false">-1+B428*0.05</f>
        <v>-0.35</v>
      </c>
      <c r="E428" s="0" t="n">
        <f aca="false">1</f>
        <v>1</v>
      </c>
      <c r="F428" s="0" t="n">
        <f aca="false">C428</f>
        <v>-0.5</v>
      </c>
      <c r="G428" s="0" t="n">
        <f aca="false">D428</f>
        <v>-0.35</v>
      </c>
      <c r="H428" s="0" t="n">
        <f aca="false">C428*D428</f>
        <v>0.175</v>
      </c>
      <c r="I428" s="0" t="n">
        <f aca="false">C428*C428</f>
        <v>0.25</v>
      </c>
      <c r="J428" s="0" t="n">
        <f aca="false">D428*D428</f>
        <v>0.1225</v>
      </c>
      <c r="K428" s="0" t="n">
        <f aca="false">SUMPRODUCT(E428:J428,_XtX!$B$53:$G$53)</f>
        <v>45.426408045977</v>
      </c>
      <c r="L428" s="0" t="n">
        <f aca="false">SUMPRODUCT(MMULT(E428:J428,_XtX!$B$44:$G$49),E428:J428)</f>
        <v>0.184698742816092</v>
      </c>
      <c r="M428" s="0" t="n">
        <f aca="false">04_回帰ANOVA!$K$19*04_回帰ANOVA!$K$14*SQRT(1+L428)</f>
        <v>1.47496099657531</v>
      </c>
      <c r="N428" s="0" t="n">
        <f aca="false">K428-M428</f>
        <v>43.9514470494017</v>
      </c>
      <c r="O428" s="0" t="n">
        <f aca="false">K428+M428</f>
        <v>46.9013690425523</v>
      </c>
      <c r="P428" s="54" t="b">
        <f aca="false">AND(C428&gt;=01_因子設定!$L$5-0.000000001,C428&lt;=01_因子設定!$M$5+0.000000001,D428&gt;=01_因子設定!$L$6-0.000000001,D428&lt;=01_因子設定!$M$6+0.000000001,IF(01_因子設定!$B$20="Box-Behnken",C428^2+D428^2&lt;=2+0.000000001,TRUE()))</f>
        <v>1</v>
      </c>
      <c r="Q428" s="55" t="n">
        <f aca="false">IF(P428,IF(01_因子設定!$B$13="最大化",N428-01_因子設定!$B$14,IF(01_因子設定!$B$13="最小化",01_因子設定!$B$15-O428,MIN(N428-01_因子設定!$B$14,01_因子設定!$B$15-O428))),-1E+030)</f>
        <v>-2.54855295059831</v>
      </c>
      <c r="R428" s="55" t="n">
        <f aca="false">IF(P428,IF(01_因子設定!$B$13="最大化",K428,IF(01_因子設定!$B$13="最小化",-K428,-ABS(K428-01_因子設定!$B$16))),-1E+030)</f>
        <v>45.426408045977</v>
      </c>
      <c r="S428" s="55" t="n">
        <f aca="false">Q428+ROW()*0.000000001</f>
        <v>-2.54855252259831</v>
      </c>
      <c r="T428" s="55" t="n">
        <f aca="false">R428+ROW()*0.000000001</f>
        <v>45.426408473977</v>
      </c>
    </row>
    <row r="429" customFormat="false" ht="15" hidden="false" customHeight="false" outlineLevel="0" collapsed="false">
      <c r="A429" s="0" t="n">
        <v>10</v>
      </c>
      <c r="B429" s="0" t="n">
        <v>14</v>
      </c>
      <c r="C429" s="0" t="n">
        <f aca="false">-1+A429*0.05</f>
        <v>-0.5</v>
      </c>
      <c r="D429" s="0" t="n">
        <f aca="false">-1+B429*0.05</f>
        <v>-0.3</v>
      </c>
      <c r="E429" s="0" t="n">
        <f aca="false">1</f>
        <v>1</v>
      </c>
      <c r="F429" s="0" t="n">
        <f aca="false">C429</f>
        <v>-0.5</v>
      </c>
      <c r="G429" s="0" t="n">
        <f aca="false">D429</f>
        <v>-0.3</v>
      </c>
      <c r="H429" s="0" t="n">
        <f aca="false">C429*D429</f>
        <v>0.15</v>
      </c>
      <c r="I429" s="0" t="n">
        <f aca="false">C429*C429</f>
        <v>0.25</v>
      </c>
      <c r="J429" s="0" t="n">
        <f aca="false">D429*D429</f>
        <v>0.09</v>
      </c>
      <c r="K429" s="0" t="n">
        <f aca="false">SUMPRODUCT(E429:J429,_XtX!$B$53:$G$53)</f>
        <v>45.575933908046</v>
      </c>
      <c r="L429" s="0" t="n">
        <f aca="false">SUMPRODUCT(MMULT(E429:J429,_XtX!$B$44:$G$49),E429:J429)</f>
        <v>0.183715804597701</v>
      </c>
      <c r="M429" s="0" t="n">
        <f aca="false">04_回帰ANOVA!$K$19*04_回帰ANOVA!$K$14*SQRT(1+L429)</f>
        <v>1.47434898597359</v>
      </c>
      <c r="N429" s="0" t="n">
        <f aca="false">K429-M429</f>
        <v>44.1015849220724</v>
      </c>
      <c r="O429" s="0" t="n">
        <f aca="false">K429+M429</f>
        <v>47.0502828940196</v>
      </c>
      <c r="P429" s="54" t="b">
        <f aca="false">AND(C429&gt;=01_因子設定!$L$5-0.000000001,C429&lt;=01_因子設定!$M$5+0.000000001,D429&gt;=01_因子設定!$L$6-0.000000001,D429&lt;=01_因子設定!$M$6+0.000000001,IF(01_因子設定!$B$20="Box-Behnken",C429^2+D429^2&lt;=2+0.000000001,TRUE()))</f>
        <v>1</v>
      </c>
      <c r="Q429" s="55" t="n">
        <f aca="false">IF(P429,IF(01_因子設定!$B$13="最大化",N429-01_因子設定!$B$14,IF(01_因子設定!$B$13="最小化",01_因子設定!$B$15-O429,MIN(N429-01_因子設定!$B$14,01_因子設定!$B$15-O429))),-1E+030)</f>
        <v>-2.39841507792762</v>
      </c>
      <c r="R429" s="55" t="n">
        <f aca="false">IF(P429,IF(01_因子設定!$B$13="最大化",K429,IF(01_因子設定!$B$13="最小化",-K429,-ABS(K429-01_因子設定!$B$16))),-1E+030)</f>
        <v>45.575933908046</v>
      </c>
      <c r="S429" s="55" t="n">
        <f aca="false">Q429+ROW()*0.000000001</f>
        <v>-2.39841464892762</v>
      </c>
      <c r="T429" s="55" t="n">
        <f aca="false">R429+ROW()*0.000000001</f>
        <v>45.575934337046</v>
      </c>
    </row>
    <row r="430" customFormat="false" ht="15" hidden="false" customHeight="false" outlineLevel="0" collapsed="false">
      <c r="A430" s="0" t="n">
        <v>10</v>
      </c>
      <c r="B430" s="0" t="n">
        <v>15</v>
      </c>
      <c r="C430" s="0" t="n">
        <f aca="false">-1+A430*0.05</f>
        <v>-0.5</v>
      </c>
      <c r="D430" s="0" t="n">
        <f aca="false">-1+B430*0.05</f>
        <v>-0.25</v>
      </c>
      <c r="E430" s="0" t="n">
        <f aca="false">1</f>
        <v>1</v>
      </c>
      <c r="F430" s="0" t="n">
        <f aca="false">C430</f>
        <v>-0.5</v>
      </c>
      <c r="G430" s="0" t="n">
        <f aca="false">D430</f>
        <v>-0.25</v>
      </c>
      <c r="H430" s="0" t="n">
        <f aca="false">C430*D430</f>
        <v>0.125</v>
      </c>
      <c r="I430" s="0" t="n">
        <f aca="false">C430*C430</f>
        <v>0.25</v>
      </c>
      <c r="J430" s="0" t="n">
        <f aca="false">D430*D430</f>
        <v>0.0625</v>
      </c>
      <c r="K430" s="0" t="n">
        <f aca="false">SUMPRODUCT(E430:J430,_XtX!$B$53:$G$53)</f>
        <v>45.7177442528736</v>
      </c>
      <c r="L430" s="0" t="n">
        <f aca="false">SUMPRODUCT(MMULT(E430:J430,_XtX!$B$44:$G$49),E430:J430)</f>
        <v>0.183481501436782</v>
      </c>
      <c r="M430" s="0" t="n">
        <f aca="false">04_回帰ANOVA!$K$19*04_回帰ANOVA!$K$14*SQRT(1+L430)</f>
        <v>1.47420306339561</v>
      </c>
      <c r="N430" s="0" t="n">
        <f aca="false">K430-M430</f>
        <v>44.243541189478</v>
      </c>
      <c r="O430" s="0" t="n">
        <f aca="false">K430+M430</f>
        <v>47.1919473162692</v>
      </c>
      <c r="P430" s="54" t="b">
        <f aca="false">AND(C430&gt;=01_因子設定!$L$5-0.000000001,C430&lt;=01_因子設定!$M$5+0.000000001,D430&gt;=01_因子設定!$L$6-0.000000001,D430&lt;=01_因子設定!$M$6+0.000000001,IF(01_因子設定!$B$20="Box-Behnken",C430^2+D430^2&lt;=2+0.000000001,TRUE()))</f>
        <v>1</v>
      </c>
      <c r="Q430" s="55" t="n">
        <f aca="false">IF(P430,IF(01_因子設定!$B$13="最大化",N430-01_因子設定!$B$14,IF(01_因子設定!$B$13="最小化",01_因子設定!$B$15-O430,MIN(N430-01_因子設定!$B$14,01_因子設定!$B$15-O430))),-1E+030)</f>
        <v>-2.25645881052205</v>
      </c>
      <c r="R430" s="55" t="n">
        <f aca="false">IF(P430,IF(01_因子設定!$B$13="最大化",K430,IF(01_因子設定!$B$13="最小化",-K430,-ABS(K430-01_因子設定!$B$16))),-1E+030)</f>
        <v>45.7177442528736</v>
      </c>
      <c r="S430" s="55" t="n">
        <f aca="false">Q430+ROW()*0.000000001</f>
        <v>-2.25645838052205</v>
      </c>
      <c r="T430" s="55" t="n">
        <f aca="false">R430+ROW()*0.000000001</f>
        <v>45.7177446828736</v>
      </c>
    </row>
    <row r="431" customFormat="false" ht="15" hidden="false" customHeight="false" outlineLevel="0" collapsed="false">
      <c r="A431" s="0" t="n">
        <v>10</v>
      </c>
      <c r="B431" s="0" t="n">
        <v>16</v>
      </c>
      <c r="C431" s="0" t="n">
        <f aca="false">-1+A431*0.05</f>
        <v>-0.5</v>
      </c>
      <c r="D431" s="0" t="n">
        <f aca="false">-1+B431*0.05</f>
        <v>-0.2</v>
      </c>
      <c r="E431" s="0" t="n">
        <f aca="false">1</f>
        <v>1</v>
      </c>
      <c r="F431" s="0" t="n">
        <f aca="false">C431</f>
        <v>-0.5</v>
      </c>
      <c r="G431" s="0" t="n">
        <f aca="false">D431</f>
        <v>-0.2</v>
      </c>
      <c r="H431" s="0" t="n">
        <f aca="false">C431*D431</f>
        <v>0.1</v>
      </c>
      <c r="I431" s="0" t="n">
        <f aca="false">C431*C431</f>
        <v>0.25</v>
      </c>
      <c r="J431" s="0" t="n">
        <f aca="false">D431*D431</f>
        <v>0.04</v>
      </c>
      <c r="K431" s="0" t="n">
        <f aca="false">SUMPRODUCT(E431:J431,_XtX!$B$53:$G$53)</f>
        <v>45.8518390804598</v>
      </c>
      <c r="L431" s="0" t="n">
        <f aca="false">SUMPRODUCT(MMULT(E431:J431,_XtX!$B$44:$G$49),E431:J431)</f>
        <v>0.183697126436782</v>
      </c>
      <c r="M431" s="0" t="n">
        <f aca="false">04_回帰ANOVA!$K$19*04_回帰ANOVA!$K$14*SQRT(1+L431)</f>
        <v>1.4743373538588</v>
      </c>
      <c r="N431" s="0" t="n">
        <f aca="false">K431-M431</f>
        <v>44.377501726601</v>
      </c>
      <c r="O431" s="0" t="n">
        <f aca="false">K431+M431</f>
        <v>47.3261764343186</v>
      </c>
      <c r="P431" s="54" t="b">
        <f aca="false">AND(C431&gt;=01_因子設定!$L$5-0.000000001,C431&lt;=01_因子設定!$M$5+0.000000001,D431&gt;=01_因子設定!$L$6-0.000000001,D431&lt;=01_因子設定!$M$6+0.000000001,IF(01_因子設定!$B$20="Box-Behnken",C431^2+D431^2&lt;=2+0.000000001,TRUE()))</f>
        <v>1</v>
      </c>
      <c r="Q431" s="55" t="n">
        <f aca="false">IF(P431,IF(01_因子設定!$B$13="最大化",N431-01_因子設定!$B$14,IF(01_因子設定!$B$13="最小化",01_因子設定!$B$15-O431,MIN(N431-01_因子設定!$B$14,01_因子設定!$B$15-O431))),-1E+030)</f>
        <v>-2.12249827339904</v>
      </c>
      <c r="R431" s="55" t="n">
        <f aca="false">IF(P431,IF(01_因子設定!$B$13="最大化",K431,IF(01_因子設定!$B$13="最小化",-K431,-ABS(K431-01_因子設定!$B$16))),-1E+030)</f>
        <v>45.8518390804598</v>
      </c>
      <c r="S431" s="55" t="n">
        <f aca="false">Q431+ROW()*0.000000001</f>
        <v>-2.12249784239904</v>
      </c>
      <c r="T431" s="55" t="n">
        <f aca="false">R431+ROW()*0.000000001</f>
        <v>45.8518395114598</v>
      </c>
    </row>
    <row r="432" customFormat="false" ht="15" hidden="false" customHeight="false" outlineLevel="0" collapsed="false">
      <c r="A432" s="0" t="n">
        <v>10</v>
      </c>
      <c r="B432" s="0" t="n">
        <v>17</v>
      </c>
      <c r="C432" s="0" t="n">
        <f aca="false">-1+A432*0.05</f>
        <v>-0.5</v>
      </c>
      <c r="D432" s="0" t="n">
        <f aca="false">-1+B432*0.05</f>
        <v>-0.15</v>
      </c>
      <c r="E432" s="0" t="n">
        <f aca="false">1</f>
        <v>1</v>
      </c>
      <c r="F432" s="0" t="n">
        <f aca="false">C432</f>
        <v>-0.5</v>
      </c>
      <c r="G432" s="0" t="n">
        <f aca="false">D432</f>
        <v>-0.15</v>
      </c>
      <c r="H432" s="0" t="n">
        <f aca="false">C432*D432</f>
        <v>0.075</v>
      </c>
      <c r="I432" s="0" t="n">
        <f aca="false">C432*C432</f>
        <v>0.25</v>
      </c>
      <c r="J432" s="0" t="n">
        <f aca="false">D432*D432</f>
        <v>0.0225</v>
      </c>
      <c r="K432" s="0" t="n">
        <f aca="false">SUMPRODUCT(E432:J432,_XtX!$B$53:$G$53)</f>
        <v>45.9782183908046</v>
      </c>
      <c r="L432" s="0" t="n">
        <f aca="false">SUMPRODUCT(MMULT(E432:J432,_XtX!$B$44:$G$49),E432:J432)</f>
        <v>0.184118283045977</v>
      </c>
      <c r="M432" s="0" t="n">
        <f aca="false">04_回帰ANOVA!$K$19*04_回帰ANOVA!$K$14*SQRT(1+L432)</f>
        <v>1.47459961338687</v>
      </c>
      <c r="N432" s="0" t="n">
        <f aca="false">K432-M432</f>
        <v>44.5036187774177</v>
      </c>
      <c r="O432" s="0" t="n">
        <f aca="false">K432+M432</f>
        <v>47.4528180041915</v>
      </c>
      <c r="P432" s="54" t="b">
        <f aca="false">AND(C432&gt;=01_因子設定!$L$5-0.000000001,C432&lt;=01_因子設定!$M$5+0.000000001,D432&gt;=01_因子設定!$L$6-0.000000001,D432&lt;=01_因子設定!$M$6+0.000000001,IF(01_因子設定!$B$20="Box-Behnken",C432^2+D432^2&lt;=2+0.000000001,TRUE()))</f>
        <v>1</v>
      </c>
      <c r="Q432" s="55" t="n">
        <f aca="false">IF(P432,IF(01_因子設定!$B$13="最大化",N432-01_因子設定!$B$14,IF(01_因子設定!$B$13="最小化",01_因子設定!$B$15-O432,MIN(N432-01_因子設定!$B$14,01_因子設定!$B$15-O432))),-1E+030)</f>
        <v>-1.99638122258227</v>
      </c>
      <c r="R432" s="55" t="n">
        <f aca="false">IF(P432,IF(01_因子設定!$B$13="最大化",K432,IF(01_因子設定!$B$13="最小化",-K432,-ABS(K432-01_因子設定!$B$16))),-1E+030)</f>
        <v>45.9782183908046</v>
      </c>
      <c r="S432" s="55" t="n">
        <f aca="false">Q432+ROW()*0.000000001</f>
        <v>-1.99638079058227</v>
      </c>
      <c r="T432" s="55" t="n">
        <f aca="false">R432+ROW()*0.000000001</f>
        <v>45.9782188228046</v>
      </c>
    </row>
    <row r="433" customFormat="false" ht="15" hidden="false" customHeight="false" outlineLevel="0" collapsed="false">
      <c r="A433" s="0" t="n">
        <v>10</v>
      </c>
      <c r="B433" s="0" t="n">
        <v>18</v>
      </c>
      <c r="C433" s="0" t="n">
        <f aca="false">-1+A433*0.05</f>
        <v>-0.5</v>
      </c>
      <c r="D433" s="0" t="n">
        <f aca="false">-1+B433*0.05</f>
        <v>-0.1</v>
      </c>
      <c r="E433" s="0" t="n">
        <f aca="false">1</f>
        <v>1</v>
      </c>
      <c r="F433" s="0" t="n">
        <f aca="false">C433</f>
        <v>-0.5</v>
      </c>
      <c r="G433" s="0" t="n">
        <f aca="false">D433</f>
        <v>-0.1</v>
      </c>
      <c r="H433" s="0" t="n">
        <f aca="false">C433*D433</f>
        <v>0.05</v>
      </c>
      <c r="I433" s="0" t="n">
        <f aca="false">C433*C433</f>
        <v>0.25</v>
      </c>
      <c r="J433" s="0" t="n">
        <f aca="false">D433*D433</f>
        <v>0.01</v>
      </c>
      <c r="K433" s="0" t="n">
        <f aca="false">SUMPRODUCT(E433:J433,_XtX!$B$53:$G$53)</f>
        <v>46.096882183908</v>
      </c>
      <c r="L433" s="0" t="n">
        <f aca="false">SUMPRODUCT(MMULT(E433:J433,_XtX!$B$44:$G$49),E433:J433)</f>
        <v>0.184554885057471</v>
      </c>
      <c r="M433" s="0" t="n">
        <f aca="false">04_回帰ANOVA!$K$19*04_回帰ANOVA!$K$14*SQRT(1+L433)</f>
        <v>1.47487144173022</v>
      </c>
      <c r="N433" s="0" t="n">
        <f aca="false">K433-M433</f>
        <v>44.6220107421778</v>
      </c>
      <c r="O433" s="0" t="n">
        <f aca="false">K433+M433</f>
        <v>47.5717536256383</v>
      </c>
      <c r="P433" s="54" t="b">
        <f aca="false">AND(C433&gt;=01_因子設定!$L$5-0.000000001,C433&lt;=01_因子設定!$M$5+0.000000001,D433&gt;=01_因子設定!$L$6-0.000000001,D433&lt;=01_因子設定!$M$6+0.000000001,IF(01_因子設定!$B$20="Box-Behnken",C433^2+D433^2&lt;=2+0.000000001,TRUE()))</f>
        <v>1</v>
      </c>
      <c r="Q433" s="55" t="n">
        <f aca="false">IF(P433,IF(01_因子設定!$B$13="最大化",N433-01_因子設定!$B$14,IF(01_因子設定!$B$13="最小化",01_因子設定!$B$15-O433,MIN(N433-01_因子設定!$B$14,01_因子設定!$B$15-O433))),-1E+030)</f>
        <v>-1.87798925782218</v>
      </c>
      <c r="R433" s="55" t="n">
        <f aca="false">IF(P433,IF(01_因子設定!$B$13="最大化",K433,IF(01_因子設定!$B$13="最小化",-K433,-ABS(K433-01_因子設定!$B$16))),-1E+030)</f>
        <v>46.096882183908</v>
      </c>
      <c r="S433" s="55" t="n">
        <f aca="false">Q433+ROW()*0.000000001</f>
        <v>-1.87798882482218</v>
      </c>
      <c r="T433" s="55" t="n">
        <f aca="false">R433+ROW()*0.000000001</f>
        <v>46.096882616908</v>
      </c>
    </row>
    <row r="434" customFormat="false" ht="15" hidden="false" customHeight="false" outlineLevel="0" collapsed="false">
      <c r="A434" s="0" t="n">
        <v>10</v>
      </c>
      <c r="B434" s="0" t="n">
        <v>19</v>
      </c>
      <c r="C434" s="0" t="n">
        <f aca="false">-1+A434*0.05</f>
        <v>-0.5</v>
      </c>
      <c r="D434" s="0" t="n">
        <f aca="false">-1+B434*0.05</f>
        <v>-0.0499999999999999</v>
      </c>
      <c r="E434" s="0" t="n">
        <f aca="false">1</f>
        <v>1</v>
      </c>
      <c r="F434" s="0" t="n">
        <f aca="false">C434</f>
        <v>-0.5</v>
      </c>
      <c r="G434" s="0" t="n">
        <f aca="false">D434</f>
        <v>-0.0499999999999999</v>
      </c>
      <c r="H434" s="0" t="n">
        <f aca="false">C434*D434</f>
        <v>0.025</v>
      </c>
      <c r="I434" s="0" t="n">
        <f aca="false">C434*C434</f>
        <v>0.25</v>
      </c>
      <c r="J434" s="0" t="n">
        <f aca="false">D434*D434</f>
        <v>0.00249999999999999</v>
      </c>
      <c r="K434" s="0" t="n">
        <f aca="false">SUMPRODUCT(E434:J434,_XtX!$B$53:$G$53)</f>
        <v>46.2078304597701</v>
      </c>
      <c r="L434" s="0" t="n">
        <f aca="false">SUMPRODUCT(MMULT(E434:J434,_XtX!$B$44:$G$49),E434:J434)</f>
        <v>0.184871156609195</v>
      </c>
      <c r="M434" s="0" t="n">
        <f aca="false">04_回帰ANOVA!$K$19*04_回帰ANOVA!$K$14*SQRT(1+L434)</f>
        <v>1.47506832106176</v>
      </c>
      <c r="N434" s="0" t="n">
        <f aca="false">K434-M434</f>
        <v>44.7327621387084</v>
      </c>
      <c r="O434" s="0" t="n">
        <f aca="false">K434+M434</f>
        <v>47.6828987808319</v>
      </c>
      <c r="P434" s="54" t="b">
        <f aca="false">AND(C434&gt;=01_因子設定!$L$5-0.000000001,C434&lt;=01_因子設定!$M$5+0.000000001,D434&gt;=01_因子設定!$L$6-0.000000001,D434&lt;=01_因子設定!$M$6+0.000000001,IF(01_因子設定!$B$20="Box-Behnken",C434^2+D434^2&lt;=2+0.000000001,TRUE()))</f>
        <v>1</v>
      </c>
      <c r="Q434" s="55" t="n">
        <f aca="false">IF(P434,IF(01_因子設定!$B$13="最大化",N434-01_因子設定!$B$14,IF(01_因子設定!$B$13="最小化",01_因子設定!$B$15-O434,MIN(N434-01_因子設定!$B$14,01_因子設定!$B$15-O434))),-1E+030)</f>
        <v>-1.76723786129165</v>
      </c>
      <c r="R434" s="55" t="n">
        <f aca="false">IF(P434,IF(01_因子設定!$B$13="最大化",K434,IF(01_因子設定!$B$13="最小化",-K434,-ABS(K434-01_因子設定!$B$16))),-1E+030)</f>
        <v>46.2078304597701</v>
      </c>
      <c r="S434" s="55" t="n">
        <f aca="false">Q434+ROW()*0.000000001</f>
        <v>-1.76723742729165</v>
      </c>
      <c r="T434" s="55" t="n">
        <f aca="false">R434+ROW()*0.000000001</f>
        <v>46.2078308937701</v>
      </c>
    </row>
    <row r="435" customFormat="false" ht="15" hidden="false" customHeight="false" outlineLevel="0" collapsed="false">
      <c r="A435" s="0" t="n">
        <v>10</v>
      </c>
      <c r="B435" s="0" t="n">
        <v>20</v>
      </c>
      <c r="C435" s="0" t="n">
        <f aca="false">-1+A435*0.05</f>
        <v>-0.5</v>
      </c>
      <c r="D435" s="0" t="n">
        <f aca="false">-1+B435*0.05</f>
        <v>0</v>
      </c>
      <c r="E435" s="0" t="n">
        <f aca="false">1</f>
        <v>1</v>
      </c>
      <c r="F435" s="0" t="n">
        <f aca="false">C435</f>
        <v>-0.5</v>
      </c>
      <c r="G435" s="0" t="n">
        <f aca="false">D435</f>
        <v>0</v>
      </c>
      <c r="H435" s="0" t="n">
        <f aca="false">C435*D435</f>
        <v>-0</v>
      </c>
      <c r="I435" s="0" t="n">
        <f aca="false">C435*C435</f>
        <v>0.25</v>
      </c>
      <c r="J435" s="0" t="n">
        <f aca="false">D435*D435</f>
        <v>0</v>
      </c>
      <c r="K435" s="0" t="n">
        <f aca="false">SUMPRODUCT(E435:J435,_XtX!$B$53:$G$53)</f>
        <v>46.3110632183908</v>
      </c>
      <c r="L435" s="0" t="n">
        <f aca="false">SUMPRODUCT(MMULT(E435:J435,_XtX!$B$44:$G$49),E435:J435)</f>
        <v>0.184985632183908</v>
      </c>
      <c r="M435" s="0" t="n">
        <f aca="false">04_回帰ANOVA!$K$19*04_回帰ANOVA!$K$14*SQRT(1+L435)</f>
        <v>1.47513957573552</v>
      </c>
      <c r="N435" s="0" t="n">
        <f aca="false">K435-M435</f>
        <v>44.8359236426553</v>
      </c>
      <c r="O435" s="0" t="n">
        <f aca="false">K435+M435</f>
        <v>47.7862027941263</v>
      </c>
      <c r="P435" s="54" t="b">
        <f aca="false">AND(C435&gt;=01_因子設定!$L$5-0.000000001,C435&lt;=01_因子設定!$M$5+0.000000001,D435&gt;=01_因子設定!$L$6-0.000000001,D435&lt;=01_因子設定!$M$6+0.000000001,IF(01_因子設定!$B$20="Box-Behnken",C435^2+D435^2&lt;=2+0.000000001,TRUE()))</f>
        <v>1</v>
      </c>
      <c r="Q435" s="55" t="n">
        <f aca="false">IF(P435,IF(01_因子設定!$B$13="最大化",N435-01_因子設定!$B$14,IF(01_因子設定!$B$13="最小化",01_因子設定!$B$15-O435,MIN(N435-01_因子設定!$B$14,01_因子設定!$B$15-O435))),-1E+030)</f>
        <v>-1.66407635734472</v>
      </c>
      <c r="R435" s="55" t="n">
        <f aca="false">IF(P435,IF(01_因子設定!$B$13="最大化",K435,IF(01_因子設定!$B$13="最小化",-K435,-ABS(K435-01_因子設定!$B$16))),-1E+030)</f>
        <v>46.3110632183908</v>
      </c>
      <c r="S435" s="55" t="n">
        <f aca="false">Q435+ROW()*0.000000001</f>
        <v>-1.66407592234472</v>
      </c>
      <c r="T435" s="55" t="n">
        <f aca="false">R435+ROW()*0.000000001</f>
        <v>46.3110636533908</v>
      </c>
    </row>
    <row r="436" customFormat="false" ht="15" hidden="false" customHeight="false" outlineLevel="0" collapsed="false">
      <c r="A436" s="0" t="n">
        <v>10</v>
      </c>
      <c r="B436" s="0" t="n">
        <v>21</v>
      </c>
      <c r="C436" s="0" t="n">
        <f aca="false">-1+A436*0.05</f>
        <v>-0.5</v>
      </c>
      <c r="D436" s="0" t="n">
        <f aca="false">-1+B436*0.05</f>
        <v>0.05</v>
      </c>
      <c r="E436" s="0" t="n">
        <f aca="false">1</f>
        <v>1</v>
      </c>
      <c r="F436" s="0" t="n">
        <f aca="false">C436</f>
        <v>-0.5</v>
      </c>
      <c r="G436" s="0" t="n">
        <f aca="false">D436</f>
        <v>0.05</v>
      </c>
      <c r="H436" s="0" t="n">
        <f aca="false">C436*D436</f>
        <v>-0.025</v>
      </c>
      <c r="I436" s="0" t="n">
        <f aca="false">C436*C436</f>
        <v>0.25</v>
      </c>
      <c r="J436" s="0" t="n">
        <f aca="false">D436*D436</f>
        <v>0.0025</v>
      </c>
      <c r="K436" s="0" t="n">
        <f aca="false">SUMPRODUCT(E436:J436,_XtX!$B$53:$G$53)</f>
        <v>46.4065804597701</v>
      </c>
      <c r="L436" s="0" t="n">
        <f aca="false">SUMPRODUCT(MMULT(E436:J436,_XtX!$B$44:$G$49),E436:J436)</f>
        <v>0.184871156609195</v>
      </c>
      <c r="M436" s="0" t="n">
        <f aca="false">04_回帰ANOVA!$K$19*04_回帰ANOVA!$K$14*SQRT(1+L436)</f>
        <v>1.47506832106176</v>
      </c>
      <c r="N436" s="0" t="n">
        <f aca="false">K436-M436</f>
        <v>44.9315121387084</v>
      </c>
      <c r="O436" s="0" t="n">
        <f aca="false">K436+M436</f>
        <v>47.8816487808319</v>
      </c>
      <c r="P436" s="54" t="b">
        <f aca="false">AND(C436&gt;=01_因子設定!$L$5-0.000000001,C436&lt;=01_因子設定!$M$5+0.000000001,D436&gt;=01_因子設定!$L$6-0.000000001,D436&lt;=01_因子設定!$M$6+0.000000001,IF(01_因子設定!$B$20="Box-Behnken",C436^2+D436^2&lt;=2+0.000000001,TRUE()))</f>
        <v>1</v>
      </c>
      <c r="Q436" s="55" t="n">
        <f aca="false">IF(P436,IF(01_因子設定!$B$13="最大化",N436-01_因子設定!$B$14,IF(01_因子設定!$B$13="最小化",01_因子設定!$B$15-O436,MIN(N436-01_因子設定!$B$14,01_因子設定!$B$15-O436))),-1E+030)</f>
        <v>-1.56848786129164</v>
      </c>
      <c r="R436" s="55" t="n">
        <f aca="false">IF(P436,IF(01_因子設定!$B$13="最大化",K436,IF(01_因子設定!$B$13="最小化",-K436,-ABS(K436-01_因子設定!$B$16))),-1E+030)</f>
        <v>46.4065804597701</v>
      </c>
      <c r="S436" s="55" t="n">
        <f aca="false">Q436+ROW()*0.000000001</f>
        <v>-1.56848742529164</v>
      </c>
      <c r="T436" s="55" t="n">
        <f aca="false">R436+ROW()*0.000000001</f>
        <v>46.4065808957701</v>
      </c>
    </row>
    <row r="437" customFormat="false" ht="15" hidden="false" customHeight="false" outlineLevel="0" collapsed="false">
      <c r="A437" s="0" t="n">
        <v>10</v>
      </c>
      <c r="B437" s="0" t="n">
        <v>22</v>
      </c>
      <c r="C437" s="0" t="n">
        <f aca="false">-1+A437*0.05</f>
        <v>-0.5</v>
      </c>
      <c r="D437" s="0" t="n">
        <f aca="false">-1+B437*0.05</f>
        <v>0.1</v>
      </c>
      <c r="E437" s="0" t="n">
        <f aca="false">1</f>
        <v>1</v>
      </c>
      <c r="F437" s="0" t="n">
        <f aca="false">C437</f>
        <v>-0.5</v>
      </c>
      <c r="G437" s="0" t="n">
        <f aca="false">D437</f>
        <v>0.1</v>
      </c>
      <c r="H437" s="0" t="n">
        <f aca="false">C437*D437</f>
        <v>-0.05</v>
      </c>
      <c r="I437" s="0" t="n">
        <f aca="false">C437*C437</f>
        <v>0.25</v>
      </c>
      <c r="J437" s="0" t="n">
        <f aca="false">D437*D437</f>
        <v>0.01</v>
      </c>
      <c r="K437" s="0" t="n">
        <f aca="false">SUMPRODUCT(E437:J437,_XtX!$B$53:$G$53)</f>
        <v>46.494382183908</v>
      </c>
      <c r="L437" s="0" t="n">
        <f aca="false">SUMPRODUCT(MMULT(E437:J437,_XtX!$B$44:$G$49),E437:J437)</f>
        <v>0.184554885057471</v>
      </c>
      <c r="M437" s="0" t="n">
        <f aca="false">04_回帰ANOVA!$K$19*04_回帰ANOVA!$K$14*SQRT(1+L437)</f>
        <v>1.47487144173022</v>
      </c>
      <c r="N437" s="0" t="n">
        <f aca="false">K437-M437</f>
        <v>45.0195107421778</v>
      </c>
      <c r="O437" s="0" t="n">
        <f aca="false">K437+M437</f>
        <v>47.9692536256383</v>
      </c>
      <c r="P437" s="54" t="b">
        <f aca="false">AND(C437&gt;=01_因子設定!$L$5-0.000000001,C437&lt;=01_因子設定!$M$5+0.000000001,D437&gt;=01_因子設定!$L$6-0.000000001,D437&lt;=01_因子設定!$M$6+0.000000001,IF(01_因子設定!$B$20="Box-Behnken",C437^2+D437^2&lt;=2+0.000000001,TRUE()))</f>
        <v>1</v>
      </c>
      <c r="Q437" s="55" t="n">
        <f aca="false">IF(P437,IF(01_因子設定!$B$13="最大化",N437-01_因子設定!$B$14,IF(01_因子設定!$B$13="最小化",01_因子設定!$B$15-O437,MIN(N437-01_因子設定!$B$14,01_因子設定!$B$15-O437))),-1E+030)</f>
        <v>-1.48048925782218</v>
      </c>
      <c r="R437" s="55" t="n">
        <f aca="false">IF(P437,IF(01_因子設定!$B$13="最大化",K437,IF(01_因子設定!$B$13="最小化",-K437,-ABS(K437-01_因子設定!$B$16))),-1E+030)</f>
        <v>46.494382183908</v>
      </c>
      <c r="S437" s="55" t="n">
        <f aca="false">Q437+ROW()*0.000000001</f>
        <v>-1.48048882082218</v>
      </c>
      <c r="T437" s="55" t="n">
        <f aca="false">R437+ROW()*0.000000001</f>
        <v>46.494382620908</v>
      </c>
    </row>
    <row r="438" customFormat="false" ht="15" hidden="false" customHeight="false" outlineLevel="0" collapsed="false">
      <c r="A438" s="0" t="n">
        <v>10</v>
      </c>
      <c r="B438" s="0" t="n">
        <v>23</v>
      </c>
      <c r="C438" s="0" t="n">
        <f aca="false">-1+A438*0.05</f>
        <v>-0.5</v>
      </c>
      <c r="D438" s="0" t="n">
        <f aca="false">-1+B438*0.05</f>
        <v>0.15</v>
      </c>
      <c r="E438" s="0" t="n">
        <f aca="false">1</f>
        <v>1</v>
      </c>
      <c r="F438" s="0" t="n">
        <f aca="false">C438</f>
        <v>-0.5</v>
      </c>
      <c r="G438" s="0" t="n">
        <f aca="false">D438</f>
        <v>0.15</v>
      </c>
      <c r="H438" s="0" t="n">
        <f aca="false">C438*D438</f>
        <v>-0.0750000000000001</v>
      </c>
      <c r="I438" s="0" t="n">
        <f aca="false">C438*C438</f>
        <v>0.25</v>
      </c>
      <c r="J438" s="0" t="n">
        <f aca="false">D438*D438</f>
        <v>0.0225</v>
      </c>
      <c r="K438" s="0" t="n">
        <f aca="false">SUMPRODUCT(E438:J438,_XtX!$B$53:$G$53)</f>
        <v>46.5744683908046</v>
      </c>
      <c r="L438" s="0" t="n">
        <f aca="false">SUMPRODUCT(MMULT(E438:J438,_XtX!$B$44:$G$49),E438:J438)</f>
        <v>0.184118283045977</v>
      </c>
      <c r="M438" s="0" t="n">
        <f aca="false">04_回帰ANOVA!$K$19*04_回帰ANOVA!$K$14*SQRT(1+L438)</f>
        <v>1.47459961338687</v>
      </c>
      <c r="N438" s="0" t="n">
        <f aca="false">K438-M438</f>
        <v>45.0998687774177</v>
      </c>
      <c r="O438" s="0" t="n">
        <f aca="false">K438+M438</f>
        <v>48.0490680041915</v>
      </c>
      <c r="P438" s="54" t="b">
        <f aca="false">AND(C438&gt;=01_因子設定!$L$5-0.000000001,C438&lt;=01_因子設定!$M$5+0.000000001,D438&gt;=01_因子設定!$L$6-0.000000001,D438&lt;=01_因子設定!$M$6+0.000000001,IF(01_因子設定!$B$20="Box-Behnken",C438^2+D438^2&lt;=2+0.000000001,TRUE()))</f>
        <v>1</v>
      </c>
      <c r="Q438" s="55" t="n">
        <f aca="false">IF(P438,IF(01_因子設定!$B$13="最大化",N438-01_因子設定!$B$14,IF(01_因子設定!$B$13="最小化",01_因子設定!$B$15-O438,MIN(N438-01_因子設定!$B$14,01_因子設定!$B$15-O438))),-1E+030)</f>
        <v>-1.40013122258227</v>
      </c>
      <c r="R438" s="55" t="n">
        <f aca="false">IF(P438,IF(01_因子設定!$B$13="最大化",K438,IF(01_因子設定!$B$13="最小化",-K438,-ABS(K438-01_因子設定!$B$16))),-1E+030)</f>
        <v>46.5744683908046</v>
      </c>
      <c r="S438" s="55" t="n">
        <f aca="false">Q438+ROW()*0.000000001</f>
        <v>-1.40013078458227</v>
      </c>
      <c r="T438" s="55" t="n">
        <f aca="false">R438+ROW()*0.000000001</f>
        <v>46.5744688288046</v>
      </c>
    </row>
    <row r="439" customFormat="false" ht="15" hidden="false" customHeight="false" outlineLevel="0" collapsed="false">
      <c r="A439" s="0" t="n">
        <v>10</v>
      </c>
      <c r="B439" s="0" t="n">
        <v>24</v>
      </c>
      <c r="C439" s="0" t="n">
        <f aca="false">-1+A439*0.05</f>
        <v>-0.5</v>
      </c>
      <c r="D439" s="0" t="n">
        <f aca="false">-1+B439*0.05</f>
        <v>0.2</v>
      </c>
      <c r="E439" s="0" t="n">
        <f aca="false">1</f>
        <v>1</v>
      </c>
      <c r="F439" s="0" t="n">
        <f aca="false">C439</f>
        <v>-0.5</v>
      </c>
      <c r="G439" s="0" t="n">
        <f aca="false">D439</f>
        <v>0.2</v>
      </c>
      <c r="H439" s="0" t="n">
        <f aca="false">C439*D439</f>
        <v>-0.1</v>
      </c>
      <c r="I439" s="0" t="n">
        <f aca="false">C439*C439</f>
        <v>0.25</v>
      </c>
      <c r="J439" s="0" t="n">
        <f aca="false">D439*D439</f>
        <v>0.0400000000000001</v>
      </c>
      <c r="K439" s="0" t="n">
        <f aca="false">SUMPRODUCT(E439:J439,_XtX!$B$53:$G$53)</f>
        <v>46.6468390804598</v>
      </c>
      <c r="L439" s="0" t="n">
        <f aca="false">SUMPRODUCT(MMULT(E439:J439,_XtX!$B$44:$G$49),E439:J439)</f>
        <v>0.183697126436782</v>
      </c>
      <c r="M439" s="0" t="n">
        <f aca="false">04_回帰ANOVA!$K$19*04_回帰ANOVA!$K$14*SQRT(1+L439)</f>
        <v>1.4743373538588</v>
      </c>
      <c r="N439" s="0" t="n">
        <f aca="false">K439-M439</f>
        <v>45.172501726601</v>
      </c>
      <c r="O439" s="0" t="n">
        <f aca="false">K439+M439</f>
        <v>48.1211764343186</v>
      </c>
      <c r="P439" s="54" t="b">
        <f aca="false">AND(C439&gt;=01_因子設定!$L$5-0.000000001,C439&lt;=01_因子設定!$M$5+0.000000001,D439&gt;=01_因子設定!$L$6-0.000000001,D439&lt;=01_因子設定!$M$6+0.000000001,IF(01_因子設定!$B$20="Box-Behnken",C439^2+D439^2&lt;=2+0.000000001,TRUE()))</f>
        <v>1</v>
      </c>
      <c r="Q439" s="55" t="n">
        <f aca="false">IF(P439,IF(01_因子設定!$B$13="最大化",N439-01_因子設定!$B$14,IF(01_因子設定!$B$13="最小化",01_因子設定!$B$15-O439,MIN(N439-01_因子設定!$B$14,01_因子設定!$B$15-O439))),-1E+030)</f>
        <v>-1.32749827339904</v>
      </c>
      <c r="R439" s="55" t="n">
        <f aca="false">IF(P439,IF(01_因子設定!$B$13="最大化",K439,IF(01_因子設定!$B$13="最小化",-K439,-ABS(K439-01_因子設定!$B$16))),-1E+030)</f>
        <v>46.6468390804598</v>
      </c>
      <c r="S439" s="55" t="n">
        <f aca="false">Q439+ROW()*0.000000001</f>
        <v>-1.32749783439904</v>
      </c>
      <c r="T439" s="55" t="n">
        <f aca="false">R439+ROW()*0.000000001</f>
        <v>46.6468395194598</v>
      </c>
    </row>
    <row r="440" customFormat="false" ht="15" hidden="false" customHeight="false" outlineLevel="0" collapsed="false">
      <c r="A440" s="0" t="n">
        <v>10</v>
      </c>
      <c r="B440" s="0" t="n">
        <v>25</v>
      </c>
      <c r="C440" s="0" t="n">
        <f aca="false">-1+A440*0.05</f>
        <v>-0.5</v>
      </c>
      <c r="D440" s="0" t="n">
        <f aca="false">-1+B440*0.05</f>
        <v>0.25</v>
      </c>
      <c r="E440" s="0" t="n">
        <f aca="false">1</f>
        <v>1</v>
      </c>
      <c r="F440" s="0" t="n">
        <f aca="false">C440</f>
        <v>-0.5</v>
      </c>
      <c r="G440" s="0" t="n">
        <f aca="false">D440</f>
        <v>0.25</v>
      </c>
      <c r="H440" s="0" t="n">
        <f aca="false">C440*D440</f>
        <v>-0.125</v>
      </c>
      <c r="I440" s="0" t="n">
        <f aca="false">C440*C440</f>
        <v>0.25</v>
      </c>
      <c r="J440" s="0" t="n">
        <f aca="false">D440*D440</f>
        <v>0.0625</v>
      </c>
      <c r="K440" s="0" t="n">
        <f aca="false">SUMPRODUCT(E440:J440,_XtX!$B$53:$G$53)</f>
        <v>46.7114942528736</v>
      </c>
      <c r="L440" s="0" t="n">
        <f aca="false">SUMPRODUCT(MMULT(E440:J440,_XtX!$B$44:$G$49),E440:J440)</f>
        <v>0.183481501436782</v>
      </c>
      <c r="M440" s="0" t="n">
        <f aca="false">04_回帰ANOVA!$K$19*04_回帰ANOVA!$K$14*SQRT(1+L440)</f>
        <v>1.47420306339561</v>
      </c>
      <c r="N440" s="0" t="n">
        <f aca="false">K440-M440</f>
        <v>45.237291189478</v>
      </c>
      <c r="O440" s="0" t="n">
        <f aca="false">K440+M440</f>
        <v>48.1856973162692</v>
      </c>
      <c r="P440" s="54" t="b">
        <f aca="false">AND(C440&gt;=01_因子設定!$L$5-0.000000001,C440&lt;=01_因子設定!$M$5+0.000000001,D440&gt;=01_因子設定!$L$6-0.000000001,D440&lt;=01_因子設定!$M$6+0.000000001,IF(01_因子設定!$B$20="Box-Behnken",C440^2+D440^2&lt;=2+0.000000001,TRUE()))</f>
        <v>1</v>
      </c>
      <c r="Q440" s="55" t="n">
        <f aca="false">IF(P440,IF(01_因子設定!$B$13="最大化",N440-01_因子設定!$B$14,IF(01_因子設定!$B$13="最小化",01_因子設定!$B$15-O440,MIN(N440-01_因子設定!$B$14,01_因子設定!$B$15-O440))),-1E+030)</f>
        <v>-1.26270881052205</v>
      </c>
      <c r="R440" s="55" t="n">
        <f aca="false">IF(P440,IF(01_因子設定!$B$13="最大化",K440,IF(01_因子設定!$B$13="最小化",-K440,-ABS(K440-01_因子設定!$B$16))),-1E+030)</f>
        <v>46.7114942528736</v>
      </c>
      <c r="S440" s="55" t="n">
        <f aca="false">Q440+ROW()*0.000000001</f>
        <v>-1.26270837052205</v>
      </c>
      <c r="T440" s="55" t="n">
        <f aca="false">R440+ROW()*0.000000001</f>
        <v>46.7114946928736</v>
      </c>
    </row>
    <row r="441" customFormat="false" ht="15" hidden="false" customHeight="false" outlineLevel="0" collapsed="false">
      <c r="A441" s="0" t="n">
        <v>10</v>
      </c>
      <c r="B441" s="0" t="n">
        <v>26</v>
      </c>
      <c r="C441" s="0" t="n">
        <f aca="false">-1+A441*0.05</f>
        <v>-0.5</v>
      </c>
      <c r="D441" s="0" t="n">
        <f aca="false">-1+B441*0.05</f>
        <v>0.3</v>
      </c>
      <c r="E441" s="0" t="n">
        <f aca="false">1</f>
        <v>1</v>
      </c>
      <c r="F441" s="0" t="n">
        <f aca="false">C441</f>
        <v>-0.5</v>
      </c>
      <c r="G441" s="0" t="n">
        <f aca="false">D441</f>
        <v>0.3</v>
      </c>
      <c r="H441" s="0" t="n">
        <f aca="false">C441*D441</f>
        <v>-0.15</v>
      </c>
      <c r="I441" s="0" t="n">
        <f aca="false">C441*C441</f>
        <v>0.25</v>
      </c>
      <c r="J441" s="0" t="n">
        <f aca="false">D441*D441</f>
        <v>0.09</v>
      </c>
      <c r="K441" s="0" t="n">
        <f aca="false">SUMPRODUCT(E441:J441,_XtX!$B$53:$G$53)</f>
        <v>46.768433908046</v>
      </c>
      <c r="L441" s="0" t="n">
        <f aca="false">SUMPRODUCT(MMULT(E441:J441,_XtX!$B$44:$G$49),E441:J441)</f>
        <v>0.183715804597701</v>
      </c>
      <c r="M441" s="0" t="n">
        <f aca="false">04_回帰ANOVA!$K$19*04_回帰ANOVA!$K$14*SQRT(1+L441)</f>
        <v>1.47434898597359</v>
      </c>
      <c r="N441" s="0" t="n">
        <f aca="false">K441-M441</f>
        <v>45.2940849220724</v>
      </c>
      <c r="O441" s="0" t="n">
        <f aca="false">K441+M441</f>
        <v>48.2427828940196</v>
      </c>
      <c r="P441" s="54" t="b">
        <f aca="false">AND(C441&gt;=01_因子設定!$L$5-0.000000001,C441&lt;=01_因子設定!$M$5+0.000000001,D441&gt;=01_因子設定!$L$6-0.000000001,D441&lt;=01_因子設定!$M$6+0.000000001,IF(01_因子設定!$B$20="Box-Behnken",C441^2+D441^2&lt;=2+0.000000001,TRUE()))</f>
        <v>1</v>
      </c>
      <c r="Q441" s="55" t="n">
        <f aca="false">IF(P441,IF(01_因子設定!$B$13="最大化",N441-01_因子設定!$B$14,IF(01_因子設定!$B$13="最小化",01_因子設定!$B$15-O441,MIN(N441-01_因子設定!$B$14,01_因子設定!$B$15-O441))),-1E+030)</f>
        <v>-1.20591507792762</v>
      </c>
      <c r="R441" s="55" t="n">
        <f aca="false">IF(P441,IF(01_因子設定!$B$13="最大化",K441,IF(01_因子設定!$B$13="最小化",-K441,-ABS(K441-01_因子設定!$B$16))),-1E+030)</f>
        <v>46.768433908046</v>
      </c>
      <c r="S441" s="55" t="n">
        <f aca="false">Q441+ROW()*0.000000001</f>
        <v>-1.20591463692762</v>
      </c>
      <c r="T441" s="55" t="n">
        <f aca="false">R441+ROW()*0.000000001</f>
        <v>46.768434349046</v>
      </c>
    </row>
    <row r="442" customFormat="false" ht="15" hidden="false" customHeight="false" outlineLevel="0" collapsed="false">
      <c r="A442" s="0" t="n">
        <v>10</v>
      </c>
      <c r="B442" s="0" t="n">
        <v>27</v>
      </c>
      <c r="C442" s="0" t="n">
        <f aca="false">-1+A442*0.05</f>
        <v>-0.5</v>
      </c>
      <c r="D442" s="0" t="n">
        <f aca="false">-1+B442*0.05</f>
        <v>0.35</v>
      </c>
      <c r="E442" s="0" t="n">
        <f aca="false">1</f>
        <v>1</v>
      </c>
      <c r="F442" s="0" t="n">
        <f aca="false">C442</f>
        <v>-0.5</v>
      </c>
      <c r="G442" s="0" t="n">
        <f aca="false">D442</f>
        <v>0.35</v>
      </c>
      <c r="H442" s="0" t="n">
        <f aca="false">C442*D442</f>
        <v>-0.175</v>
      </c>
      <c r="I442" s="0" t="n">
        <f aca="false">C442*C442</f>
        <v>0.25</v>
      </c>
      <c r="J442" s="0" t="n">
        <f aca="false">D442*D442</f>
        <v>0.1225</v>
      </c>
      <c r="K442" s="0" t="n">
        <f aca="false">SUMPRODUCT(E442:J442,_XtX!$B$53:$G$53)</f>
        <v>46.817658045977</v>
      </c>
      <c r="L442" s="0" t="n">
        <f aca="false">SUMPRODUCT(MMULT(E442:J442,_XtX!$B$44:$G$49),E442:J442)</f>
        <v>0.184698742816092</v>
      </c>
      <c r="M442" s="0" t="n">
        <f aca="false">04_回帰ANOVA!$K$19*04_回帰ANOVA!$K$14*SQRT(1+L442)</f>
        <v>1.47496099657531</v>
      </c>
      <c r="N442" s="0" t="n">
        <f aca="false">K442-M442</f>
        <v>45.3426970494017</v>
      </c>
      <c r="O442" s="0" t="n">
        <f aca="false">K442+M442</f>
        <v>48.2926190425523</v>
      </c>
      <c r="P442" s="54" t="b">
        <f aca="false">AND(C442&gt;=01_因子設定!$L$5-0.000000001,C442&lt;=01_因子設定!$M$5+0.000000001,D442&gt;=01_因子設定!$L$6-0.000000001,D442&lt;=01_因子設定!$M$6+0.000000001,IF(01_因子設定!$B$20="Box-Behnken",C442^2+D442^2&lt;=2+0.000000001,TRUE()))</f>
        <v>1</v>
      </c>
      <c r="Q442" s="55" t="n">
        <f aca="false">IF(P442,IF(01_因子設定!$B$13="最大化",N442-01_因子設定!$B$14,IF(01_因子設定!$B$13="最小化",01_因子設定!$B$15-O442,MIN(N442-01_因子設定!$B$14,01_因子設定!$B$15-O442))),-1E+030)</f>
        <v>-1.15730295059831</v>
      </c>
      <c r="R442" s="55" t="n">
        <f aca="false">IF(P442,IF(01_因子設定!$B$13="最大化",K442,IF(01_因子設定!$B$13="最小化",-K442,-ABS(K442-01_因子設定!$B$16))),-1E+030)</f>
        <v>46.817658045977</v>
      </c>
      <c r="S442" s="55" t="n">
        <f aca="false">Q442+ROW()*0.000000001</f>
        <v>-1.15730250859831</v>
      </c>
      <c r="T442" s="55" t="n">
        <f aca="false">R442+ROW()*0.000000001</f>
        <v>46.817658487977</v>
      </c>
    </row>
    <row r="443" customFormat="false" ht="15" hidden="false" customHeight="false" outlineLevel="0" collapsed="false">
      <c r="A443" s="0" t="n">
        <v>10</v>
      </c>
      <c r="B443" s="0" t="n">
        <v>28</v>
      </c>
      <c r="C443" s="0" t="n">
        <f aca="false">-1+A443*0.05</f>
        <v>-0.5</v>
      </c>
      <c r="D443" s="0" t="n">
        <f aca="false">-1+B443*0.05</f>
        <v>0.4</v>
      </c>
      <c r="E443" s="0" t="n">
        <f aca="false">1</f>
        <v>1</v>
      </c>
      <c r="F443" s="0" t="n">
        <f aca="false">C443</f>
        <v>-0.5</v>
      </c>
      <c r="G443" s="0" t="n">
        <f aca="false">D443</f>
        <v>0.4</v>
      </c>
      <c r="H443" s="0" t="n">
        <f aca="false">C443*D443</f>
        <v>-0.2</v>
      </c>
      <c r="I443" s="0" t="n">
        <f aca="false">C443*C443</f>
        <v>0.25</v>
      </c>
      <c r="J443" s="0" t="n">
        <f aca="false">D443*D443</f>
        <v>0.16</v>
      </c>
      <c r="K443" s="0" t="n">
        <f aca="false">SUMPRODUCT(E443:J443,_XtX!$B$53:$G$53)</f>
        <v>46.8591666666667</v>
      </c>
      <c r="L443" s="0" t="n">
        <f aca="false">SUMPRODUCT(MMULT(E443:J443,_XtX!$B$44:$G$49),E443:J443)</f>
        <v>0.186783333333333</v>
      </c>
      <c r="M443" s="0" t="n">
        <f aca="false">04_回帰ANOVA!$K$19*04_回帰ANOVA!$K$14*SQRT(1+L443)</f>
        <v>1.47625809356371</v>
      </c>
      <c r="N443" s="0" t="n">
        <f aca="false">K443-M443</f>
        <v>45.382908573103</v>
      </c>
      <c r="O443" s="0" t="n">
        <f aca="false">K443+M443</f>
        <v>48.3354247602304</v>
      </c>
      <c r="P443" s="54" t="b">
        <f aca="false">AND(C443&gt;=01_因子設定!$L$5-0.000000001,C443&lt;=01_因子設定!$M$5+0.000000001,D443&gt;=01_因子設定!$L$6-0.000000001,D443&lt;=01_因子設定!$M$6+0.000000001,IF(01_因子設定!$B$20="Box-Behnken",C443^2+D443^2&lt;=2+0.000000001,TRUE()))</f>
        <v>1</v>
      </c>
      <c r="Q443" s="55" t="n">
        <f aca="false">IF(P443,IF(01_因子設定!$B$13="最大化",N443-01_因子設定!$B$14,IF(01_因子設定!$B$13="最小化",01_因子設定!$B$15-O443,MIN(N443-01_因子設定!$B$14,01_因子設定!$B$15-O443))),-1E+030)</f>
        <v>-1.11709142689705</v>
      </c>
      <c r="R443" s="55" t="n">
        <f aca="false">IF(P443,IF(01_因子設定!$B$13="最大化",K443,IF(01_因子設定!$B$13="最小化",-K443,-ABS(K443-01_因子設定!$B$16))),-1E+030)</f>
        <v>46.8591666666667</v>
      </c>
      <c r="S443" s="55" t="n">
        <f aca="false">Q443+ROW()*0.000000001</f>
        <v>-1.11709098389705</v>
      </c>
      <c r="T443" s="55" t="n">
        <f aca="false">R443+ROW()*0.000000001</f>
        <v>46.8591671096667</v>
      </c>
    </row>
    <row r="444" customFormat="false" ht="15" hidden="false" customHeight="false" outlineLevel="0" collapsed="false">
      <c r="A444" s="0" t="n">
        <v>10</v>
      </c>
      <c r="B444" s="0" t="n">
        <v>29</v>
      </c>
      <c r="C444" s="0" t="n">
        <f aca="false">-1+A444*0.05</f>
        <v>-0.5</v>
      </c>
      <c r="D444" s="0" t="n">
        <f aca="false">-1+B444*0.05</f>
        <v>0.45</v>
      </c>
      <c r="E444" s="0" t="n">
        <f aca="false">1</f>
        <v>1</v>
      </c>
      <c r="F444" s="0" t="n">
        <f aca="false">C444</f>
        <v>-0.5</v>
      </c>
      <c r="G444" s="0" t="n">
        <f aca="false">D444</f>
        <v>0.45</v>
      </c>
      <c r="H444" s="0" t="n">
        <f aca="false">C444*D444</f>
        <v>-0.225</v>
      </c>
      <c r="I444" s="0" t="n">
        <f aca="false">C444*C444</f>
        <v>0.25</v>
      </c>
      <c r="J444" s="0" t="n">
        <f aca="false">D444*D444</f>
        <v>0.2025</v>
      </c>
      <c r="K444" s="0" t="n">
        <f aca="false">SUMPRODUCT(E444:J444,_XtX!$B$53:$G$53)</f>
        <v>46.8929597701149</v>
      </c>
      <c r="L444" s="0" t="n">
        <f aca="false">SUMPRODUCT(MMULT(E444:J444,_XtX!$B$44:$G$49),E444:J444)</f>
        <v>0.190376903735632</v>
      </c>
      <c r="M444" s="0" t="n">
        <f aca="false">04_回帰ANOVA!$K$19*04_回帰ANOVA!$K$14*SQRT(1+L444)</f>
        <v>1.47849145301872</v>
      </c>
      <c r="N444" s="0" t="n">
        <f aca="false">K444-M444</f>
        <v>45.4144683170962</v>
      </c>
      <c r="O444" s="0" t="n">
        <f aca="false">K444+M444</f>
        <v>48.3714512231337</v>
      </c>
      <c r="P444" s="54" t="b">
        <f aca="false">AND(C444&gt;=01_因子設定!$L$5-0.000000001,C444&lt;=01_因子設定!$M$5+0.000000001,D444&gt;=01_因子設定!$L$6-0.000000001,D444&lt;=01_因子設定!$M$6+0.000000001,IF(01_因子設定!$B$20="Box-Behnken",C444^2+D444^2&lt;=2+0.000000001,TRUE()))</f>
        <v>1</v>
      </c>
      <c r="Q444" s="55" t="n">
        <f aca="false">IF(P444,IF(01_因子設定!$B$13="最大化",N444-01_因子設定!$B$14,IF(01_因子設定!$B$13="最小化",01_因子設定!$B$15-O444,MIN(N444-01_因子設定!$B$14,01_因子設定!$B$15-O444))),-1E+030)</f>
        <v>-1.08553168290378</v>
      </c>
      <c r="R444" s="55" t="n">
        <f aca="false">IF(P444,IF(01_因子設定!$B$13="最大化",K444,IF(01_因子設定!$B$13="最小化",-K444,-ABS(K444-01_因子設定!$B$16))),-1E+030)</f>
        <v>46.8929597701149</v>
      </c>
      <c r="S444" s="55" t="n">
        <f aca="false">Q444+ROW()*0.000000001</f>
        <v>-1.08553123890378</v>
      </c>
      <c r="T444" s="55" t="n">
        <f aca="false">R444+ROW()*0.000000001</f>
        <v>46.8929602141149</v>
      </c>
    </row>
    <row r="445" customFormat="false" ht="15" hidden="false" customHeight="false" outlineLevel="0" collapsed="false">
      <c r="A445" s="0" t="n">
        <v>10</v>
      </c>
      <c r="B445" s="0" t="n">
        <v>30</v>
      </c>
      <c r="C445" s="0" t="n">
        <f aca="false">-1+A445*0.05</f>
        <v>-0.5</v>
      </c>
      <c r="D445" s="0" t="n">
        <f aca="false">-1+B445*0.05</f>
        <v>0.5</v>
      </c>
      <c r="E445" s="0" t="n">
        <f aca="false">1</f>
        <v>1</v>
      </c>
      <c r="F445" s="0" t="n">
        <f aca="false">C445</f>
        <v>-0.5</v>
      </c>
      <c r="G445" s="0" t="n">
        <f aca="false">D445</f>
        <v>0.5</v>
      </c>
      <c r="H445" s="0" t="n">
        <f aca="false">C445*D445</f>
        <v>-0.25</v>
      </c>
      <c r="I445" s="0" t="n">
        <f aca="false">C445*C445</f>
        <v>0.25</v>
      </c>
      <c r="J445" s="0" t="n">
        <f aca="false">D445*D445</f>
        <v>0.25</v>
      </c>
      <c r="K445" s="0" t="n">
        <f aca="false">SUMPRODUCT(E445:J445,_XtX!$B$53:$G$53)</f>
        <v>46.9190373563218</v>
      </c>
      <c r="L445" s="0" t="n">
        <f aca="false">SUMPRODUCT(MMULT(E445:J445,_XtX!$B$44:$G$49),E445:J445)</f>
        <v>0.195941091954023</v>
      </c>
      <c r="M445" s="0" t="n">
        <f aca="false">04_回帰ANOVA!$K$19*04_回帰ANOVA!$K$14*SQRT(1+L445)</f>
        <v>1.48194288662759</v>
      </c>
      <c r="N445" s="0" t="n">
        <f aca="false">K445-M445</f>
        <v>45.4370944696942</v>
      </c>
      <c r="O445" s="0" t="n">
        <f aca="false">K445+M445</f>
        <v>48.4009802429494</v>
      </c>
      <c r="P445" s="54" t="b">
        <f aca="false">AND(C445&gt;=01_因子設定!$L$5-0.000000001,C445&lt;=01_因子設定!$M$5+0.000000001,D445&gt;=01_因子設定!$L$6-0.000000001,D445&lt;=01_因子設定!$M$6+0.000000001,IF(01_因子設定!$B$20="Box-Behnken",C445^2+D445^2&lt;=2+0.000000001,TRUE()))</f>
        <v>1</v>
      </c>
      <c r="Q445" s="55" t="n">
        <f aca="false">IF(P445,IF(01_因子設定!$B$13="最大化",N445-01_因子設定!$B$14,IF(01_因子設定!$B$13="最小化",01_因子設定!$B$15-O445,MIN(N445-01_因子設定!$B$14,01_因子設定!$B$15-O445))),-1E+030)</f>
        <v>-1.06290553030576</v>
      </c>
      <c r="R445" s="55" t="n">
        <f aca="false">IF(P445,IF(01_因子設定!$B$13="最大化",K445,IF(01_因子設定!$B$13="最小化",-K445,-ABS(K445-01_因子設定!$B$16))),-1E+030)</f>
        <v>46.9190373563218</v>
      </c>
      <c r="S445" s="55" t="n">
        <f aca="false">Q445+ROW()*0.000000001</f>
        <v>-1.06290508530576</v>
      </c>
      <c r="T445" s="55" t="n">
        <f aca="false">R445+ROW()*0.000000001</f>
        <v>46.9190378013218</v>
      </c>
    </row>
    <row r="446" customFormat="false" ht="15" hidden="false" customHeight="false" outlineLevel="0" collapsed="false">
      <c r="A446" s="0" t="n">
        <v>10</v>
      </c>
      <c r="B446" s="0" t="n">
        <v>31</v>
      </c>
      <c r="C446" s="0" t="n">
        <f aca="false">-1+A446*0.05</f>
        <v>-0.5</v>
      </c>
      <c r="D446" s="0" t="n">
        <f aca="false">-1+B446*0.05</f>
        <v>0.55</v>
      </c>
      <c r="E446" s="0" t="n">
        <f aca="false">1</f>
        <v>1</v>
      </c>
      <c r="F446" s="0" t="n">
        <f aca="false">C446</f>
        <v>-0.5</v>
      </c>
      <c r="G446" s="0" t="n">
        <f aca="false">D446</f>
        <v>0.55</v>
      </c>
      <c r="H446" s="0" t="n">
        <f aca="false">C446*D446</f>
        <v>-0.275</v>
      </c>
      <c r="I446" s="0" t="n">
        <f aca="false">C446*C446</f>
        <v>0.25</v>
      </c>
      <c r="J446" s="0" t="n">
        <f aca="false">D446*D446</f>
        <v>0.3025</v>
      </c>
      <c r="K446" s="0" t="n">
        <f aca="false">SUMPRODUCT(E446:J446,_XtX!$B$53:$G$53)</f>
        <v>46.9373994252874</v>
      </c>
      <c r="L446" s="0" t="n">
        <f aca="false">SUMPRODUCT(MMULT(E446:J446,_XtX!$B$44:$G$49),E446:J446)</f>
        <v>0.203991846264368</v>
      </c>
      <c r="M446" s="0" t="n">
        <f aca="false">04_回帰ANOVA!$K$19*04_回帰ANOVA!$K$14*SQRT(1+L446)</f>
        <v>1.48692254105892</v>
      </c>
      <c r="N446" s="0" t="n">
        <f aca="false">K446-M446</f>
        <v>45.4504768842284</v>
      </c>
      <c r="O446" s="0" t="n">
        <f aca="false">K446+M446</f>
        <v>48.4243219663463</v>
      </c>
      <c r="P446" s="54" t="b">
        <f aca="false">AND(C446&gt;=01_因子設定!$L$5-0.000000001,C446&lt;=01_因子設定!$M$5+0.000000001,D446&gt;=01_因子設定!$L$6-0.000000001,D446&lt;=01_因子設定!$M$6+0.000000001,IF(01_因子設定!$B$20="Box-Behnken",C446^2+D446^2&lt;=2+0.000000001,TRUE()))</f>
        <v>1</v>
      </c>
      <c r="Q446" s="55" t="n">
        <f aca="false">IF(P446,IF(01_因子設定!$B$13="最大化",N446-01_因子設定!$B$14,IF(01_因子設定!$B$13="最小化",01_因子設定!$B$15-O446,MIN(N446-01_因子設定!$B$14,01_因子設定!$B$15-O446))),-1E+030)</f>
        <v>-1.04952311577156</v>
      </c>
      <c r="R446" s="55" t="n">
        <f aca="false">IF(P446,IF(01_因子設定!$B$13="最大化",K446,IF(01_因子設定!$B$13="最小化",-K446,-ABS(K446-01_因子設定!$B$16))),-1E+030)</f>
        <v>46.9373994252874</v>
      </c>
      <c r="S446" s="55" t="n">
        <f aca="false">Q446+ROW()*0.000000001</f>
        <v>-1.04952266977156</v>
      </c>
      <c r="T446" s="55" t="n">
        <f aca="false">R446+ROW()*0.000000001</f>
        <v>46.9373998712874</v>
      </c>
    </row>
    <row r="447" customFormat="false" ht="15" hidden="false" customHeight="false" outlineLevel="0" collapsed="false">
      <c r="A447" s="0" t="n">
        <v>10</v>
      </c>
      <c r="B447" s="0" t="n">
        <v>32</v>
      </c>
      <c r="C447" s="0" t="n">
        <f aca="false">-1+A447*0.05</f>
        <v>-0.5</v>
      </c>
      <c r="D447" s="0" t="n">
        <f aca="false">-1+B447*0.05</f>
        <v>0.6</v>
      </c>
      <c r="E447" s="0" t="n">
        <f aca="false">1</f>
        <v>1</v>
      </c>
      <c r="F447" s="0" t="n">
        <f aca="false">C447</f>
        <v>-0.5</v>
      </c>
      <c r="G447" s="0" t="n">
        <f aca="false">D447</f>
        <v>0.6</v>
      </c>
      <c r="H447" s="0" t="n">
        <f aca="false">C447*D447</f>
        <v>-0.3</v>
      </c>
      <c r="I447" s="0" t="n">
        <f aca="false">C447*C447</f>
        <v>0.25</v>
      </c>
      <c r="J447" s="0" t="n">
        <f aca="false">D447*D447</f>
        <v>0.36</v>
      </c>
      <c r="K447" s="0" t="n">
        <f aca="false">SUMPRODUCT(E447:J447,_XtX!$B$53:$G$53)</f>
        <v>46.9480459770115</v>
      </c>
      <c r="L447" s="0" t="n">
        <f aca="false">SUMPRODUCT(MMULT(E447:J447,_XtX!$B$44:$G$49),E447:J447)</f>
        <v>0.215099425287356</v>
      </c>
      <c r="M447" s="0" t="n">
        <f aca="false">04_回帰ANOVA!$K$19*04_回帰ANOVA!$K$14*SQRT(1+L447)</f>
        <v>1.49376569017207</v>
      </c>
      <c r="N447" s="0" t="n">
        <f aca="false">K447-M447</f>
        <v>45.4542802868394</v>
      </c>
      <c r="O447" s="0" t="n">
        <f aca="false">K447+M447</f>
        <v>48.4418116671836</v>
      </c>
      <c r="P447" s="54" t="b">
        <f aca="false">AND(C447&gt;=01_因子設定!$L$5-0.000000001,C447&lt;=01_因子設定!$M$5+0.000000001,D447&gt;=01_因子設定!$L$6-0.000000001,D447&lt;=01_因子設定!$M$6+0.000000001,IF(01_因子設定!$B$20="Box-Behnken",C447^2+D447^2&lt;=2+0.000000001,TRUE()))</f>
        <v>1</v>
      </c>
      <c r="Q447" s="55" t="n">
        <f aca="false">IF(P447,IF(01_因子設定!$B$13="最大化",N447-01_因子設定!$B$14,IF(01_因子設定!$B$13="最小化",01_因子設定!$B$15-O447,MIN(N447-01_因子設定!$B$14,01_因子設定!$B$15-O447))),-1E+030)</f>
        <v>-1.04571971316058</v>
      </c>
      <c r="R447" s="55" t="n">
        <f aca="false">IF(P447,IF(01_因子設定!$B$13="最大化",K447,IF(01_因子設定!$B$13="最小化",-K447,-ABS(K447-01_因子設定!$B$16))),-1E+030)</f>
        <v>46.9480459770115</v>
      </c>
      <c r="S447" s="55" t="n">
        <f aca="false">Q447+ROW()*0.000000001</f>
        <v>-1.04571926616058</v>
      </c>
      <c r="T447" s="55" t="n">
        <f aca="false">R447+ROW()*0.000000001</f>
        <v>46.9480464240115</v>
      </c>
    </row>
    <row r="448" customFormat="false" ht="15" hidden="false" customHeight="false" outlineLevel="0" collapsed="false">
      <c r="A448" s="0" t="n">
        <v>10</v>
      </c>
      <c r="B448" s="0" t="n">
        <v>33</v>
      </c>
      <c r="C448" s="0" t="n">
        <f aca="false">-1+A448*0.05</f>
        <v>-0.5</v>
      </c>
      <c r="D448" s="0" t="n">
        <f aca="false">-1+B448*0.05</f>
        <v>0.65</v>
      </c>
      <c r="E448" s="0" t="n">
        <f aca="false">1</f>
        <v>1</v>
      </c>
      <c r="F448" s="0" t="n">
        <f aca="false">C448</f>
        <v>-0.5</v>
      </c>
      <c r="G448" s="0" t="n">
        <f aca="false">D448</f>
        <v>0.65</v>
      </c>
      <c r="H448" s="0" t="n">
        <f aca="false">C448*D448</f>
        <v>-0.325</v>
      </c>
      <c r="I448" s="0" t="n">
        <f aca="false">C448*C448</f>
        <v>0.25</v>
      </c>
      <c r="J448" s="0" t="n">
        <f aca="false">D448*D448</f>
        <v>0.4225</v>
      </c>
      <c r="K448" s="0" t="n">
        <f aca="false">SUMPRODUCT(E448:J448,_XtX!$B$53:$G$53)</f>
        <v>46.9509770114942</v>
      </c>
      <c r="L448" s="0" t="n">
        <f aca="false">SUMPRODUCT(MMULT(E448:J448,_XtX!$B$44:$G$49),E448:J448)</f>
        <v>0.229888397988506</v>
      </c>
      <c r="M448" s="0" t="n">
        <f aca="false">04_回帰ANOVA!$K$19*04_回帰ANOVA!$K$14*SQRT(1+L448)</f>
        <v>1.50282850731928</v>
      </c>
      <c r="N448" s="0" t="n">
        <f aca="false">K448-M448</f>
        <v>45.448148504175</v>
      </c>
      <c r="O448" s="0" t="n">
        <f aca="false">K448+M448</f>
        <v>48.4538055188135</v>
      </c>
      <c r="P448" s="54" t="b">
        <f aca="false">AND(C448&gt;=01_因子設定!$L$5-0.000000001,C448&lt;=01_因子設定!$M$5+0.000000001,D448&gt;=01_因子設定!$L$6-0.000000001,D448&lt;=01_因子設定!$M$6+0.000000001,IF(01_因子設定!$B$20="Box-Behnken",C448^2+D448^2&lt;=2+0.000000001,TRUE()))</f>
        <v>1</v>
      </c>
      <c r="Q448" s="55" t="n">
        <f aca="false">IF(P448,IF(01_因子設定!$B$13="最大化",N448-01_因子設定!$B$14,IF(01_因子設定!$B$13="最小化",01_因子設定!$B$15-O448,MIN(N448-01_因子設定!$B$14,01_因子設定!$B$15-O448))),-1E+030)</f>
        <v>-1.05185149582503</v>
      </c>
      <c r="R448" s="55" t="n">
        <f aca="false">IF(P448,IF(01_因子設定!$B$13="最大化",K448,IF(01_因子設定!$B$13="最小化",-K448,-ABS(K448-01_因子設定!$B$16))),-1E+030)</f>
        <v>46.9509770114942</v>
      </c>
      <c r="S448" s="55" t="n">
        <f aca="false">Q448+ROW()*0.000000001</f>
        <v>-1.05185104782503</v>
      </c>
      <c r="T448" s="55" t="n">
        <f aca="false">R448+ROW()*0.000000001</f>
        <v>46.9509774594943</v>
      </c>
    </row>
    <row r="449" customFormat="false" ht="15" hidden="false" customHeight="false" outlineLevel="0" collapsed="false">
      <c r="A449" s="0" t="n">
        <v>10</v>
      </c>
      <c r="B449" s="0" t="n">
        <v>34</v>
      </c>
      <c r="C449" s="0" t="n">
        <f aca="false">-1+A449*0.05</f>
        <v>-0.5</v>
      </c>
      <c r="D449" s="0" t="n">
        <f aca="false">-1+B449*0.05</f>
        <v>0.7</v>
      </c>
      <c r="E449" s="0" t="n">
        <f aca="false">1</f>
        <v>1</v>
      </c>
      <c r="F449" s="0" t="n">
        <f aca="false">C449</f>
        <v>-0.5</v>
      </c>
      <c r="G449" s="0" t="n">
        <f aca="false">D449</f>
        <v>0.7</v>
      </c>
      <c r="H449" s="0" t="n">
        <f aca="false">C449*D449</f>
        <v>-0.35</v>
      </c>
      <c r="I449" s="0" t="n">
        <f aca="false">C449*C449</f>
        <v>0.25</v>
      </c>
      <c r="J449" s="0" t="n">
        <f aca="false">D449*D449</f>
        <v>0.49</v>
      </c>
      <c r="K449" s="0" t="n">
        <f aca="false">SUMPRODUCT(E449:J449,_XtX!$B$53:$G$53)</f>
        <v>46.9461925287356</v>
      </c>
      <c r="L449" s="0" t="n">
        <f aca="false">SUMPRODUCT(MMULT(E449:J449,_XtX!$B$44:$G$49),E449:J449)</f>
        <v>0.249037643678161</v>
      </c>
      <c r="M449" s="0" t="n">
        <f aca="false">04_回帰ANOVA!$K$19*04_回帰ANOVA!$K$14*SQRT(1+L449)</f>
        <v>1.5144827672559</v>
      </c>
      <c r="N449" s="0" t="n">
        <f aca="false">K449-M449</f>
        <v>45.4317097614797</v>
      </c>
      <c r="O449" s="0" t="n">
        <f aca="false">K449+M449</f>
        <v>48.4606752959915</v>
      </c>
      <c r="P449" s="54" t="b">
        <f aca="false">AND(C449&gt;=01_因子設定!$L$5-0.000000001,C449&lt;=01_因子設定!$M$5+0.000000001,D449&gt;=01_因子設定!$L$6-0.000000001,D449&lt;=01_因子設定!$M$6+0.000000001,IF(01_因子設定!$B$20="Box-Behnken",C449^2+D449^2&lt;=2+0.000000001,TRUE()))</f>
        <v>1</v>
      </c>
      <c r="Q449" s="55" t="n">
        <f aca="false">IF(P449,IF(01_因子設定!$B$13="最大化",N449-01_因子設定!$B$14,IF(01_因子設定!$B$13="最小化",01_因子設定!$B$15-O449,MIN(N449-01_因子設定!$B$14,01_因子設定!$B$15-O449))),-1E+030)</f>
        <v>-1.06829023852028</v>
      </c>
      <c r="R449" s="55" t="n">
        <f aca="false">IF(P449,IF(01_因子設定!$B$13="最大化",K449,IF(01_因子設定!$B$13="最小化",-K449,-ABS(K449-01_因子設定!$B$16))),-1E+030)</f>
        <v>46.9461925287356</v>
      </c>
      <c r="S449" s="55" t="n">
        <f aca="false">Q449+ROW()*0.000000001</f>
        <v>-1.06828978952028</v>
      </c>
      <c r="T449" s="55" t="n">
        <f aca="false">R449+ROW()*0.000000001</f>
        <v>46.9461929777356</v>
      </c>
    </row>
    <row r="450" customFormat="false" ht="15" hidden="false" customHeight="false" outlineLevel="0" collapsed="false">
      <c r="A450" s="0" t="n">
        <v>10</v>
      </c>
      <c r="B450" s="0" t="n">
        <v>35</v>
      </c>
      <c r="C450" s="0" t="n">
        <f aca="false">-1+A450*0.05</f>
        <v>-0.5</v>
      </c>
      <c r="D450" s="0" t="n">
        <f aca="false">-1+B450*0.05</f>
        <v>0.75</v>
      </c>
      <c r="E450" s="0" t="n">
        <f aca="false">1</f>
        <v>1</v>
      </c>
      <c r="F450" s="0" t="n">
        <f aca="false">C450</f>
        <v>-0.5</v>
      </c>
      <c r="G450" s="0" t="n">
        <f aca="false">D450</f>
        <v>0.75</v>
      </c>
      <c r="H450" s="0" t="n">
        <f aca="false">C450*D450</f>
        <v>-0.375</v>
      </c>
      <c r="I450" s="0" t="n">
        <f aca="false">C450*C450</f>
        <v>0.25</v>
      </c>
      <c r="J450" s="0" t="n">
        <f aca="false">D450*D450</f>
        <v>0.5625</v>
      </c>
      <c r="K450" s="0" t="n">
        <f aca="false">SUMPRODUCT(E450:J450,_XtX!$B$53:$G$53)</f>
        <v>46.9336925287356</v>
      </c>
      <c r="L450" s="0" t="n">
        <f aca="false">SUMPRODUCT(MMULT(E450:J450,_XtX!$B$44:$G$49),E450:J450)</f>
        <v>0.273280352011494</v>
      </c>
      <c r="M450" s="0" t="n">
        <f aca="false">04_回帰ANOVA!$K$19*04_回帰ANOVA!$K$14*SQRT(1+L450)</f>
        <v>1.52910951618691</v>
      </c>
      <c r="N450" s="0" t="n">
        <f aca="false">K450-M450</f>
        <v>45.4045830125487</v>
      </c>
      <c r="O450" s="0" t="n">
        <f aca="false">K450+M450</f>
        <v>48.4628020449225</v>
      </c>
      <c r="P450" s="54" t="b">
        <f aca="false">AND(C450&gt;=01_因子設定!$L$5-0.000000001,C450&lt;=01_因子設定!$M$5+0.000000001,D450&gt;=01_因子設定!$L$6-0.000000001,D450&lt;=01_因子設定!$M$6+0.000000001,IF(01_因子設定!$B$20="Box-Behnken",C450^2+D450^2&lt;=2+0.000000001,TRUE()))</f>
        <v>1</v>
      </c>
      <c r="Q450" s="55" t="n">
        <f aca="false">IF(P450,IF(01_因子設定!$B$13="最大化",N450-01_因子設定!$B$14,IF(01_因子設定!$B$13="最小化",01_因子設定!$B$15-O450,MIN(N450-01_因子設定!$B$14,01_因子設定!$B$15-O450))),-1E+030)</f>
        <v>-1.09541698745129</v>
      </c>
      <c r="R450" s="55" t="n">
        <f aca="false">IF(P450,IF(01_因子設定!$B$13="最大化",K450,IF(01_因子設定!$B$13="最小化",-K450,-ABS(K450-01_因子設定!$B$16))),-1E+030)</f>
        <v>46.9336925287356</v>
      </c>
      <c r="S450" s="55" t="n">
        <f aca="false">Q450+ROW()*0.000000001</f>
        <v>-1.09541653745129</v>
      </c>
      <c r="T450" s="55" t="n">
        <f aca="false">R450+ROW()*0.000000001</f>
        <v>46.9336929787356</v>
      </c>
    </row>
    <row r="451" customFormat="false" ht="15" hidden="false" customHeight="false" outlineLevel="0" collapsed="false">
      <c r="A451" s="0" t="n">
        <v>10</v>
      </c>
      <c r="B451" s="0" t="n">
        <v>36</v>
      </c>
      <c r="C451" s="0" t="n">
        <f aca="false">-1+A451*0.05</f>
        <v>-0.5</v>
      </c>
      <c r="D451" s="0" t="n">
        <f aca="false">-1+B451*0.05</f>
        <v>0.8</v>
      </c>
      <c r="E451" s="0" t="n">
        <f aca="false">1</f>
        <v>1</v>
      </c>
      <c r="F451" s="0" t="n">
        <f aca="false">C451</f>
        <v>-0.5</v>
      </c>
      <c r="G451" s="0" t="n">
        <f aca="false">D451</f>
        <v>0.8</v>
      </c>
      <c r="H451" s="0" t="n">
        <f aca="false">C451*D451</f>
        <v>-0.4</v>
      </c>
      <c r="I451" s="0" t="n">
        <f aca="false">C451*C451</f>
        <v>0.25</v>
      </c>
      <c r="J451" s="0" t="n">
        <f aca="false">D451*D451</f>
        <v>0.64</v>
      </c>
      <c r="K451" s="0" t="n">
        <f aca="false">SUMPRODUCT(E451:J451,_XtX!$B$53:$G$53)</f>
        <v>46.9134770114943</v>
      </c>
      <c r="L451" s="0" t="n">
        <f aca="false">SUMPRODUCT(MMULT(E451:J451,_XtX!$B$44:$G$49),E451:J451)</f>
        <v>0.303404022988506</v>
      </c>
      <c r="M451" s="0" t="n">
        <f aca="false">04_回帰ANOVA!$K$19*04_回帰ANOVA!$K$14*SQRT(1+L451)</f>
        <v>1.54709185921971</v>
      </c>
      <c r="N451" s="0" t="n">
        <f aca="false">K451-M451</f>
        <v>45.3663851522745</v>
      </c>
      <c r="O451" s="0" t="n">
        <f aca="false">K451+M451</f>
        <v>48.460568870714</v>
      </c>
      <c r="P451" s="54" t="b">
        <f aca="false">AND(C451&gt;=01_因子設定!$L$5-0.000000001,C451&lt;=01_因子設定!$M$5+0.000000001,D451&gt;=01_因子設定!$L$6-0.000000001,D451&lt;=01_因子設定!$M$6+0.000000001,IF(01_因子設定!$B$20="Box-Behnken",C451^2+D451^2&lt;=2+0.000000001,TRUE()))</f>
        <v>1</v>
      </c>
      <c r="Q451" s="55" t="n">
        <f aca="false">IF(P451,IF(01_因子設定!$B$13="最大化",N451-01_因子設定!$B$14,IF(01_因子設定!$B$13="最小化",01_因子設定!$B$15-O451,MIN(N451-01_因子設定!$B$14,01_因子設定!$B$15-O451))),-1E+030)</f>
        <v>-1.13361484772545</v>
      </c>
      <c r="R451" s="55" t="n">
        <f aca="false">IF(P451,IF(01_因子設定!$B$13="最大化",K451,IF(01_因子設定!$B$13="最小化",-K451,-ABS(K451-01_因子設定!$B$16))),-1E+030)</f>
        <v>46.9134770114943</v>
      </c>
      <c r="S451" s="55" t="n">
        <f aca="false">Q451+ROW()*0.000000001</f>
        <v>-1.13361439672545</v>
      </c>
      <c r="T451" s="55" t="n">
        <f aca="false">R451+ROW()*0.000000001</f>
        <v>46.9134774624943</v>
      </c>
    </row>
    <row r="452" customFormat="false" ht="15" hidden="false" customHeight="false" outlineLevel="0" collapsed="false">
      <c r="A452" s="0" t="n">
        <v>10</v>
      </c>
      <c r="B452" s="0" t="n">
        <v>37</v>
      </c>
      <c r="C452" s="0" t="n">
        <f aca="false">-1+A452*0.05</f>
        <v>-0.5</v>
      </c>
      <c r="D452" s="0" t="n">
        <f aca="false">-1+B452*0.05</f>
        <v>0.85</v>
      </c>
      <c r="E452" s="0" t="n">
        <f aca="false">1</f>
        <v>1</v>
      </c>
      <c r="F452" s="0" t="n">
        <f aca="false">C452</f>
        <v>-0.5</v>
      </c>
      <c r="G452" s="0" t="n">
        <f aca="false">D452</f>
        <v>0.85</v>
      </c>
      <c r="H452" s="0" t="n">
        <f aca="false">C452*D452</f>
        <v>-0.425</v>
      </c>
      <c r="I452" s="0" t="n">
        <f aca="false">C452*C452</f>
        <v>0.25</v>
      </c>
      <c r="J452" s="0" t="n">
        <f aca="false">D452*D452</f>
        <v>0.7225</v>
      </c>
      <c r="K452" s="0" t="n">
        <f aca="false">SUMPRODUCT(E452:J452,_XtX!$B$53:$G$53)</f>
        <v>46.8855459770115</v>
      </c>
      <c r="L452" s="0" t="n">
        <f aca="false">SUMPRODUCT(MMULT(E452:J452,_XtX!$B$44:$G$49),E452:J452)</f>
        <v>0.340250466954023</v>
      </c>
      <c r="M452" s="0" t="n">
        <f aca="false">04_回帰ANOVA!$K$19*04_回帰ANOVA!$K$14*SQRT(1+L452)</f>
        <v>1.56880713525096</v>
      </c>
      <c r="N452" s="0" t="n">
        <f aca="false">K452-M452</f>
        <v>45.3167388417605</v>
      </c>
      <c r="O452" s="0" t="n">
        <f aca="false">K452+M452</f>
        <v>48.4543531122624</v>
      </c>
      <c r="P452" s="54" t="b">
        <f aca="false">AND(C452&gt;=01_因子設定!$L$5-0.000000001,C452&lt;=01_因子設定!$M$5+0.000000001,D452&gt;=01_因子設定!$L$6-0.000000001,D452&lt;=01_因子設定!$M$6+0.000000001,IF(01_因子設定!$B$20="Box-Behnken",C452^2+D452^2&lt;=2+0.000000001,TRUE()))</f>
        <v>1</v>
      </c>
      <c r="Q452" s="55" t="n">
        <f aca="false">IF(P452,IF(01_因子設定!$B$13="最大化",N452-01_因子設定!$B$14,IF(01_因子設定!$B$13="最小化",01_因子設定!$B$15-O452,MIN(N452-01_因子設定!$B$14,01_因子設定!$B$15-O452))),-1E+030)</f>
        <v>-1.18326115823947</v>
      </c>
      <c r="R452" s="55" t="n">
        <f aca="false">IF(P452,IF(01_因子設定!$B$13="最大化",K452,IF(01_因子設定!$B$13="最小化",-K452,-ABS(K452-01_因子設定!$B$16))),-1E+030)</f>
        <v>46.8855459770115</v>
      </c>
      <c r="S452" s="55" t="n">
        <f aca="false">Q452+ROW()*0.000000001</f>
        <v>-1.18326070623947</v>
      </c>
      <c r="T452" s="55" t="n">
        <f aca="false">R452+ROW()*0.000000001</f>
        <v>46.8855464290115</v>
      </c>
    </row>
    <row r="453" customFormat="false" ht="15" hidden="false" customHeight="false" outlineLevel="0" collapsed="false">
      <c r="A453" s="0" t="n">
        <v>10</v>
      </c>
      <c r="B453" s="0" t="n">
        <v>38</v>
      </c>
      <c r="C453" s="0" t="n">
        <f aca="false">-1+A453*0.05</f>
        <v>-0.5</v>
      </c>
      <c r="D453" s="0" t="n">
        <f aca="false">-1+B453*0.05</f>
        <v>0.9</v>
      </c>
      <c r="E453" s="0" t="n">
        <f aca="false">1</f>
        <v>1</v>
      </c>
      <c r="F453" s="0" t="n">
        <f aca="false">C453</f>
        <v>-0.5</v>
      </c>
      <c r="G453" s="0" t="n">
        <f aca="false">D453</f>
        <v>0.9</v>
      </c>
      <c r="H453" s="0" t="n">
        <f aca="false">C453*D453</f>
        <v>-0.45</v>
      </c>
      <c r="I453" s="0" t="n">
        <f aca="false">C453*C453</f>
        <v>0.25</v>
      </c>
      <c r="J453" s="0" t="n">
        <f aca="false">D453*D453</f>
        <v>0.81</v>
      </c>
      <c r="K453" s="0" t="n">
        <f aca="false">SUMPRODUCT(E453:J453,_XtX!$B$53:$G$53)</f>
        <v>46.8498994252874</v>
      </c>
      <c r="L453" s="0" t="n">
        <f aca="false">SUMPRODUCT(MMULT(E453:J453,_XtX!$B$44:$G$49),E453:J453)</f>
        <v>0.384715804597701</v>
      </c>
      <c r="M453" s="0" t="n">
        <f aca="false">04_回帰ANOVA!$K$19*04_回帰ANOVA!$K$14*SQRT(1+L453)</f>
        <v>1.59461886204904</v>
      </c>
      <c r="N453" s="0" t="n">
        <f aca="false">K453-M453</f>
        <v>45.2552805632383</v>
      </c>
      <c r="O453" s="0" t="n">
        <f aca="false">K453+M453</f>
        <v>48.4445182873364</v>
      </c>
      <c r="P453" s="54" t="b">
        <f aca="false">AND(C453&gt;=01_因子設定!$L$5-0.000000001,C453&lt;=01_因子設定!$M$5+0.000000001,D453&gt;=01_因子設定!$L$6-0.000000001,D453&lt;=01_因子設定!$M$6+0.000000001,IF(01_因子設定!$B$20="Box-Behnken",C453^2+D453^2&lt;=2+0.000000001,TRUE()))</f>
        <v>1</v>
      </c>
      <c r="Q453" s="55" t="n">
        <f aca="false">IF(P453,IF(01_因子設定!$B$13="最大化",N453-01_因子設定!$B$14,IF(01_因子設定!$B$13="最小化",01_因子設定!$B$15-O453,MIN(N453-01_因子設定!$B$14,01_因子設定!$B$15-O453))),-1E+030)</f>
        <v>-1.24471943676168</v>
      </c>
      <c r="R453" s="55" t="n">
        <f aca="false">IF(P453,IF(01_因子設定!$B$13="最大化",K453,IF(01_因子設定!$B$13="最小化",-K453,-ABS(K453-01_因子設定!$B$16))),-1E+030)</f>
        <v>46.8498994252874</v>
      </c>
      <c r="S453" s="55" t="n">
        <f aca="false">Q453+ROW()*0.000000001</f>
        <v>-1.24471898376168</v>
      </c>
      <c r="T453" s="55" t="n">
        <f aca="false">R453+ROW()*0.000000001</f>
        <v>46.8498998782874</v>
      </c>
    </row>
    <row r="454" customFormat="false" ht="15" hidden="false" customHeight="false" outlineLevel="0" collapsed="false">
      <c r="A454" s="0" t="n">
        <v>10</v>
      </c>
      <c r="B454" s="0" t="n">
        <v>39</v>
      </c>
      <c r="C454" s="0" t="n">
        <f aca="false">-1+A454*0.05</f>
        <v>-0.5</v>
      </c>
      <c r="D454" s="0" t="n">
        <f aca="false">-1+B454*0.05</f>
        <v>0.95</v>
      </c>
      <c r="E454" s="0" t="n">
        <f aca="false">1</f>
        <v>1</v>
      </c>
      <c r="F454" s="0" t="n">
        <f aca="false">C454</f>
        <v>-0.5</v>
      </c>
      <c r="G454" s="0" t="n">
        <f aca="false">D454</f>
        <v>0.95</v>
      </c>
      <c r="H454" s="0" t="n">
        <f aca="false">C454*D454</f>
        <v>-0.475</v>
      </c>
      <c r="I454" s="0" t="n">
        <f aca="false">C454*C454</f>
        <v>0.25</v>
      </c>
      <c r="J454" s="0" t="n">
        <f aca="false">D454*D454</f>
        <v>0.9025</v>
      </c>
      <c r="K454" s="0" t="n">
        <f aca="false">SUMPRODUCT(E454:J454,_XtX!$B$53:$G$53)</f>
        <v>46.8065373563218</v>
      </c>
      <c r="L454" s="0" t="n">
        <f aca="false">SUMPRODUCT(MMULT(E454:J454,_XtX!$B$44:$G$49),E454:J454)</f>
        <v>0.437750466954023</v>
      </c>
      <c r="M454" s="0" t="n">
        <f aca="false">04_回帰ANOVA!$K$19*04_回帰ANOVA!$K$14*SQRT(1+L454)</f>
        <v>1.62486891728431</v>
      </c>
      <c r="N454" s="0" t="n">
        <f aca="false">K454-M454</f>
        <v>45.1816684390375</v>
      </c>
      <c r="O454" s="0" t="n">
        <f aca="false">K454+M454</f>
        <v>48.4314062736061</v>
      </c>
      <c r="P454" s="54" t="b">
        <f aca="false">AND(C454&gt;=01_因子設定!$L$5-0.000000001,C454&lt;=01_因子設定!$M$5+0.000000001,D454&gt;=01_因子設定!$L$6-0.000000001,D454&lt;=01_因子設定!$M$6+0.000000001,IF(01_因子設定!$B$20="Box-Behnken",C454^2+D454^2&lt;=2+0.000000001,TRUE()))</f>
        <v>1</v>
      </c>
      <c r="Q454" s="55" t="n">
        <f aca="false">IF(P454,IF(01_因子設定!$B$13="最大化",N454-01_因子設定!$B$14,IF(01_因子設定!$B$13="最小化",01_因子設定!$B$15-O454,MIN(N454-01_因子設定!$B$14,01_因子設定!$B$15-O454))),-1E+030)</f>
        <v>-1.31833156096248</v>
      </c>
      <c r="R454" s="55" t="n">
        <f aca="false">IF(P454,IF(01_因子設定!$B$13="最大化",K454,IF(01_因子設定!$B$13="最小化",-K454,-ABS(K454-01_因子設定!$B$16))),-1E+030)</f>
        <v>46.8065373563218</v>
      </c>
      <c r="S454" s="55" t="n">
        <f aca="false">Q454+ROW()*0.000000001</f>
        <v>-1.31833110696248</v>
      </c>
      <c r="T454" s="55" t="n">
        <f aca="false">R454+ROW()*0.000000001</f>
        <v>46.8065378103218</v>
      </c>
    </row>
    <row r="455" customFormat="false" ht="15" hidden="false" customHeight="false" outlineLevel="0" collapsed="false">
      <c r="A455" s="0" t="n">
        <v>10</v>
      </c>
      <c r="B455" s="0" t="n">
        <v>40</v>
      </c>
      <c r="C455" s="0" t="n">
        <f aca="false">-1+A455*0.05</f>
        <v>-0.5</v>
      </c>
      <c r="D455" s="0" t="n">
        <f aca="false">-1+B455*0.05</f>
        <v>1</v>
      </c>
      <c r="E455" s="0" t="n">
        <f aca="false">1</f>
        <v>1</v>
      </c>
      <c r="F455" s="0" t="n">
        <f aca="false">C455</f>
        <v>-0.5</v>
      </c>
      <c r="G455" s="0" t="n">
        <f aca="false">D455</f>
        <v>1</v>
      </c>
      <c r="H455" s="0" t="n">
        <f aca="false">C455*D455</f>
        <v>-0.5</v>
      </c>
      <c r="I455" s="0" t="n">
        <f aca="false">C455*C455</f>
        <v>0.25</v>
      </c>
      <c r="J455" s="0" t="n">
        <f aca="false">D455*D455</f>
        <v>1</v>
      </c>
      <c r="K455" s="0" t="n">
        <f aca="false">SUMPRODUCT(E455:J455,_XtX!$B$53:$G$53)</f>
        <v>46.7554597701149</v>
      </c>
      <c r="L455" s="0" t="n">
        <f aca="false">SUMPRODUCT(MMULT(E455:J455,_XtX!$B$44:$G$49),E455:J455)</f>
        <v>0.500359195402299</v>
      </c>
      <c r="M455" s="0" t="n">
        <f aca="false">04_回帰ANOVA!$K$19*04_回帰ANOVA!$K$14*SQRT(1+L455)</f>
        <v>1.65987045400384</v>
      </c>
      <c r="N455" s="0" t="n">
        <f aca="false">K455-M455</f>
        <v>45.0955893161111</v>
      </c>
      <c r="O455" s="0" t="n">
        <f aca="false">K455+M455</f>
        <v>48.4153302241188</v>
      </c>
      <c r="P455" s="54" t="b">
        <f aca="false">AND(C455&gt;=01_因子設定!$L$5-0.000000001,C455&lt;=01_因子設定!$M$5+0.000000001,D455&gt;=01_因子設定!$L$6-0.000000001,D455&lt;=01_因子設定!$M$6+0.000000001,IF(01_因子設定!$B$20="Box-Behnken",C455^2+D455^2&lt;=2+0.000000001,TRUE()))</f>
        <v>1</v>
      </c>
      <c r="Q455" s="55" t="n">
        <f aca="false">IF(P455,IF(01_因子設定!$B$13="最大化",N455-01_因子設定!$B$14,IF(01_因子設定!$B$13="最小化",01_因子設定!$B$15-O455,MIN(N455-01_因子設定!$B$14,01_因子設定!$B$15-O455))),-1E+030)</f>
        <v>-1.40441068388891</v>
      </c>
      <c r="R455" s="55" t="n">
        <f aca="false">IF(P455,IF(01_因子設定!$B$13="最大化",K455,IF(01_因子設定!$B$13="最小化",-K455,-ABS(K455-01_因子設定!$B$16))),-1E+030)</f>
        <v>46.7554597701149</v>
      </c>
      <c r="S455" s="55" t="n">
        <f aca="false">Q455+ROW()*0.000000001</f>
        <v>-1.40441022888891</v>
      </c>
      <c r="T455" s="55" t="n">
        <f aca="false">R455+ROW()*0.000000001</f>
        <v>46.7554602251149</v>
      </c>
    </row>
    <row r="456" customFormat="false" ht="15" hidden="false" customHeight="false" outlineLevel="0" collapsed="false">
      <c r="A456" s="0" t="n">
        <v>11</v>
      </c>
      <c r="B456" s="0" t="n">
        <v>0</v>
      </c>
      <c r="C456" s="0" t="n">
        <f aca="false">-1+A456*0.05</f>
        <v>-0.45</v>
      </c>
      <c r="D456" s="0" t="n">
        <f aca="false">-1+B456*0.05</f>
        <v>-1</v>
      </c>
      <c r="E456" s="0" t="n">
        <f aca="false">1</f>
        <v>1</v>
      </c>
      <c r="F456" s="0" t="n">
        <f aca="false">C456</f>
        <v>-0.45</v>
      </c>
      <c r="G456" s="0" t="n">
        <f aca="false">D456</f>
        <v>-1</v>
      </c>
      <c r="H456" s="0" t="n">
        <f aca="false">C456*D456</f>
        <v>0.45</v>
      </c>
      <c r="I456" s="0" t="n">
        <f aca="false">C456*C456</f>
        <v>0.2025</v>
      </c>
      <c r="J456" s="0" t="n">
        <f aca="false">D456*D456</f>
        <v>1</v>
      </c>
      <c r="K456" s="0" t="n">
        <f aca="false">SUMPRODUCT(E456:J456,_XtX!$B$53:$G$53)</f>
        <v>42.9903405172414</v>
      </c>
      <c r="L456" s="0" t="n">
        <f aca="false">SUMPRODUCT(MMULT(E456:J456,_XtX!$B$44:$G$49),E456:J456)</f>
        <v>0.495716343390805</v>
      </c>
      <c r="M456" s="0" t="n">
        <f aca="false">04_回帰ANOVA!$K$19*04_回帰ANOVA!$K$14*SQRT(1+L456)</f>
        <v>1.65730023478681</v>
      </c>
      <c r="N456" s="0" t="n">
        <f aca="false">K456-M456</f>
        <v>41.3330402824546</v>
      </c>
      <c r="O456" s="0" t="n">
        <f aca="false">K456+M456</f>
        <v>44.6476407520282</v>
      </c>
      <c r="P456" s="54" t="b">
        <f aca="false">AND(C456&gt;=01_因子設定!$L$5-0.000000001,C456&lt;=01_因子設定!$M$5+0.000000001,D456&gt;=01_因子設定!$L$6-0.000000001,D456&lt;=01_因子設定!$M$6+0.000000001,IF(01_因子設定!$B$20="Box-Behnken",C456^2+D456^2&lt;=2+0.000000001,TRUE()))</f>
        <v>1</v>
      </c>
      <c r="Q456" s="55" t="n">
        <f aca="false">IF(P456,IF(01_因子設定!$B$13="最大化",N456-01_因子設定!$B$14,IF(01_因子設定!$B$13="最小化",01_因子設定!$B$15-O456,MIN(N456-01_因子設定!$B$14,01_因子設定!$B$15-O456))),-1E+030)</f>
        <v>-5.16695971754543</v>
      </c>
      <c r="R456" s="55" t="n">
        <f aca="false">IF(P456,IF(01_因子設定!$B$13="最大化",K456,IF(01_因子設定!$B$13="最小化",-K456,-ABS(K456-01_因子設定!$B$16))),-1E+030)</f>
        <v>42.9903405172414</v>
      </c>
      <c r="S456" s="55" t="n">
        <f aca="false">Q456+ROW()*0.000000001</f>
        <v>-5.16695926154543</v>
      </c>
      <c r="T456" s="55" t="n">
        <f aca="false">R456+ROW()*0.000000001</f>
        <v>42.9903409732414</v>
      </c>
    </row>
    <row r="457" customFormat="false" ht="15" hidden="false" customHeight="false" outlineLevel="0" collapsed="false">
      <c r="A457" s="0" t="n">
        <v>11</v>
      </c>
      <c r="B457" s="0" t="n">
        <v>1</v>
      </c>
      <c r="C457" s="0" t="n">
        <f aca="false">-1+A457*0.05</f>
        <v>-0.45</v>
      </c>
      <c r="D457" s="0" t="n">
        <f aca="false">-1+B457*0.05</f>
        <v>-0.95</v>
      </c>
      <c r="E457" s="0" t="n">
        <f aca="false">1</f>
        <v>1</v>
      </c>
      <c r="F457" s="0" t="n">
        <f aca="false">C457</f>
        <v>-0.45</v>
      </c>
      <c r="G457" s="0" t="n">
        <f aca="false">D457</f>
        <v>-0.95</v>
      </c>
      <c r="H457" s="0" t="n">
        <f aca="false">C457*D457</f>
        <v>0.4275</v>
      </c>
      <c r="I457" s="0" t="n">
        <f aca="false">C457*C457</f>
        <v>0.2025</v>
      </c>
      <c r="J457" s="0" t="n">
        <f aca="false">D457*D457</f>
        <v>0.9025</v>
      </c>
      <c r="K457" s="0" t="n">
        <f aca="false">SUMPRODUCT(E457:J457,_XtX!$B$53:$G$53)</f>
        <v>43.2414806034483</v>
      </c>
      <c r="L457" s="0" t="n">
        <f aca="false">SUMPRODUCT(MMULT(E457:J457,_XtX!$B$44:$G$49),E457:J457)</f>
        <v>0.432987841235632</v>
      </c>
      <c r="M457" s="0" t="n">
        <f aca="false">04_回帰ANOVA!$K$19*04_回帰ANOVA!$K$14*SQRT(1+L457)</f>
        <v>1.62217545204943</v>
      </c>
      <c r="N457" s="0" t="n">
        <f aca="false">K457-M457</f>
        <v>41.6193051513988</v>
      </c>
      <c r="O457" s="0" t="n">
        <f aca="false">K457+M457</f>
        <v>44.8636560554977</v>
      </c>
      <c r="P457" s="54" t="b">
        <f aca="false">AND(C457&gt;=01_因子設定!$L$5-0.000000001,C457&lt;=01_因子設定!$M$5+0.000000001,D457&gt;=01_因子設定!$L$6-0.000000001,D457&lt;=01_因子設定!$M$6+0.000000001,IF(01_因子設定!$B$20="Box-Behnken",C457^2+D457^2&lt;=2+0.000000001,TRUE()))</f>
        <v>1</v>
      </c>
      <c r="Q457" s="55" t="n">
        <f aca="false">IF(P457,IF(01_因子設定!$B$13="最大化",N457-01_因子設定!$B$14,IF(01_因子設定!$B$13="最小化",01_因子設定!$B$15-O457,MIN(N457-01_因子設定!$B$14,01_因子設定!$B$15-O457))),-1E+030)</f>
        <v>-4.88069484860116</v>
      </c>
      <c r="R457" s="55" t="n">
        <f aca="false">IF(P457,IF(01_因子設定!$B$13="最大化",K457,IF(01_因子設定!$B$13="最小化",-K457,-ABS(K457-01_因子設定!$B$16))),-1E+030)</f>
        <v>43.2414806034483</v>
      </c>
      <c r="S457" s="55" t="n">
        <f aca="false">Q457+ROW()*0.000000001</f>
        <v>-4.88069439160116</v>
      </c>
      <c r="T457" s="55" t="n">
        <f aca="false">R457+ROW()*0.000000001</f>
        <v>43.2414810604483</v>
      </c>
    </row>
    <row r="458" customFormat="false" ht="15" hidden="false" customHeight="false" outlineLevel="0" collapsed="false">
      <c r="A458" s="0" t="n">
        <v>11</v>
      </c>
      <c r="B458" s="0" t="n">
        <v>2</v>
      </c>
      <c r="C458" s="0" t="n">
        <f aca="false">-1+A458*0.05</f>
        <v>-0.45</v>
      </c>
      <c r="D458" s="0" t="n">
        <f aca="false">-1+B458*0.05</f>
        <v>-0.9</v>
      </c>
      <c r="E458" s="0" t="n">
        <f aca="false">1</f>
        <v>1</v>
      </c>
      <c r="F458" s="0" t="n">
        <f aca="false">C458</f>
        <v>-0.45</v>
      </c>
      <c r="G458" s="0" t="n">
        <f aca="false">D458</f>
        <v>-0.9</v>
      </c>
      <c r="H458" s="0" t="n">
        <f aca="false">C458*D458</f>
        <v>0.405</v>
      </c>
      <c r="I458" s="0" t="n">
        <f aca="false">C458*C458</f>
        <v>0.2025</v>
      </c>
      <c r="J458" s="0" t="n">
        <f aca="false">D458*D458</f>
        <v>0.81</v>
      </c>
      <c r="K458" s="0" t="n">
        <f aca="false">SUMPRODUCT(E458:J458,_XtX!$B$53:$G$53)</f>
        <v>43.4849051724138</v>
      </c>
      <c r="L458" s="0" t="n">
        <f aca="false">SUMPRODUCT(MMULT(E458:J458,_XtX!$B$44:$G$49),E458:J458)</f>
        <v>0.379839547413793</v>
      </c>
      <c r="M458" s="0" t="n">
        <f aca="false">04_回帰ANOVA!$K$19*04_回帰ANOVA!$K$14*SQRT(1+L458)</f>
        <v>1.59180867193519</v>
      </c>
      <c r="N458" s="0" t="n">
        <f aca="false">K458-M458</f>
        <v>41.8930965004786</v>
      </c>
      <c r="O458" s="0" t="n">
        <f aca="false">K458+M458</f>
        <v>45.076713844349</v>
      </c>
      <c r="P458" s="54" t="b">
        <f aca="false">AND(C458&gt;=01_因子設定!$L$5-0.000000001,C458&lt;=01_因子設定!$M$5+0.000000001,D458&gt;=01_因子設定!$L$6-0.000000001,D458&lt;=01_因子設定!$M$6+0.000000001,IF(01_因子設定!$B$20="Box-Behnken",C458^2+D458^2&lt;=2+0.000000001,TRUE()))</f>
        <v>1</v>
      </c>
      <c r="Q458" s="55" t="n">
        <f aca="false">IF(P458,IF(01_因子設定!$B$13="最大化",N458-01_因子設定!$B$14,IF(01_因子設定!$B$13="最小化",01_因子設定!$B$15-O458,MIN(N458-01_因子設定!$B$14,01_因子設定!$B$15-O458))),-1E+030)</f>
        <v>-4.60690349952141</v>
      </c>
      <c r="R458" s="55" t="n">
        <f aca="false">IF(P458,IF(01_因子設定!$B$13="最大化",K458,IF(01_因子設定!$B$13="最小化",-K458,-ABS(K458-01_因子設定!$B$16))),-1E+030)</f>
        <v>43.4849051724138</v>
      </c>
      <c r="S458" s="55" t="n">
        <f aca="false">Q458+ROW()*0.000000001</f>
        <v>-4.60690304152141</v>
      </c>
      <c r="T458" s="55" t="n">
        <f aca="false">R458+ROW()*0.000000001</f>
        <v>43.4849056304138</v>
      </c>
    </row>
    <row r="459" customFormat="false" ht="15" hidden="false" customHeight="false" outlineLevel="0" collapsed="false">
      <c r="A459" s="0" t="n">
        <v>11</v>
      </c>
      <c r="B459" s="0" t="n">
        <v>3</v>
      </c>
      <c r="C459" s="0" t="n">
        <f aca="false">-1+A459*0.05</f>
        <v>-0.45</v>
      </c>
      <c r="D459" s="0" t="n">
        <f aca="false">-1+B459*0.05</f>
        <v>-0.85</v>
      </c>
      <c r="E459" s="0" t="n">
        <f aca="false">1</f>
        <v>1</v>
      </c>
      <c r="F459" s="0" t="n">
        <f aca="false">C459</f>
        <v>-0.45</v>
      </c>
      <c r="G459" s="0" t="n">
        <f aca="false">D459</f>
        <v>-0.85</v>
      </c>
      <c r="H459" s="0" t="n">
        <f aca="false">C459*D459</f>
        <v>0.3825</v>
      </c>
      <c r="I459" s="0" t="n">
        <f aca="false">C459*C459</f>
        <v>0.2025</v>
      </c>
      <c r="J459" s="0" t="n">
        <f aca="false">D459*D459</f>
        <v>0.7225</v>
      </c>
      <c r="K459" s="0" t="n">
        <f aca="false">SUMPRODUCT(E459:J459,_XtX!$B$53:$G$53)</f>
        <v>43.7206142241379</v>
      </c>
      <c r="L459" s="0" t="n">
        <f aca="false">SUMPRODUCT(MMULT(E459:J459,_XtX!$B$44:$G$49),E459:J459)</f>
        <v>0.335266720545977</v>
      </c>
      <c r="M459" s="0" t="n">
        <f aca="false">04_回帰ANOVA!$K$19*04_回帰ANOVA!$K$14*SQRT(1+L459)</f>
        <v>1.56588759931073</v>
      </c>
      <c r="N459" s="0" t="n">
        <f aca="false">K459-M459</f>
        <v>42.1547266248272</v>
      </c>
      <c r="O459" s="0" t="n">
        <f aca="false">K459+M459</f>
        <v>45.2865018234487</v>
      </c>
      <c r="P459" s="54" t="b">
        <f aca="false">AND(C459&gt;=01_因子設定!$L$5-0.000000001,C459&lt;=01_因子設定!$M$5+0.000000001,D459&gt;=01_因子設定!$L$6-0.000000001,D459&lt;=01_因子設定!$M$6+0.000000001,IF(01_因子設定!$B$20="Box-Behnken",C459^2+D459^2&lt;=2+0.000000001,TRUE()))</f>
        <v>1</v>
      </c>
      <c r="Q459" s="55" t="n">
        <f aca="false">IF(P459,IF(01_因子設定!$B$13="最大化",N459-01_因子設定!$B$14,IF(01_因子設定!$B$13="最小化",01_因子設定!$B$15-O459,MIN(N459-01_因子設定!$B$14,01_因子設定!$B$15-O459))),-1E+030)</f>
        <v>-4.3452733751728</v>
      </c>
      <c r="R459" s="55" t="n">
        <f aca="false">IF(P459,IF(01_因子設定!$B$13="最大化",K459,IF(01_因子設定!$B$13="最小化",-K459,-ABS(K459-01_因子設定!$B$16))),-1E+030)</f>
        <v>43.7206142241379</v>
      </c>
      <c r="S459" s="55" t="n">
        <f aca="false">Q459+ROW()*0.000000001</f>
        <v>-4.3452729161728</v>
      </c>
      <c r="T459" s="55" t="n">
        <f aca="false">R459+ROW()*0.000000001</f>
        <v>43.7206146831379</v>
      </c>
    </row>
    <row r="460" customFormat="false" ht="15" hidden="false" customHeight="false" outlineLevel="0" collapsed="false">
      <c r="A460" s="0" t="n">
        <v>11</v>
      </c>
      <c r="B460" s="0" t="n">
        <v>4</v>
      </c>
      <c r="C460" s="0" t="n">
        <f aca="false">-1+A460*0.05</f>
        <v>-0.45</v>
      </c>
      <c r="D460" s="0" t="n">
        <f aca="false">-1+B460*0.05</f>
        <v>-0.8</v>
      </c>
      <c r="E460" s="0" t="n">
        <f aca="false">1</f>
        <v>1</v>
      </c>
      <c r="F460" s="0" t="n">
        <f aca="false">C460</f>
        <v>-0.45</v>
      </c>
      <c r="G460" s="0" t="n">
        <f aca="false">D460</f>
        <v>-0.8</v>
      </c>
      <c r="H460" s="0" t="n">
        <f aca="false">C460*D460</f>
        <v>0.36</v>
      </c>
      <c r="I460" s="0" t="n">
        <f aca="false">C460*C460</f>
        <v>0.2025</v>
      </c>
      <c r="J460" s="0" t="n">
        <f aca="false">D460*D460</f>
        <v>0.64</v>
      </c>
      <c r="K460" s="0" t="n">
        <f aca="false">SUMPRODUCT(E460:J460,_XtX!$B$53:$G$53)</f>
        <v>43.9486077586207</v>
      </c>
      <c r="L460" s="0" t="n">
        <f aca="false">SUMPRODUCT(MMULT(E460:J460,_XtX!$B$44:$G$49),E460:J460)</f>
        <v>0.298318929597701</v>
      </c>
      <c r="M460" s="0" t="n">
        <f aca="false">04_回帰ANOVA!$K$19*04_回帰ANOVA!$K$14*SQRT(1+L460)</f>
        <v>1.54407100205425</v>
      </c>
      <c r="N460" s="0" t="n">
        <f aca="false">K460-M460</f>
        <v>42.4045367565664</v>
      </c>
      <c r="O460" s="0" t="n">
        <f aca="false">K460+M460</f>
        <v>45.4926787606749</v>
      </c>
      <c r="P460" s="54" t="b">
        <f aca="false">AND(C460&gt;=01_因子設定!$L$5-0.000000001,C460&lt;=01_因子設定!$M$5+0.000000001,D460&gt;=01_因子設定!$L$6-0.000000001,D460&lt;=01_因子設定!$M$6+0.000000001,IF(01_因子設定!$B$20="Box-Behnken",C460^2+D460^2&lt;=2+0.000000001,TRUE()))</f>
        <v>1</v>
      </c>
      <c r="Q460" s="55" t="n">
        <f aca="false">IF(P460,IF(01_因子設定!$B$13="最大化",N460-01_因子設定!$B$14,IF(01_因子設定!$B$13="最小化",01_因子設定!$B$15-O460,MIN(N460-01_因子設定!$B$14,01_因子設定!$B$15-O460))),-1E+030)</f>
        <v>-4.09546324343356</v>
      </c>
      <c r="R460" s="55" t="n">
        <f aca="false">IF(P460,IF(01_因子設定!$B$13="最大化",K460,IF(01_因子設定!$B$13="最小化",-K460,-ABS(K460-01_因子設定!$B$16))),-1E+030)</f>
        <v>43.9486077586207</v>
      </c>
      <c r="S460" s="55" t="n">
        <f aca="false">Q460+ROW()*0.000000001</f>
        <v>-4.09546278343356</v>
      </c>
      <c r="T460" s="55" t="n">
        <f aca="false">R460+ROW()*0.000000001</f>
        <v>43.9486082186207</v>
      </c>
    </row>
    <row r="461" customFormat="false" ht="15" hidden="false" customHeight="false" outlineLevel="0" collapsed="false">
      <c r="A461" s="0" t="n">
        <v>11</v>
      </c>
      <c r="B461" s="0" t="n">
        <v>5</v>
      </c>
      <c r="C461" s="0" t="n">
        <f aca="false">-1+A461*0.05</f>
        <v>-0.45</v>
      </c>
      <c r="D461" s="0" t="n">
        <f aca="false">-1+B461*0.05</f>
        <v>-0.75</v>
      </c>
      <c r="E461" s="0" t="n">
        <f aca="false">1</f>
        <v>1</v>
      </c>
      <c r="F461" s="0" t="n">
        <f aca="false">C461</f>
        <v>-0.45</v>
      </c>
      <c r="G461" s="0" t="n">
        <f aca="false">D461</f>
        <v>-0.75</v>
      </c>
      <c r="H461" s="0" t="n">
        <f aca="false">C461*D461</f>
        <v>0.3375</v>
      </c>
      <c r="I461" s="0" t="n">
        <f aca="false">C461*C461</f>
        <v>0.2025</v>
      </c>
      <c r="J461" s="0" t="n">
        <f aca="false">D461*D461</f>
        <v>0.5625</v>
      </c>
      <c r="K461" s="0" t="n">
        <f aca="false">SUMPRODUCT(E461:J461,_XtX!$B$53:$G$53)</f>
        <v>44.1688857758621</v>
      </c>
      <c r="L461" s="0" t="n">
        <f aca="false">SUMPRODUCT(MMULT(E461:J461,_XtX!$B$44:$G$49),E461:J461)</f>
        <v>0.26810005387931</v>
      </c>
      <c r="M461" s="0" t="n">
        <f aca="false">04_回帰ANOVA!$K$19*04_回帰ANOVA!$K$14*SQRT(1+L461)</f>
        <v>1.52599578070166</v>
      </c>
      <c r="N461" s="0" t="n">
        <f aca="false">K461-M461</f>
        <v>42.6428899951604</v>
      </c>
      <c r="O461" s="0" t="n">
        <f aca="false">K461+M461</f>
        <v>45.6948815565637</v>
      </c>
      <c r="P461" s="54" t="b">
        <f aca="false">AND(C461&gt;=01_因子設定!$L$5-0.000000001,C461&lt;=01_因子設定!$M$5+0.000000001,D461&gt;=01_因子設定!$L$6-0.000000001,D461&lt;=01_因子設定!$M$6+0.000000001,IF(01_因子設定!$B$20="Box-Behnken",C461^2+D461^2&lt;=2+0.000000001,TRUE()))</f>
        <v>1</v>
      </c>
      <c r="Q461" s="55" t="n">
        <f aca="false">IF(P461,IF(01_因子設定!$B$13="最大化",N461-01_因子設定!$B$14,IF(01_因子設定!$B$13="最小化",01_因子設定!$B$15-O461,MIN(N461-01_因子設定!$B$14,01_因子設定!$B$15-O461))),-1E+030)</f>
        <v>-3.85711000483959</v>
      </c>
      <c r="R461" s="55" t="n">
        <f aca="false">IF(P461,IF(01_因子設定!$B$13="最大化",K461,IF(01_因子設定!$B$13="最小化",-K461,-ABS(K461-01_因子設定!$B$16))),-1E+030)</f>
        <v>44.1688857758621</v>
      </c>
      <c r="S461" s="55" t="n">
        <f aca="false">Q461+ROW()*0.000000001</f>
        <v>-3.85710954383959</v>
      </c>
      <c r="T461" s="55" t="n">
        <f aca="false">R461+ROW()*0.000000001</f>
        <v>44.1688862368621</v>
      </c>
    </row>
    <row r="462" customFormat="false" ht="15" hidden="false" customHeight="false" outlineLevel="0" collapsed="false">
      <c r="A462" s="0" t="n">
        <v>11</v>
      </c>
      <c r="B462" s="0" t="n">
        <v>6</v>
      </c>
      <c r="C462" s="0" t="n">
        <f aca="false">-1+A462*0.05</f>
        <v>-0.45</v>
      </c>
      <c r="D462" s="0" t="n">
        <f aca="false">-1+B462*0.05</f>
        <v>-0.7</v>
      </c>
      <c r="E462" s="0" t="n">
        <f aca="false">1</f>
        <v>1</v>
      </c>
      <c r="F462" s="0" t="n">
        <f aca="false">C462</f>
        <v>-0.45</v>
      </c>
      <c r="G462" s="0" t="n">
        <f aca="false">D462</f>
        <v>-0.7</v>
      </c>
      <c r="H462" s="0" t="n">
        <f aca="false">C462*D462</f>
        <v>0.315</v>
      </c>
      <c r="I462" s="0" t="n">
        <f aca="false">C462*C462</f>
        <v>0.2025</v>
      </c>
      <c r="J462" s="0" t="n">
        <f aca="false">D462*D462</f>
        <v>0.49</v>
      </c>
      <c r="K462" s="0" t="n">
        <f aca="false">SUMPRODUCT(E462:J462,_XtX!$B$53:$G$53)</f>
        <v>44.3814482758621</v>
      </c>
      <c r="L462" s="0" t="n">
        <f aca="false">SUMPRODUCT(MMULT(E462:J462,_XtX!$B$44:$G$49),E462:J462)</f>
        <v>0.243768283045977</v>
      </c>
      <c r="M462" s="0" t="n">
        <f aca="false">04_回帰ANOVA!$K$19*04_回帰ANOVA!$K$14*SQRT(1+L462)</f>
        <v>1.51128478900926</v>
      </c>
      <c r="N462" s="0" t="n">
        <f aca="false">K462-M462</f>
        <v>42.8701634868528</v>
      </c>
      <c r="O462" s="0" t="n">
        <f aca="false">K462+M462</f>
        <v>45.8927330648713</v>
      </c>
      <c r="P462" s="54" t="b">
        <f aca="false">AND(C462&gt;=01_因子設定!$L$5-0.000000001,C462&lt;=01_因子設定!$M$5+0.000000001,D462&gt;=01_因子設定!$L$6-0.000000001,D462&lt;=01_因子設定!$M$6+0.000000001,IF(01_因子設定!$B$20="Box-Behnken",C462^2+D462^2&lt;=2+0.000000001,TRUE()))</f>
        <v>1</v>
      </c>
      <c r="Q462" s="55" t="n">
        <f aca="false">IF(P462,IF(01_因子設定!$B$13="最大化",N462-01_因子設定!$B$14,IF(01_因子設定!$B$13="最小化",01_因子設定!$B$15-O462,MIN(N462-01_因子設定!$B$14,01_因子設定!$B$15-O462))),-1E+030)</f>
        <v>-3.6298365131472</v>
      </c>
      <c r="R462" s="55" t="n">
        <f aca="false">IF(P462,IF(01_因子設定!$B$13="最大化",K462,IF(01_因子設定!$B$13="最小化",-K462,-ABS(K462-01_因子設定!$B$16))),-1E+030)</f>
        <v>44.3814482758621</v>
      </c>
      <c r="S462" s="55" t="n">
        <f aca="false">Q462+ROW()*0.000000001</f>
        <v>-3.6298360511472</v>
      </c>
      <c r="T462" s="55" t="n">
        <f aca="false">R462+ROW()*0.000000001</f>
        <v>44.3814487378621</v>
      </c>
    </row>
    <row r="463" customFormat="false" ht="15" hidden="false" customHeight="false" outlineLevel="0" collapsed="false">
      <c r="A463" s="0" t="n">
        <v>11</v>
      </c>
      <c r="B463" s="0" t="n">
        <v>7</v>
      </c>
      <c r="C463" s="0" t="n">
        <f aca="false">-1+A463*0.05</f>
        <v>-0.45</v>
      </c>
      <c r="D463" s="0" t="n">
        <f aca="false">-1+B463*0.05</f>
        <v>-0.65</v>
      </c>
      <c r="E463" s="0" t="n">
        <f aca="false">1</f>
        <v>1</v>
      </c>
      <c r="F463" s="0" t="n">
        <f aca="false">C463</f>
        <v>-0.45</v>
      </c>
      <c r="G463" s="0" t="n">
        <f aca="false">D463</f>
        <v>-0.65</v>
      </c>
      <c r="H463" s="0" t="n">
        <f aca="false">C463*D463</f>
        <v>0.2925</v>
      </c>
      <c r="I463" s="0" t="n">
        <f aca="false">C463*C463</f>
        <v>0.2025</v>
      </c>
      <c r="J463" s="0" t="n">
        <f aca="false">D463*D463</f>
        <v>0.4225</v>
      </c>
      <c r="K463" s="0" t="n">
        <f aca="false">SUMPRODUCT(E463:J463,_XtX!$B$53:$G$53)</f>
        <v>44.5862952586207</v>
      </c>
      <c r="L463" s="0" t="n">
        <f aca="false">SUMPRODUCT(MMULT(E463:J463,_XtX!$B$44:$G$49),E463:J463)</f>
        <v>0.224536117097701</v>
      </c>
      <c r="M463" s="0" t="n">
        <f aca="false">04_回帰ANOVA!$K$19*04_回帰ANOVA!$K$14*SQRT(1+L463)</f>
        <v>1.49955490522416</v>
      </c>
      <c r="N463" s="0" t="n">
        <f aca="false">K463-M463</f>
        <v>43.0867403533965</v>
      </c>
      <c r="O463" s="0" t="n">
        <f aca="false">K463+M463</f>
        <v>46.0858501638448</v>
      </c>
      <c r="P463" s="54" t="b">
        <f aca="false">AND(C463&gt;=01_因子設定!$L$5-0.000000001,C463&lt;=01_因子設定!$M$5+0.000000001,D463&gt;=01_因子設定!$L$6-0.000000001,D463&lt;=01_因子設定!$M$6+0.000000001,IF(01_因子設定!$B$20="Box-Behnken",C463^2+D463^2&lt;=2+0.000000001,TRUE()))</f>
        <v>1</v>
      </c>
      <c r="Q463" s="55" t="n">
        <f aca="false">IF(P463,IF(01_因子設定!$B$13="最大化",N463-01_因子設定!$B$14,IF(01_因子設定!$B$13="最小化",01_因子設定!$B$15-O463,MIN(N463-01_因子設定!$B$14,01_因子設定!$B$15-O463))),-1E+030)</f>
        <v>-3.41325964660346</v>
      </c>
      <c r="R463" s="55" t="n">
        <f aca="false">IF(P463,IF(01_因子設定!$B$13="最大化",K463,IF(01_因子設定!$B$13="最小化",-K463,-ABS(K463-01_因子設定!$B$16))),-1E+030)</f>
        <v>44.5862952586207</v>
      </c>
      <c r="S463" s="55" t="n">
        <f aca="false">Q463+ROW()*0.000000001</f>
        <v>-3.41325918360346</v>
      </c>
      <c r="T463" s="55" t="n">
        <f aca="false">R463+ROW()*0.000000001</f>
        <v>44.5862957216207</v>
      </c>
    </row>
    <row r="464" customFormat="false" ht="15" hidden="false" customHeight="false" outlineLevel="0" collapsed="false">
      <c r="A464" s="0" t="n">
        <v>11</v>
      </c>
      <c r="B464" s="0" t="n">
        <v>8</v>
      </c>
      <c r="C464" s="0" t="n">
        <f aca="false">-1+A464*0.05</f>
        <v>-0.45</v>
      </c>
      <c r="D464" s="0" t="n">
        <f aca="false">-1+B464*0.05</f>
        <v>-0.6</v>
      </c>
      <c r="E464" s="0" t="n">
        <f aca="false">1</f>
        <v>1</v>
      </c>
      <c r="F464" s="0" t="n">
        <f aca="false">C464</f>
        <v>-0.45</v>
      </c>
      <c r="G464" s="0" t="n">
        <f aca="false">D464</f>
        <v>-0.6</v>
      </c>
      <c r="H464" s="0" t="n">
        <f aca="false">C464*D464</f>
        <v>0.27</v>
      </c>
      <c r="I464" s="0" t="n">
        <f aca="false">C464*C464</f>
        <v>0.2025</v>
      </c>
      <c r="J464" s="0" t="n">
        <f aca="false">D464*D464</f>
        <v>0.36</v>
      </c>
      <c r="K464" s="0" t="n">
        <f aca="false">SUMPRODUCT(E464:J464,_XtX!$B$53:$G$53)</f>
        <v>44.7834267241379</v>
      </c>
      <c r="L464" s="0" t="n">
        <f aca="false">SUMPRODUCT(MMULT(E464:J464,_XtX!$B$44:$G$49),E464:J464)</f>
        <v>0.20967036637931</v>
      </c>
      <c r="M464" s="0" t="n">
        <f aca="false">04_回帰ANOVA!$K$19*04_回帰ANOVA!$K$14*SQRT(1+L464)</f>
        <v>1.49042488503951</v>
      </c>
      <c r="N464" s="0" t="n">
        <f aca="false">K464-M464</f>
        <v>43.2930018390984</v>
      </c>
      <c r="O464" s="0" t="n">
        <f aca="false">K464+M464</f>
        <v>46.2738516091774</v>
      </c>
      <c r="P464" s="54" t="b">
        <f aca="false">AND(C464&gt;=01_因子設定!$L$5-0.000000001,C464&lt;=01_因子設定!$M$5+0.000000001,D464&gt;=01_因子設定!$L$6-0.000000001,D464&lt;=01_因子設定!$M$6+0.000000001,IF(01_因子設定!$B$20="Box-Behnken",C464^2+D464^2&lt;=2+0.000000001,TRUE()))</f>
        <v>1</v>
      </c>
      <c r="Q464" s="55" t="n">
        <f aca="false">IF(P464,IF(01_因子設定!$B$13="最大化",N464-01_因子設定!$B$14,IF(01_因子設定!$B$13="最小化",01_因子設定!$B$15-O464,MIN(N464-01_因子設定!$B$14,01_因子設定!$B$15-O464))),-1E+030)</f>
        <v>-3.20699816090158</v>
      </c>
      <c r="R464" s="55" t="n">
        <f aca="false">IF(P464,IF(01_因子設定!$B$13="最大化",K464,IF(01_因子設定!$B$13="最小化",-K464,-ABS(K464-01_因子設定!$B$16))),-1E+030)</f>
        <v>44.7834267241379</v>
      </c>
      <c r="S464" s="55" t="n">
        <f aca="false">Q464+ROW()*0.000000001</f>
        <v>-3.20699769690158</v>
      </c>
      <c r="T464" s="55" t="n">
        <f aca="false">R464+ROW()*0.000000001</f>
        <v>44.7834271881379</v>
      </c>
    </row>
    <row r="465" customFormat="false" ht="15" hidden="false" customHeight="false" outlineLevel="0" collapsed="false">
      <c r="A465" s="0" t="n">
        <v>11</v>
      </c>
      <c r="B465" s="0" t="n">
        <v>9</v>
      </c>
      <c r="C465" s="0" t="n">
        <f aca="false">-1+A465*0.05</f>
        <v>-0.45</v>
      </c>
      <c r="D465" s="0" t="n">
        <f aca="false">-1+B465*0.05</f>
        <v>-0.55</v>
      </c>
      <c r="E465" s="0" t="n">
        <f aca="false">1</f>
        <v>1</v>
      </c>
      <c r="F465" s="0" t="n">
        <f aca="false">C465</f>
        <v>-0.45</v>
      </c>
      <c r="G465" s="0" t="n">
        <f aca="false">D465</f>
        <v>-0.55</v>
      </c>
      <c r="H465" s="0" t="n">
        <f aca="false">C465*D465</f>
        <v>0.2475</v>
      </c>
      <c r="I465" s="0" t="n">
        <f aca="false">C465*C465</f>
        <v>0.2025</v>
      </c>
      <c r="J465" s="0" t="n">
        <f aca="false">D465*D465</f>
        <v>0.3025</v>
      </c>
      <c r="K465" s="0" t="n">
        <f aca="false">SUMPRODUCT(E465:J465,_XtX!$B$53:$G$53)</f>
        <v>44.9728426724138</v>
      </c>
      <c r="L465" s="0" t="n">
        <f aca="false">SUMPRODUCT(MMULT(E465:J465,_XtX!$B$44:$G$49),E465:J465)</f>
        <v>0.19849215158046</v>
      </c>
      <c r="M465" s="0" t="n">
        <f aca="false">04_回帰ANOVA!$K$19*04_回帰ANOVA!$K$14*SQRT(1+L465)</f>
        <v>1.48352260940076</v>
      </c>
      <c r="N465" s="0" t="n">
        <f aca="false">K465-M465</f>
        <v>43.489320063013</v>
      </c>
      <c r="O465" s="0" t="n">
        <f aca="false">K465+M465</f>
        <v>46.4563652818146</v>
      </c>
      <c r="P465" s="54" t="b">
        <f aca="false">AND(C465&gt;=01_因子設定!$L$5-0.000000001,C465&lt;=01_因子設定!$M$5+0.000000001,D465&gt;=01_因子設定!$L$6-0.000000001,D465&lt;=01_因子設定!$M$6+0.000000001,IF(01_因子設定!$B$20="Box-Behnken",C465^2+D465^2&lt;=2+0.000000001,TRUE()))</f>
        <v>1</v>
      </c>
      <c r="Q465" s="55" t="n">
        <f aca="false">IF(P465,IF(01_因子設定!$B$13="最大化",N465-01_因子設定!$B$14,IF(01_因子設定!$B$13="最小化",01_因子設定!$B$15-O465,MIN(N465-01_因子設定!$B$14,01_因子設定!$B$15-O465))),-1E+030)</f>
        <v>-3.01067993698697</v>
      </c>
      <c r="R465" s="55" t="n">
        <f aca="false">IF(P465,IF(01_因子設定!$B$13="最大化",K465,IF(01_因子設定!$B$13="最小化",-K465,-ABS(K465-01_因子設定!$B$16))),-1E+030)</f>
        <v>44.9728426724138</v>
      </c>
      <c r="S465" s="55" t="n">
        <f aca="false">Q465+ROW()*0.000000001</f>
        <v>-3.01067947198697</v>
      </c>
      <c r="T465" s="55" t="n">
        <f aca="false">R465+ROW()*0.000000001</f>
        <v>44.9728431374138</v>
      </c>
    </row>
    <row r="466" customFormat="false" ht="15" hidden="false" customHeight="false" outlineLevel="0" collapsed="false">
      <c r="A466" s="0" t="n">
        <v>11</v>
      </c>
      <c r="B466" s="0" t="n">
        <v>10</v>
      </c>
      <c r="C466" s="0" t="n">
        <f aca="false">-1+A466*0.05</f>
        <v>-0.45</v>
      </c>
      <c r="D466" s="0" t="n">
        <f aca="false">-1+B466*0.05</f>
        <v>-0.5</v>
      </c>
      <c r="E466" s="0" t="n">
        <f aca="false">1</f>
        <v>1</v>
      </c>
      <c r="F466" s="0" t="n">
        <f aca="false">C466</f>
        <v>-0.45</v>
      </c>
      <c r="G466" s="0" t="n">
        <f aca="false">D466</f>
        <v>-0.5</v>
      </c>
      <c r="H466" s="0" t="n">
        <f aca="false">C466*D466</f>
        <v>0.225</v>
      </c>
      <c r="I466" s="0" t="n">
        <f aca="false">C466*C466</f>
        <v>0.2025</v>
      </c>
      <c r="J466" s="0" t="n">
        <f aca="false">D466*D466</f>
        <v>0.25</v>
      </c>
      <c r="K466" s="0" t="n">
        <f aca="false">SUMPRODUCT(E466:J466,_XtX!$B$53:$G$53)</f>
        <v>45.1545431034483</v>
      </c>
      <c r="L466" s="0" t="n">
        <f aca="false">SUMPRODUCT(MMULT(E466:J466,_XtX!$B$44:$G$49),E466:J466)</f>
        <v>0.190376903735632</v>
      </c>
      <c r="M466" s="0" t="n">
        <f aca="false">04_回帰ANOVA!$K$19*04_回帰ANOVA!$K$14*SQRT(1+L466)</f>
        <v>1.47849145301872</v>
      </c>
      <c r="N466" s="0" t="n">
        <f aca="false">K466-M466</f>
        <v>43.6760516504296</v>
      </c>
      <c r="O466" s="0" t="n">
        <f aca="false">K466+M466</f>
        <v>46.633034556467</v>
      </c>
      <c r="P466" s="54" t="b">
        <f aca="false">AND(C466&gt;=01_因子設定!$L$5-0.000000001,C466&lt;=01_因子設定!$M$5+0.000000001,D466&gt;=01_因子設定!$L$6-0.000000001,D466&lt;=01_因子設定!$M$6+0.000000001,IF(01_因子設定!$B$20="Box-Behnken",C466^2+D466^2&lt;=2+0.000000001,TRUE()))</f>
        <v>1</v>
      </c>
      <c r="Q466" s="55" t="n">
        <f aca="false">IF(P466,IF(01_因子設定!$B$13="最大化",N466-01_因子設定!$B$14,IF(01_因子設定!$B$13="最小化",01_因子設定!$B$15-O466,MIN(N466-01_因子設定!$B$14,01_因子設定!$B$15-O466))),-1E+030)</f>
        <v>-2.82394834957045</v>
      </c>
      <c r="R466" s="55" t="n">
        <f aca="false">IF(P466,IF(01_因子設定!$B$13="最大化",K466,IF(01_因子設定!$B$13="最小化",-K466,-ABS(K466-01_因子設定!$B$16))),-1E+030)</f>
        <v>45.1545431034483</v>
      </c>
      <c r="S466" s="55" t="n">
        <f aca="false">Q466+ROW()*0.000000001</f>
        <v>-2.82394788357045</v>
      </c>
      <c r="T466" s="55" t="n">
        <f aca="false">R466+ROW()*0.000000001</f>
        <v>45.1545435694483</v>
      </c>
    </row>
    <row r="467" customFormat="false" ht="15" hidden="false" customHeight="false" outlineLevel="0" collapsed="false">
      <c r="A467" s="0" t="n">
        <v>11</v>
      </c>
      <c r="B467" s="0" t="n">
        <v>11</v>
      </c>
      <c r="C467" s="0" t="n">
        <f aca="false">-1+A467*0.05</f>
        <v>-0.45</v>
      </c>
      <c r="D467" s="0" t="n">
        <f aca="false">-1+B467*0.05</f>
        <v>-0.45</v>
      </c>
      <c r="E467" s="0" t="n">
        <f aca="false">1</f>
        <v>1</v>
      </c>
      <c r="F467" s="0" t="n">
        <f aca="false">C467</f>
        <v>-0.45</v>
      </c>
      <c r="G467" s="0" t="n">
        <f aca="false">D467</f>
        <v>-0.45</v>
      </c>
      <c r="H467" s="0" t="n">
        <f aca="false">C467*D467</f>
        <v>0.2025</v>
      </c>
      <c r="I467" s="0" t="n">
        <f aca="false">C467*C467</f>
        <v>0.2025</v>
      </c>
      <c r="J467" s="0" t="n">
        <f aca="false">D467*D467</f>
        <v>0.2025</v>
      </c>
      <c r="K467" s="0" t="n">
        <f aca="false">SUMPRODUCT(E467:J467,_XtX!$B$53:$G$53)</f>
        <v>45.3285280172414</v>
      </c>
      <c r="L467" s="0" t="n">
        <f aca="false">SUMPRODUCT(MMULT(E467:J467,_XtX!$B$44:$G$49),E467:J467)</f>
        <v>0.184754364224138</v>
      </c>
      <c r="M467" s="0" t="n">
        <f aca="false">04_回帰ANOVA!$K$19*04_回帰ANOVA!$K$14*SQRT(1+L467)</f>
        <v>1.4749956207551</v>
      </c>
      <c r="N467" s="0" t="n">
        <f aca="false">K467-M467</f>
        <v>43.8535323964863</v>
      </c>
      <c r="O467" s="0" t="n">
        <f aca="false">K467+M467</f>
        <v>46.8035236379965</v>
      </c>
      <c r="P467" s="54" t="b">
        <f aca="false">AND(C467&gt;=01_因子設定!$L$5-0.000000001,C467&lt;=01_因子設定!$M$5+0.000000001,D467&gt;=01_因子設定!$L$6-0.000000001,D467&lt;=01_因子設定!$M$6+0.000000001,IF(01_因子設定!$B$20="Box-Behnken",C467^2+D467^2&lt;=2+0.000000001,TRUE()))</f>
        <v>1</v>
      </c>
      <c r="Q467" s="55" t="n">
        <f aca="false">IF(P467,IF(01_因子設定!$B$13="最大化",N467-01_因子設定!$B$14,IF(01_因子設定!$B$13="最小化",01_因子設定!$B$15-O467,MIN(N467-01_因子設定!$B$14,01_因子設定!$B$15-O467))),-1E+030)</f>
        <v>-2.64646760351373</v>
      </c>
      <c r="R467" s="55" t="n">
        <f aca="false">IF(P467,IF(01_因子設定!$B$13="最大化",K467,IF(01_因子設定!$B$13="最小化",-K467,-ABS(K467-01_因子設定!$B$16))),-1E+030)</f>
        <v>45.3285280172414</v>
      </c>
      <c r="S467" s="55" t="n">
        <f aca="false">Q467+ROW()*0.000000001</f>
        <v>-2.64646713651373</v>
      </c>
      <c r="T467" s="55" t="n">
        <f aca="false">R467+ROW()*0.000000001</f>
        <v>45.3285284842414</v>
      </c>
    </row>
    <row r="468" customFormat="false" ht="15" hidden="false" customHeight="false" outlineLevel="0" collapsed="false">
      <c r="A468" s="0" t="n">
        <v>11</v>
      </c>
      <c r="B468" s="0" t="n">
        <v>12</v>
      </c>
      <c r="C468" s="0" t="n">
        <f aca="false">-1+A468*0.05</f>
        <v>-0.45</v>
      </c>
      <c r="D468" s="0" t="n">
        <f aca="false">-1+B468*0.05</f>
        <v>-0.4</v>
      </c>
      <c r="E468" s="0" t="n">
        <f aca="false">1</f>
        <v>1</v>
      </c>
      <c r="F468" s="0" t="n">
        <f aca="false">C468</f>
        <v>-0.45</v>
      </c>
      <c r="G468" s="0" t="n">
        <f aca="false">D468</f>
        <v>-0.4</v>
      </c>
      <c r="H468" s="0" t="n">
        <f aca="false">C468*D468</f>
        <v>0.18</v>
      </c>
      <c r="I468" s="0" t="n">
        <f aca="false">C468*C468</f>
        <v>0.2025</v>
      </c>
      <c r="J468" s="0" t="n">
        <f aca="false">D468*D468</f>
        <v>0.16</v>
      </c>
      <c r="K468" s="0" t="n">
        <f aca="false">SUMPRODUCT(E468:J468,_XtX!$B$53:$G$53)</f>
        <v>45.4947974137931</v>
      </c>
      <c r="L468" s="0" t="n">
        <f aca="false">SUMPRODUCT(MMULT(E468:J468,_XtX!$B$44:$G$49),E468:J468)</f>
        <v>0.181108584770115</v>
      </c>
      <c r="M468" s="0" t="n">
        <f aca="false">04_回帰ANOVA!$K$19*04_回帰ANOVA!$K$14*SQRT(1+L468)</f>
        <v>1.47272441068535</v>
      </c>
      <c r="N468" s="0" t="n">
        <f aca="false">K468-M468</f>
        <v>44.0220730031078</v>
      </c>
      <c r="O468" s="0" t="n">
        <f aca="false">K468+M468</f>
        <v>46.9675218244785</v>
      </c>
      <c r="P468" s="54" t="b">
        <f aca="false">AND(C468&gt;=01_因子設定!$L$5-0.000000001,C468&lt;=01_因子設定!$M$5+0.000000001,D468&gt;=01_因子設定!$L$6-0.000000001,D468&lt;=01_因子設定!$M$6+0.000000001,IF(01_因子設定!$B$20="Box-Behnken",C468^2+D468^2&lt;=2+0.000000001,TRUE()))</f>
        <v>1</v>
      </c>
      <c r="Q468" s="55" t="n">
        <f aca="false">IF(P468,IF(01_因子設定!$B$13="最大化",N468-01_因子設定!$B$14,IF(01_因子設定!$B$13="最小化",01_因子設定!$B$15-O468,MIN(N468-01_因子設定!$B$14,01_因子設定!$B$15-O468))),-1E+030)</f>
        <v>-2.47792699689225</v>
      </c>
      <c r="R468" s="55" t="n">
        <f aca="false">IF(P468,IF(01_因子設定!$B$13="最大化",K468,IF(01_因子設定!$B$13="最小化",-K468,-ABS(K468-01_因子設定!$B$16))),-1E+030)</f>
        <v>45.4947974137931</v>
      </c>
      <c r="S468" s="55" t="n">
        <f aca="false">Q468+ROW()*0.000000001</f>
        <v>-2.47792652889225</v>
      </c>
      <c r="T468" s="55" t="n">
        <f aca="false">R468+ROW()*0.000000001</f>
        <v>45.4947978817931</v>
      </c>
    </row>
    <row r="469" customFormat="false" ht="15" hidden="false" customHeight="false" outlineLevel="0" collapsed="false">
      <c r="A469" s="0" t="n">
        <v>11</v>
      </c>
      <c r="B469" s="0" t="n">
        <v>13</v>
      </c>
      <c r="C469" s="0" t="n">
        <f aca="false">-1+A469*0.05</f>
        <v>-0.45</v>
      </c>
      <c r="D469" s="0" t="n">
        <f aca="false">-1+B469*0.05</f>
        <v>-0.35</v>
      </c>
      <c r="E469" s="0" t="n">
        <f aca="false">1</f>
        <v>1</v>
      </c>
      <c r="F469" s="0" t="n">
        <f aca="false">C469</f>
        <v>-0.45</v>
      </c>
      <c r="G469" s="0" t="n">
        <f aca="false">D469</f>
        <v>-0.35</v>
      </c>
      <c r="H469" s="0" t="n">
        <f aca="false">C469*D469</f>
        <v>0.1575</v>
      </c>
      <c r="I469" s="0" t="n">
        <f aca="false">C469*C469</f>
        <v>0.2025</v>
      </c>
      <c r="J469" s="0" t="n">
        <f aca="false">D469*D469</f>
        <v>0.1225</v>
      </c>
      <c r="K469" s="0" t="n">
        <f aca="false">SUMPRODUCT(E469:J469,_XtX!$B$53:$G$53)</f>
        <v>45.6533512931034</v>
      </c>
      <c r="L469" s="0" t="n">
        <f aca="false">SUMPRODUCT(MMULT(E469:J469,_XtX!$B$44:$G$49),E469:J469)</f>
        <v>0.178977927442529</v>
      </c>
      <c r="M469" s="0" t="n">
        <f aca="false">04_回帰ANOVA!$K$19*04_回帰ANOVA!$K$14*SQRT(1+L469)</f>
        <v>1.47139545265652</v>
      </c>
      <c r="N469" s="0" t="n">
        <f aca="false">K469-M469</f>
        <v>44.1819558404469</v>
      </c>
      <c r="O469" s="0" t="n">
        <f aca="false">K469+M469</f>
        <v>47.12474674576</v>
      </c>
      <c r="P469" s="54" t="b">
        <f aca="false">AND(C469&gt;=01_因子設定!$L$5-0.000000001,C469&lt;=01_因子設定!$M$5+0.000000001,D469&gt;=01_因子設定!$L$6-0.000000001,D469&lt;=01_因子設定!$M$6+0.000000001,IF(01_因子設定!$B$20="Box-Behnken",C469^2+D469^2&lt;=2+0.000000001,TRUE()))</f>
        <v>1</v>
      </c>
      <c r="Q469" s="55" t="n">
        <f aca="false">IF(P469,IF(01_因子設定!$B$13="最大化",N469-01_因子設定!$B$14,IF(01_因子設定!$B$13="最小化",01_因子設定!$B$15-O469,MIN(N469-01_因子設定!$B$14,01_因子設定!$B$15-O469))),-1E+030)</f>
        <v>-2.31804415955308</v>
      </c>
      <c r="R469" s="55" t="n">
        <f aca="false">IF(P469,IF(01_因子設定!$B$13="最大化",K469,IF(01_因子設定!$B$13="最小化",-K469,-ABS(K469-01_因子設定!$B$16))),-1E+030)</f>
        <v>45.6533512931034</v>
      </c>
      <c r="S469" s="55" t="n">
        <f aca="false">Q469+ROW()*0.000000001</f>
        <v>-2.31804369055308</v>
      </c>
      <c r="T469" s="55" t="n">
        <f aca="false">R469+ROW()*0.000000001</f>
        <v>45.6533517621034</v>
      </c>
    </row>
    <row r="470" customFormat="false" ht="15" hidden="false" customHeight="false" outlineLevel="0" collapsed="false">
      <c r="A470" s="0" t="n">
        <v>11</v>
      </c>
      <c r="B470" s="0" t="n">
        <v>14</v>
      </c>
      <c r="C470" s="0" t="n">
        <f aca="false">-1+A470*0.05</f>
        <v>-0.45</v>
      </c>
      <c r="D470" s="0" t="n">
        <f aca="false">-1+B470*0.05</f>
        <v>-0.3</v>
      </c>
      <c r="E470" s="0" t="n">
        <f aca="false">1</f>
        <v>1</v>
      </c>
      <c r="F470" s="0" t="n">
        <f aca="false">C470</f>
        <v>-0.45</v>
      </c>
      <c r="G470" s="0" t="n">
        <f aca="false">D470</f>
        <v>-0.3</v>
      </c>
      <c r="H470" s="0" t="n">
        <f aca="false">C470*D470</f>
        <v>0.135</v>
      </c>
      <c r="I470" s="0" t="n">
        <f aca="false">C470*C470</f>
        <v>0.2025</v>
      </c>
      <c r="J470" s="0" t="n">
        <f aca="false">D470*D470</f>
        <v>0.09</v>
      </c>
      <c r="K470" s="0" t="n">
        <f aca="false">SUMPRODUCT(E470:J470,_XtX!$B$53:$G$53)</f>
        <v>45.8041896551724</v>
      </c>
      <c r="L470" s="0" t="n">
        <f aca="false">SUMPRODUCT(MMULT(E470:J470,_XtX!$B$44:$G$49),E470:J470)</f>
        <v>0.177955064655172</v>
      </c>
      <c r="M470" s="0" t="n">
        <f aca="false">04_回帰ANOVA!$K$19*04_回帰ANOVA!$K$14*SQRT(1+L470)</f>
        <v>1.47075703432952</v>
      </c>
      <c r="N470" s="0" t="n">
        <f aca="false">K470-M470</f>
        <v>44.3334326208429</v>
      </c>
      <c r="O470" s="0" t="n">
        <f aca="false">K470+M470</f>
        <v>47.2749466895019</v>
      </c>
      <c r="P470" s="54" t="b">
        <f aca="false">AND(C470&gt;=01_因子設定!$L$5-0.000000001,C470&lt;=01_因子設定!$M$5+0.000000001,D470&gt;=01_因子設定!$L$6-0.000000001,D470&lt;=01_因子設定!$M$6+0.000000001,IF(01_因子設定!$B$20="Box-Behnken",C470^2+D470^2&lt;=2+0.000000001,TRUE()))</f>
        <v>1</v>
      </c>
      <c r="Q470" s="55" t="n">
        <f aca="false">IF(P470,IF(01_因子設定!$B$13="最大化",N470-01_因子設定!$B$14,IF(01_因子設定!$B$13="最小化",01_因子設定!$B$15-O470,MIN(N470-01_因子設定!$B$14,01_因子設定!$B$15-O470))),-1E+030)</f>
        <v>-2.16656737915711</v>
      </c>
      <c r="R470" s="55" t="n">
        <f aca="false">IF(P470,IF(01_因子設定!$B$13="最大化",K470,IF(01_因子設定!$B$13="最小化",-K470,-ABS(K470-01_因子設定!$B$16))),-1E+030)</f>
        <v>45.8041896551724</v>
      </c>
      <c r="S470" s="55" t="n">
        <f aca="false">Q470+ROW()*0.000000001</f>
        <v>-2.16656690915711</v>
      </c>
      <c r="T470" s="55" t="n">
        <f aca="false">R470+ROW()*0.000000001</f>
        <v>45.8041901251724</v>
      </c>
    </row>
    <row r="471" customFormat="false" ht="15" hidden="false" customHeight="false" outlineLevel="0" collapsed="false">
      <c r="A471" s="0" t="n">
        <v>11</v>
      </c>
      <c r="B471" s="0" t="n">
        <v>15</v>
      </c>
      <c r="C471" s="0" t="n">
        <f aca="false">-1+A471*0.05</f>
        <v>-0.45</v>
      </c>
      <c r="D471" s="0" t="n">
        <f aca="false">-1+B471*0.05</f>
        <v>-0.25</v>
      </c>
      <c r="E471" s="0" t="n">
        <f aca="false">1</f>
        <v>1</v>
      </c>
      <c r="F471" s="0" t="n">
        <f aca="false">C471</f>
        <v>-0.45</v>
      </c>
      <c r="G471" s="0" t="n">
        <f aca="false">D471</f>
        <v>-0.25</v>
      </c>
      <c r="H471" s="0" t="n">
        <f aca="false">C471*D471</f>
        <v>0.1125</v>
      </c>
      <c r="I471" s="0" t="n">
        <f aca="false">C471*C471</f>
        <v>0.2025</v>
      </c>
      <c r="J471" s="0" t="n">
        <f aca="false">D471*D471</f>
        <v>0.0625</v>
      </c>
      <c r="K471" s="0" t="n">
        <f aca="false">SUMPRODUCT(E471:J471,_XtX!$B$53:$G$53)</f>
        <v>45.9473125</v>
      </c>
      <c r="L471" s="0" t="n">
        <f aca="false">SUMPRODUCT(MMULT(E471:J471,_XtX!$B$44:$G$49),E471:J471)</f>
        <v>0.177686979166667</v>
      </c>
      <c r="M471" s="0" t="n">
        <f aca="false">04_回帰ANOVA!$K$19*04_回帰ANOVA!$K$14*SQRT(1+L471)</f>
        <v>1.47058966332106</v>
      </c>
      <c r="N471" s="0" t="n">
        <f aca="false">K471-M471</f>
        <v>44.4767228366789</v>
      </c>
      <c r="O471" s="0" t="n">
        <f aca="false">K471+M471</f>
        <v>47.4179021633211</v>
      </c>
      <c r="P471" s="54" t="b">
        <f aca="false">AND(C471&gt;=01_因子設定!$L$5-0.000000001,C471&lt;=01_因子設定!$M$5+0.000000001,D471&gt;=01_因子設定!$L$6-0.000000001,D471&lt;=01_因子設定!$M$6+0.000000001,IF(01_因子設定!$B$20="Box-Behnken",C471^2+D471^2&lt;=2+0.000000001,TRUE()))</f>
        <v>1</v>
      </c>
      <c r="Q471" s="55" t="n">
        <f aca="false">IF(P471,IF(01_因子設定!$B$13="最大化",N471-01_因子設定!$B$14,IF(01_因子設定!$B$13="最小化",01_因子設定!$B$15-O471,MIN(N471-01_因子設定!$B$14,01_因子設定!$B$15-O471))),-1E+030)</f>
        <v>-2.02327716332107</v>
      </c>
      <c r="R471" s="55" t="n">
        <f aca="false">IF(P471,IF(01_因子設定!$B$13="最大化",K471,IF(01_因子設定!$B$13="最小化",-K471,-ABS(K471-01_因子設定!$B$16))),-1E+030)</f>
        <v>45.9473125</v>
      </c>
      <c r="S471" s="55" t="n">
        <f aca="false">Q471+ROW()*0.000000001</f>
        <v>-2.02327669232107</v>
      </c>
      <c r="T471" s="55" t="n">
        <f aca="false">R471+ROW()*0.000000001</f>
        <v>45.947312971</v>
      </c>
    </row>
    <row r="472" customFormat="false" ht="15" hidden="false" customHeight="false" outlineLevel="0" collapsed="false">
      <c r="A472" s="0" t="n">
        <v>11</v>
      </c>
      <c r="B472" s="0" t="n">
        <v>16</v>
      </c>
      <c r="C472" s="0" t="n">
        <f aca="false">-1+A472*0.05</f>
        <v>-0.45</v>
      </c>
      <c r="D472" s="0" t="n">
        <f aca="false">-1+B472*0.05</f>
        <v>-0.2</v>
      </c>
      <c r="E472" s="0" t="n">
        <f aca="false">1</f>
        <v>1</v>
      </c>
      <c r="F472" s="0" t="n">
        <f aca="false">C472</f>
        <v>-0.45</v>
      </c>
      <c r="G472" s="0" t="n">
        <f aca="false">D472</f>
        <v>-0.2</v>
      </c>
      <c r="H472" s="0" t="n">
        <f aca="false">C472*D472</f>
        <v>0.09</v>
      </c>
      <c r="I472" s="0" t="n">
        <f aca="false">C472*C472</f>
        <v>0.2025</v>
      </c>
      <c r="J472" s="0" t="n">
        <f aca="false">D472*D472</f>
        <v>0.04</v>
      </c>
      <c r="K472" s="0" t="n">
        <f aca="false">SUMPRODUCT(E472:J472,_XtX!$B$53:$G$53)</f>
        <v>46.0827198275862</v>
      </c>
      <c r="L472" s="0" t="n">
        <f aca="false">SUMPRODUCT(MMULT(E472:J472,_XtX!$B$44:$G$49),E472:J472)</f>
        <v>0.17787496408046</v>
      </c>
      <c r="M472" s="0" t="n">
        <f aca="false">04_回帰ANOVA!$K$19*04_回帰ANOVA!$K$14*SQRT(1+L472)</f>
        <v>1.47070702797102</v>
      </c>
      <c r="N472" s="0" t="n">
        <f aca="false">K472-M472</f>
        <v>44.6120127996152</v>
      </c>
      <c r="O472" s="0" t="n">
        <f aca="false">K472+M472</f>
        <v>47.5534268555572</v>
      </c>
      <c r="P472" s="54" t="b">
        <f aca="false">AND(C472&gt;=01_因子設定!$L$5-0.000000001,C472&lt;=01_因子設定!$M$5+0.000000001,D472&gt;=01_因子設定!$L$6-0.000000001,D472&lt;=01_因子設定!$M$6+0.000000001,IF(01_因子設定!$B$20="Box-Behnken",C472^2+D472^2&lt;=2+0.000000001,TRUE()))</f>
        <v>1</v>
      </c>
      <c r="Q472" s="55" t="n">
        <f aca="false">IF(P472,IF(01_因子設定!$B$13="最大化",N472-01_因子設定!$B$14,IF(01_因子設定!$B$13="最小化",01_因子設定!$B$15-O472,MIN(N472-01_因子設定!$B$14,01_因子設定!$B$15-O472))),-1E+030)</f>
        <v>-1.88798720038481</v>
      </c>
      <c r="R472" s="55" t="n">
        <f aca="false">IF(P472,IF(01_因子設定!$B$13="最大化",K472,IF(01_因子設定!$B$13="最小化",-K472,-ABS(K472-01_因子設定!$B$16))),-1E+030)</f>
        <v>46.0827198275862</v>
      </c>
      <c r="S472" s="55" t="n">
        <f aca="false">Q472+ROW()*0.000000001</f>
        <v>-1.88798672838481</v>
      </c>
      <c r="T472" s="55" t="n">
        <f aca="false">R472+ROW()*0.000000001</f>
        <v>46.0827202995862</v>
      </c>
    </row>
    <row r="473" customFormat="false" ht="15" hidden="false" customHeight="false" outlineLevel="0" collapsed="false">
      <c r="A473" s="0" t="n">
        <v>11</v>
      </c>
      <c r="B473" s="0" t="n">
        <v>17</v>
      </c>
      <c r="C473" s="0" t="n">
        <f aca="false">-1+A473*0.05</f>
        <v>-0.45</v>
      </c>
      <c r="D473" s="0" t="n">
        <f aca="false">-1+B473*0.05</f>
        <v>-0.15</v>
      </c>
      <c r="E473" s="0" t="n">
        <f aca="false">1</f>
        <v>1</v>
      </c>
      <c r="F473" s="0" t="n">
        <f aca="false">C473</f>
        <v>-0.45</v>
      </c>
      <c r="G473" s="0" t="n">
        <f aca="false">D473</f>
        <v>-0.15</v>
      </c>
      <c r="H473" s="0" t="n">
        <f aca="false">C473*D473</f>
        <v>0.0675</v>
      </c>
      <c r="I473" s="0" t="n">
        <f aca="false">C473*C473</f>
        <v>0.2025</v>
      </c>
      <c r="J473" s="0" t="n">
        <f aca="false">D473*D473</f>
        <v>0.0225</v>
      </c>
      <c r="K473" s="0" t="n">
        <f aca="false">SUMPRODUCT(E473:J473,_XtX!$B$53:$G$53)</f>
        <v>46.210411637931</v>
      </c>
      <c r="L473" s="0" t="n">
        <f aca="false">SUMPRODUCT(MMULT(E473:J473,_XtX!$B$44:$G$49),E473:J473)</f>
        <v>0.178274622844828</v>
      </c>
      <c r="M473" s="0" t="n">
        <f aca="false">04_回帰ANOVA!$K$19*04_回帰ANOVA!$K$14*SQRT(1+L473)</f>
        <v>1.47095651587113</v>
      </c>
      <c r="N473" s="0" t="n">
        <f aca="false">K473-M473</f>
        <v>44.7394551220599</v>
      </c>
      <c r="O473" s="0" t="n">
        <f aca="false">K473+M473</f>
        <v>47.6813681538022</v>
      </c>
      <c r="P473" s="54" t="b">
        <f aca="false">AND(C473&gt;=01_因子設定!$L$5-0.000000001,C473&lt;=01_因子設定!$M$5+0.000000001,D473&gt;=01_因子設定!$L$6-0.000000001,D473&lt;=01_因子設定!$M$6+0.000000001,IF(01_因子設定!$B$20="Box-Behnken",C473^2+D473^2&lt;=2+0.000000001,TRUE()))</f>
        <v>1</v>
      </c>
      <c r="Q473" s="55" t="n">
        <f aca="false">IF(P473,IF(01_因子設定!$B$13="最大化",N473-01_因子設定!$B$14,IF(01_因子設定!$B$13="最小化",01_因子設定!$B$15-O473,MIN(N473-01_因子設定!$B$14,01_因子設定!$B$15-O473))),-1E+030)</f>
        <v>-1.7605448779401</v>
      </c>
      <c r="R473" s="55" t="n">
        <f aca="false">IF(P473,IF(01_因子設定!$B$13="最大化",K473,IF(01_因子設定!$B$13="最小化",-K473,-ABS(K473-01_因子設定!$B$16))),-1E+030)</f>
        <v>46.210411637931</v>
      </c>
      <c r="S473" s="55" t="n">
        <f aca="false">Q473+ROW()*0.000000001</f>
        <v>-1.7605444049401</v>
      </c>
      <c r="T473" s="55" t="n">
        <f aca="false">R473+ROW()*0.000000001</f>
        <v>46.210412110931</v>
      </c>
    </row>
    <row r="474" customFormat="false" ht="15" hidden="false" customHeight="false" outlineLevel="0" collapsed="false">
      <c r="A474" s="0" t="n">
        <v>11</v>
      </c>
      <c r="B474" s="0" t="n">
        <v>18</v>
      </c>
      <c r="C474" s="0" t="n">
        <f aca="false">-1+A474*0.05</f>
        <v>-0.45</v>
      </c>
      <c r="D474" s="0" t="n">
        <f aca="false">-1+B474*0.05</f>
        <v>-0.1</v>
      </c>
      <c r="E474" s="0" t="n">
        <f aca="false">1</f>
        <v>1</v>
      </c>
      <c r="F474" s="0" t="n">
        <f aca="false">C474</f>
        <v>-0.45</v>
      </c>
      <c r="G474" s="0" t="n">
        <f aca="false">D474</f>
        <v>-0.1</v>
      </c>
      <c r="H474" s="0" t="n">
        <f aca="false">C474*D474</f>
        <v>0.045</v>
      </c>
      <c r="I474" s="0" t="n">
        <f aca="false">C474*C474</f>
        <v>0.2025</v>
      </c>
      <c r="J474" s="0" t="n">
        <f aca="false">D474*D474</f>
        <v>0.01</v>
      </c>
      <c r="K474" s="0" t="n">
        <f aca="false">SUMPRODUCT(E474:J474,_XtX!$B$53:$G$53)</f>
        <v>46.3303879310345</v>
      </c>
      <c r="L474" s="0" t="n">
        <f aca="false">SUMPRODUCT(MMULT(E474:J474,_XtX!$B$44:$G$49),E474:J474)</f>
        <v>0.178695869252874</v>
      </c>
      <c r="M474" s="0" t="n">
        <f aca="false">04_回帰ANOVA!$K$19*04_回帰ANOVA!$K$14*SQRT(1+L474)</f>
        <v>1.47121943410978</v>
      </c>
      <c r="N474" s="0" t="n">
        <f aca="false">K474-M474</f>
        <v>44.8591684969247</v>
      </c>
      <c r="O474" s="0" t="n">
        <f aca="false">K474+M474</f>
        <v>47.8016073651443</v>
      </c>
      <c r="P474" s="54" t="b">
        <f aca="false">AND(C474&gt;=01_因子設定!$L$5-0.000000001,C474&lt;=01_因子設定!$M$5+0.000000001,D474&gt;=01_因子設定!$L$6-0.000000001,D474&lt;=01_因子設定!$M$6+0.000000001,IF(01_因子設定!$B$20="Box-Behnken",C474^2+D474^2&lt;=2+0.000000001,TRUE()))</f>
        <v>1</v>
      </c>
      <c r="Q474" s="55" t="n">
        <f aca="false">IF(P474,IF(01_因子設定!$B$13="最大化",N474-01_因子設定!$B$14,IF(01_因子設定!$B$13="最小化",01_因子設定!$B$15-O474,MIN(N474-01_因子設定!$B$14,01_因子設定!$B$15-O474))),-1E+030)</f>
        <v>-1.6408315030753</v>
      </c>
      <c r="R474" s="55" t="n">
        <f aca="false">IF(P474,IF(01_因子設定!$B$13="最大化",K474,IF(01_因子設定!$B$13="最小化",-K474,-ABS(K474-01_因子設定!$B$16))),-1E+030)</f>
        <v>46.3303879310345</v>
      </c>
      <c r="S474" s="55" t="n">
        <f aca="false">Q474+ROW()*0.000000001</f>
        <v>-1.6408310290753</v>
      </c>
      <c r="T474" s="55" t="n">
        <f aca="false">R474+ROW()*0.000000001</f>
        <v>46.3303884050345</v>
      </c>
    </row>
    <row r="475" customFormat="false" ht="15" hidden="false" customHeight="false" outlineLevel="0" collapsed="false">
      <c r="A475" s="0" t="n">
        <v>11</v>
      </c>
      <c r="B475" s="0" t="n">
        <v>19</v>
      </c>
      <c r="C475" s="0" t="n">
        <f aca="false">-1+A475*0.05</f>
        <v>-0.45</v>
      </c>
      <c r="D475" s="0" t="n">
        <f aca="false">-1+B475*0.05</f>
        <v>-0.0499999999999999</v>
      </c>
      <c r="E475" s="0" t="n">
        <f aca="false">1</f>
        <v>1</v>
      </c>
      <c r="F475" s="0" t="n">
        <f aca="false">C475</f>
        <v>-0.45</v>
      </c>
      <c r="G475" s="0" t="n">
        <f aca="false">D475</f>
        <v>-0.0499999999999999</v>
      </c>
      <c r="H475" s="0" t="n">
        <f aca="false">C475*D475</f>
        <v>0.0225</v>
      </c>
      <c r="I475" s="0" t="n">
        <f aca="false">C475*C475</f>
        <v>0.2025</v>
      </c>
      <c r="J475" s="0" t="n">
        <f aca="false">D475*D475</f>
        <v>0.00249999999999999</v>
      </c>
      <c r="K475" s="0" t="n">
        <f aca="false">SUMPRODUCT(E475:J475,_XtX!$B$53:$G$53)</f>
        <v>46.4426487068966</v>
      </c>
      <c r="L475" s="0" t="n">
        <f aca="false">SUMPRODUCT(MMULT(E475:J475,_XtX!$B$44:$G$49),E475:J475)</f>
        <v>0.179002927442529</v>
      </c>
      <c r="M475" s="0" t="n">
        <f aca="false">04_回帰ANOVA!$K$19*04_回帰ANOVA!$K$14*SQRT(1+L475)</f>
        <v>1.47141105290249</v>
      </c>
      <c r="N475" s="0" t="n">
        <f aca="false">K475-M475</f>
        <v>44.9712376539941</v>
      </c>
      <c r="O475" s="0" t="n">
        <f aca="false">K475+M475</f>
        <v>47.914059759799</v>
      </c>
      <c r="P475" s="54" t="b">
        <f aca="false">AND(C475&gt;=01_因子設定!$L$5-0.000000001,C475&lt;=01_因子設定!$M$5+0.000000001,D475&gt;=01_因子設定!$L$6-0.000000001,D475&lt;=01_因子設定!$M$6+0.000000001,IF(01_因子設定!$B$20="Box-Behnken",C475^2+D475^2&lt;=2+0.000000001,TRUE()))</f>
        <v>1</v>
      </c>
      <c r="Q475" s="55" t="n">
        <f aca="false">IF(P475,IF(01_因子設定!$B$13="最大化",N475-01_因子設定!$B$14,IF(01_因子設定!$B$13="最小化",01_因子設定!$B$15-O475,MIN(N475-01_因子設定!$B$14,01_因子設定!$B$15-O475))),-1E+030)</f>
        <v>-1.52876234600594</v>
      </c>
      <c r="R475" s="55" t="n">
        <f aca="false">IF(P475,IF(01_因子設定!$B$13="最大化",K475,IF(01_因子設定!$B$13="最小化",-K475,-ABS(K475-01_因子設定!$B$16))),-1E+030)</f>
        <v>46.4426487068966</v>
      </c>
      <c r="S475" s="55" t="n">
        <f aca="false">Q475+ROW()*0.000000001</f>
        <v>-1.52876187100594</v>
      </c>
      <c r="T475" s="55" t="n">
        <f aca="false">R475+ROW()*0.000000001</f>
        <v>46.4426491818966</v>
      </c>
    </row>
    <row r="476" customFormat="false" ht="15" hidden="false" customHeight="false" outlineLevel="0" collapsed="false">
      <c r="A476" s="0" t="n">
        <v>11</v>
      </c>
      <c r="B476" s="0" t="n">
        <v>20</v>
      </c>
      <c r="C476" s="0" t="n">
        <f aca="false">-1+A476*0.05</f>
        <v>-0.45</v>
      </c>
      <c r="D476" s="0" t="n">
        <f aca="false">-1+B476*0.05</f>
        <v>0</v>
      </c>
      <c r="E476" s="0" t="n">
        <f aca="false">1</f>
        <v>1</v>
      </c>
      <c r="F476" s="0" t="n">
        <f aca="false">C476</f>
        <v>-0.45</v>
      </c>
      <c r="G476" s="0" t="n">
        <f aca="false">D476</f>
        <v>0</v>
      </c>
      <c r="H476" s="0" t="n">
        <f aca="false">C476*D476</f>
        <v>-0</v>
      </c>
      <c r="I476" s="0" t="n">
        <f aca="false">C476*C476</f>
        <v>0.2025</v>
      </c>
      <c r="J476" s="0" t="n">
        <f aca="false">D476*D476</f>
        <v>0</v>
      </c>
      <c r="K476" s="0" t="n">
        <f aca="false">SUMPRODUCT(E476:J476,_XtX!$B$53:$G$53)</f>
        <v>46.5471939655172</v>
      </c>
      <c r="L476" s="0" t="n">
        <f aca="false">SUMPRODUCT(MMULT(E476:J476,_XtX!$B$44:$G$49),E476:J476)</f>
        <v>0.179114331896552</v>
      </c>
      <c r="M476" s="0" t="n">
        <f aca="false">04_回帰ANOVA!$K$19*04_回帰ANOVA!$K$14*SQRT(1+L476)</f>
        <v>1.47148056836725</v>
      </c>
      <c r="N476" s="0" t="n">
        <f aca="false">K476-M476</f>
        <v>45.07571339715</v>
      </c>
      <c r="O476" s="0" t="n">
        <f aca="false">K476+M476</f>
        <v>48.0186745338845</v>
      </c>
      <c r="P476" s="54" t="b">
        <f aca="false">AND(C476&gt;=01_因子設定!$L$5-0.000000001,C476&lt;=01_因子設定!$M$5+0.000000001,D476&gt;=01_因子設定!$L$6-0.000000001,D476&lt;=01_因子設定!$M$6+0.000000001,IF(01_因子設定!$B$20="Box-Behnken",C476^2+D476^2&lt;=2+0.000000001,TRUE()))</f>
        <v>1</v>
      </c>
      <c r="Q476" s="55" t="n">
        <f aca="false">IF(P476,IF(01_因子設定!$B$13="最大化",N476-01_因子設定!$B$14,IF(01_因子設定!$B$13="最小化",01_因子設定!$B$15-O476,MIN(N476-01_因子設定!$B$14,01_因子設定!$B$15-O476))),-1E+030)</f>
        <v>-1.42428660285002</v>
      </c>
      <c r="R476" s="55" t="n">
        <f aca="false">IF(P476,IF(01_因子設定!$B$13="最大化",K476,IF(01_因子設定!$B$13="最小化",-K476,-ABS(K476-01_因子設定!$B$16))),-1E+030)</f>
        <v>46.5471939655172</v>
      </c>
      <c r="S476" s="55" t="n">
        <f aca="false">Q476+ROW()*0.000000001</f>
        <v>-1.42428612685002</v>
      </c>
      <c r="T476" s="55" t="n">
        <f aca="false">R476+ROW()*0.000000001</f>
        <v>46.5471944415172</v>
      </c>
    </row>
    <row r="477" customFormat="false" ht="15" hidden="false" customHeight="false" outlineLevel="0" collapsed="false">
      <c r="A477" s="0" t="n">
        <v>11</v>
      </c>
      <c r="B477" s="0" t="n">
        <v>21</v>
      </c>
      <c r="C477" s="0" t="n">
        <f aca="false">-1+A477*0.05</f>
        <v>-0.45</v>
      </c>
      <c r="D477" s="0" t="n">
        <f aca="false">-1+B477*0.05</f>
        <v>0.05</v>
      </c>
      <c r="E477" s="0" t="n">
        <f aca="false">1</f>
        <v>1</v>
      </c>
      <c r="F477" s="0" t="n">
        <f aca="false">C477</f>
        <v>-0.45</v>
      </c>
      <c r="G477" s="0" t="n">
        <f aca="false">D477</f>
        <v>0.05</v>
      </c>
      <c r="H477" s="0" t="n">
        <f aca="false">C477*D477</f>
        <v>-0.0225</v>
      </c>
      <c r="I477" s="0" t="n">
        <f aca="false">C477*C477</f>
        <v>0.2025</v>
      </c>
      <c r="J477" s="0" t="n">
        <f aca="false">D477*D477</f>
        <v>0.0025</v>
      </c>
      <c r="K477" s="0" t="n">
        <f aca="false">SUMPRODUCT(E477:J477,_XtX!$B$53:$G$53)</f>
        <v>46.6440237068966</v>
      </c>
      <c r="L477" s="0" t="n">
        <f aca="false">SUMPRODUCT(MMULT(E477:J477,_XtX!$B$44:$G$49),E477:J477)</f>
        <v>0.179002927442529</v>
      </c>
      <c r="M477" s="0" t="n">
        <f aca="false">04_回帰ANOVA!$K$19*04_回帰ANOVA!$K$14*SQRT(1+L477)</f>
        <v>1.47141105290249</v>
      </c>
      <c r="N477" s="0" t="n">
        <f aca="false">K477-M477</f>
        <v>45.1726126539941</v>
      </c>
      <c r="O477" s="0" t="n">
        <f aca="false">K477+M477</f>
        <v>48.115434759799</v>
      </c>
      <c r="P477" s="54" t="b">
        <f aca="false">AND(C477&gt;=01_因子設定!$L$5-0.000000001,C477&lt;=01_因子設定!$M$5+0.000000001,D477&gt;=01_因子設定!$L$6-0.000000001,D477&lt;=01_因子設定!$M$6+0.000000001,IF(01_因子設定!$B$20="Box-Behnken",C477^2+D477^2&lt;=2+0.000000001,TRUE()))</f>
        <v>1</v>
      </c>
      <c r="Q477" s="55" t="n">
        <f aca="false">IF(P477,IF(01_因子設定!$B$13="最大化",N477-01_因子設定!$B$14,IF(01_因子設定!$B$13="最小化",01_因子設定!$B$15-O477,MIN(N477-01_因子設定!$B$14,01_因子設定!$B$15-O477))),-1E+030)</f>
        <v>-1.32738734600594</v>
      </c>
      <c r="R477" s="55" t="n">
        <f aca="false">IF(P477,IF(01_因子設定!$B$13="最大化",K477,IF(01_因子設定!$B$13="最小化",-K477,-ABS(K477-01_因子設定!$B$16))),-1E+030)</f>
        <v>46.6440237068966</v>
      </c>
      <c r="S477" s="55" t="n">
        <f aca="false">Q477+ROW()*0.000000001</f>
        <v>-1.32738686900594</v>
      </c>
      <c r="T477" s="55" t="n">
        <f aca="false">R477+ROW()*0.000000001</f>
        <v>46.6440241838966</v>
      </c>
    </row>
    <row r="478" customFormat="false" ht="15" hidden="false" customHeight="false" outlineLevel="0" collapsed="false">
      <c r="A478" s="0" t="n">
        <v>11</v>
      </c>
      <c r="B478" s="0" t="n">
        <v>22</v>
      </c>
      <c r="C478" s="0" t="n">
        <f aca="false">-1+A478*0.05</f>
        <v>-0.45</v>
      </c>
      <c r="D478" s="0" t="n">
        <f aca="false">-1+B478*0.05</f>
        <v>0.1</v>
      </c>
      <c r="E478" s="0" t="n">
        <f aca="false">1</f>
        <v>1</v>
      </c>
      <c r="F478" s="0" t="n">
        <f aca="false">C478</f>
        <v>-0.45</v>
      </c>
      <c r="G478" s="0" t="n">
        <f aca="false">D478</f>
        <v>0.1</v>
      </c>
      <c r="H478" s="0" t="n">
        <f aca="false">C478*D478</f>
        <v>-0.045</v>
      </c>
      <c r="I478" s="0" t="n">
        <f aca="false">C478*C478</f>
        <v>0.2025</v>
      </c>
      <c r="J478" s="0" t="n">
        <f aca="false">D478*D478</f>
        <v>0.01</v>
      </c>
      <c r="K478" s="0" t="n">
        <f aca="false">SUMPRODUCT(E478:J478,_XtX!$B$53:$G$53)</f>
        <v>46.7331379310345</v>
      </c>
      <c r="L478" s="0" t="n">
        <f aca="false">SUMPRODUCT(MMULT(E478:J478,_XtX!$B$44:$G$49),E478:J478)</f>
        <v>0.178695869252874</v>
      </c>
      <c r="M478" s="0" t="n">
        <f aca="false">04_回帰ANOVA!$K$19*04_回帰ANOVA!$K$14*SQRT(1+L478)</f>
        <v>1.47121943410978</v>
      </c>
      <c r="N478" s="0" t="n">
        <f aca="false">K478-M478</f>
        <v>45.2619184969247</v>
      </c>
      <c r="O478" s="0" t="n">
        <f aca="false">K478+M478</f>
        <v>48.2043573651443</v>
      </c>
      <c r="P478" s="54" t="b">
        <f aca="false">AND(C478&gt;=01_因子設定!$L$5-0.000000001,C478&lt;=01_因子設定!$M$5+0.000000001,D478&gt;=01_因子設定!$L$6-0.000000001,D478&lt;=01_因子設定!$M$6+0.000000001,IF(01_因子設定!$B$20="Box-Behnken",C478^2+D478^2&lt;=2+0.000000001,TRUE()))</f>
        <v>1</v>
      </c>
      <c r="Q478" s="55" t="n">
        <f aca="false">IF(P478,IF(01_因子設定!$B$13="最大化",N478-01_因子設定!$B$14,IF(01_因子設定!$B$13="最小化",01_因子設定!$B$15-O478,MIN(N478-01_因子設定!$B$14,01_因子設定!$B$15-O478))),-1E+030)</f>
        <v>-1.2380815030753</v>
      </c>
      <c r="R478" s="55" t="n">
        <f aca="false">IF(P478,IF(01_因子設定!$B$13="最大化",K478,IF(01_因子設定!$B$13="最小化",-K478,-ABS(K478-01_因子設定!$B$16))),-1E+030)</f>
        <v>46.7331379310345</v>
      </c>
      <c r="S478" s="55" t="n">
        <f aca="false">Q478+ROW()*0.000000001</f>
        <v>-1.2380810250753</v>
      </c>
      <c r="T478" s="55" t="n">
        <f aca="false">R478+ROW()*0.000000001</f>
        <v>46.7331384090345</v>
      </c>
    </row>
    <row r="479" customFormat="false" ht="15" hidden="false" customHeight="false" outlineLevel="0" collapsed="false">
      <c r="A479" s="0" t="n">
        <v>11</v>
      </c>
      <c r="B479" s="0" t="n">
        <v>23</v>
      </c>
      <c r="C479" s="0" t="n">
        <f aca="false">-1+A479*0.05</f>
        <v>-0.45</v>
      </c>
      <c r="D479" s="0" t="n">
        <f aca="false">-1+B479*0.05</f>
        <v>0.15</v>
      </c>
      <c r="E479" s="0" t="n">
        <f aca="false">1</f>
        <v>1</v>
      </c>
      <c r="F479" s="0" t="n">
        <f aca="false">C479</f>
        <v>-0.45</v>
      </c>
      <c r="G479" s="0" t="n">
        <f aca="false">D479</f>
        <v>0.15</v>
      </c>
      <c r="H479" s="0" t="n">
        <f aca="false">C479*D479</f>
        <v>-0.0675000000000001</v>
      </c>
      <c r="I479" s="0" t="n">
        <f aca="false">C479*C479</f>
        <v>0.2025</v>
      </c>
      <c r="J479" s="0" t="n">
        <f aca="false">D479*D479</f>
        <v>0.0225</v>
      </c>
      <c r="K479" s="0" t="n">
        <f aca="false">SUMPRODUCT(E479:J479,_XtX!$B$53:$G$53)</f>
        <v>46.814536637931</v>
      </c>
      <c r="L479" s="0" t="n">
        <f aca="false">SUMPRODUCT(MMULT(E479:J479,_XtX!$B$44:$G$49),E479:J479)</f>
        <v>0.178274622844828</v>
      </c>
      <c r="M479" s="0" t="n">
        <f aca="false">04_回帰ANOVA!$K$19*04_回帰ANOVA!$K$14*SQRT(1+L479)</f>
        <v>1.47095651587113</v>
      </c>
      <c r="N479" s="0" t="n">
        <f aca="false">K479-M479</f>
        <v>45.3435801220599</v>
      </c>
      <c r="O479" s="0" t="n">
        <f aca="false">K479+M479</f>
        <v>48.2854931538022</v>
      </c>
      <c r="P479" s="54" t="b">
        <f aca="false">AND(C479&gt;=01_因子設定!$L$5-0.000000001,C479&lt;=01_因子設定!$M$5+0.000000001,D479&gt;=01_因子設定!$L$6-0.000000001,D479&lt;=01_因子設定!$M$6+0.000000001,IF(01_因子設定!$B$20="Box-Behnken",C479^2+D479^2&lt;=2+0.000000001,TRUE()))</f>
        <v>1</v>
      </c>
      <c r="Q479" s="55" t="n">
        <f aca="false">IF(P479,IF(01_因子設定!$B$13="最大化",N479-01_因子設定!$B$14,IF(01_因子設定!$B$13="最小化",01_因子設定!$B$15-O479,MIN(N479-01_因子設定!$B$14,01_因子設定!$B$15-O479))),-1E+030)</f>
        <v>-1.1564198779401</v>
      </c>
      <c r="R479" s="55" t="n">
        <f aca="false">IF(P479,IF(01_因子設定!$B$13="最大化",K479,IF(01_因子設定!$B$13="最小化",-K479,-ABS(K479-01_因子設定!$B$16))),-1E+030)</f>
        <v>46.814536637931</v>
      </c>
      <c r="S479" s="55" t="n">
        <f aca="false">Q479+ROW()*0.000000001</f>
        <v>-1.1564193989401</v>
      </c>
      <c r="T479" s="55" t="n">
        <f aca="false">R479+ROW()*0.000000001</f>
        <v>46.814537116931</v>
      </c>
    </row>
    <row r="480" customFormat="false" ht="15" hidden="false" customHeight="false" outlineLevel="0" collapsed="false">
      <c r="A480" s="0" t="n">
        <v>11</v>
      </c>
      <c r="B480" s="0" t="n">
        <v>24</v>
      </c>
      <c r="C480" s="0" t="n">
        <f aca="false">-1+A480*0.05</f>
        <v>-0.45</v>
      </c>
      <c r="D480" s="0" t="n">
        <f aca="false">-1+B480*0.05</f>
        <v>0.2</v>
      </c>
      <c r="E480" s="0" t="n">
        <f aca="false">1</f>
        <v>1</v>
      </c>
      <c r="F480" s="0" t="n">
        <f aca="false">C480</f>
        <v>-0.45</v>
      </c>
      <c r="G480" s="0" t="n">
        <f aca="false">D480</f>
        <v>0.2</v>
      </c>
      <c r="H480" s="0" t="n">
        <f aca="false">C480*D480</f>
        <v>-0.0900000000000001</v>
      </c>
      <c r="I480" s="0" t="n">
        <f aca="false">C480*C480</f>
        <v>0.2025</v>
      </c>
      <c r="J480" s="0" t="n">
        <f aca="false">D480*D480</f>
        <v>0.0400000000000001</v>
      </c>
      <c r="K480" s="0" t="n">
        <f aca="false">SUMPRODUCT(E480:J480,_XtX!$B$53:$G$53)</f>
        <v>46.8882198275862</v>
      </c>
      <c r="L480" s="0" t="n">
        <f aca="false">SUMPRODUCT(MMULT(E480:J480,_XtX!$B$44:$G$49),E480:J480)</f>
        <v>0.17787496408046</v>
      </c>
      <c r="M480" s="0" t="n">
        <f aca="false">04_回帰ANOVA!$K$19*04_回帰ANOVA!$K$14*SQRT(1+L480)</f>
        <v>1.47070702797102</v>
      </c>
      <c r="N480" s="0" t="n">
        <f aca="false">K480-M480</f>
        <v>45.4175127996152</v>
      </c>
      <c r="O480" s="0" t="n">
        <f aca="false">K480+M480</f>
        <v>48.3589268555572</v>
      </c>
      <c r="P480" s="54" t="b">
        <f aca="false">AND(C480&gt;=01_因子設定!$L$5-0.000000001,C480&lt;=01_因子設定!$M$5+0.000000001,D480&gt;=01_因子設定!$L$6-0.000000001,D480&lt;=01_因子設定!$M$6+0.000000001,IF(01_因子設定!$B$20="Box-Behnken",C480^2+D480^2&lt;=2+0.000000001,TRUE()))</f>
        <v>1</v>
      </c>
      <c r="Q480" s="55" t="n">
        <f aca="false">IF(P480,IF(01_因子設定!$B$13="最大化",N480-01_因子設定!$B$14,IF(01_因子設定!$B$13="最小化",01_因子設定!$B$15-O480,MIN(N480-01_因子設定!$B$14,01_因子設定!$B$15-O480))),-1E+030)</f>
        <v>-1.08248720038482</v>
      </c>
      <c r="R480" s="55" t="n">
        <f aca="false">IF(P480,IF(01_因子設定!$B$13="最大化",K480,IF(01_因子設定!$B$13="最小化",-K480,-ABS(K480-01_因子設定!$B$16))),-1E+030)</f>
        <v>46.8882198275862</v>
      </c>
      <c r="S480" s="55" t="n">
        <f aca="false">Q480+ROW()*0.000000001</f>
        <v>-1.08248672038482</v>
      </c>
      <c r="T480" s="55" t="n">
        <f aca="false">R480+ROW()*0.000000001</f>
        <v>46.8882203075862</v>
      </c>
    </row>
    <row r="481" customFormat="false" ht="15" hidden="false" customHeight="false" outlineLevel="0" collapsed="false">
      <c r="A481" s="0" t="n">
        <v>11</v>
      </c>
      <c r="B481" s="0" t="n">
        <v>25</v>
      </c>
      <c r="C481" s="0" t="n">
        <f aca="false">-1+A481*0.05</f>
        <v>-0.45</v>
      </c>
      <c r="D481" s="0" t="n">
        <f aca="false">-1+B481*0.05</f>
        <v>0.25</v>
      </c>
      <c r="E481" s="0" t="n">
        <f aca="false">1</f>
        <v>1</v>
      </c>
      <c r="F481" s="0" t="n">
        <f aca="false">C481</f>
        <v>-0.45</v>
      </c>
      <c r="G481" s="0" t="n">
        <f aca="false">D481</f>
        <v>0.25</v>
      </c>
      <c r="H481" s="0" t="n">
        <f aca="false">C481*D481</f>
        <v>-0.1125</v>
      </c>
      <c r="I481" s="0" t="n">
        <f aca="false">C481*C481</f>
        <v>0.2025</v>
      </c>
      <c r="J481" s="0" t="n">
        <f aca="false">D481*D481</f>
        <v>0.0625</v>
      </c>
      <c r="K481" s="0" t="n">
        <f aca="false">SUMPRODUCT(E481:J481,_XtX!$B$53:$G$53)</f>
        <v>46.9541875</v>
      </c>
      <c r="L481" s="0" t="n">
        <f aca="false">SUMPRODUCT(MMULT(E481:J481,_XtX!$B$44:$G$49),E481:J481)</f>
        <v>0.177686979166667</v>
      </c>
      <c r="M481" s="0" t="n">
        <f aca="false">04_回帰ANOVA!$K$19*04_回帰ANOVA!$K$14*SQRT(1+L481)</f>
        <v>1.47058966332106</v>
      </c>
      <c r="N481" s="0" t="n">
        <f aca="false">K481-M481</f>
        <v>45.4835978366789</v>
      </c>
      <c r="O481" s="0" t="n">
        <f aca="false">K481+M481</f>
        <v>48.4247771633211</v>
      </c>
      <c r="P481" s="54" t="b">
        <f aca="false">AND(C481&gt;=01_因子設定!$L$5-0.000000001,C481&lt;=01_因子設定!$M$5+0.000000001,D481&gt;=01_因子設定!$L$6-0.000000001,D481&lt;=01_因子設定!$M$6+0.000000001,IF(01_因子設定!$B$20="Box-Behnken",C481^2+D481^2&lt;=2+0.000000001,TRUE()))</f>
        <v>1</v>
      </c>
      <c r="Q481" s="55" t="n">
        <f aca="false">IF(P481,IF(01_因子設定!$B$13="最大化",N481-01_因子設定!$B$14,IF(01_因子設定!$B$13="最小化",01_因子設定!$B$15-O481,MIN(N481-01_因子設定!$B$14,01_因子設定!$B$15-O481))),-1E+030)</f>
        <v>-1.01640216332107</v>
      </c>
      <c r="R481" s="55" t="n">
        <f aca="false">IF(P481,IF(01_因子設定!$B$13="最大化",K481,IF(01_因子設定!$B$13="最小化",-K481,-ABS(K481-01_因子設定!$B$16))),-1E+030)</f>
        <v>46.9541875</v>
      </c>
      <c r="S481" s="55" t="n">
        <f aca="false">Q481+ROW()*0.000000001</f>
        <v>-1.01640168232107</v>
      </c>
      <c r="T481" s="55" t="n">
        <f aca="false">R481+ROW()*0.000000001</f>
        <v>46.954187981</v>
      </c>
    </row>
    <row r="482" customFormat="false" ht="15" hidden="false" customHeight="false" outlineLevel="0" collapsed="false">
      <c r="A482" s="0" t="n">
        <v>11</v>
      </c>
      <c r="B482" s="0" t="n">
        <v>26</v>
      </c>
      <c r="C482" s="0" t="n">
        <f aca="false">-1+A482*0.05</f>
        <v>-0.45</v>
      </c>
      <c r="D482" s="0" t="n">
        <f aca="false">-1+B482*0.05</f>
        <v>0.3</v>
      </c>
      <c r="E482" s="0" t="n">
        <f aca="false">1</f>
        <v>1</v>
      </c>
      <c r="F482" s="0" t="n">
        <f aca="false">C482</f>
        <v>-0.45</v>
      </c>
      <c r="G482" s="0" t="n">
        <f aca="false">D482</f>
        <v>0.3</v>
      </c>
      <c r="H482" s="0" t="n">
        <f aca="false">C482*D482</f>
        <v>-0.135</v>
      </c>
      <c r="I482" s="0" t="n">
        <f aca="false">C482*C482</f>
        <v>0.2025</v>
      </c>
      <c r="J482" s="0" t="n">
        <f aca="false">D482*D482</f>
        <v>0.09</v>
      </c>
      <c r="K482" s="0" t="n">
        <f aca="false">SUMPRODUCT(E482:J482,_XtX!$B$53:$G$53)</f>
        <v>47.0124396551724</v>
      </c>
      <c r="L482" s="0" t="n">
        <f aca="false">SUMPRODUCT(MMULT(E482:J482,_XtX!$B$44:$G$49),E482:J482)</f>
        <v>0.177955064655172</v>
      </c>
      <c r="M482" s="0" t="n">
        <f aca="false">04_回帰ANOVA!$K$19*04_回帰ANOVA!$K$14*SQRT(1+L482)</f>
        <v>1.47075703432952</v>
      </c>
      <c r="N482" s="0" t="n">
        <f aca="false">K482-M482</f>
        <v>45.5416826208429</v>
      </c>
      <c r="O482" s="0" t="n">
        <f aca="false">K482+M482</f>
        <v>48.4831966895019</v>
      </c>
      <c r="P482" s="54" t="b">
        <f aca="false">AND(C482&gt;=01_因子設定!$L$5-0.000000001,C482&lt;=01_因子設定!$M$5+0.000000001,D482&gt;=01_因子設定!$L$6-0.000000001,D482&lt;=01_因子設定!$M$6+0.000000001,IF(01_因子設定!$B$20="Box-Behnken",C482^2+D482^2&lt;=2+0.000000001,TRUE()))</f>
        <v>1</v>
      </c>
      <c r="Q482" s="55" t="n">
        <f aca="false">IF(P482,IF(01_因子設定!$B$13="最大化",N482-01_因子設定!$B$14,IF(01_因子設定!$B$13="最小化",01_因子設定!$B$15-O482,MIN(N482-01_因子設定!$B$14,01_因子設定!$B$15-O482))),-1E+030)</f>
        <v>-0.958317379157109</v>
      </c>
      <c r="R482" s="55" t="n">
        <f aca="false">IF(P482,IF(01_因子設定!$B$13="最大化",K482,IF(01_因子設定!$B$13="最小化",-K482,-ABS(K482-01_因子設定!$B$16))),-1E+030)</f>
        <v>47.0124396551724</v>
      </c>
      <c r="S482" s="55" t="n">
        <f aca="false">Q482+ROW()*0.000000001</f>
        <v>-0.958316897157108</v>
      </c>
      <c r="T482" s="55" t="n">
        <f aca="false">R482+ROW()*0.000000001</f>
        <v>47.0124401371724</v>
      </c>
    </row>
    <row r="483" customFormat="false" ht="15" hidden="false" customHeight="false" outlineLevel="0" collapsed="false">
      <c r="A483" s="0" t="n">
        <v>11</v>
      </c>
      <c r="B483" s="0" t="n">
        <v>27</v>
      </c>
      <c r="C483" s="0" t="n">
        <f aca="false">-1+A483*0.05</f>
        <v>-0.45</v>
      </c>
      <c r="D483" s="0" t="n">
        <f aca="false">-1+B483*0.05</f>
        <v>0.35</v>
      </c>
      <c r="E483" s="0" t="n">
        <f aca="false">1</f>
        <v>1</v>
      </c>
      <c r="F483" s="0" t="n">
        <f aca="false">C483</f>
        <v>-0.45</v>
      </c>
      <c r="G483" s="0" t="n">
        <f aca="false">D483</f>
        <v>0.35</v>
      </c>
      <c r="H483" s="0" t="n">
        <f aca="false">C483*D483</f>
        <v>-0.1575</v>
      </c>
      <c r="I483" s="0" t="n">
        <f aca="false">C483*C483</f>
        <v>0.2025</v>
      </c>
      <c r="J483" s="0" t="n">
        <f aca="false">D483*D483</f>
        <v>0.1225</v>
      </c>
      <c r="K483" s="0" t="n">
        <f aca="false">SUMPRODUCT(E483:J483,_XtX!$B$53:$G$53)</f>
        <v>47.0629762931034</v>
      </c>
      <c r="L483" s="0" t="n">
        <f aca="false">SUMPRODUCT(MMULT(E483:J483,_XtX!$B$44:$G$49),E483:J483)</f>
        <v>0.178977927442529</v>
      </c>
      <c r="M483" s="0" t="n">
        <f aca="false">04_回帰ANOVA!$K$19*04_回帰ANOVA!$K$14*SQRT(1+L483)</f>
        <v>1.47139545265652</v>
      </c>
      <c r="N483" s="0" t="n">
        <f aca="false">K483-M483</f>
        <v>45.5915808404469</v>
      </c>
      <c r="O483" s="0" t="n">
        <f aca="false">K483+M483</f>
        <v>48.53437174576</v>
      </c>
      <c r="P483" s="54" t="b">
        <f aca="false">AND(C483&gt;=01_因子設定!$L$5-0.000000001,C483&lt;=01_因子設定!$M$5+0.000000001,D483&gt;=01_因子設定!$L$6-0.000000001,D483&lt;=01_因子設定!$M$6+0.000000001,IF(01_因子設定!$B$20="Box-Behnken",C483^2+D483^2&lt;=2+0.000000001,TRUE()))</f>
        <v>1</v>
      </c>
      <c r="Q483" s="55" t="n">
        <f aca="false">IF(P483,IF(01_因子設定!$B$13="最大化",N483-01_因子設定!$B$14,IF(01_因子設定!$B$13="最小化",01_因子設定!$B$15-O483,MIN(N483-01_因子設定!$B$14,01_因子設定!$B$15-O483))),-1E+030)</f>
        <v>-0.908419159553077</v>
      </c>
      <c r="R483" s="55" t="n">
        <f aca="false">IF(P483,IF(01_因子設定!$B$13="最大化",K483,IF(01_因子設定!$B$13="最小化",-K483,-ABS(K483-01_因子設定!$B$16))),-1E+030)</f>
        <v>47.0629762931034</v>
      </c>
      <c r="S483" s="55" t="n">
        <f aca="false">Q483+ROW()*0.000000001</f>
        <v>-0.908418676553077</v>
      </c>
      <c r="T483" s="55" t="n">
        <f aca="false">R483+ROW()*0.000000001</f>
        <v>47.0629767761035</v>
      </c>
    </row>
    <row r="484" customFormat="false" ht="15" hidden="false" customHeight="false" outlineLevel="0" collapsed="false">
      <c r="A484" s="0" t="n">
        <v>11</v>
      </c>
      <c r="B484" s="0" t="n">
        <v>28</v>
      </c>
      <c r="C484" s="0" t="n">
        <f aca="false">-1+A484*0.05</f>
        <v>-0.45</v>
      </c>
      <c r="D484" s="0" t="n">
        <f aca="false">-1+B484*0.05</f>
        <v>0.4</v>
      </c>
      <c r="E484" s="0" t="n">
        <f aca="false">1</f>
        <v>1</v>
      </c>
      <c r="F484" s="0" t="n">
        <f aca="false">C484</f>
        <v>-0.45</v>
      </c>
      <c r="G484" s="0" t="n">
        <f aca="false">D484</f>
        <v>0.4</v>
      </c>
      <c r="H484" s="0" t="n">
        <f aca="false">C484*D484</f>
        <v>-0.18</v>
      </c>
      <c r="I484" s="0" t="n">
        <f aca="false">C484*C484</f>
        <v>0.2025</v>
      </c>
      <c r="J484" s="0" t="n">
        <f aca="false">D484*D484</f>
        <v>0.16</v>
      </c>
      <c r="K484" s="0" t="n">
        <f aca="false">SUMPRODUCT(E484:J484,_XtX!$B$53:$G$53)</f>
        <v>47.1057974137931</v>
      </c>
      <c r="L484" s="0" t="n">
        <f aca="false">SUMPRODUCT(MMULT(E484:J484,_XtX!$B$44:$G$49),E484:J484)</f>
        <v>0.181108584770115</v>
      </c>
      <c r="M484" s="0" t="n">
        <f aca="false">04_回帰ANOVA!$K$19*04_回帰ANOVA!$K$14*SQRT(1+L484)</f>
        <v>1.47272441068535</v>
      </c>
      <c r="N484" s="0" t="n">
        <f aca="false">K484-M484</f>
        <v>45.6330730031078</v>
      </c>
      <c r="O484" s="0" t="n">
        <f aca="false">K484+M484</f>
        <v>48.5785218244785</v>
      </c>
      <c r="P484" s="54" t="b">
        <f aca="false">AND(C484&gt;=01_因子設定!$L$5-0.000000001,C484&lt;=01_因子設定!$M$5+0.000000001,D484&gt;=01_因子設定!$L$6-0.000000001,D484&lt;=01_因子設定!$M$6+0.000000001,IF(01_因子設定!$B$20="Box-Behnken",C484^2+D484^2&lt;=2+0.000000001,TRUE()))</f>
        <v>1</v>
      </c>
      <c r="Q484" s="55" t="n">
        <f aca="false">IF(P484,IF(01_因子設定!$B$13="最大化",N484-01_因子設定!$B$14,IF(01_因子設定!$B$13="最小化",01_因子設定!$B$15-O484,MIN(N484-01_因子設定!$B$14,01_因子設定!$B$15-O484))),-1E+030)</f>
        <v>-0.866926996892254</v>
      </c>
      <c r="R484" s="55" t="n">
        <f aca="false">IF(P484,IF(01_因子設定!$B$13="最大化",K484,IF(01_因子設定!$B$13="最小化",-K484,-ABS(K484-01_因子設定!$B$16))),-1E+030)</f>
        <v>47.1057974137931</v>
      </c>
      <c r="S484" s="55" t="n">
        <f aca="false">Q484+ROW()*0.000000001</f>
        <v>-0.866926512892254</v>
      </c>
      <c r="T484" s="55" t="n">
        <f aca="false">R484+ROW()*0.000000001</f>
        <v>47.1057978977931</v>
      </c>
    </row>
    <row r="485" customFormat="false" ht="15" hidden="false" customHeight="false" outlineLevel="0" collapsed="false">
      <c r="A485" s="0" t="n">
        <v>11</v>
      </c>
      <c r="B485" s="0" t="n">
        <v>29</v>
      </c>
      <c r="C485" s="0" t="n">
        <f aca="false">-1+A485*0.05</f>
        <v>-0.45</v>
      </c>
      <c r="D485" s="0" t="n">
        <f aca="false">-1+B485*0.05</f>
        <v>0.45</v>
      </c>
      <c r="E485" s="0" t="n">
        <f aca="false">1</f>
        <v>1</v>
      </c>
      <c r="F485" s="0" t="n">
        <f aca="false">C485</f>
        <v>-0.45</v>
      </c>
      <c r="G485" s="0" t="n">
        <f aca="false">D485</f>
        <v>0.45</v>
      </c>
      <c r="H485" s="0" t="n">
        <f aca="false">C485*D485</f>
        <v>-0.2025</v>
      </c>
      <c r="I485" s="0" t="n">
        <f aca="false">C485*C485</f>
        <v>0.2025</v>
      </c>
      <c r="J485" s="0" t="n">
        <f aca="false">D485*D485</f>
        <v>0.2025</v>
      </c>
      <c r="K485" s="0" t="n">
        <f aca="false">SUMPRODUCT(E485:J485,_XtX!$B$53:$G$53)</f>
        <v>47.1409030172414</v>
      </c>
      <c r="L485" s="0" t="n">
        <f aca="false">SUMPRODUCT(MMULT(E485:J485,_XtX!$B$44:$G$49),E485:J485)</f>
        <v>0.184754364224138</v>
      </c>
      <c r="M485" s="0" t="n">
        <f aca="false">04_回帰ANOVA!$K$19*04_回帰ANOVA!$K$14*SQRT(1+L485)</f>
        <v>1.4749956207551</v>
      </c>
      <c r="N485" s="0" t="n">
        <f aca="false">K485-M485</f>
        <v>45.6659073964863</v>
      </c>
      <c r="O485" s="0" t="n">
        <f aca="false">K485+M485</f>
        <v>48.6158986379965</v>
      </c>
      <c r="P485" s="54" t="b">
        <f aca="false">AND(C485&gt;=01_因子設定!$L$5-0.000000001,C485&lt;=01_因子設定!$M$5+0.000000001,D485&gt;=01_因子設定!$L$6-0.000000001,D485&lt;=01_因子設定!$M$6+0.000000001,IF(01_因子設定!$B$20="Box-Behnken",C485^2+D485^2&lt;=2+0.000000001,TRUE()))</f>
        <v>1</v>
      </c>
      <c r="Q485" s="55" t="n">
        <f aca="false">IF(P485,IF(01_因子設定!$B$13="最大化",N485-01_因子設定!$B$14,IF(01_因子設定!$B$13="最小化",01_因子設定!$B$15-O485,MIN(N485-01_因子設定!$B$14,01_因子設定!$B$15-O485))),-1E+030)</f>
        <v>-0.834092603513732</v>
      </c>
      <c r="R485" s="55" t="n">
        <f aca="false">IF(P485,IF(01_因子設定!$B$13="最大化",K485,IF(01_因子設定!$B$13="最小化",-K485,-ABS(K485-01_因子設定!$B$16))),-1E+030)</f>
        <v>47.1409030172414</v>
      </c>
      <c r="S485" s="55" t="n">
        <f aca="false">Q485+ROW()*0.000000001</f>
        <v>-0.834092118513731</v>
      </c>
      <c r="T485" s="55" t="n">
        <f aca="false">R485+ROW()*0.000000001</f>
        <v>47.1409035022414</v>
      </c>
    </row>
    <row r="486" customFormat="false" ht="15" hidden="false" customHeight="false" outlineLevel="0" collapsed="false">
      <c r="A486" s="0" t="n">
        <v>11</v>
      </c>
      <c r="B486" s="0" t="n">
        <v>30</v>
      </c>
      <c r="C486" s="0" t="n">
        <f aca="false">-1+A486*0.05</f>
        <v>-0.45</v>
      </c>
      <c r="D486" s="0" t="n">
        <f aca="false">-1+B486*0.05</f>
        <v>0.5</v>
      </c>
      <c r="E486" s="0" t="n">
        <f aca="false">1</f>
        <v>1</v>
      </c>
      <c r="F486" s="0" t="n">
        <f aca="false">C486</f>
        <v>-0.45</v>
      </c>
      <c r="G486" s="0" t="n">
        <f aca="false">D486</f>
        <v>0.5</v>
      </c>
      <c r="H486" s="0" t="n">
        <f aca="false">C486*D486</f>
        <v>-0.225</v>
      </c>
      <c r="I486" s="0" t="n">
        <f aca="false">C486*C486</f>
        <v>0.2025</v>
      </c>
      <c r="J486" s="0" t="n">
        <f aca="false">D486*D486</f>
        <v>0.25</v>
      </c>
      <c r="K486" s="0" t="n">
        <f aca="false">SUMPRODUCT(E486:J486,_XtX!$B$53:$G$53)</f>
        <v>47.1682931034483</v>
      </c>
      <c r="L486" s="0" t="n">
        <f aca="false">SUMPRODUCT(MMULT(E486:J486,_XtX!$B$44:$G$49),E486:J486)</f>
        <v>0.190376903735632</v>
      </c>
      <c r="M486" s="0" t="n">
        <f aca="false">04_回帰ANOVA!$K$19*04_回帰ANOVA!$K$14*SQRT(1+L486)</f>
        <v>1.47849145301872</v>
      </c>
      <c r="N486" s="0" t="n">
        <f aca="false">K486-M486</f>
        <v>45.6898016504296</v>
      </c>
      <c r="O486" s="0" t="n">
        <f aca="false">K486+M486</f>
        <v>48.646784556467</v>
      </c>
      <c r="P486" s="54" t="b">
        <f aca="false">AND(C486&gt;=01_因子設定!$L$5-0.000000001,C486&lt;=01_因子設定!$M$5+0.000000001,D486&gt;=01_因子設定!$L$6-0.000000001,D486&lt;=01_因子設定!$M$6+0.000000001,IF(01_因子設定!$B$20="Box-Behnken",C486^2+D486^2&lt;=2+0.000000001,TRUE()))</f>
        <v>1</v>
      </c>
      <c r="Q486" s="55" t="n">
        <f aca="false">IF(P486,IF(01_因子設定!$B$13="最大化",N486-01_因子設定!$B$14,IF(01_因子設定!$B$13="最小化",01_因子設定!$B$15-O486,MIN(N486-01_因子設定!$B$14,01_因子設定!$B$15-O486))),-1E+030)</f>
        <v>-0.810198349570449</v>
      </c>
      <c r="R486" s="55" t="n">
        <f aca="false">IF(P486,IF(01_因子設定!$B$13="最大化",K486,IF(01_因子設定!$B$13="最小化",-K486,-ABS(K486-01_因子設定!$B$16))),-1E+030)</f>
        <v>47.1682931034483</v>
      </c>
      <c r="S486" s="55" t="n">
        <f aca="false">Q486+ROW()*0.000000001</f>
        <v>-0.810197863570449</v>
      </c>
      <c r="T486" s="55" t="n">
        <f aca="false">R486+ROW()*0.000000001</f>
        <v>47.1682935894483</v>
      </c>
    </row>
    <row r="487" customFormat="false" ht="15" hidden="false" customHeight="false" outlineLevel="0" collapsed="false">
      <c r="A487" s="0" t="n">
        <v>11</v>
      </c>
      <c r="B487" s="0" t="n">
        <v>31</v>
      </c>
      <c r="C487" s="0" t="n">
        <f aca="false">-1+A487*0.05</f>
        <v>-0.45</v>
      </c>
      <c r="D487" s="0" t="n">
        <f aca="false">-1+B487*0.05</f>
        <v>0.55</v>
      </c>
      <c r="E487" s="0" t="n">
        <f aca="false">1</f>
        <v>1</v>
      </c>
      <c r="F487" s="0" t="n">
        <f aca="false">C487</f>
        <v>-0.45</v>
      </c>
      <c r="G487" s="0" t="n">
        <f aca="false">D487</f>
        <v>0.55</v>
      </c>
      <c r="H487" s="0" t="n">
        <f aca="false">C487*D487</f>
        <v>-0.2475</v>
      </c>
      <c r="I487" s="0" t="n">
        <f aca="false">C487*C487</f>
        <v>0.2025</v>
      </c>
      <c r="J487" s="0" t="n">
        <f aca="false">D487*D487</f>
        <v>0.3025</v>
      </c>
      <c r="K487" s="0" t="n">
        <f aca="false">SUMPRODUCT(E487:J487,_XtX!$B$53:$G$53)</f>
        <v>47.1879676724138</v>
      </c>
      <c r="L487" s="0" t="n">
        <f aca="false">SUMPRODUCT(MMULT(E487:J487,_XtX!$B$44:$G$49),E487:J487)</f>
        <v>0.19849215158046</v>
      </c>
      <c r="M487" s="0" t="n">
        <f aca="false">04_回帰ANOVA!$K$19*04_回帰ANOVA!$K$14*SQRT(1+L487)</f>
        <v>1.48352260940076</v>
      </c>
      <c r="N487" s="0" t="n">
        <f aca="false">K487-M487</f>
        <v>45.704445063013</v>
      </c>
      <c r="O487" s="0" t="n">
        <f aca="false">K487+M487</f>
        <v>48.6714902818146</v>
      </c>
      <c r="P487" s="54" t="b">
        <f aca="false">AND(C487&gt;=01_因子設定!$L$5-0.000000001,C487&lt;=01_因子設定!$M$5+0.000000001,D487&gt;=01_因子設定!$L$6-0.000000001,D487&lt;=01_因子設定!$M$6+0.000000001,IF(01_因子設定!$B$20="Box-Behnken",C487^2+D487^2&lt;=2+0.000000001,TRUE()))</f>
        <v>1</v>
      </c>
      <c r="Q487" s="55" t="n">
        <f aca="false">IF(P487,IF(01_因子設定!$B$13="最大化",N487-01_因子設定!$B$14,IF(01_因子設定!$B$13="最小化",01_因子設定!$B$15-O487,MIN(N487-01_因子設定!$B$14,01_因子設定!$B$15-O487))),-1E+030)</f>
        <v>-0.795554936986967</v>
      </c>
      <c r="R487" s="55" t="n">
        <f aca="false">IF(P487,IF(01_因子設定!$B$13="最大化",K487,IF(01_因子設定!$B$13="最小化",-K487,-ABS(K487-01_因子設定!$B$16))),-1E+030)</f>
        <v>47.1879676724138</v>
      </c>
      <c r="S487" s="55" t="n">
        <f aca="false">Q487+ROW()*0.000000001</f>
        <v>-0.795554449986967</v>
      </c>
      <c r="T487" s="55" t="n">
        <f aca="false">R487+ROW()*0.000000001</f>
        <v>47.1879681594138</v>
      </c>
    </row>
    <row r="488" customFormat="false" ht="15" hidden="false" customHeight="false" outlineLevel="0" collapsed="false">
      <c r="A488" s="0" t="n">
        <v>11</v>
      </c>
      <c r="B488" s="0" t="n">
        <v>32</v>
      </c>
      <c r="C488" s="0" t="n">
        <f aca="false">-1+A488*0.05</f>
        <v>-0.45</v>
      </c>
      <c r="D488" s="0" t="n">
        <f aca="false">-1+B488*0.05</f>
        <v>0.6</v>
      </c>
      <c r="E488" s="0" t="n">
        <f aca="false">1</f>
        <v>1</v>
      </c>
      <c r="F488" s="0" t="n">
        <f aca="false">C488</f>
        <v>-0.45</v>
      </c>
      <c r="G488" s="0" t="n">
        <f aca="false">D488</f>
        <v>0.6</v>
      </c>
      <c r="H488" s="0" t="n">
        <f aca="false">C488*D488</f>
        <v>-0.27</v>
      </c>
      <c r="I488" s="0" t="n">
        <f aca="false">C488*C488</f>
        <v>0.2025</v>
      </c>
      <c r="J488" s="0" t="n">
        <f aca="false">D488*D488</f>
        <v>0.36</v>
      </c>
      <c r="K488" s="0" t="n">
        <f aca="false">SUMPRODUCT(E488:J488,_XtX!$B$53:$G$53)</f>
        <v>47.1999267241379</v>
      </c>
      <c r="L488" s="0" t="n">
        <f aca="false">SUMPRODUCT(MMULT(E488:J488,_XtX!$B$44:$G$49),E488:J488)</f>
        <v>0.20967036637931</v>
      </c>
      <c r="M488" s="0" t="n">
        <f aca="false">04_回帰ANOVA!$K$19*04_回帰ANOVA!$K$14*SQRT(1+L488)</f>
        <v>1.49042488503951</v>
      </c>
      <c r="N488" s="0" t="n">
        <f aca="false">K488-M488</f>
        <v>45.7095018390984</v>
      </c>
      <c r="O488" s="0" t="n">
        <f aca="false">K488+M488</f>
        <v>48.6903516091774</v>
      </c>
      <c r="P488" s="54" t="b">
        <f aca="false">AND(C488&gt;=01_因子設定!$L$5-0.000000001,C488&lt;=01_因子設定!$M$5+0.000000001,D488&gt;=01_因子設定!$L$6-0.000000001,D488&lt;=01_因子設定!$M$6+0.000000001,IF(01_因子設定!$B$20="Box-Behnken",C488^2+D488^2&lt;=2+0.000000001,TRUE()))</f>
        <v>1</v>
      </c>
      <c r="Q488" s="55" t="n">
        <f aca="false">IF(P488,IF(01_因子設定!$B$13="最大化",N488-01_因子設定!$B$14,IF(01_因子設定!$B$13="最小化",01_因子設定!$B$15-O488,MIN(N488-01_因子設定!$B$14,01_因子設定!$B$15-O488))),-1E+030)</f>
        <v>-0.790498160901585</v>
      </c>
      <c r="R488" s="55" t="n">
        <f aca="false">IF(P488,IF(01_因子設定!$B$13="最大化",K488,IF(01_因子設定!$B$13="最小化",-K488,-ABS(K488-01_因子設定!$B$16))),-1E+030)</f>
        <v>47.1999267241379</v>
      </c>
      <c r="S488" s="55" t="n">
        <f aca="false">Q488+ROW()*0.000000001</f>
        <v>-0.790497672901585</v>
      </c>
      <c r="T488" s="55" t="n">
        <f aca="false">R488+ROW()*0.000000001</f>
        <v>47.1999272121379</v>
      </c>
    </row>
    <row r="489" customFormat="false" ht="15" hidden="false" customHeight="false" outlineLevel="0" collapsed="false">
      <c r="A489" s="0" t="n">
        <v>11</v>
      </c>
      <c r="B489" s="0" t="n">
        <v>33</v>
      </c>
      <c r="C489" s="0" t="n">
        <f aca="false">-1+A489*0.05</f>
        <v>-0.45</v>
      </c>
      <c r="D489" s="0" t="n">
        <f aca="false">-1+B489*0.05</f>
        <v>0.65</v>
      </c>
      <c r="E489" s="0" t="n">
        <f aca="false">1</f>
        <v>1</v>
      </c>
      <c r="F489" s="0" t="n">
        <f aca="false">C489</f>
        <v>-0.45</v>
      </c>
      <c r="G489" s="0" t="n">
        <f aca="false">D489</f>
        <v>0.65</v>
      </c>
      <c r="H489" s="0" t="n">
        <f aca="false">C489*D489</f>
        <v>-0.2925</v>
      </c>
      <c r="I489" s="0" t="n">
        <f aca="false">C489*C489</f>
        <v>0.2025</v>
      </c>
      <c r="J489" s="0" t="n">
        <f aca="false">D489*D489</f>
        <v>0.4225</v>
      </c>
      <c r="K489" s="0" t="n">
        <f aca="false">SUMPRODUCT(E489:J489,_XtX!$B$53:$G$53)</f>
        <v>47.2041702586207</v>
      </c>
      <c r="L489" s="0" t="n">
        <f aca="false">SUMPRODUCT(MMULT(E489:J489,_XtX!$B$44:$G$49),E489:J489)</f>
        <v>0.224536117097701</v>
      </c>
      <c r="M489" s="0" t="n">
        <f aca="false">04_回帰ANOVA!$K$19*04_回帰ANOVA!$K$14*SQRT(1+L489)</f>
        <v>1.49955490522416</v>
      </c>
      <c r="N489" s="0" t="n">
        <f aca="false">K489-M489</f>
        <v>45.7046153533965</v>
      </c>
      <c r="O489" s="0" t="n">
        <f aca="false">K489+M489</f>
        <v>48.7037251638448</v>
      </c>
      <c r="P489" s="54" t="b">
        <f aca="false">AND(C489&gt;=01_因子設定!$L$5-0.000000001,C489&lt;=01_因子設定!$M$5+0.000000001,D489&gt;=01_因子設定!$L$6-0.000000001,D489&lt;=01_因子設定!$M$6+0.000000001,IF(01_因子設定!$B$20="Box-Behnken",C489^2+D489^2&lt;=2+0.000000001,TRUE()))</f>
        <v>1</v>
      </c>
      <c r="Q489" s="55" t="n">
        <f aca="false">IF(P489,IF(01_因子設定!$B$13="最大化",N489-01_因子設定!$B$14,IF(01_因子設定!$B$13="最小化",01_因子設定!$B$15-O489,MIN(N489-01_因子設定!$B$14,01_因子設定!$B$15-O489))),-1E+030)</f>
        <v>-0.795384646603466</v>
      </c>
      <c r="R489" s="55" t="n">
        <f aca="false">IF(P489,IF(01_因子設定!$B$13="最大化",K489,IF(01_因子設定!$B$13="最小化",-K489,-ABS(K489-01_因子設定!$B$16))),-1E+030)</f>
        <v>47.2041702586207</v>
      </c>
      <c r="S489" s="55" t="n">
        <f aca="false">Q489+ROW()*0.000000001</f>
        <v>-0.795384157603466</v>
      </c>
      <c r="T489" s="55" t="n">
        <f aca="false">R489+ROW()*0.000000001</f>
        <v>47.2041707476207</v>
      </c>
    </row>
    <row r="490" customFormat="false" ht="15" hidden="false" customHeight="false" outlineLevel="0" collapsed="false">
      <c r="A490" s="0" t="n">
        <v>11</v>
      </c>
      <c r="B490" s="0" t="n">
        <v>34</v>
      </c>
      <c r="C490" s="0" t="n">
        <f aca="false">-1+A490*0.05</f>
        <v>-0.45</v>
      </c>
      <c r="D490" s="0" t="n">
        <f aca="false">-1+B490*0.05</f>
        <v>0.7</v>
      </c>
      <c r="E490" s="0" t="n">
        <f aca="false">1</f>
        <v>1</v>
      </c>
      <c r="F490" s="0" t="n">
        <f aca="false">C490</f>
        <v>-0.45</v>
      </c>
      <c r="G490" s="0" t="n">
        <f aca="false">D490</f>
        <v>0.7</v>
      </c>
      <c r="H490" s="0" t="n">
        <f aca="false">C490*D490</f>
        <v>-0.315</v>
      </c>
      <c r="I490" s="0" t="n">
        <f aca="false">C490*C490</f>
        <v>0.2025</v>
      </c>
      <c r="J490" s="0" t="n">
        <f aca="false">D490*D490</f>
        <v>0.49</v>
      </c>
      <c r="K490" s="0" t="n">
        <f aca="false">SUMPRODUCT(E490:J490,_XtX!$B$53:$G$53)</f>
        <v>47.2006982758621</v>
      </c>
      <c r="L490" s="0" t="n">
        <f aca="false">SUMPRODUCT(MMULT(E490:J490,_XtX!$B$44:$G$49),E490:J490)</f>
        <v>0.243768283045977</v>
      </c>
      <c r="M490" s="0" t="n">
        <f aca="false">04_回帰ANOVA!$K$19*04_回帰ANOVA!$K$14*SQRT(1+L490)</f>
        <v>1.51128478900926</v>
      </c>
      <c r="N490" s="0" t="n">
        <f aca="false">K490-M490</f>
        <v>45.6894134868528</v>
      </c>
      <c r="O490" s="0" t="n">
        <f aca="false">K490+M490</f>
        <v>48.7119830648713</v>
      </c>
      <c r="P490" s="54" t="b">
        <f aca="false">AND(C490&gt;=01_因子設定!$L$5-0.000000001,C490&lt;=01_因子設定!$M$5+0.000000001,D490&gt;=01_因子設定!$L$6-0.000000001,D490&lt;=01_因子設定!$M$6+0.000000001,IF(01_因子設定!$B$20="Box-Behnken",C490^2+D490^2&lt;=2+0.000000001,TRUE()))</f>
        <v>1</v>
      </c>
      <c r="Q490" s="55" t="n">
        <f aca="false">IF(P490,IF(01_因子設定!$B$13="最大化",N490-01_因子設定!$B$14,IF(01_因子設定!$B$13="最小化",01_因子設定!$B$15-O490,MIN(N490-01_因子設定!$B$14,01_因子設定!$B$15-O490))),-1E+030)</f>
        <v>-0.8105865131472</v>
      </c>
      <c r="R490" s="55" t="n">
        <f aca="false">IF(P490,IF(01_因子設定!$B$13="最大化",K490,IF(01_因子設定!$B$13="最小化",-K490,-ABS(K490-01_因子設定!$B$16))),-1E+030)</f>
        <v>47.2006982758621</v>
      </c>
      <c r="S490" s="55" t="n">
        <f aca="false">Q490+ROW()*0.000000001</f>
        <v>-0.8105860231472</v>
      </c>
      <c r="T490" s="55" t="n">
        <f aca="false">R490+ROW()*0.000000001</f>
        <v>47.2006987658621</v>
      </c>
    </row>
    <row r="491" customFormat="false" ht="15" hidden="false" customHeight="false" outlineLevel="0" collapsed="false">
      <c r="A491" s="0" t="n">
        <v>11</v>
      </c>
      <c r="B491" s="0" t="n">
        <v>35</v>
      </c>
      <c r="C491" s="0" t="n">
        <f aca="false">-1+A491*0.05</f>
        <v>-0.45</v>
      </c>
      <c r="D491" s="0" t="n">
        <f aca="false">-1+B491*0.05</f>
        <v>0.75</v>
      </c>
      <c r="E491" s="0" t="n">
        <f aca="false">1</f>
        <v>1</v>
      </c>
      <c r="F491" s="0" t="n">
        <f aca="false">C491</f>
        <v>-0.45</v>
      </c>
      <c r="G491" s="0" t="n">
        <f aca="false">D491</f>
        <v>0.75</v>
      </c>
      <c r="H491" s="0" t="n">
        <f aca="false">C491*D491</f>
        <v>-0.3375</v>
      </c>
      <c r="I491" s="0" t="n">
        <f aca="false">C491*C491</f>
        <v>0.2025</v>
      </c>
      <c r="J491" s="0" t="n">
        <f aca="false">D491*D491</f>
        <v>0.5625</v>
      </c>
      <c r="K491" s="0" t="n">
        <f aca="false">SUMPRODUCT(E491:J491,_XtX!$B$53:$G$53)</f>
        <v>47.1895107758621</v>
      </c>
      <c r="L491" s="0" t="n">
        <f aca="false">SUMPRODUCT(MMULT(E491:J491,_XtX!$B$44:$G$49),E491:J491)</f>
        <v>0.26810005387931</v>
      </c>
      <c r="M491" s="0" t="n">
        <f aca="false">04_回帰ANOVA!$K$19*04_回帰ANOVA!$K$14*SQRT(1+L491)</f>
        <v>1.52599578070166</v>
      </c>
      <c r="N491" s="0" t="n">
        <f aca="false">K491-M491</f>
        <v>45.6635149951604</v>
      </c>
      <c r="O491" s="0" t="n">
        <f aca="false">K491+M491</f>
        <v>48.7155065565637</v>
      </c>
      <c r="P491" s="54" t="b">
        <f aca="false">AND(C491&gt;=01_因子設定!$L$5-0.000000001,C491&lt;=01_因子設定!$M$5+0.000000001,D491&gt;=01_因子設定!$L$6-0.000000001,D491&lt;=01_因子設定!$M$6+0.000000001,IF(01_因子設定!$B$20="Box-Behnken",C491^2+D491^2&lt;=2+0.000000001,TRUE()))</f>
        <v>1</v>
      </c>
      <c r="Q491" s="55" t="n">
        <f aca="false">IF(P491,IF(01_因子設定!$B$13="最大化",N491-01_因子設定!$B$14,IF(01_因子設定!$B$13="最小化",01_因子設定!$B$15-O491,MIN(N491-01_因子設定!$B$14,01_因子設定!$B$15-O491))),-1E+030)</f>
        <v>-0.836485004839588</v>
      </c>
      <c r="R491" s="55" t="n">
        <f aca="false">IF(P491,IF(01_因子設定!$B$13="最大化",K491,IF(01_因子設定!$B$13="最小化",-K491,-ABS(K491-01_因子設定!$B$16))),-1E+030)</f>
        <v>47.1895107758621</v>
      </c>
      <c r="S491" s="55" t="n">
        <f aca="false">Q491+ROW()*0.000000001</f>
        <v>-0.836484513839588</v>
      </c>
      <c r="T491" s="55" t="n">
        <f aca="false">R491+ROW()*0.000000001</f>
        <v>47.1895112668621</v>
      </c>
    </row>
    <row r="492" customFormat="false" ht="15" hidden="false" customHeight="false" outlineLevel="0" collapsed="false">
      <c r="A492" s="0" t="n">
        <v>11</v>
      </c>
      <c r="B492" s="0" t="n">
        <v>36</v>
      </c>
      <c r="C492" s="0" t="n">
        <f aca="false">-1+A492*0.05</f>
        <v>-0.45</v>
      </c>
      <c r="D492" s="0" t="n">
        <f aca="false">-1+B492*0.05</f>
        <v>0.8</v>
      </c>
      <c r="E492" s="0" t="n">
        <f aca="false">1</f>
        <v>1</v>
      </c>
      <c r="F492" s="0" t="n">
        <f aca="false">C492</f>
        <v>-0.45</v>
      </c>
      <c r="G492" s="0" t="n">
        <f aca="false">D492</f>
        <v>0.8</v>
      </c>
      <c r="H492" s="0" t="n">
        <f aca="false">C492*D492</f>
        <v>-0.36</v>
      </c>
      <c r="I492" s="0" t="n">
        <f aca="false">C492*C492</f>
        <v>0.2025</v>
      </c>
      <c r="J492" s="0" t="n">
        <f aca="false">D492*D492</f>
        <v>0.64</v>
      </c>
      <c r="K492" s="0" t="n">
        <f aca="false">SUMPRODUCT(E492:J492,_XtX!$B$53:$G$53)</f>
        <v>47.1706077586207</v>
      </c>
      <c r="L492" s="0" t="n">
        <f aca="false">SUMPRODUCT(MMULT(E492:J492,_XtX!$B$44:$G$49),E492:J492)</f>
        <v>0.298318929597701</v>
      </c>
      <c r="M492" s="0" t="n">
        <f aca="false">04_回帰ANOVA!$K$19*04_回帰ANOVA!$K$14*SQRT(1+L492)</f>
        <v>1.54407100205425</v>
      </c>
      <c r="N492" s="0" t="n">
        <f aca="false">K492-M492</f>
        <v>45.6265367565664</v>
      </c>
      <c r="O492" s="0" t="n">
        <f aca="false">K492+M492</f>
        <v>48.7146787606749</v>
      </c>
      <c r="P492" s="54" t="b">
        <f aca="false">AND(C492&gt;=01_因子設定!$L$5-0.000000001,C492&lt;=01_因子設定!$M$5+0.000000001,D492&gt;=01_因子設定!$L$6-0.000000001,D492&lt;=01_因子設定!$M$6+0.000000001,IF(01_因子設定!$B$20="Box-Behnken",C492^2+D492^2&lt;=2+0.000000001,TRUE()))</f>
        <v>1</v>
      </c>
      <c r="Q492" s="55" t="n">
        <f aca="false">IF(P492,IF(01_因子設定!$B$13="最大化",N492-01_因子設定!$B$14,IF(01_因子設定!$B$13="最小化",01_因子設定!$B$15-O492,MIN(N492-01_因子設定!$B$14,01_因子設定!$B$15-O492))),-1E+030)</f>
        <v>-0.873463243433562</v>
      </c>
      <c r="R492" s="55" t="n">
        <f aca="false">IF(P492,IF(01_因子設定!$B$13="最大化",K492,IF(01_因子設定!$B$13="最小化",-K492,-ABS(K492-01_因子設定!$B$16))),-1E+030)</f>
        <v>47.1706077586207</v>
      </c>
      <c r="S492" s="55" t="n">
        <f aca="false">Q492+ROW()*0.000000001</f>
        <v>-0.873462751433562</v>
      </c>
      <c r="T492" s="55" t="n">
        <f aca="false">R492+ROW()*0.000000001</f>
        <v>47.1706082506207</v>
      </c>
    </row>
    <row r="493" customFormat="false" ht="15" hidden="false" customHeight="false" outlineLevel="0" collapsed="false">
      <c r="A493" s="0" t="n">
        <v>11</v>
      </c>
      <c r="B493" s="0" t="n">
        <v>37</v>
      </c>
      <c r="C493" s="0" t="n">
        <f aca="false">-1+A493*0.05</f>
        <v>-0.45</v>
      </c>
      <c r="D493" s="0" t="n">
        <f aca="false">-1+B493*0.05</f>
        <v>0.85</v>
      </c>
      <c r="E493" s="0" t="n">
        <f aca="false">1</f>
        <v>1</v>
      </c>
      <c r="F493" s="0" t="n">
        <f aca="false">C493</f>
        <v>-0.45</v>
      </c>
      <c r="G493" s="0" t="n">
        <f aca="false">D493</f>
        <v>0.85</v>
      </c>
      <c r="H493" s="0" t="n">
        <f aca="false">C493*D493</f>
        <v>-0.3825</v>
      </c>
      <c r="I493" s="0" t="n">
        <f aca="false">C493*C493</f>
        <v>0.2025</v>
      </c>
      <c r="J493" s="0" t="n">
        <f aca="false">D493*D493</f>
        <v>0.7225</v>
      </c>
      <c r="K493" s="0" t="n">
        <f aca="false">SUMPRODUCT(E493:J493,_XtX!$B$53:$G$53)</f>
        <v>47.1439892241379</v>
      </c>
      <c r="L493" s="0" t="n">
        <f aca="false">SUMPRODUCT(MMULT(E493:J493,_XtX!$B$44:$G$49),E493:J493)</f>
        <v>0.335266720545977</v>
      </c>
      <c r="M493" s="0" t="n">
        <f aca="false">04_回帰ANOVA!$K$19*04_回帰ANOVA!$K$14*SQRT(1+L493)</f>
        <v>1.56588759931073</v>
      </c>
      <c r="N493" s="0" t="n">
        <f aca="false">K493-M493</f>
        <v>45.5781016248272</v>
      </c>
      <c r="O493" s="0" t="n">
        <f aca="false">K493+M493</f>
        <v>48.7098768234487</v>
      </c>
      <c r="P493" s="54" t="b">
        <f aca="false">AND(C493&gt;=01_因子設定!$L$5-0.000000001,C493&lt;=01_因子設定!$M$5+0.000000001,D493&gt;=01_因子設定!$L$6-0.000000001,D493&lt;=01_因子設定!$M$6+0.000000001,IF(01_因子設定!$B$20="Box-Behnken",C493^2+D493^2&lt;=2+0.000000001,TRUE()))</f>
        <v>1</v>
      </c>
      <c r="Q493" s="55" t="n">
        <f aca="false">IF(P493,IF(01_因子設定!$B$13="最大化",N493-01_因子設定!$B$14,IF(01_因子設定!$B$13="最小化",01_因子設定!$B$15-O493,MIN(N493-01_因子設定!$B$14,01_因子設定!$B$15-O493))),-1E+030)</f>
        <v>-0.921898375172802</v>
      </c>
      <c r="R493" s="55" t="n">
        <f aca="false">IF(P493,IF(01_因子設定!$B$13="最大化",K493,IF(01_因子設定!$B$13="最小化",-K493,-ABS(K493-01_因子設定!$B$16))),-1E+030)</f>
        <v>47.1439892241379</v>
      </c>
      <c r="S493" s="55" t="n">
        <f aca="false">Q493+ROW()*0.000000001</f>
        <v>-0.921897882172802</v>
      </c>
      <c r="T493" s="55" t="n">
        <f aca="false">R493+ROW()*0.000000001</f>
        <v>47.1439897171379</v>
      </c>
    </row>
    <row r="494" customFormat="false" ht="15" hidden="false" customHeight="false" outlineLevel="0" collapsed="false">
      <c r="A494" s="0" t="n">
        <v>11</v>
      </c>
      <c r="B494" s="0" t="n">
        <v>38</v>
      </c>
      <c r="C494" s="0" t="n">
        <f aca="false">-1+A494*0.05</f>
        <v>-0.45</v>
      </c>
      <c r="D494" s="0" t="n">
        <f aca="false">-1+B494*0.05</f>
        <v>0.9</v>
      </c>
      <c r="E494" s="0" t="n">
        <f aca="false">1</f>
        <v>1</v>
      </c>
      <c r="F494" s="0" t="n">
        <f aca="false">C494</f>
        <v>-0.45</v>
      </c>
      <c r="G494" s="0" t="n">
        <f aca="false">D494</f>
        <v>0.9</v>
      </c>
      <c r="H494" s="0" t="n">
        <f aca="false">C494*D494</f>
        <v>-0.405</v>
      </c>
      <c r="I494" s="0" t="n">
        <f aca="false">C494*C494</f>
        <v>0.2025</v>
      </c>
      <c r="J494" s="0" t="n">
        <f aca="false">D494*D494</f>
        <v>0.81</v>
      </c>
      <c r="K494" s="0" t="n">
        <f aca="false">SUMPRODUCT(E494:J494,_XtX!$B$53:$G$53)</f>
        <v>47.1096551724138</v>
      </c>
      <c r="L494" s="0" t="n">
        <f aca="false">SUMPRODUCT(MMULT(E494:J494,_XtX!$B$44:$G$49),E494:J494)</f>
        <v>0.379839547413793</v>
      </c>
      <c r="M494" s="0" t="n">
        <f aca="false">04_回帰ANOVA!$K$19*04_回帰ANOVA!$K$14*SQRT(1+L494)</f>
        <v>1.59180867193519</v>
      </c>
      <c r="N494" s="0" t="n">
        <f aca="false">K494-M494</f>
        <v>45.5178465004786</v>
      </c>
      <c r="O494" s="0" t="n">
        <f aca="false">K494+M494</f>
        <v>48.701463844349</v>
      </c>
      <c r="P494" s="54" t="b">
        <f aca="false">AND(C494&gt;=01_因子設定!$L$5-0.000000001,C494&lt;=01_因子設定!$M$5+0.000000001,D494&gt;=01_因子設定!$L$6-0.000000001,D494&lt;=01_因子設定!$M$6+0.000000001,IF(01_因子設定!$B$20="Box-Behnken",C494^2+D494^2&lt;=2+0.000000001,TRUE()))</f>
        <v>1</v>
      </c>
      <c r="Q494" s="55" t="n">
        <f aca="false">IF(P494,IF(01_因子設定!$B$13="最大化",N494-01_因子設定!$B$14,IF(01_因子設定!$B$13="最小化",01_因子設定!$B$15-O494,MIN(N494-01_因子設定!$B$14,01_因子設定!$B$15-O494))),-1E+030)</f>
        <v>-0.982153499521402</v>
      </c>
      <c r="R494" s="55" t="n">
        <f aca="false">IF(P494,IF(01_因子設定!$B$13="最大化",K494,IF(01_因子設定!$B$13="最小化",-K494,-ABS(K494-01_因子設定!$B$16))),-1E+030)</f>
        <v>47.1096551724138</v>
      </c>
      <c r="S494" s="55" t="n">
        <f aca="false">Q494+ROW()*0.000000001</f>
        <v>-0.982153005521402</v>
      </c>
      <c r="T494" s="55" t="n">
        <f aca="false">R494+ROW()*0.000000001</f>
        <v>47.1096556664138</v>
      </c>
    </row>
    <row r="495" customFormat="false" ht="15" hidden="false" customHeight="false" outlineLevel="0" collapsed="false">
      <c r="A495" s="0" t="n">
        <v>11</v>
      </c>
      <c r="B495" s="0" t="n">
        <v>39</v>
      </c>
      <c r="C495" s="0" t="n">
        <f aca="false">-1+A495*0.05</f>
        <v>-0.45</v>
      </c>
      <c r="D495" s="0" t="n">
        <f aca="false">-1+B495*0.05</f>
        <v>0.95</v>
      </c>
      <c r="E495" s="0" t="n">
        <f aca="false">1</f>
        <v>1</v>
      </c>
      <c r="F495" s="0" t="n">
        <f aca="false">C495</f>
        <v>-0.45</v>
      </c>
      <c r="G495" s="0" t="n">
        <f aca="false">D495</f>
        <v>0.95</v>
      </c>
      <c r="H495" s="0" t="n">
        <f aca="false">C495*D495</f>
        <v>-0.4275</v>
      </c>
      <c r="I495" s="0" t="n">
        <f aca="false">C495*C495</f>
        <v>0.2025</v>
      </c>
      <c r="J495" s="0" t="n">
        <f aca="false">D495*D495</f>
        <v>0.9025</v>
      </c>
      <c r="K495" s="0" t="n">
        <f aca="false">SUMPRODUCT(E495:J495,_XtX!$B$53:$G$53)</f>
        <v>47.0676056034483</v>
      </c>
      <c r="L495" s="0" t="n">
        <f aca="false">SUMPRODUCT(MMULT(E495:J495,_XtX!$B$44:$G$49),E495:J495)</f>
        <v>0.432987841235632</v>
      </c>
      <c r="M495" s="0" t="n">
        <f aca="false">04_回帰ANOVA!$K$19*04_回帰ANOVA!$K$14*SQRT(1+L495)</f>
        <v>1.62217545204943</v>
      </c>
      <c r="N495" s="0" t="n">
        <f aca="false">K495-M495</f>
        <v>45.4454301513988</v>
      </c>
      <c r="O495" s="0" t="n">
        <f aca="false">K495+M495</f>
        <v>48.6897810554977</v>
      </c>
      <c r="P495" s="54" t="b">
        <f aca="false">AND(C495&gt;=01_因子設定!$L$5-0.000000001,C495&lt;=01_因子設定!$M$5+0.000000001,D495&gt;=01_因子設定!$L$6-0.000000001,D495&lt;=01_因子設定!$M$6+0.000000001,IF(01_因子設定!$B$20="Box-Behnken",C495^2+D495^2&lt;=2+0.000000001,TRUE()))</f>
        <v>1</v>
      </c>
      <c r="Q495" s="55" t="n">
        <f aca="false">IF(P495,IF(01_因子設定!$B$13="最大化",N495-01_因子設定!$B$14,IF(01_因子設定!$B$13="最小化",01_因子設定!$B$15-O495,MIN(N495-01_因子設定!$B$14,01_因子設定!$B$15-O495))),-1E+030)</f>
        <v>-1.05456984860116</v>
      </c>
      <c r="R495" s="55" t="n">
        <f aca="false">IF(P495,IF(01_因子設定!$B$13="最大化",K495,IF(01_因子設定!$B$13="最小化",-K495,-ABS(K495-01_因子設定!$B$16))),-1E+030)</f>
        <v>47.0676056034483</v>
      </c>
      <c r="S495" s="55" t="n">
        <f aca="false">Q495+ROW()*0.000000001</f>
        <v>-1.05456935360116</v>
      </c>
      <c r="T495" s="55" t="n">
        <f aca="false">R495+ROW()*0.000000001</f>
        <v>47.0676060984483</v>
      </c>
    </row>
    <row r="496" customFormat="false" ht="15" hidden="false" customHeight="false" outlineLevel="0" collapsed="false">
      <c r="A496" s="0" t="n">
        <v>11</v>
      </c>
      <c r="B496" s="0" t="n">
        <v>40</v>
      </c>
      <c r="C496" s="0" t="n">
        <f aca="false">-1+A496*0.05</f>
        <v>-0.45</v>
      </c>
      <c r="D496" s="0" t="n">
        <f aca="false">-1+B496*0.05</f>
        <v>1</v>
      </c>
      <c r="E496" s="0" t="n">
        <f aca="false">1</f>
        <v>1</v>
      </c>
      <c r="F496" s="0" t="n">
        <f aca="false">C496</f>
        <v>-0.45</v>
      </c>
      <c r="G496" s="0" t="n">
        <f aca="false">D496</f>
        <v>1</v>
      </c>
      <c r="H496" s="0" t="n">
        <f aca="false">C496*D496</f>
        <v>-0.45</v>
      </c>
      <c r="I496" s="0" t="n">
        <f aca="false">C496*C496</f>
        <v>0.2025</v>
      </c>
      <c r="J496" s="0" t="n">
        <f aca="false">D496*D496</f>
        <v>1</v>
      </c>
      <c r="K496" s="0" t="n">
        <f aca="false">SUMPRODUCT(E496:J496,_XtX!$B$53:$G$53)</f>
        <v>47.0178405172414</v>
      </c>
      <c r="L496" s="0" t="n">
        <f aca="false">SUMPRODUCT(MMULT(E496:J496,_XtX!$B$44:$G$49),E496:J496)</f>
        <v>0.495716343390805</v>
      </c>
      <c r="M496" s="0" t="n">
        <f aca="false">04_回帰ANOVA!$K$19*04_回帰ANOVA!$K$14*SQRT(1+L496)</f>
        <v>1.65730023478681</v>
      </c>
      <c r="N496" s="0" t="n">
        <f aca="false">K496-M496</f>
        <v>45.3605402824546</v>
      </c>
      <c r="O496" s="0" t="n">
        <f aca="false">K496+M496</f>
        <v>48.6751407520282</v>
      </c>
      <c r="P496" s="54" t="b">
        <f aca="false">AND(C496&gt;=01_因子設定!$L$5-0.000000001,C496&lt;=01_因子設定!$M$5+0.000000001,D496&gt;=01_因子設定!$L$6-0.000000001,D496&lt;=01_因子設定!$M$6+0.000000001,IF(01_因子設定!$B$20="Box-Behnken",C496^2+D496^2&lt;=2+0.000000001,TRUE()))</f>
        <v>1</v>
      </c>
      <c r="Q496" s="55" t="n">
        <f aca="false">IF(P496,IF(01_因子設定!$B$13="最大化",N496-01_因子設定!$B$14,IF(01_因子設定!$B$13="最小化",01_因子設定!$B$15-O496,MIN(N496-01_因子設定!$B$14,01_因子設定!$B$15-O496))),-1E+030)</f>
        <v>-1.13945971754544</v>
      </c>
      <c r="R496" s="55" t="n">
        <f aca="false">IF(P496,IF(01_因子設定!$B$13="最大化",K496,IF(01_因子設定!$B$13="最小化",-K496,-ABS(K496-01_因子設定!$B$16))),-1E+030)</f>
        <v>47.0178405172414</v>
      </c>
      <c r="S496" s="55" t="n">
        <f aca="false">Q496+ROW()*0.000000001</f>
        <v>-1.13945922154544</v>
      </c>
      <c r="T496" s="55" t="n">
        <f aca="false">R496+ROW()*0.000000001</f>
        <v>47.0178410132414</v>
      </c>
    </row>
    <row r="497" customFormat="false" ht="15" hidden="false" customHeight="false" outlineLevel="0" collapsed="false">
      <c r="A497" s="0" t="n">
        <v>12</v>
      </c>
      <c r="B497" s="0" t="n">
        <v>0</v>
      </c>
      <c r="C497" s="0" t="n">
        <f aca="false">-1+A497*0.05</f>
        <v>-0.4</v>
      </c>
      <c r="D497" s="0" t="n">
        <f aca="false">-1+B497*0.05</f>
        <v>-1</v>
      </c>
      <c r="E497" s="0" t="n">
        <f aca="false">1</f>
        <v>1</v>
      </c>
      <c r="F497" s="0" t="n">
        <f aca="false">C497</f>
        <v>-0.4</v>
      </c>
      <c r="G497" s="0" t="n">
        <f aca="false">D497</f>
        <v>-1</v>
      </c>
      <c r="H497" s="0" t="n">
        <f aca="false">C497*D497</f>
        <v>0.4</v>
      </c>
      <c r="I497" s="0" t="n">
        <f aca="false">C497*C497</f>
        <v>0.16</v>
      </c>
      <c r="J497" s="0" t="n">
        <f aca="false">D497*D497</f>
        <v>1</v>
      </c>
      <c r="K497" s="0" t="n">
        <f aca="false">SUMPRODUCT(E497:J497,_XtX!$B$53:$G$53)</f>
        <v>43.1865057471264</v>
      </c>
      <c r="L497" s="0" t="n">
        <f aca="false">SUMPRODUCT(MMULT(E497:J497,_XtX!$B$44:$G$49),E497:J497)</f>
        <v>0.492947126436782</v>
      </c>
      <c r="M497" s="0" t="n">
        <f aca="false">04_回帰ANOVA!$K$19*04_回帰ANOVA!$K$14*SQRT(1+L497)</f>
        <v>1.65576533475427</v>
      </c>
      <c r="N497" s="0" t="n">
        <f aca="false">K497-M497</f>
        <v>41.5307404123722</v>
      </c>
      <c r="O497" s="0" t="n">
        <f aca="false">K497+M497</f>
        <v>44.8422710818807</v>
      </c>
      <c r="P497" s="54" t="b">
        <f aca="false">AND(C497&gt;=01_因子設定!$L$5-0.000000001,C497&lt;=01_因子設定!$M$5+0.000000001,D497&gt;=01_因子設定!$L$6-0.000000001,D497&lt;=01_因子設定!$M$6+0.000000001,IF(01_因子設定!$B$20="Box-Behnken",C497^2+D497^2&lt;=2+0.000000001,TRUE()))</f>
        <v>1</v>
      </c>
      <c r="Q497" s="55" t="n">
        <f aca="false">IF(P497,IF(01_因子設定!$B$13="最大化",N497-01_因子設定!$B$14,IF(01_因子設定!$B$13="最小化",01_因子設定!$B$15-O497,MIN(N497-01_因子設定!$B$14,01_因子設定!$B$15-O497))),-1E+030)</f>
        <v>-4.96925958762783</v>
      </c>
      <c r="R497" s="55" t="n">
        <f aca="false">IF(P497,IF(01_因子設定!$B$13="最大化",K497,IF(01_因子設定!$B$13="最小化",-K497,-ABS(K497-01_因子設定!$B$16))),-1E+030)</f>
        <v>43.1865057471264</v>
      </c>
      <c r="S497" s="55" t="n">
        <f aca="false">Q497+ROW()*0.000000001</f>
        <v>-4.96925909062783</v>
      </c>
      <c r="T497" s="55" t="n">
        <f aca="false">R497+ROW()*0.000000001</f>
        <v>43.1865062441264</v>
      </c>
    </row>
    <row r="498" customFormat="false" ht="15" hidden="false" customHeight="false" outlineLevel="0" collapsed="false">
      <c r="A498" s="0" t="n">
        <v>12</v>
      </c>
      <c r="B498" s="0" t="n">
        <v>1</v>
      </c>
      <c r="C498" s="0" t="n">
        <f aca="false">-1+A498*0.05</f>
        <v>-0.4</v>
      </c>
      <c r="D498" s="0" t="n">
        <f aca="false">-1+B498*0.05</f>
        <v>-0.95</v>
      </c>
      <c r="E498" s="0" t="n">
        <f aca="false">1</f>
        <v>1</v>
      </c>
      <c r="F498" s="0" t="n">
        <f aca="false">C498</f>
        <v>-0.4</v>
      </c>
      <c r="G498" s="0" t="n">
        <f aca="false">D498</f>
        <v>-0.95</v>
      </c>
      <c r="H498" s="0" t="n">
        <f aca="false">C498*D498</f>
        <v>0.38</v>
      </c>
      <c r="I498" s="0" t="n">
        <f aca="false">C498*C498</f>
        <v>0.16</v>
      </c>
      <c r="J498" s="0" t="n">
        <f aca="false">D498*D498</f>
        <v>0.9025</v>
      </c>
      <c r="K498" s="0" t="n">
        <f aca="false">SUMPRODUCT(E498:J498,_XtX!$B$53:$G$53)</f>
        <v>43.4389583333333</v>
      </c>
      <c r="L498" s="0" t="n">
        <f aca="false">SUMPRODUCT(MMULT(E498:J498,_XtX!$B$44:$G$49),E498:J498)</f>
        <v>0.430111458333333</v>
      </c>
      <c r="M498" s="0" t="n">
        <f aca="false">04_回帰ANOVA!$K$19*04_回帰ANOVA!$K$14*SQRT(1+L498)</f>
        <v>1.62054656818033</v>
      </c>
      <c r="N498" s="0" t="n">
        <f aca="false">K498-M498</f>
        <v>41.818411765153</v>
      </c>
      <c r="O498" s="0" t="n">
        <f aca="false">K498+M498</f>
        <v>45.0595049015137</v>
      </c>
      <c r="P498" s="54" t="b">
        <f aca="false">AND(C498&gt;=01_因子設定!$L$5-0.000000001,C498&lt;=01_因子設定!$M$5+0.000000001,D498&gt;=01_因子設定!$L$6-0.000000001,D498&lt;=01_因子設定!$M$6+0.000000001,IF(01_因子設定!$B$20="Box-Behnken",C498^2+D498^2&lt;=2+0.000000001,TRUE()))</f>
        <v>1</v>
      </c>
      <c r="Q498" s="55" t="n">
        <f aca="false">IF(P498,IF(01_因子設定!$B$13="最大化",N498-01_因子設定!$B$14,IF(01_因子設定!$B$13="最小化",01_因子設定!$B$15-O498,MIN(N498-01_因子設定!$B$14,01_因子設定!$B$15-O498))),-1E+030)</f>
        <v>-4.681588234847</v>
      </c>
      <c r="R498" s="55" t="n">
        <f aca="false">IF(P498,IF(01_因子設定!$B$13="最大化",K498,IF(01_因子設定!$B$13="最小化",-K498,-ABS(K498-01_因子設定!$B$16))),-1E+030)</f>
        <v>43.4389583333333</v>
      </c>
      <c r="S498" s="55" t="n">
        <f aca="false">Q498+ROW()*0.000000001</f>
        <v>-4.681587736847</v>
      </c>
      <c r="T498" s="55" t="n">
        <f aca="false">R498+ROW()*0.000000001</f>
        <v>43.4389588313333</v>
      </c>
    </row>
    <row r="499" customFormat="false" ht="15" hidden="false" customHeight="false" outlineLevel="0" collapsed="false">
      <c r="A499" s="0" t="n">
        <v>12</v>
      </c>
      <c r="B499" s="0" t="n">
        <v>2</v>
      </c>
      <c r="C499" s="0" t="n">
        <f aca="false">-1+A499*0.05</f>
        <v>-0.4</v>
      </c>
      <c r="D499" s="0" t="n">
        <f aca="false">-1+B499*0.05</f>
        <v>-0.9</v>
      </c>
      <c r="E499" s="0" t="n">
        <f aca="false">1</f>
        <v>1</v>
      </c>
      <c r="F499" s="0" t="n">
        <f aca="false">C499</f>
        <v>-0.4</v>
      </c>
      <c r="G499" s="0" t="n">
        <f aca="false">D499</f>
        <v>-0.9</v>
      </c>
      <c r="H499" s="0" t="n">
        <f aca="false">C499*D499</f>
        <v>0.36</v>
      </c>
      <c r="I499" s="0" t="n">
        <f aca="false">C499*C499</f>
        <v>0.16</v>
      </c>
      <c r="J499" s="0" t="n">
        <f aca="false">D499*D499</f>
        <v>0.81</v>
      </c>
      <c r="K499" s="0" t="n">
        <f aca="false">SUMPRODUCT(E499:J499,_XtX!$B$53:$G$53)</f>
        <v>43.6836954022989</v>
      </c>
      <c r="L499" s="0" t="n">
        <f aca="false">SUMPRODUCT(MMULT(E499:J499,_XtX!$B$44:$G$49),E499:J499)</f>
        <v>0.376861494252874</v>
      </c>
      <c r="M499" s="0" t="n">
        <f aca="false">04_回帰ANOVA!$K$19*04_回帰ANOVA!$K$14*SQRT(1+L499)</f>
        <v>1.59008997521304</v>
      </c>
      <c r="N499" s="0" t="n">
        <f aca="false">K499-M499</f>
        <v>42.0936054270858</v>
      </c>
      <c r="O499" s="0" t="n">
        <f aca="false">K499+M499</f>
        <v>45.2737853775119</v>
      </c>
      <c r="P499" s="54" t="b">
        <f aca="false">AND(C499&gt;=01_因子設定!$L$5-0.000000001,C499&lt;=01_因子設定!$M$5+0.000000001,D499&gt;=01_因子設定!$L$6-0.000000001,D499&lt;=01_因子設定!$M$6+0.000000001,IF(01_因子設定!$B$20="Box-Behnken",C499^2+D499^2&lt;=2+0.000000001,TRUE()))</f>
        <v>1</v>
      </c>
      <c r="Q499" s="55" t="n">
        <f aca="false">IF(P499,IF(01_因子設定!$B$13="最大化",N499-01_因子設定!$B$14,IF(01_因子設定!$B$13="最小化",01_因子設定!$B$15-O499,MIN(N499-01_因子設定!$B$14,01_因子設定!$B$15-O499))),-1E+030)</f>
        <v>-4.40639457291419</v>
      </c>
      <c r="R499" s="55" t="n">
        <f aca="false">IF(P499,IF(01_因子設定!$B$13="最大化",K499,IF(01_因子設定!$B$13="最小化",-K499,-ABS(K499-01_因子設定!$B$16))),-1E+030)</f>
        <v>43.6836954022989</v>
      </c>
      <c r="S499" s="55" t="n">
        <f aca="false">Q499+ROW()*0.000000001</f>
        <v>-4.40639407391419</v>
      </c>
      <c r="T499" s="55" t="n">
        <f aca="false">R499+ROW()*0.000000001</f>
        <v>43.6836959012989</v>
      </c>
    </row>
    <row r="500" customFormat="false" ht="15" hidden="false" customHeight="false" outlineLevel="0" collapsed="false">
      <c r="A500" s="0" t="n">
        <v>12</v>
      </c>
      <c r="B500" s="0" t="n">
        <v>3</v>
      </c>
      <c r="C500" s="0" t="n">
        <f aca="false">-1+A500*0.05</f>
        <v>-0.4</v>
      </c>
      <c r="D500" s="0" t="n">
        <f aca="false">-1+B500*0.05</f>
        <v>-0.85</v>
      </c>
      <c r="E500" s="0" t="n">
        <f aca="false">1</f>
        <v>1</v>
      </c>
      <c r="F500" s="0" t="n">
        <f aca="false">C500</f>
        <v>-0.4</v>
      </c>
      <c r="G500" s="0" t="n">
        <f aca="false">D500</f>
        <v>-0.85</v>
      </c>
      <c r="H500" s="0" t="n">
        <f aca="false">C500*D500</f>
        <v>0.34</v>
      </c>
      <c r="I500" s="0" t="n">
        <f aca="false">C500*C500</f>
        <v>0.16</v>
      </c>
      <c r="J500" s="0" t="n">
        <f aca="false">D500*D500</f>
        <v>0.7225</v>
      </c>
      <c r="K500" s="0" t="n">
        <f aca="false">SUMPRODUCT(E500:J500,_XtX!$B$53:$G$53)</f>
        <v>43.920716954023</v>
      </c>
      <c r="L500" s="0" t="n">
        <f aca="false">SUMPRODUCT(MMULT(E500:J500,_XtX!$B$44:$G$49),E500:J500)</f>
        <v>0.332192492816092</v>
      </c>
      <c r="M500" s="0" t="n">
        <f aca="false">04_回帰ANOVA!$K$19*04_回帰ANOVA!$K$14*SQRT(1+L500)</f>
        <v>1.56408396375374</v>
      </c>
      <c r="N500" s="0" t="n">
        <f aca="false">K500-M500</f>
        <v>42.3566329902693</v>
      </c>
      <c r="O500" s="0" t="n">
        <f aca="false">K500+M500</f>
        <v>45.4848009177767</v>
      </c>
      <c r="P500" s="54" t="b">
        <f aca="false">AND(C500&gt;=01_因子設定!$L$5-0.000000001,C500&lt;=01_因子設定!$M$5+0.000000001,D500&gt;=01_因子設定!$L$6-0.000000001,D500&lt;=01_因子設定!$M$6+0.000000001,IF(01_因子設定!$B$20="Box-Behnken",C500^2+D500^2&lt;=2+0.000000001,TRUE()))</f>
        <v>1</v>
      </c>
      <c r="Q500" s="55" t="n">
        <f aca="false">IF(P500,IF(01_因子設定!$B$13="最大化",N500-01_因子設定!$B$14,IF(01_因子設定!$B$13="最小化",01_因子設定!$B$15-O500,MIN(N500-01_因子設定!$B$14,01_因子設定!$B$15-O500))),-1E+030)</f>
        <v>-4.14336700973075</v>
      </c>
      <c r="R500" s="55" t="n">
        <f aca="false">IF(P500,IF(01_因子設定!$B$13="最大化",K500,IF(01_因子設定!$B$13="最小化",-K500,-ABS(K500-01_因子設定!$B$16))),-1E+030)</f>
        <v>43.920716954023</v>
      </c>
      <c r="S500" s="55" t="n">
        <f aca="false">Q500+ROW()*0.000000001</f>
        <v>-4.14336650973075</v>
      </c>
      <c r="T500" s="55" t="n">
        <f aca="false">R500+ROW()*0.000000001</f>
        <v>43.920717454023</v>
      </c>
    </row>
    <row r="501" customFormat="false" ht="15" hidden="false" customHeight="false" outlineLevel="0" collapsed="false">
      <c r="A501" s="0" t="n">
        <v>12</v>
      </c>
      <c r="B501" s="0" t="n">
        <v>4</v>
      </c>
      <c r="C501" s="0" t="n">
        <f aca="false">-1+A501*0.05</f>
        <v>-0.4</v>
      </c>
      <c r="D501" s="0" t="n">
        <f aca="false">-1+B501*0.05</f>
        <v>-0.8</v>
      </c>
      <c r="E501" s="0" t="n">
        <f aca="false">1</f>
        <v>1</v>
      </c>
      <c r="F501" s="0" t="n">
        <f aca="false">C501</f>
        <v>-0.4</v>
      </c>
      <c r="G501" s="0" t="n">
        <f aca="false">D501</f>
        <v>-0.8</v>
      </c>
      <c r="H501" s="0" t="n">
        <f aca="false">C501*D501</f>
        <v>0.32</v>
      </c>
      <c r="I501" s="0" t="n">
        <f aca="false">C501*C501</f>
        <v>0.16</v>
      </c>
      <c r="J501" s="0" t="n">
        <f aca="false">D501*D501</f>
        <v>0.64</v>
      </c>
      <c r="K501" s="0" t="n">
        <f aca="false">SUMPRODUCT(E501:J501,_XtX!$B$53:$G$53)</f>
        <v>44.1500229885058</v>
      </c>
      <c r="L501" s="0" t="n">
        <f aca="false">SUMPRODUCT(MMULT(E501:J501,_XtX!$B$44:$G$49),E501:J501)</f>
        <v>0.295154022988506</v>
      </c>
      <c r="M501" s="0" t="n">
        <f aca="false">04_回帰ANOVA!$K$19*04_回帰ANOVA!$K$14*SQRT(1+L501)</f>
        <v>1.54218786602306</v>
      </c>
      <c r="N501" s="0" t="n">
        <f aca="false">K501-M501</f>
        <v>42.6078351224827</v>
      </c>
      <c r="O501" s="0" t="n">
        <f aca="false">K501+M501</f>
        <v>45.6922108545288</v>
      </c>
      <c r="P501" s="54" t="b">
        <f aca="false">AND(C501&gt;=01_因子設定!$L$5-0.000000001,C501&lt;=01_因子設定!$M$5+0.000000001,D501&gt;=01_因子設定!$L$6-0.000000001,D501&lt;=01_因子設定!$M$6+0.000000001,IF(01_因子設定!$B$20="Box-Behnken",C501^2+D501^2&lt;=2+0.000000001,TRUE()))</f>
        <v>1</v>
      </c>
      <c r="Q501" s="55" t="n">
        <f aca="false">IF(P501,IF(01_因子設定!$B$13="最大化",N501-01_因子設定!$B$14,IF(01_因子設定!$B$13="最小化",01_因子設定!$B$15-O501,MIN(N501-01_因子設定!$B$14,01_因子設定!$B$15-O501))),-1E+030)</f>
        <v>-3.89216487751732</v>
      </c>
      <c r="R501" s="55" t="n">
        <f aca="false">IF(P501,IF(01_因子設定!$B$13="最大化",K501,IF(01_因子設定!$B$13="最小化",-K501,-ABS(K501-01_因子設定!$B$16))),-1E+030)</f>
        <v>44.1500229885058</v>
      </c>
      <c r="S501" s="55" t="n">
        <f aca="false">Q501+ROW()*0.000000001</f>
        <v>-3.89216437651732</v>
      </c>
      <c r="T501" s="55" t="n">
        <f aca="false">R501+ROW()*0.000000001</f>
        <v>44.1500234895058</v>
      </c>
    </row>
    <row r="502" customFormat="false" ht="15" hidden="false" customHeight="false" outlineLevel="0" collapsed="false">
      <c r="A502" s="0" t="n">
        <v>12</v>
      </c>
      <c r="B502" s="0" t="n">
        <v>5</v>
      </c>
      <c r="C502" s="0" t="n">
        <f aca="false">-1+A502*0.05</f>
        <v>-0.4</v>
      </c>
      <c r="D502" s="0" t="n">
        <f aca="false">-1+B502*0.05</f>
        <v>-0.75</v>
      </c>
      <c r="E502" s="0" t="n">
        <f aca="false">1</f>
        <v>1</v>
      </c>
      <c r="F502" s="0" t="n">
        <f aca="false">C502</f>
        <v>-0.4</v>
      </c>
      <c r="G502" s="0" t="n">
        <f aca="false">D502</f>
        <v>-0.75</v>
      </c>
      <c r="H502" s="0" t="n">
        <f aca="false">C502*D502</f>
        <v>0.3</v>
      </c>
      <c r="I502" s="0" t="n">
        <f aca="false">C502*C502</f>
        <v>0.16</v>
      </c>
      <c r="J502" s="0" t="n">
        <f aca="false">D502*D502</f>
        <v>0.5625</v>
      </c>
      <c r="K502" s="0" t="n">
        <f aca="false">SUMPRODUCT(E502:J502,_XtX!$B$53:$G$53)</f>
        <v>44.3716135057471</v>
      </c>
      <c r="L502" s="0" t="n">
        <f aca="false">SUMPRODUCT(MMULT(E502:J502,_XtX!$B$44:$G$49),E502:J502)</f>
        <v>0.26484996408046</v>
      </c>
      <c r="M502" s="0" t="n">
        <f aca="false">04_回帰ANOVA!$K$19*04_回帰ANOVA!$K$14*SQRT(1+L502)</f>
        <v>1.52403899298102</v>
      </c>
      <c r="N502" s="0" t="n">
        <f aca="false">K502-M502</f>
        <v>42.8475745127661</v>
      </c>
      <c r="O502" s="0" t="n">
        <f aca="false">K502+M502</f>
        <v>45.8956524987282</v>
      </c>
      <c r="P502" s="54" t="b">
        <f aca="false">AND(C502&gt;=01_因子設定!$L$5-0.000000001,C502&lt;=01_因子設定!$M$5+0.000000001,D502&gt;=01_因子設定!$L$6-0.000000001,D502&lt;=01_因子設定!$M$6+0.000000001,IF(01_因子設定!$B$20="Box-Behnken",C502^2+D502^2&lt;=2+0.000000001,TRUE()))</f>
        <v>1</v>
      </c>
      <c r="Q502" s="55" t="n">
        <f aca="false">IF(P502,IF(01_因子設定!$B$13="最大化",N502-01_因子設定!$B$14,IF(01_因子設定!$B$13="最小化",01_因子設定!$B$15-O502,MIN(N502-01_因子設定!$B$14,01_因子設定!$B$15-O502))),-1E+030)</f>
        <v>-3.65242548723389</v>
      </c>
      <c r="R502" s="55" t="n">
        <f aca="false">IF(P502,IF(01_因子設定!$B$13="最大化",K502,IF(01_因子設定!$B$13="最小化",-K502,-ABS(K502-01_因子設定!$B$16))),-1E+030)</f>
        <v>44.3716135057471</v>
      </c>
      <c r="S502" s="55" t="n">
        <f aca="false">Q502+ROW()*0.000000001</f>
        <v>-3.65242498523389</v>
      </c>
      <c r="T502" s="55" t="n">
        <f aca="false">R502+ROW()*0.000000001</f>
        <v>44.3716140077471</v>
      </c>
    </row>
    <row r="503" customFormat="false" ht="15" hidden="false" customHeight="false" outlineLevel="0" collapsed="false">
      <c r="A503" s="0" t="n">
        <v>12</v>
      </c>
      <c r="B503" s="0" t="n">
        <v>6</v>
      </c>
      <c r="C503" s="0" t="n">
        <f aca="false">-1+A503*0.05</f>
        <v>-0.4</v>
      </c>
      <c r="D503" s="0" t="n">
        <f aca="false">-1+B503*0.05</f>
        <v>-0.7</v>
      </c>
      <c r="E503" s="0" t="n">
        <f aca="false">1</f>
        <v>1</v>
      </c>
      <c r="F503" s="0" t="n">
        <f aca="false">C503</f>
        <v>-0.4</v>
      </c>
      <c r="G503" s="0" t="n">
        <f aca="false">D503</f>
        <v>-0.7</v>
      </c>
      <c r="H503" s="0" t="n">
        <f aca="false">C503*D503</f>
        <v>0.28</v>
      </c>
      <c r="I503" s="0" t="n">
        <f aca="false">C503*C503</f>
        <v>0.16</v>
      </c>
      <c r="J503" s="0" t="n">
        <f aca="false">D503*D503</f>
        <v>0.49</v>
      </c>
      <c r="K503" s="0" t="n">
        <f aca="false">SUMPRODUCT(E503:J503,_XtX!$B$53:$G$53)</f>
        <v>44.5854885057471</v>
      </c>
      <c r="L503" s="0" t="n">
        <f aca="false">SUMPRODUCT(MMULT(E503:J503,_XtX!$B$44:$G$49),E503:J503)</f>
        <v>0.240438505747126</v>
      </c>
      <c r="M503" s="0" t="n">
        <f aca="false">04_回帰ANOVA!$K$19*04_回帰ANOVA!$K$14*SQRT(1+L503)</f>
        <v>1.5092604511937</v>
      </c>
      <c r="N503" s="0" t="n">
        <f aca="false">K503-M503</f>
        <v>43.0762280545534</v>
      </c>
      <c r="O503" s="0" t="n">
        <f aca="false">K503+M503</f>
        <v>46.0947489569408</v>
      </c>
      <c r="P503" s="54" t="b">
        <f aca="false">AND(C503&gt;=01_因子設定!$L$5-0.000000001,C503&lt;=01_因子設定!$M$5+0.000000001,D503&gt;=01_因子設定!$L$6-0.000000001,D503&lt;=01_因子設定!$M$6+0.000000001,IF(01_因子設定!$B$20="Box-Behnken",C503^2+D503^2&lt;=2+0.000000001,TRUE()))</f>
        <v>1</v>
      </c>
      <c r="Q503" s="55" t="n">
        <f aca="false">IF(P503,IF(01_因子設定!$B$13="最大化",N503-01_因子設定!$B$14,IF(01_因子設定!$B$13="最小化",01_因子設定!$B$15-O503,MIN(N503-01_因子設定!$B$14,01_因子設定!$B$15-O503))),-1E+030)</f>
        <v>-3.42377194544658</v>
      </c>
      <c r="R503" s="55" t="n">
        <f aca="false">IF(P503,IF(01_因子設定!$B$13="最大化",K503,IF(01_因子設定!$B$13="最小化",-K503,-ABS(K503-01_因子設定!$B$16))),-1E+030)</f>
        <v>44.5854885057471</v>
      </c>
      <c r="S503" s="55" t="n">
        <f aca="false">Q503+ROW()*0.000000001</f>
        <v>-3.42377144244658</v>
      </c>
      <c r="T503" s="55" t="n">
        <f aca="false">R503+ROW()*0.000000001</f>
        <v>44.5854890087471</v>
      </c>
    </row>
    <row r="504" customFormat="false" ht="15" hidden="false" customHeight="false" outlineLevel="0" collapsed="false">
      <c r="A504" s="0" t="n">
        <v>12</v>
      </c>
      <c r="B504" s="0" t="n">
        <v>7</v>
      </c>
      <c r="C504" s="0" t="n">
        <f aca="false">-1+A504*0.05</f>
        <v>-0.4</v>
      </c>
      <c r="D504" s="0" t="n">
        <f aca="false">-1+B504*0.05</f>
        <v>-0.65</v>
      </c>
      <c r="E504" s="0" t="n">
        <f aca="false">1</f>
        <v>1</v>
      </c>
      <c r="F504" s="0" t="n">
        <f aca="false">C504</f>
        <v>-0.4</v>
      </c>
      <c r="G504" s="0" t="n">
        <f aca="false">D504</f>
        <v>-0.65</v>
      </c>
      <c r="H504" s="0" t="n">
        <f aca="false">C504*D504</f>
        <v>0.26</v>
      </c>
      <c r="I504" s="0" t="n">
        <f aca="false">C504*C504</f>
        <v>0.16</v>
      </c>
      <c r="J504" s="0" t="n">
        <f aca="false">D504*D504</f>
        <v>0.4225</v>
      </c>
      <c r="K504" s="0" t="n">
        <f aca="false">SUMPRODUCT(E504:J504,_XtX!$B$53:$G$53)</f>
        <v>44.7916479885057</v>
      </c>
      <c r="L504" s="0" t="n">
        <f aca="false">SUMPRODUCT(MMULT(E504:J504,_XtX!$B$44:$G$49),E504:J504)</f>
        <v>0.221132147988506</v>
      </c>
      <c r="M504" s="0" t="n">
        <f aca="false">04_回帰ANOVA!$K$19*04_回帰ANOVA!$K$14*SQRT(1+L504)</f>
        <v>1.4974692211941</v>
      </c>
      <c r="N504" s="0" t="n">
        <f aca="false">K504-M504</f>
        <v>43.2941787673116</v>
      </c>
      <c r="O504" s="0" t="n">
        <f aca="false">K504+M504</f>
        <v>46.2891172096998</v>
      </c>
      <c r="P504" s="54" t="b">
        <f aca="false">AND(C504&gt;=01_因子設定!$L$5-0.000000001,C504&lt;=01_因子設定!$M$5+0.000000001,D504&gt;=01_因子設定!$L$6-0.000000001,D504&lt;=01_因子設定!$M$6+0.000000001,IF(01_因子設定!$B$20="Box-Behnken",C504^2+D504^2&lt;=2+0.000000001,TRUE()))</f>
        <v>1</v>
      </c>
      <c r="Q504" s="55" t="n">
        <f aca="false">IF(P504,IF(01_因子設定!$B$13="最大化",N504-01_因子設定!$B$14,IF(01_因子設定!$B$13="最小化",01_因子設定!$B$15-O504,MIN(N504-01_因子設定!$B$14,01_因子設定!$B$15-O504))),-1E+030)</f>
        <v>-3.20582123268836</v>
      </c>
      <c r="R504" s="55" t="n">
        <f aca="false">IF(P504,IF(01_因子設定!$B$13="最大化",K504,IF(01_因子設定!$B$13="最小化",-K504,-ABS(K504-01_因子設定!$B$16))),-1E+030)</f>
        <v>44.7916479885057</v>
      </c>
      <c r="S504" s="55" t="n">
        <f aca="false">Q504+ROW()*0.000000001</f>
        <v>-3.20582072868836</v>
      </c>
      <c r="T504" s="55" t="n">
        <f aca="false">R504+ROW()*0.000000001</f>
        <v>44.7916484925057</v>
      </c>
    </row>
    <row r="505" customFormat="false" ht="15" hidden="false" customHeight="false" outlineLevel="0" collapsed="false">
      <c r="A505" s="0" t="n">
        <v>12</v>
      </c>
      <c r="B505" s="0" t="n">
        <v>8</v>
      </c>
      <c r="C505" s="0" t="n">
        <f aca="false">-1+A505*0.05</f>
        <v>-0.4</v>
      </c>
      <c r="D505" s="0" t="n">
        <f aca="false">-1+B505*0.05</f>
        <v>-0.6</v>
      </c>
      <c r="E505" s="0" t="n">
        <f aca="false">1</f>
        <v>1</v>
      </c>
      <c r="F505" s="0" t="n">
        <f aca="false">C505</f>
        <v>-0.4</v>
      </c>
      <c r="G505" s="0" t="n">
        <f aca="false">D505</f>
        <v>-0.6</v>
      </c>
      <c r="H505" s="0" t="n">
        <f aca="false">C505*D505</f>
        <v>0.24</v>
      </c>
      <c r="I505" s="0" t="n">
        <f aca="false">C505*C505</f>
        <v>0.16</v>
      </c>
      <c r="J505" s="0" t="n">
        <f aca="false">D505*D505</f>
        <v>0.36</v>
      </c>
      <c r="K505" s="0" t="n">
        <f aca="false">SUMPRODUCT(E505:J505,_XtX!$B$53:$G$53)</f>
        <v>44.990091954023</v>
      </c>
      <c r="L505" s="0" t="n">
        <f aca="false">SUMPRODUCT(MMULT(E505:J505,_XtX!$B$44:$G$49),E505:J505)</f>
        <v>0.206197701149425</v>
      </c>
      <c r="M505" s="0" t="n">
        <f aca="false">04_回帰ANOVA!$K$19*04_回帰ANOVA!$K$14*SQRT(1+L505)</f>
        <v>1.48828402636661</v>
      </c>
      <c r="N505" s="0" t="n">
        <f aca="false">K505-M505</f>
        <v>43.5018079276564</v>
      </c>
      <c r="O505" s="0" t="n">
        <f aca="false">K505+M505</f>
        <v>46.4783759803896</v>
      </c>
      <c r="P505" s="54" t="b">
        <f aca="false">AND(C505&gt;=01_因子設定!$L$5-0.000000001,C505&lt;=01_因子設定!$M$5+0.000000001,D505&gt;=01_因子設定!$L$6-0.000000001,D505&lt;=01_因子設定!$M$6+0.000000001,IF(01_因子設定!$B$20="Box-Behnken",C505^2+D505^2&lt;=2+0.000000001,TRUE()))</f>
        <v>1</v>
      </c>
      <c r="Q505" s="55" t="n">
        <f aca="false">IF(P505,IF(01_因子設定!$B$13="最大化",N505-01_因子設定!$B$14,IF(01_因子設定!$B$13="最小化",01_因子設定!$B$15-O505,MIN(N505-01_因子設定!$B$14,01_因子設定!$B$15-O505))),-1E+030)</f>
        <v>-2.99819207234363</v>
      </c>
      <c r="R505" s="55" t="n">
        <f aca="false">IF(P505,IF(01_因子設定!$B$13="最大化",K505,IF(01_因子設定!$B$13="最小化",-K505,-ABS(K505-01_因子設定!$B$16))),-1E+030)</f>
        <v>44.990091954023</v>
      </c>
      <c r="S505" s="55" t="n">
        <f aca="false">Q505+ROW()*0.000000001</f>
        <v>-2.99819156734363</v>
      </c>
      <c r="T505" s="55" t="n">
        <f aca="false">R505+ROW()*0.000000001</f>
        <v>44.990092459023</v>
      </c>
    </row>
    <row r="506" customFormat="false" ht="15" hidden="false" customHeight="false" outlineLevel="0" collapsed="false">
      <c r="A506" s="0" t="n">
        <v>12</v>
      </c>
      <c r="B506" s="0" t="n">
        <v>9</v>
      </c>
      <c r="C506" s="0" t="n">
        <f aca="false">-1+A506*0.05</f>
        <v>-0.4</v>
      </c>
      <c r="D506" s="0" t="n">
        <f aca="false">-1+B506*0.05</f>
        <v>-0.55</v>
      </c>
      <c r="E506" s="0" t="n">
        <f aca="false">1</f>
        <v>1</v>
      </c>
      <c r="F506" s="0" t="n">
        <f aca="false">C506</f>
        <v>-0.4</v>
      </c>
      <c r="G506" s="0" t="n">
        <f aca="false">D506</f>
        <v>-0.55</v>
      </c>
      <c r="H506" s="0" t="n">
        <f aca="false">C506*D506</f>
        <v>0.22</v>
      </c>
      <c r="I506" s="0" t="n">
        <f aca="false">C506*C506</f>
        <v>0.16</v>
      </c>
      <c r="J506" s="0" t="n">
        <f aca="false">D506*D506</f>
        <v>0.3025</v>
      </c>
      <c r="K506" s="0" t="n">
        <f aca="false">SUMPRODUCT(E506:J506,_XtX!$B$53:$G$53)</f>
        <v>45.1808204022989</v>
      </c>
      <c r="L506" s="0" t="n">
        <f aca="false">SUMPRODUCT(MMULT(E506:J506,_XtX!$B$44:$G$49),E506:J506)</f>
        <v>0.19495628591954</v>
      </c>
      <c r="M506" s="0" t="n">
        <f aca="false">04_回帰ANOVA!$K$19*04_回帰ANOVA!$K$14*SQRT(1+L506)</f>
        <v>1.48133260286245</v>
      </c>
      <c r="N506" s="0" t="n">
        <f aca="false">K506-M506</f>
        <v>43.6994877994364</v>
      </c>
      <c r="O506" s="0" t="n">
        <f aca="false">K506+M506</f>
        <v>46.6621530051613</v>
      </c>
      <c r="P506" s="54" t="b">
        <f aca="false">AND(C506&gt;=01_因子設定!$L$5-0.000000001,C506&lt;=01_因子設定!$M$5+0.000000001,D506&gt;=01_因子設定!$L$6-0.000000001,D506&lt;=01_因子設定!$M$6+0.000000001,IF(01_因子設定!$B$20="Box-Behnken",C506^2+D506^2&lt;=2+0.000000001,TRUE()))</f>
        <v>1</v>
      </c>
      <c r="Q506" s="55" t="n">
        <f aca="false">IF(P506,IF(01_因子設定!$B$13="最大化",N506-01_因子設定!$B$14,IF(01_因子設定!$B$13="最小化",01_因子設定!$B$15-O506,MIN(N506-01_因子設定!$B$14,01_因子設定!$B$15-O506))),-1E+030)</f>
        <v>-2.8005122005636</v>
      </c>
      <c r="R506" s="55" t="n">
        <f aca="false">IF(P506,IF(01_因子設定!$B$13="最大化",K506,IF(01_因子設定!$B$13="最小化",-K506,-ABS(K506-01_因子設定!$B$16))),-1E+030)</f>
        <v>45.1808204022989</v>
      </c>
      <c r="S506" s="55" t="n">
        <f aca="false">Q506+ROW()*0.000000001</f>
        <v>-2.8005116945636</v>
      </c>
      <c r="T506" s="55" t="n">
        <f aca="false">R506+ROW()*0.000000001</f>
        <v>45.1808209082989</v>
      </c>
    </row>
    <row r="507" customFormat="false" ht="15" hidden="false" customHeight="false" outlineLevel="0" collapsed="false">
      <c r="A507" s="0" t="n">
        <v>12</v>
      </c>
      <c r="B507" s="0" t="n">
        <v>10</v>
      </c>
      <c r="C507" s="0" t="n">
        <f aca="false">-1+A507*0.05</f>
        <v>-0.4</v>
      </c>
      <c r="D507" s="0" t="n">
        <f aca="false">-1+B507*0.05</f>
        <v>-0.5</v>
      </c>
      <c r="E507" s="0" t="n">
        <f aca="false">1</f>
        <v>1</v>
      </c>
      <c r="F507" s="0" t="n">
        <f aca="false">C507</f>
        <v>-0.4</v>
      </c>
      <c r="G507" s="0" t="n">
        <f aca="false">D507</f>
        <v>-0.5</v>
      </c>
      <c r="H507" s="0" t="n">
        <f aca="false">C507*D507</f>
        <v>0.2</v>
      </c>
      <c r="I507" s="0" t="n">
        <f aca="false">C507*C507</f>
        <v>0.16</v>
      </c>
      <c r="J507" s="0" t="n">
        <f aca="false">D507*D507</f>
        <v>0.25</v>
      </c>
      <c r="K507" s="0" t="n">
        <f aca="false">SUMPRODUCT(E507:J507,_XtX!$B$53:$G$53)</f>
        <v>45.3638333333333</v>
      </c>
      <c r="L507" s="0" t="n">
        <f aca="false">SUMPRODUCT(MMULT(E507:J507,_XtX!$B$44:$G$49),E507:J507)</f>
        <v>0.186783333333333</v>
      </c>
      <c r="M507" s="0" t="n">
        <f aca="false">04_回帰ANOVA!$K$19*04_回帰ANOVA!$K$14*SQRT(1+L507)</f>
        <v>1.47625809356371</v>
      </c>
      <c r="N507" s="0" t="n">
        <f aca="false">K507-M507</f>
        <v>43.8875752397696</v>
      </c>
      <c r="O507" s="0" t="n">
        <f aca="false">K507+M507</f>
        <v>46.840091426897</v>
      </c>
      <c r="P507" s="54" t="b">
        <f aca="false">AND(C507&gt;=01_因子設定!$L$5-0.000000001,C507&lt;=01_因子設定!$M$5+0.000000001,D507&gt;=01_因子設定!$L$6-0.000000001,D507&lt;=01_因子設定!$M$6+0.000000001,IF(01_因子設定!$B$20="Box-Behnken",C507^2+D507^2&lt;=2+0.000000001,TRUE()))</f>
        <v>1</v>
      </c>
      <c r="Q507" s="55" t="n">
        <f aca="false">IF(P507,IF(01_因子設定!$B$13="最大化",N507-01_因子設定!$B$14,IF(01_因子設定!$B$13="最小化",01_因子設定!$B$15-O507,MIN(N507-01_因子設定!$B$14,01_因子設定!$B$15-O507))),-1E+030)</f>
        <v>-2.61242476023038</v>
      </c>
      <c r="R507" s="55" t="n">
        <f aca="false">IF(P507,IF(01_因子設定!$B$13="最大化",K507,IF(01_因子設定!$B$13="最小化",-K507,-ABS(K507-01_因子設定!$B$16))),-1E+030)</f>
        <v>45.3638333333333</v>
      </c>
      <c r="S507" s="55" t="n">
        <f aca="false">Q507+ROW()*0.000000001</f>
        <v>-2.61242425323038</v>
      </c>
      <c r="T507" s="55" t="n">
        <f aca="false">R507+ROW()*0.000000001</f>
        <v>45.3638338403333</v>
      </c>
    </row>
    <row r="508" customFormat="false" ht="15" hidden="false" customHeight="false" outlineLevel="0" collapsed="false">
      <c r="A508" s="0" t="n">
        <v>12</v>
      </c>
      <c r="B508" s="0" t="n">
        <v>11</v>
      </c>
      <c r="C508" s="0" t="n">
        <f aca="false">-1+A508*0.05</f>
        <v>-0.4</v>
      </c>
      <c r="D508" s="0" t="n">
        <f aca="false">-1+B508*0.05</f>
        <v>-0.45</v>
      </c>
      <c r="E508" s="0" t="n">
        <f aca="false">1</f>
        <v>1</v>
      </c>
      <c r="F508" s="0" t="n">
        <f aca="false">C508</f>
        <v>-0.4</v>
      </c>
      <c r="G508" s="0" t="n">
        <f aca="false">D508</f>
        <v>-0.45</v>
      </c>
      <c r="H508" s="0" t="n">
        <f aca="false">C508*D508</f>
        <v>0.18</v>
      </c>
      <c r="I508" s="0" t="n">
        <f aca="false">C508*C508</f>
        <v>0.16</v>
      </c>
      <c r="J508" s="0" t="n">
        <f aca="false">D508*D508</f>
        <v>0.2025</v>
      </c>
      <c r="K508" s="0" t="n">
        <f aca="false">SUMPRODUCT(E508:J508,_XtX!$B$53:$G$53)</f>
        <v>45.5391307471264</v>
      </c>
      <c r="L508" s="0" t="n">
        <f aca="false">SUMPRODUCT(MMULT(E508:J508,_XtX!$B$44:$G$49),E508:J508)</f>
        <v>0.181108584770115</v>
      </c>
      <c r="M508" s="0" t="n">
        <f aca="false">04_回帰ANOVA!$K$19*04_回帰ANOVA!$K$14*SQRT(1+L508)</f>
        <v>1.47272441068535</v>
      </c>
      <c r="N508" s="0" t="n">
        <f aca="false">K508-M508</f>
        <v>44.0664063364411</v>
      </c>
      <c r="O508" s="0" t="n">
        <f aca="false">K508+M508</f>
        <v>47.0118551578118</v>
      </c>
      <c r="P508" s="54" t="b">
        <f aca="false">AND(C508&gt;=01_因子設定!$L$5-0.000000001,C508&lt;=01_因子設定!$M$5+0.000000001,D508&gt;=01_因子設定!$L$6-0.000000001,D508&lt;=01_因子設定!$M$6+0.000000001,IF(01_因子設定!$B$20="Box-Behnken",C508^2+D508^2&lt;=2+0.000000001,TRUE()))</f>
        <v>1</v>
      </c>
      <c r="Q508" s="55" t="n">
        <f aca="false">IF(P508,IF(01_因子設定!$B$13="最大化",N508-01_因子設定!$B$14,IF(01_因子設定!$B$13="最小化",01_因子設定!$B$15-O508,MIN(N508-01_因子設定!$B$14,01_因子設定!$B$15-O508))),-1E+030)</f>
        <v>-2.43359366355892</v>
      </c>
      <c r="R508" s="55" t="n">
        <f aca="false">IF(P508,IF(01_因子設定!$B$13="最大化",K508,IF(01_因子設定!$B$13="最小化",-K508,-ABS(K508-01_因子設定!$B$16))),-1E+030)</f>
        <v>45.5391307471264</v>
      </c>
      <c r="S508" s="55" t="n">
        <f aca="false">Q508+ROW()*0.000000001</f>
        <v>-2.43359315555892</v>
      </c>
      <c r="T508" s="55" t="n">
        <f aca="false">R508+ROW()*0.000000001</f>
        <v>45.5391312551264</v>
      </c>
    </row>
    <row r="509" customFormat="false" ht="15" hidden="false" customHeight="false" outlineLevel="0" collapsed="false">
      <c r="A509" s="0" t="n">
        <v>12</v>
      </c>
      <c r="B509" s="0" t="n">
        <v>12</v>
      </c>
      <c r="C509" s="0" t="n">
        <f aca="false">-1+A509*0.05</f>
        <v>-0.4</v>
      </c>
      <c r="D509" s="0" t="n">
        <f aca="false">-1+B509*0.05</f>
        <v>-0.4</v>
      </c>
      <c r="E509" s="0" t="n">
        <f aca="false">1</f>
        <v>1</v>
      </c>
      <c r="F509" s="0" t="n">
        <f aca="false">C509</f>
        <v>-0.4</v>
      </c>
      <c r="G509" s="0" t="n">
        <f aca="false">D509</f>
        <v>-0.4</v>
      </c>
      <c r="H509" s="0" t="n">
        <f aca="false">C509*D509</f>
        <v>0.16</v>
      </c>
      <c r="I509" s="0" t="n">
        <f aca="false">C509*C509</f>
        <v>0.16</v>
      </c>
      <c r="J509" s="0" t="n">
        <f aca="false">D509*D509</f>
        <v>0.16</v>
      </c>
      <c r="K509" s="0" t="n">
        <f aca="false">SUMPRODUCT(E509:J509,_XtX!$B$53:$G$53)</f>
        <v>45.7067126436782</v>
      </c>
      <c r="L509" s="0" t="n">
        <f aca="false">SUMPRODUCT(MMULT(E509:J509,_XtX!$B$44:$G$49),E509:J509)</f>
        <v>0.177416091954023</v>
      </c>
      <c r="M509" s="0" t="n">
        <f aca="false">04_回帰ANOVA!$K$19*04_回帰ANOVA!$K$14*SQRT(1+L509)</f>
        <v>1.47042052379075</v>
      </c>
      <c r="N509" s="0" t="n">
        <f aca="false">K509-M509</f>
        <v>44.2362921198874</v>
      </c>
      <c r="O509" s="0" t="n">
        <f aca="false">K509+M509</f>
        <v>47.1771331674689</v>
      </c>
      <c r="P509" s="54" t="b">
        <f aca="false">AND(C509&gt;=01_因子設定!$L$5-0.000000001,C509&lt;=01_因子設定!$M$5+0.000000001,D509&gt;=01_因子設定!$L$6-0.000000001,D509&lt;=01_因子設定!$M$6+0.000000001,IF(01_因子設定!$B$20="Box-Behnken",C509^2+D509^2&lt;=2+0.000000001,TRUE()))</f>
        <v>1</v>
      </c>
      <c r="Q509" s="55" t="n">
        <f aca="false">IF(P509,IF(01_因子設定!$B$13="最大化",N509-01_因子設定!$B$14,IF(01_因子設定!$B$13="最小化",01_因子設定!$B$15-O509,MIN(N509-01_因子設定!$B$14,01_因子設定!$B$15-O509))),-1E+030)</f>
        <v>-2.26370788011259</v>
      </c>
      <c r="R509" s="55" t="n">
        <f aca="false">IF(P509,IF(01_因子設定!$B$13="最大化",K509,IF(01_因子設定!$B$13="最小化",-K509,-ABS(K509-01_因子設定!$B$16))),-1E+030)</f>
        <v>45.7067126436782</v>
      </c>
      <c r="S509" s="55" t="n">
        <f aca="false">Q509+ROW()*0.000000001</f>
        <v>-2.26370737111259</v>
      </c>
      <c r="T509" s="55" t="n">
        <f aca="false">R509+ROW()*0.000000001</f>
        <v>45.7067131526782</v>
      </c>
    </row>
    <row r="510" customFormat="false" ht="15" hidden="false" customHeight="false" outlineLevel="0" collapsed="false">
      <c r="A510" s="0" t="n">
        <v>12</v>
      </c>
      <c r="B510" s="0" t="n">
        <v>13</v>
      </c>
      <c r="C510" s="0" t="n">
        <f aca="false">-1+A510*0.05</f>
        <v>-0.4</v>
      </c>
      <c r="D510" s="0" t="n">
        <f aca="false">-1+B510*0.05</f>
        <v>-0.35</v>
      </c>
      <c r="E510" s="0" t="n">
        <f aca="false">1</f>
        <v>1</v>
      </c>
      <c r="F510" s="0" t="n">
        <f aca="false">C510</f>
        <v>-0.4</v>
      </c>
      <c r="G510" s="0" t="n">
        <f aca="false">D510</f>
        <v>-0.35</v>
      </c>
      <c r="H510" s="0" t="n">
        <f aca="false">C510*D510</f>
        <v>0.14</v>
      </c>
      <c r="I510" s="0" t="n">
        <f aca="false">C510*C510</f>
        <v>0.16</v>
      </c>
      <c r="J510" s="0" t="n">
        <f aca="false">D510*D510</f>
        <v>0.1225</v>
      </c>
      <c r="K510" s="0" t="n">
        <f aca="false">SUMPRODUCT(E510:J510,_XtX!$B$53:$G$53)</f>
        <v>45.8665790229885</v>
      </c>
      <c r="L510" s="0" t="n">
        <f aca="false">SUMPRODUCT(MMULT(E510:J510,_XtX!$B$44:$G$49),E510:J510)</f>
        <v>0.175244216954023</v>
      </c>
      <c r="M510" s="0" t="n">
        <f aca="false">04_回帰ANOVA!$K$19*04_回帰ANOVA!$K$14*SQRT(1+L510)</f>
        <v>1.46906372066889</v>
      </c>
      <c r="N510" s="0" t="n">
        <f aca="false">K510-M510</f>
        <v>44.3975153023196</v>
      </c>
      <c r="O510" s="0" t="n">
        <f aca="false">K510+M510</f>
        <v>47.3356427436574</v>
      </c>
      <c r="P510" s="54" t="b">
        <f aca="false">AND(C510&gt;=01_因子設定!$L$5-0.000000001,C510&lt;=01_因子設定!$M$5+0.000000001,D510&gt;=01_因子設定!$L$6-0.000000001,D510&lt;=01_因子設定!$M$6+0.000000001,IF(01_因子設定!$B$20="Box-Behnken",C510^2+D510^2&lt;=2+0.000000001,TRUE()))</f>
        <v>1</v>
      </c>
      <c r="Q510" s="55" t="n">
        <f aca="false">IF(P510,IF(01_因子設定!$B$13="最大化",N510-01_因子設定!$B$14,IF(01_因子設定!$B$13="最小化",01_因子設定!$B$15-O510,MIN(N510-01_因子設定!$B$14,01_因子設定!$B$15-O510))),-1E+030)</f>
        <v>-2.10248469768038</v>
      </c>
      <c r="R510" s="55" t="n">
        <f aca="false">IF(P510,IF(01_因子設定!$B$13="最大化",K510,IF(01_因子設定!$B$13="最小化",-K510,-ABS(K510-01_因子設定!$B$16))),-1E+030)</f>
        <v>45.8665790229885</v>
      </c>
      <c r="S510" s="55" t="n">
        <f aca="false">Q510+ROW()*0.000000001</f>
        <v>-2.10248418768038</v>
      </c>
      <c r="T510" s="55" t="n">
        <f aca="false">R510+ROW()*0.000000001</f>
        <v>45.8665795329885</v>
      </c>
    </row>
    <row r="511" customFormat="false" ht="15" hidden="false" customHeight="false" outlineLevel="0" collapsed="false">
      <c r="A511" s="0" t="n">
        <v>12</v>
      </c>
      <c r="B511" s="0" t="n">
        <v>14</v>
      </c>
      <c r="C511" s="0" t="n">
        <f aca="false">-1+A511*0.05</f>
        <v>-0.4</v>
      </c>
      <c r="D511" s="0" t="n">
        <f aca="false">-1+B511*0.05</f>
        <v>-0.3</v>
      </c>
      <c r="E511" s="0" t="n">
        <f aca="false">1</f>
        <v>1</v>
      </c>
      <c r="F511" s="0" t="n">
        <f aca="false">C511</f>
        <v>-0.4</v>
      </c>
      <c r="G511" s="0" t="n">
        <f aca="false">D511</f>
        <v>-0.3</v>
      </c>
      <c r="H511" s="0" t="n">
        <f aca="false">C511*D511</f>
        <v>0.12</v>
      </c>
      <c r="I511" s="0" t="n">
        <f aca="false">C511*C511</f>
        <v>0.16</v>
      </c>
      <c r="J511" s="0" t="n">
        <f aca="false">D511*D511</f>
        <v>0.09</v>
      </c>
      <c r="K511" s="0" t="n">
        <f aca="false">SUMPRODUCT(E511:J511,_XtX!$B$53:$G$53)</f>
        <v>46.0187298850575</v>
      </c>
      <c r="L511" s="0" t="n">
        <f aca="false">SUMPRODUCT(MMULT(E511:J511,_XtX!$B$44:$G$49),E511:J511)</f>
        <v>0.174185632183908</v>
      </c>
      <c r="M511" s="0" t="n">
        <f aca="false">04_回帰ANOVA!$K$19*04_回帰ANOVA!$K$14*SQRT(1+L511)</f>
        <v>1.46840195232898</v>
      </c>
      <c r="N511" s="0" t="n">
        <f aca="false">K511-M511</f>
        <v>44.5503279327285</v>
      </c>
      <c r="O511" s="0" t="n">
        <f aca="false">K511+M511</f>
        <v>47.4871318373864</v>
      </c>
      <c r="P511" s="54" t="b">
        <f aca="false">AND(C511&gt;=01_因子設定!$L$5-0.000000001,C511&lt;=01_因子設定!$M$5+0.000000001,D511&gt;=01_因子設定!$L$6-0.000000001,D511&lt;=01_因子設定!$M$6+0.000000001,IF(01_因子設定!$B$20="Box-Behnken",C511^2+D511^2&lt;=2+0.000000001,TRUE()))</f>
        <v>1</v>
      </c>
      <c r="Q511" s="55" t="n">
        <f aca="false">IF(P511,IF(01_因子設定!$B$13="最大化",N511-01_因子設定!$B$14,IF(01_因子設定!$B$13="最小化",01_因子設定!$B$15-O511,MIN(N511-01_因子設定!$B$14,01_因子設定!$B$15-O511))),-1E+030)</f>
        <v>-1.94967206727151</v>
      </c>
      <c r="R511" s="55" t="n">
        <f aca="false">IF(P511,IF(01_因子設定!$B$13="最大化",K511,IF(01_因子設定!$B$13="最小化",-K511,-ABS(K511-01_因子設定!$B$16))),-1E+030)</f>
        <v>46.0187298850575</v>
      </c>
      <c r="S511" s="55" t="n">
        <f aca="false">Q511+ROW()*0.000000001</f>
        <v>-1.94967155627151</v>
      </c>
      <c r="T511" s="55" t="n">
        <f aca="false">R511+ROW()*0.000000001</f>
        <v>46.0187303960575</v>
      </c>
    </row>
    <row r="512" customFormat="false" ht="15" hidden="false" customHeight="false" outlineLevel="0" collapsed="false">
      <c r="A512" s="0" t="n">
        <v>12</v>
      </c>
      <c r="B512" s="0" t="n">
        <v>15</v>
      </c>
      <c r="C512" s="0" t="n">
        <f aca="false">-1+A512*0.05</f>
        <v>-0.4</v>
      </c>
      <c r="D512" s="0" t="n">
        <f aca="false">-1+B512*0.05</f>
        <v>-0.25</v>
      </c>
      <c r="E512" s="0" t="n">
        <f aca="false">1</f>
        <v>1</v>
      </c>
      <c r="F512" s="0" t="n">
        <f aca="false">C512</f>
        <v>-0.4</v>
      </c>
      <c r="G512" s="0" t="n">
        <f aca="false">D512</f>
        <v>-0.25</v>
      </c>
      <c r="H512" s="0" t="n">
        <f aca="false">C512*D512</f>
        <v>0.1</v>
      </c>
      <c r="I512" s="0" t="n">
        <f aca="false">C512*C512</f>
        <v>0.16</v>
      </c>
      <c r="J512" s="0" t="n">
        <f aca="false">D512*D512</f>
        <v>0.0625</v>
      </c>
      <c r="K512" s="0" t="n">
        <f aca="false">SUMPRODUCT(E512:J512,_XtX!$B$53:$G$53)</f>
        <v>46.1631652298851</v>
      </c>
      <c r="L512" s="0" t="n">
        <f aca="false">SUMPRODUCT(MMULT(E512:J512,_XtX!$B$44:$G$49),E512:J512)</f>
        <v>0.173887320402299</v>
      </c>
      <c r="M512" s="0" t="n">
        <f aca="false">04_回帰ANOVA!$K$19*04_回帰ANOVA!$K$14*SQRT(1+L512)</f>
        <v>1.46821541051817</v>
      </c>
      <c r="N512" s="0" t="n">
        <f aca="false">K512-M512</f>
        <v>44.6949498193669</v>
      </c>
      <c r="O512" s="0" t="n">
        <f aca="false">K512+M512</f>
        <v>47.6313806404032</v>
      </c>
      <c r="P512" s="54" t="b">
        <f aca="false">AND(C512&gt;=01_因子設定!$L$5-0.000000001,C512&lt;=01_因子設定!$M$5+0.000000001,D512&gt;=01_因子設定!$L$6-0.000000001,D512&lt;=01_因子設定!$M$6+0.000000001,IF(01_因子設定!$B$20="Box-Behnken",C512^2+D512^2&lt;=2+0.000000001,TRUE()))</f>
        <v>1</v>
      </c>
      <c r="Q512" s="55" t="n">
        <f aca="false">IF(P512,IF(01_因子設定!$B$13="最大化",N512-01_因子設定!$B$14,IF(01_因子設定!$B$13="最小化",01_因子設定!$B$15-O512,MIN(N512-01_因子設定!$B$14,01_因子設定!$B$15-O512))),-1E+030)</f>
        <v>-1.80505018063312</v>
      </c>
      <c r="R512" s="55" t="n">
        <f aca="false">IF(P512,IF(01_因子設定!$B$13="最大化",K512,IF(01_因子設定!$B$13="最小化",-K512,-ABS(K512-01_因子設定!$B$16))),-1E+030)</f>
        <v>46.1631652298851</v>
      </c>
      <c r="S512" s="55" t="n">
        <f aca="false">Q512+ROW()*0.000000001</f>
        <v>-1.80504966863312</v>
      </c>
      <c r="T512" s="55" t="n">
        <f aca="false">R512+ROW()*0.000000001</f>
        <v>46.1631657418851</v>
      </c>
    </row>
    <row r="513" customFormat="false" ht="15" hidden="false" customHeight="false" outlineLevel="0" collapsed="false">
      <c r="A513" s="0" t="n">
        <v>12</v>
      </c>
      <c r="B513" s="0" t="n">
        <v>16</v>
      </c>
      <c r="C513" s="0" t="n">
        <f aca="false">-1+A513*0.05</f>
        <v>-0.4</v>
      </c>
      <c r="D513" s="0" t="n">
        <f aca="false">-1+B513*0.05</f>
        <v>-0.2</v>
      </c>
      <c r="E513" s="0" t="n">
        <f aca="false">1</f>
        <v>1</v>
      </c>
      <c r="F513" s="0" t="n">
        <f aca="false">C513</f>
        <v>-0.4</v>
      </c>
      <c r="G513" s="0" t="n">
        <f aca="false">D513</f>
        <v>-0.2</v>
      </c>
      <c r="H513" s="0" t="n">
        <f aca="false">C513*D513</f>
        <v>0.08</v>
      </c>
      <c r="I513" s="0" t="n">
        <f aca="false">C513*C513</f>
        <v>0.16</v>
      </c>
      <c r="J513" s="0" t="n">
        <f aca="false">D513*D513</f>
        <v>0.04</v>
      </c>
      <c r="K513" s="0" t="n">
        <f aca="false">SUMPRODUCT(E513:J513,_XtX!$B$53:$G$53)</f>
        <v>46.2998850574713</v>
      </c>
      <c r="L513" s="0" t="n">
        <f aca="false">SUMPRODUCT(MMULT(E513:J513,_XtX!$B$44:$G$49),E513:J513)</f>
        <v>0.174050574712644</v>
      </c>
      <c r="M513" s="0" t="n">
        <f aca="false">04_回帰ANOVA!$K$19*04_回帰ANOVA!$K$14*SQRT(1+L513)</f>
        <v>1.46831750045351</v>
      </c>
      <c r="N513" s="0" t="n">
        <f aca="false">K513-M513</f>
        <v>44.8315675570178</v>
      </c>
      <c r="O513" s="0" t="n">
        <f aca="false">K513+M513</f>
        <v>47.7682025579248</v>
      </c>
      <c r="P513" s="54" t="b">
        <f aca="false">AND(C513&gt;=01_因子設定!$L$5-0.000000001,C513&lt;=01_因子設定!$M$5+0.000000001,D513&gt;=01_因子設定!$L$6-0.000000001,D513&lt;=01_因子設定!$M$6+0.000000001,IF(01_因子設定!$B$20="Box-Behnken",C513^2+D513^2&lt;=2+0.000000001,TRUE()))</f>
        <v>1</v>
      </c>
      <c r="Q513" s="55" t="n">
        <f aca="false">IF(P513,IF(01_因子設定!$B$13="最大化",N513-01_因子設定!$B$14,IF(01_因子設定!$B$13="最小化",01_因子設定!$B$15-O513,MIN(N513-01_因子設定!$B$14,01_因子設定!$B$15-O513))),-1E+030)</f>
        <v>-1.66843244298225</v>
      </c>
      <c r="R513" s="55" t="n">
        <f aca="false">IF(P513,IF(01_因子設定!$B$13="最大化",K513,IF(01_因子設定!$B$13="最小化",-K513,-ABS(K513-01_因子設定!$B$16))),-1E+030)</f>
        <v>46.2998850574713</v>
      </c>
      <c r="S513" s="55" t="n">
        <f aca="false">Q513+ROW()*0.000000001</f>
        <v>-1.66843192998225</v>
      </c>
      <c r="T513" s="55" t="n">
        <f aca="false">R513+ROW()*0.000000001</f>
        <v>46.2998855704713</v>
      </c>
    </row>
    <row r="514" customFormat="false" ht="15" hidden="false" customHeight="false" outlineLevel="0" collapsed="false">
      <c r="A514" s="0" t="n">
        <v>12</v>
      </c>
      <c r="B514" s="0" t="n">
        <v>17</v>
      </c>
      <c r="C514" s="0" t="n">
        <f aca="false">-1+A514*0.05</f>
        <v>-0.4</v>
      </c>
      <c r="D514" s="0" t="n">
        <f aca="false">-1+B514*0.05</f>
        <v>-0.15</v>
      </c>
      <c r="E514" s="0" t="n">
        <f aca="false">1</f>
        <v>1</v>
      </c>
      <c r="F514" s="0" t="n">
        <f aca="false">C514</f>
        <v>-0.4</v>
      </c>
      <c r="G514" s="0" t="n">
        <f aca="false">D514</f>
        <v>-0.15</v>
      </c>
      <c r="H514" s="0" t="n">
        <f aca="false">C514*D514</f>
        <v>0.06</v>
      </c>
      <c r="I514" s="0" t="n">
        <f aca="false">C514*C514</f>
        <v>0.16</v>
      </c>
      <c r="J514" s="0" t="n">
        <f aca="false">D514*D514</f>
        <v>0.0225</v>
      </c>
      <c r="K514" s="0" t="n">
        <f aca="false">SUMPRODUCT(E514:J514,_XtX!$B$53:$G$53)</f>
        <v>46.4288893678161</v>
      </c>
      <c r="L514" s="0" t="n">
        <f aca="false">SUMPRODUCT(MMULT(E514:J514,_XtX!$B$44:$G$49),E514:J514)</f>
        <v>0.174430998563218</v>
      </c>
      <c r="M514" s="0" t="n">
        <f aca="false">04_回帰ANOVA!$K$19*04_回帰ANOVA!$K$14*SQRT(1+L514)</f>
        <v>1.46855536829659</v>
      </c>
      <c r="N514" s="0" t="n">
        <f aca="false">K514-M514</f>
        <v>44.9603339995195</v>
      </c>
      <c r="O514" s="0" t="n">
        <f aca="false">K514+M514</f>
        <v>47.8974447361127</v>
      </c>
      <c r="P514" s="54" t="b">
        <f aca="false">AND(C514&gt;=01_因子設定!$L$5-0.000000001,C514&lt;=01_因子設定!$M$5+0.000000001,D514&gt;=01_因子設定!$L$6-0.000000001,D514&lt;=01_因子設定!$M$6+0.000000001,IF(01_因子設定!$B$20="Box-Behnken",C514^2+D514^2&lt;=2+0.000000001,TRUE()))</f>
        <v>1</v>
      </c>
      <c r="Q514" s="55" t="n">
        <f aca="false">IF(P514,IF(01_因子設定!$B$13="最大化",N514-01_因子設定!$B$14,IF(01_因子設定!$B$13="最小化",01_因子設定!$B$15-O514,MIN(N514-01_因子設定!$B$14,01_因子設定!$B$15-O514))),-1E+030)</f>
        <v>-1.5396660004805</v>
      </c>
      <c r="R514" s="55" t="n">
        <f aca="false">IF(P514,IF(01_因子設定!$B$13="最大化",K514,IF(01_因子設定!$B$13="最小化",-K514,-ABS(K514-01_因子設定!$B$16))),-1E+030)</f>
        <v>46.4288893678161</v>
      </c>
      <c r="S514" s="55" t="n">
        <f aca="false">Q514+ROW()*0.000000001</f>
        <v>-1.5396654864805</v>
      </c>
      <c r="T514" s="55" t="n">
        <f aca="false">R514+ROW()*0.000000001</f>
        <v>46.4288898818161</v>
      </c>
    </row>
    <row r="515" customFormat="false" ht="15" hidden="false" customHeight="false" outlineLevel="0" collapsed="false">
      <c r="A515" s="0" t="n">
        <v>12</v>
      </c>
      <c r="B515" s="0" t="n">
        <v>18</v>
      </c>
      <c r="C515" s="0" t="n">
        <f aca="false">-1+A515*0.05</f>
        <v>-0.4</v>
      </c>
      <c r="D515" s="0" t="n">
        <f aca="false">-1+B515*0.05</f>
        <v>-0.1</v>
      </c>
      <c r="E515" s="0" t="n">
        <f aca="false">1</f>
        <v>1</v>
      </c>
      <c r="F515" s="0" t="n">
        <f aca="false">C515</f>
        <v>-0.4</v>
      </c>
      <c r="G515" s="0" t="n">
        <f aca="false">D515</f>
        <v>-0.1</v>
      </c>
      <c r="H515" s="0" t="n">
        <f aca="false">C515*D515</f>
        <v>0.04</v>
      </c>
      <c r="I515" s="0" t="n">
        <f aca="false">C515*C515</f>
        <v>0.16</v>
      </c>
      <c r="J515" s="0" t="n">
        <f aca="false">D515*D515</f>
        <v>0.01</v>
      </c>
      <c r="K515" s="0" t="n">
        <f aca="false">SUMPRODUCT(E515:J515,_XtX!$B$53:$G$53)</f>
        <v>46.5501781609195</v>
      </c>
      <c r="L515" s="0" t="n">
        <f aca="false">SUMPRODUCT(MMULT(E515:J515,_XtX!$B$44:$G$49),E515:J515)</f>
        <v>0.174838505747126</v>
      </c>
      <c r="M515" s="0" t="n">
        <f aca="false">04_回帰ANOVA!$K$19*04_回帰ANOVA!$K$14*SQRT(1+L515)</f>
        <v>1.46881012781827</v>
      </c>
      <c r="N515" s="0" t="n">
        <f aca="false">K515-M515</f>
        <v>45.0813680331013</v>
      </c>
      <c r="O515" s="0" t="n">
        <f aca="false">K515+M515</f>
        <v>48.0189882887378</v>
      </c>
      <c r="P515" s="54" t="b">
        <f aca="false">AND(C515&gt;=01_因子設定!$L$5-0.000000001,C515&lt;=01_因子設定!$M$5+0.000000001,D515&gt;=01_因子設定!$L$6-0.000000001,D515&lt;=01_因子設定!$M$6+0.000000001,IF(01_因子設定!$B$20="Box-Behnken",C515^2+D515^2&lt;=2+0.000000001,TRUE()))</f>
        <v>1</v>
      </c>
      <c r="Q515" s="55" t="n">
        <f aca="false">IF(P515,IF(01_因子設定!$B$13="最大化",N515-01_因子設定!$B$14,IF(01_因子設定!$B$13="最小化",01_因子設定!$B$15-O515,MIN(N515-01_因子設定!$B$14,01_因子設定!$B$15-O515))),-1E+030)</f>
        <v>-1.41863196689874</v>
      </c>
      <c r="R515" s="55" t="n">
        <f aca="false">IF(P515,IF(01_因子設定!$B$13="最大化",K515,IF(01_因子設定!$B$13="最小化",-K515,-ABS(K515-01_因子設定!$B$16))),-1E+030)</f>
        <v>46.5501781609195</v>
      </c>
      <c r="S515" s="55" t="n">
        <f aca="false">Q515+ROW()*0.000000001</f>
        <v>-1.41863145189874</v>
      </c>
      <c r="T515" s="55" t="n">
        <f aca="false">R515+ROW()*0.000000001</f>
        <v>46.5501786759195</v>
      </c>
    </row>
    <row r="516" customFormat="false" ht="15" hidden="false" customHeight="false" outlineLevel="0" collapsed="false">
      <c r="A516" s="0" t="n">
        <v>12</v>
      </c>
      <c r="B516" s="0" t="n">
        <v>19</v>
      </c>
      <c r="C516" s="0" t="n">
        <f aca="false">-1+A516*0.05</f>
        <v>-0.4</v>
      </c>
      <c r="D516" s="0" t="n">
        <f aca="false">-1+B516*0.05</f>
        <v>-0.0499999999999999</v>
      </c>
      <c r="E516" s="0" t="n">
        <f aca="false">1</f>
        <v>1</v>
      </c>
      <c r="F516" s="0" t="n">
        <f aca="false">C516</f>
        <v>-0.4</v>
      </c>
      <c r="G516" s="0" t="n">
        <f aca="false">D516</f>
        <v>-0.0499999999999999</v>
      </c>
      <c r="H516" s="0" t="n">
        <f aca="false">C516*D516</f>
        <v>0.02</v>
      </c>
      <c r="I516" s="0" t="n">
        <f aca="false">C516*C516</f>
        <v>0.16</v>
      </c>
      <c r="J516" s="0" t="n">
        <f aca="false">D516*D516</f>
        <v>0.00249999999999999</v>
      </c>
      <c r="K516" s="0" t="n">
        <f aca="false">SUMPRODUCT(E516:J516,_XtX!$B$53:$G$53)</f>
        <v>46.6637514367816</v>
      </c>
      <c r="L516" s="0" t="n">
        <f aca="false">SUMPRODUCT(MMULT(E516:J516,_XtX!$B$44:$G$49),E516:J516)</f>
        <v>0.175137320402299</v>
      </c>
      <c r="M516" s="0" t="n">
        <f aca="false">04_回帰ANOVA!$K$19*04_回帰ANOVA!$K$14*SQRT(1+L516)</f>
        <v>1.4689969084205</v>
      </c>
      <c r="N516" s="0" t="n">
        <f aca="false">K516-M516</f>
        <v>45.1947545283611</v>
      </c>
      <c r="O516" s="0" t="n">
        <f aca="false">K516+M516</f>
        <v>48.1327483452021</v>
      </c>
      <c r="P516" s="54" t="b">
        <f aca="false">AND(C516&gt;=01_因子設定!$L$5-0.000000001,C516&lt;=01_因子設定!$M$5+0.000000001,D516&gt;=01_因子設定!$L$6-0.000000001,D516&lt;=01_因子設定!$M$6+0.000000001,IF(01_因子設定!$B$20="Box-Behnken",C516^2+D516^2&lt;=2+0.000000001,TRUE()))</f>
        <v>1</v>
      </c>
      <c r="Q516" s="55" t="n">
        <f aca="false">IF(P516,IF(01_因子設定!$B$13="最大化",N516-01_因子設定!$B$14,IF(01_因子設定!$B$13="最小化",01_因子設定!$B$15-O516,MIN(N516-01_因子設定!$B$14,01_因子設定!$B$15-O516))),-1E+030)</f>
        <v>-1.30524547163889</v>
      </c>
      <c r="R516" s="55" t="n">
        <f aca="false">IF(P516,IF(01_因子設定!$B$13="最大化",K516,IF(01_因子設定!$B$13="最小化",-K516,-ABS(K516-01_因子設定!$B$16))),-1E+030)</f>
        <v>46.6637514367816</v>
      </c>
      <c r="S516" s="55" t="n">
        <f aca="false">Q516+ROW()*0.000000001</f>
        <v>-1.30524495563889</v>
      </c>
      <c r="T516" s="55" t="n">
        <f aca="false">R516+ROW()*0.000000001</f>
        <v>46.6637519527816</v>
      </c>
    </row>
    <row r="517" customFormat="false" ht="15" hidden="false" customHeight="false" outlineLevel="0" collapsed="false">
      <c r="A517" s="0" t="n">
        <v>12</v>
      </c>
      <c r="B517" s="0" t="n">
        <v>20</v>
      </c>
      <c r="C517" s="0" t="n">
        <f aca="false">-1+A517*0.05</f>
        <v>-0.4</v>
      </c>
      <c r="D517" s="0" t="n">
        <f aca="false">-1+B517*0.05</f>
        <v>0</v>
      </c>
      <c r="E517" s="0" t="n">
        <f aca="false">1</f>
        <v>1</v>
      </c>
      <c r="F517" s="0" t="n">
        <f aca="false">C517</f>
        <v>-0.4</v>
      </c>
      <c r="G517" s="0" t="n">
        <f aca="false">D517</f>
        <v>0</v>
      </c>
      <c r="H517" s="0" t="n">
        <f aca="false">C517*D517</f>
        <v>-0</v>
      </c>
      <c r="I517" s="0" t="n">
        <f aca="false">C517*C517</f>
        <v>0.16</v>
      </c>
      <c r="J517" s="0" t="n">
        <f aca="false">D517*D517</f>
        <v>0</v>
      </c>
      <c r="K517" s="0" t="n">
        <f aca="false">SUMPRODUCT(E517:J517,_XtX!$B$53:$G$53)</f>
        <v>46.7696091954023</v>
      </c>
      <c r="L517" s="0" t="n">
        <f aca="false">SUMPRODUCT(MMULT(E517:J517,_XtX!$B$44:$G$49),E517:J517)</f>
        <v>0.175245977011494</v>
      </c>
      <c r="M517" s="0" t="n">
        <f aca="false">04_回帰ANOVA!$K$19*04_回帰ANOVA!$K$14*SQRT(1+L517)</f>
        <v>1.46906482071072</v>
      </c>
      <c r="N517" s="0" t="n">
        <f aca="false">K517-M517</f>
        <v>45.3005443746916</v>
      </c>
      <c r="O517" s="0" t="n">
        <f aca="false">K517+M517</f>
        <v>48.238674016113</v>
      </c>
      <c r="P517" s="54" t="b">
        <f aca="false">AND(C517&gt;=01_因子設定!$L$5-0.000000001,C517&lt;=01_因子設定!$M$5+0.000000001,D517&gt;=01_因子設定!$L$6-0.000000001,D517&lt;=01_因子設定!$M$6+0.000000001,IF(01_因子設定!$B$20="Box-Behnken",C517^2+D517^2&lt;=2+0.000000001,TRUE()))</f>
        <v>1</v>
      </c>
      <c r="Q517" s="55" t="n">
        <f aca="false">IF(P517,IF(01_因子設定!$B$13="最大化",N517-01_因子設定!$B$14,IF(01_因子設定!$B$13="最小化",01_因子設定!$B$15-O517,MIN(N517-01_因子設定!$B$14,01_因子設定!$B$15-O517))),-1E+030)</f>
        <v>-1.19945562530842</v>
      </c>
      <c r="R517" s="55" t="n">
        <f aca="false">IF(P517,IF(01_因子設定!$B$13="最大化",K517,IF(01_因子設定!$B$13="最小化",-K517,-ABS(K517-01_因子設定!$B$16))),-1E+030)</f>
        <v>46.7696091954023</v>
      </c>
      <c r="S517" s="55" t="n">
        <f aca="false">Q517+ROW()*0.000000001</f>
        <v>-1.19945510830842</v>
      </c>
      <c r="T517" s="55" t="n">
        <f aca="false">R517+ROW()*0.000000001</f>
        <v>46.7696097124023</v>
      </c>
    </row>
    <row r="518" customFormat="false" ht="15" hidden="false" customHeight="false" outlineLevel="0" collapsed="false">
      <c r="A518" s="0" t="n">
        <v>12</v>
      </c>
      <c r="B518" s="0" t="n">
        <v>21</v>
      </c>
      <c r="C518" s="0" t="n">
        <f aca="false">-1+A518*0.05</f>
        <v>-0.4</v>
      </c>
      <c r="D518" s="0" t="n">
        <f aca="false">-1+B518*0.05</f>
        <v>0.05</v>
      </c>
      <c r="E518" s="0" t="n">
        <f aca="false">1</f>
        <v>1</v>
      </c>
      <c r="F518" s="0" t="n">
        <f aca="false">C518</f>
        <v>-0.4</v>
      </c>
      <c r="G518" s="0" t="n">
        <f aca="false">D518</f>
        <v>0.05</v>
      </c>
      <c r="H518" s="0" t="n">
        <f aca="false">C518*D518</f>
        <v>-0.02</v>
      </c>
      <c r="I518" s="0" t="n">
        <f aca="false">C518*C518</f>
        <v>0.16</v>
      </c>
      <c r="J518" s="0" t="n">
        <f aca="false">D518*D518</f>
        <v>0.0025</v>
      </c>
      <c r="K518" s="0" t="n">
        <f aca="false">SUMPRODUCT(E518:J518,_XtX!$B$53:$G$53)</f>
        <v>46.8677514367816</v>
      </c>
      <c r="L518" s="0" t="n">
        <f aca="false">SUMPRODUCT(MMULT(E518:J518,_XtX!$B$44:$G$49),E518:J518)</f>
        <v>0.175137320402299</v>
      </c>
      <c r="M518" s="0" t="n">
        <f aca="false">04_回帰ANOVA!$K$19*04_回帰ANOVA!$K$14*SQRT(1+L518)</f>
        <v>1.4689969084205</v>
      </c>
      <c r="N518" s="0" t="n">
        <f aca="false">K518-M518</f>
        <v>45.3987545283611</v>
      </c>
      <c r="O518" s="0" t="n">
        <f aca="false">K518+M518</f>
        <v>48.3367483452021</v>
      </c>
      <c r="P518" s="54" t="b">
        <f aca="false">AND(C518&gt;=01_因子設定!$L$5-0.000000001,C518&lt;=01_因子設定!$M$5+0.000000001,D518&gt;=01_因子設定!$L$6-0.000000001,D518&lt;=01_因子設定!$M$6+0.000000001,IF(01_因子設定!$B$20="Box-Behnken",C518^2+D518^2&lt;=2+0.000000001,TRUE()))</f>
        <v>1</v>
      </c>
      <c r="Q518" s="55" t="n">
        <f aca="false">IF(P518,IF(01_因子設定!$B$13="最大化",N518-01_因子設定!$B$14,IF(01_因子設定!$B$13="最小化",01_因子設定!$B$15-O518,MIN(N518-01_因子設定!$B$14,01_因子設定!$B$15-O518))),-1E+030)</f>
        <v>-1.10124547163889</v>
      </c>
      <c r="R518" s="55" t="n">
        <f aca="false">IF(P518,IF(01_因子設定!$B$13="最大化",K518,IF(01_因子設定!$B$13="最小化",-K518,-ABS(K518-01_因子設定!$B$16))),-1E+030)</f>
        <v>46.8677514367816</v>
      </c>
      <c r="S518" s="55" t="n">
        <f aca="false">Q518+ROW()*0.000000001</f>
        <v>-1.10124495363889</v>
      </c>
      <c r="T518" s="55" t="n">
        <f aca="false">R518+ROW()*0.000000001</f>
        <v>46.8677519547816</v>
      </c>
    </row>
    <row r="519" customFormat="false" ht="15" hidden="false" customHeight="false" outlineLevel="0" collapsed="false">
      <c r="A519" s="0" t="n">
        <v>12</v>
      </c>
      <c r="B519" s="0" t="n">
        <v>22</v>
      </c>
      <c r="C519" s="0" t="n">
        <f aca="false">-1+A519*0.05</f>
        <v>-0.4</v>
      </c>
      <c r="D519" s="0" t="n">
        <f aca="false">-1+B519*0.05</f>
        <v>0.1</v>
      </c>
      <c r="E519" s="0" t="n">
        <f aca="false">1</f>
        <v>1</v>
      </c>
      <c r="F519" s="0" t="n">
        <f aca="false">C519</f>
        <v>-0.4</v>
      </c>
      <c r="G519" s="0" t="n">
        <f aca="false">D519</f>
        <v>0.1</v>
      </c>
      <c r="H519" s="0" t="n">
        <f aca="false">C519*D519</f>
        <v>-0.04</v>
      </c>
      <c r="I519" s="0" t="n">
        <f aca="false">C519*C519</f>
        <v>0.16</v>
      </c>
      <c r="J519" s="0" t="n">
        <f aca="false">D519*D519</f>
        <v>0.01</v>
      </c>
      <c r="K519" s="0" t="n">
        <f aca="false">SUMPRODUCT(E519:J519,_XtX!$B$53:$G$53)</f>
        <v>46.9581781609195</v>
      </c>
      <c r="L519" s="0" t="n">
        <f aca="false">SUMPRODUCT(MMULT(E519:J519,_XtX!$B$44:$G$49),E519:J519)</f>
        <v>0.174838505747126</v>
      </c>
      <c r="M519" s="0" t="n">
        <f aca="false">04_回帰ANOVA!$K$19*04_回帰ANOVA!$K$14*SQRT(1+L519)</f>
        <v>1.46881012781827</v>
      </c>
      <c r="N519" s="0" t="n">
        <f aca="false">K519-M519</f>
        <v>45.4893680331013</v>
      </c>
      <c r="O519" s="0" t="n">
        <f aca="false">K519+M519</f>
        <v>48.4269882887378</v>
      </c>
      <c r="P519" s="54" t="b">
        <f aca="false">AND(C519&gt;=01_因子設定!$L$5-0.000000001,C519&lt;=01_因子設定!$M$5+0.000000001,D519&gt;=01_因子設定!$L$6-0.000000001,D519&lt;=01_因子設定!$M$6+0.000000001,IF(01_因子設定!$B$20="Box-Behnken",C519^2+D519^2&lt;=2+0.000000001,TRUE()))</f>
        <v>1</v>
      </c>
      <c r="Q519" s="55" t="n">
        <f aca="false">IF(P519,IF(01_因子設定!$B$13="最大化",N519-01_因子設定!$B$14,IF(01_因子設定!$B$13="最小化",01_因子設定!$B$15-O519,MIN(N519-01_因子設定!$B$14,01_因子設定!$B$15-O519))),-1E+030)</f>
        <v>-1.01063196689874</v>
      </c>
      <c r="R519" s="55" t="n">
        <f aca="false">IF(P519,IF(01_因子設定!$B$13="最大化",K519,IF(01_因子設定!$B$13="最小化",-K519,-ABS(K519-01_因子設定!$B$16))),-1E+030)</f>
        <v>46.9581781609195</v>
      </c>
      <c r="S519" s="55" t="n">
        <f aca="false">Q519+ROW()*0.000000001</f>
        <v>-1.01063144789874</v>
      </c>
      <c r="T519" s="55" t="n">
        <f aca="false">R519+ROW()*0.000000001</f>
        <v>46.9581786799195</v>
      </c>
    </row>
    <row r="520" customFormat="false" ht="15" hidden="false" customHeight="false" outlineLevel="0" collapsed="false">
      <c r="A520" s="0" t="n">
        <v>12</v>
      </c>
      <c r="B520" s="0" t="n">
        <v>23</v>
      </c>
      <c r="C520" s="0" t="n">
        <f aca="false">-1+A520*0.05</f>
        <v>-0.4</v>
      </c>
      <c r="D520" s="0" t="n">
        <f aca="false">-1+B520*0.05</f>
        <v>0.15</v>
      </c>
      <c r="E520" s="0" t="n">
        <f aca="false">1</f>
        <v>1</v>
      </c>
      <c r="F520" s="0" t="n">
        <f aca="false">C520</f>
        <v>-0.4</v>
      </c>
      <c r="G520" s="0" t="n">
        <f aca="false">D520</f>
        <v>0.15</v>
      </c>
      <c r="H520" s="0" t="n">
        <f aca="false">C520*D520</f>
        <v>-0.06</v>
      </c>
      <c r="I520" s="0" t="n">
        <f aca="false">C520*C520</f>
        <v>0.16</v>
      </c>
      <c r="J520" s="0" t="n">
        <f aca="false">D520*D520</f>
        <v>0.0225</v>
      </c>
      <c r="K520" s="0" t="n">
        <f aca="false">SUMPRODUCT(E520:J520,_XtX!$B$53:$G$53)</f>
        <v>47.0408893678161</v>
      </c>
      <c r="L520" s="0" t="n">
        <f aca="false">SUMPRODUCT(MMULT(E520:J520,_XtX!$B$44:$G$49),E520:J520)</f>
        <v>0.174430998563218</v>
      </c>
      <c r="M520" s="0" t="n">
        <f aca="false">04_回帰ANOVA!$K$19*04_回帰ANOVA!$K$14*SQRT(1+L520)</f>
        <v>1.46855536829659</v>
      </c>
      <c r="N520" s="0" t="n">
        <f aca="false">K520-M520</f>
        <v>45.5723339995195</v>
      </c>
      <c r="O520" s="0" t="n">
        <f aca="false">K520+M520</f>
        <v>48.5094447361127</v>
      </c>
      <c r="P520" s="54" t="b">
        <f aca="false">AND(C520&gt;=01_因子設定!$L$5-0.000000001,C520&lt;=01_因子設定!$M$5+0.000000001,D520&gt;=01_因子設定!$L$6-0.000000001,D520&lt;=01_因子設定!$M$6+0.000000001,IF(01_因子設定!$B$20="Box-Behnken",C520^2+D520^2&lt;=2+0.000000001,TRUE()))</f>
        <v>1</v>
      </c>
      <c r="Q520" s="55" t="n">
        <f aca="false">IF(P520,IF(01_因子設定!$B$13="最大化",N520-01_因子設定!$B$14,IF(01_因子設定!$B$13="最小化",01_因子設定!$B$15-O520,MIN(N520-01_因子設定!$B$14,01_因子設定!$B$15-O520))),-1E+030)</f>
        <v>-0.927666000480507</v>
      </c>
      <c r="R520" s="55" t="n">
        <f aca="false">IF(P520,IF(01_因子設定!$B$13="最大化",K520,IF(01_因子設定!$B$13="最小化",-K520,-ABS(K520-01_因子設定!$B$16))),-1E+030)</f>
        <v>47.0408893678161</v>
      </c>
      <c r="S520" s="55" t="n">
        <f aca="false">Q520+ROW()*0.000000001</f>
        <v>-0.927665480480507</v>
      </c>
      <c r="T520" s="55" t="n">
        <f aca="false">R520+ROW()*0.000000001</f>
        <v>47.0408898878161</v>
      </c>
    </row>
    <row r="521" customFormat="false" ht="15" hidden="false" customHeight="false" outlineLevel="0" collapsed="false">
      <c r="A521" s="0" t="n">
        <v>12</v>
      </c>
      <c r="B521" s="0" t="n">
        <v>24</v>
      </c>
      <c r="C521" s="0" t="n">
        <f aca="false">-1+A521*0.05</f>
        <v>-0.4</v>
      </c>
      <c r="D521" s="0" t="n">
        <f aca="false">-1+B521*0.05</f>
        <v>0.2</v>
      </c>
      <c r="E521" s="0" t="n">
        <f aca="false">1</f>
        <v>1</v>
      </c>
      <c r="F521" s="0" t="n">
        <f aca="false">C521</f>
        <v>-0.4</v>
      </c>
      <c r="G521" s="0" t="n">
        <f aca="false">D521</f>
        <v>0.2</v>
      </c>
      <c r="H521" s="0" t="n">
        <f aca="false">C521*D521</f>
        <v>-0.0800000000000001</v>
      </c>
      <c r="I521" s="0" t="n">
        <f aca="false">C521*C521</f>
        <v>0.16</v>
      </c>
      <c r="J521" s="0" t="n">
        <f aca="false">D521*D521</f>
        <v>0.0400000000000001</v>
      </c>
      <c r="K521" s="0" t="n">
        <f aca="false">SUMPRODUCT(E521:J521,_XtX!$B$53:$G$53)</f>
        <v>47.1158850574713</v>
      </c>
      <c r="L521" s="0" t="n">
        <f aca="false">SUMPRODUCT(MMULT(E521:J521,_XtX!$B$44:$G$49),E521:J521)</f>
        <v>0.174050574712644</v>
      </c>
      <c r="M521" s="0" t="n">
        <f aca="false">04_回帰ANOVA!$K$19*04_回帰ANOVA!$K$14*SQRT(1+L521)</f>
        <v>1.46831750045351</v>
      </c>
      <c r="N521" s="0" t="n">
        <f aca="false">K521-M521</f>
        <v>45.6475675570178</v>
      </c>
      <c r="O521" s="0" t="n">
        <f aca="false">K521+M521</f>
        <v>48.5842025579248</v>
      </c>
      <c r="P521" s="54" t="b">
        <f aca="false">AND(C521&gt;=01_因子設定!$L$5-0.000000001,C521&lt;=01_因子設定!$M$5+0.000000001,D521&gt;=01_因子設定!$L$6-0.000000001,D521&lt;=01_因子設定!$M$6+0.000000001,IF(01_因子設定!$B$20="Box-Behnken",C521^2+D521^2&lt;=2+0.000000001,TRUE()))</f>
        <v>1</v>
      </c>
      <c r="Q521" s="55" t="n">
        <f aca="false">IF(P521,IF(01_因子設定!$B$13="最大化",N521-01_因子設定!$B$14,IF(01_因子設定!$B$13="最小化",01_因子設定!$B$15-O521,MIN(N521-01_因子設定!$B$14,01_因子設定!$B$15-O521))),-1E+030)</f>
        <v>-0.852432442982249</v>
      </c>
      <c r="R521" s="55" t="n">
        <f aca="false">IF(P521,IF(01_因子設定!$B$13="最大化",K521,IF(01_因子設定!$B$13="最小化",-K521,-ABS(K521-01_因子設定!$B$16))),-1E+030)</f>
        <v>47.1158850574713</v>
      </c>
      <c r="S521" s="55" t="n">
        <f aca="false">Q521+ROW()*0.000000001</f>
        <v>-0.852431921982249</v>
      </c>
      <c r="T521" s="55" t="n">
        <f aca="false">R521+ROW()*0.000000001</f>
        <v>47.1158855784713</v>
      </c>
    </row>
    <row r="522" customFormat="false" ht="15" hidden="false" customHeight="false" outlineLevel="0" collapsed="false">
      <c r="A522" s="0" t="n">
        <v>12</v>
      </c>
      <c r="B522" s="0" t="n">
        <v>25</v>
      </c>
      <c r="C522" s="0" t="n">
        <f aca="false">-1+A522*0.05</f>
        <v>-0.4</v>
      </c>
      <c r="D522" s="0" t="n">
        <f aca="false">-1+B522*0.05</f>
        <v>0.25</v>
      </c>
      <c r="E522" s="0" t="n">
        <f aca="false">1</f>
        <v>1</v>
      </c>
      <c r="F522" s="0" t="n">
        <f aca="false">C522</f>
        <v>-0.4</v>
      </c>
      <c r="G522" s="0" t="n">
        <f aca="false">D522</f>
        <v>0.25</v>
      </c>
      <c r="H522" s="0" t="n">
        <f aca="false">C522*D522</f>
        <v>-0.1</v>
      </c>
      <c r="I522" s="0" t="n">
        <f aca="false">C522*C522</f>
        <v>0.16</v>
      </c>
      <c r="J522" s="0" t="n">
        <f aca="false">D522*D522</f>
        <v>0.0625</v>
      </c>
      <c r="K522" s="0" t="n">
        <f aca="false">SUMPRODUCT(E522:J522,_XtX!$B$53:$G$53)</f>
        <v>47.1831652298851</v>
      </c>
      <c r="L522" s="0" t="n">
        <f aca="false">SUMPRODUCT(MMULT(E522:J522,_XtX!$B$44:$G$49),E522:J522)</f>
        <v>0.173887320402299</v>
      </c>
      <c r="M522" s="0" t="n">
        <f aca="false">04_回帰ANOVA!$K$19*04_回帰ANOVA!$K$14*SQRT(1+L522)</f>
        <v>1.46821541051817</v>
      </c>
      <c r="N522" s="0" t="n">
        <f aca="false">K522-M522</f>
        <v>45.7149498193669</v>
      </c>
      <c r="O522" s="0" t="n">
        <f aca="false">K522+M522</f>
        <v>48.6513806404032</v>
      </c>
      <c r="P522" s="54" t="b">
        <f aca="false">AND(C522&gt;=01_因子設定!$L$5-0.000000001,C522&lt;=01_因子設定!$M$5+0.000000001,D522&gt;=01_因子設定!$L$6-0.000000001,D522&lt;=01_因子設定!$M$6+0.000000001,IF(01_因子設定!$B$20="Box-Behnken",C522^2+D522^2&lt;=2+0.000000001,TRUE()))</f>
        <v>1</v>
      </c>
      <c r="Q522" s="55" t="n">
        <f aca="false">IF(P522,IF(01_因子設定!$B$13="最大化",N522-01_因子設定!$B$14,IF(01_因子設定!$B$13="最小化",01_因子設定!$B$15-O522,MIN(N522-01_因子設定!$B$14,01_因子設定!$B$15-O522))),-1E+030)</f>
        <v>-0.785050180633121</v>
      </c>
      <c r="R522" s="55" t="n">
        <f aca="false">IF(P522,IF(01_因子設定!$B$13="最大化",K522,IF(01_因子設定!$B$13="最小化",-K522,-ABS(K522-01_因子設定!$B$16))),-1E+030)</f>
        <v>47.1831652298851</v>
      </c>
      <c r="S522" s="55" t="n">
        <f aca="false">Q522+ROW()*0.000000001</f>
        <v>-0.785049658633121</v>
      </c>
      <c r="T522" s="55" t="n">
        <f aca="false">R522+ROW()*0.000000001</f>
        <v>47.1831657518851</v>
      </c>
    </row>
    <row r="523" customFormat="false" ht="15" hidden="false" customHeight="false" outlineLevel="0" collapsed="false">
      <c r="A523" s="0" t="n">
        <v>12</v>
      </c>
      <c r="B523" s="0" t="n">
        <v>26</v>
      </c>
      <c r="C523" s="0" t="n">
        <f aca="false">-1+A523*0.05</f>
        <v>-0.4</v>
      </c>
      <c r="D523" s="0" t="n">
        <f aca="false">-1+B523*0.05</f>
        <v>0.3</v>
      </c>
      <c r="E523" s="0" t="n">
        <f aca="false">1</f>
        <v>1</v>
      </c>
      <c r="F523" s="0" t="n">
        <f aca="false">C523</f>
        <v>-0.4</v>
      </c>
      <c r="G523" s="0" t="n">
        <f aca="false">D523</f>
        <v>0.3</v>
      </c>
      <c r="H523" s="0" t="n">
        <f aca="false">C523*D523</f>
        <v>-0.12</v>
      </c>
      <c r="I523" s="0" t="n">
        <f aca="false">C523*C523</f>
        <v>0.16</v>
      </c>
      <c r="J523" s="0" t="n">
        <f aca="false">D523*D523</f>
        <v>0.09</v>
      </c>
      <c r="K523" s="0" t="n">
        <f aca="false">SUMPRODUCT(E523:J523,_XtX!$B$53:$G$53)</f>
        <v>47.2427298850575</v>
      </c>
      <c r="L523" s="0" t="n">
        <f aca="false">SUMPRODUCT(MMULT(E523:J523,_XtX!$B$44:$G$49),E523:J523)</f>
        <v>0.174185632183908</v>
      </c>
      <c r="M523" s="0" t="n">
        <f aca="false">04_回帰ANOVA!$K$19*04_回帰ANOVA!$K$14*SQRT(1+L523)</f>
        <v>1.46840195232898</v>
      </c>
      <c r="N523" s="0" t="n">
        <f aca="false">K523-M523</f>
        <v>45.7743279327285</v>
      </c>
      <c r="O523" s="0" t="n">
        <f aca="false">K523+M523</f>
        <v>48.7111318373864</v>
      </c>
      <c r="P523" s="54" t="b">
        <f aca="false">AND(C523&gt;=01_因子設定!$L$5-0.000000001,C523&lt;=01_因子設定!$M$5+0.000000001,D523&gt;=01_因子設定!$L$6-0.000000001,D523&lt;=01_因子設定!$M$6+0.000000001,IF(01_因子設定!$B$20="Box-Behnken",C523^2+D523^2&lt;=2+0.000000001,TRUE()))</f>
        <v>1</v>
      </c>
      <c r="Q523" s="55" t="n">
        <f aca="false">IF(P523,IF(01_因子設定!$B$13="最大化",N523-01_因子設定!$B$14,IF(01_因子設定!$B$13="最小化",01_因子設定!$B$15-O523,MIN(N523-01_因子設定!$B$14,01_因子設定!$B$15-O523))),-1E+030)</f>
        <v>-0.725672067271511</v>
      </c>
      <c r="R523" s="55" t="n">
        <f aca="false">IF(P523,IF(01_因子設定!$B$13="最大化",K523,IF(01_因子設定!$B$13="最小化",-K523,-ABS(K523-01_因子設定!$B$16))),-1E+030)</f>
        <v>47.2427298850575</v>
      </c>
      <c r="S523" s="55" t="n">
        <f aca="false">Q523+ROW()*0.000000001</f>
        <v>-0.725671544271511</v>
      </c>
      <c r="T523" s="55" t="n">
        <f aca="false">R523+ROW()*0.000000001</f>
        <v>47.2427304080575</v>
      </c>
    </row>
    <row r="524" customFormat="false" ht="15" hidden="false" customHeight="false" outlineLevel="0" collapsed="false">
      <c r="A524" s="0" t="n">
        <v>12</v>
      </c>
      <c r="B524" s="0" t="n">
        <v>27</v>
      </c>
      <c r="C524" s="0" t="n">
        <f aca="false">-1+A524*0.05</f>
        <v>-0.4</v>
      </c>
      <c r="D524" s="0" t="n">
        <f aca="false">-1+B524*0.05</f>
        <v>0.35</v>
      </c>
      <c r="E524" s="0" t="n">
        <f aca="false">1</f>
        <v>1</v>
      </c>
      <c r="F524" s="0" t="n">
        <f aca="false">C524</f>
        <v>-0.4</v>
      </c>
      <c r="G524" s="0" t="n">
        <f aca="false">D524</f>
        <v>0.35</v>
      </c>
      <c r="H524" s="0" t="n">
        <f aca="false">C524*D524</f>
        <v>-0.14</v>
      </c>
      <c r="I524" s="0" t="n">
        <f aca="false">C524*C524</f>
        <v>0.16</v>
      </c>
      <c r="J524" s="0" t="n">
        <f aca="false">D524*D524</f>
        <v>0.1225</v>
      </c>
      <c r="K524" s="0" t="n">
        <f aca="false">SUMPRODUCT(E524:J524,_XtX!$B$53:$G$53)</f>
        <v>47.2945790229885</v>
      </c>
      <c r="L524" s="0" t="n">
        <f aca="false">SUMPRODUCT(MMULT(E524:J524,_XtX!$B$44:$G$49),E524:J524)</f>
        <v>0.175244216954023</v>
      </c>
      <c r="M524" s="0" t="n">
        <f aca="false">04_回帰ANOVA!$K$19*04_回帰ANOVA!$K$14*SQRT(1+L524)</f>
        <v>1.46906372066889</v>
      </c>
      <c r="N524" s="0" t="n">
        <f aca="false">K524-M524</f>
        <v>45.8255153023196</v>
      </c>
      <c r="O524" s="0" t="n">
        <f aca="false">K524+M524</f>
        <v>48.7636427436574</v>
      </c>
      <c r="P524" s="54" t="b">
        <f aca="false">AND(C524&gt;=01_因子設定!$L$5-0.000000001,C524&lt;=01_因子設定!$M$5+0.000000001,D524&gt;=01_因子設定!$L$6-0.000000001,D524&lt;=01_因子設定!$M$6+0.000000001,IF(01_因子設定!$B$20="Box-Behnken",C524^2+D524^2&lt;=2+0.000000001,TRUE()))</f>
        <v>1</v>
      </c>
      <c r="Q524" s="55" t="n">
        <f aca="false">IF(P524,IF(01_因子設定!$B$13="最大化",N524-01_因子設定!$B$14,IF(01_因子設定!$B$13="最小化",01_因子設定!$B$15-O524,MIN(N524-01_因子設定!$B$14,01_因子設定!$B$15-O524))),-1E+030)</f>
        <v>-0.674484697680384</v>
      </c>
      <c r="R524" s="55" t="n">
        <f aca="false">IF(P524,IF(01_因子設定!$B$13="最大化",K524,IF(01_因子設定!$B$13="最小化",-K524,-ABS(K524-01_因子設定!$B$16))),-1E+030)</f>
        <v>47.2945790229885</v>
      </c>
      <c r="S524" s="55" t="n">
        <f aca="false">Q524+ROW()*0.000000001</f>
        <v>-0.674484173680384</v>
      </c>
      <c r="T524" s="55" t="n">
        <f aca="false">R524+ROW()*0.000000001</f>
        <v>47.2945795469885</v>
      </c>
    </row>
    <row r="525" customFormat="false" ht="15" hidden="false" customHeight="false" outlineLevel="0" collapsed="false">
      <c r="A525" s="0" t="n">
        <v>12</v>
      </c>
      <c r="B525" s="0" t="n">
        <v>28</v>
      </c>
      <c r="C525" s="0" t="n">
        <f aca="false">-1+A525*0.05</f>
        <v>-0.4</v>
      </c>
      <c r="D525" s="0" t="n">
        <f aca="false">-1+B525*0.05</f>
        <v>0.4</v>
      </c>
      <c r="E525" s="0" t="n">
        <f aca="false">1</f>
        <v>1</v>
      </c>
      <c r="F525" s="0" t="n">
        <f aca="false">C525</f>
        <v>-0.4</v>
      </c>
      <c r="G525" s="0" t="n">
        <f aca="false">D525</f>
        <v>0.4</v>
      </c>
      <c r="H525" s="0" t="n">
        <f aca="false">C525*D525</f>
        <v>-0.16</v>
      </c>
      <c r="I525" s="0" t="n">
        <f aca="false">C525*C525</f>
        <v>0.16</v>
      </c>
      <c r="J525" s="0" t="n">
        <f aca="false">D525*D525</f>
        <v>0.16</v>
      </c>
      <c r="K525" s="0" t="n">
        <f aca="false">SUMPRODUCT(E525:J525,_XtX!$B$53:$G$53)</f>
        <v>47.3387126436782</v>
      </c>
      <c r="L525" s="0" t="n">
        <f aca="false">SUMPRODUCT(MMULT(E525:J525,_XtX!$B$44:$G$49),E525:J525)</f>
        <v>0.177416091954023</v>
      </c>
      <c r="M525" s="0" t="n">
        <f aca="false">04_回帰ANOVA!$K$19*04_回帰ANOVA!$K$14*SQRT(1+L525)</f>
        <v>1.47042052379075</v>
      </c>
      <c r="N525" s="0" t="n">
        <f aca="false">K525-M525</f>
        <v>45.8682921198874</v>
      </c>
      <c r="O525" s="0" t="n">
        <f aca="false">K525+M525</f>
        <v>48.8091331674689</v>
      </c>
      <c r="P525" s="54" t="b">
        <f aca="false">AND(C525&gt;=01_因子設定!$L$5-0.000000001,C525&lt;=01_因子設定!$M$5+0.000000001,D525&gt;=01_因子設定!$L$6-0.000000001,D525&lt;=01_因子設定!$M$6+0.000000001,IF(01_因子設定!$B$20="Box-Behnken",C525^2+D525^2&lt;=2+0.000000001,TRUE()))</f>
        <v>1</v>
      </c>
      <c r="Q525" s="55" t="n">
        <f aca="false">IF(P525,IF(01_因子設定!$B$13="最大化",N525-01_因子設定!$B$14,IF(01_因子設定!$B$13="最小化",01_因子設定!$B$15-O525,MIN(N525-01_因子設定!$B$14,01_因子設定!$B$15-O525))),-1E+030)</f>
        <v>-0.631707880112593</v>
      </c>
      <c r="R525" s="55" t="n">
        <f aca="false">IF(P525,IF(01_因子設定!$B$13="最大化",K525,IF(01_因子設定!$B$13="最小化",-K525,-ABS(K525-01_因子設定!$B$16))),-1E+030)</f>
        <v>47.3387126436782</v>
      </c>
      <c r="S525" s="55" t="n">
        <f aca="false">Q525+ROW()*0.000000001</f>
        <v>-0.631707355112593</v>
      </c>
      <c r="T525" s="55" t="n">
        <f aca="false">R525+ROW()*0.000000001</f>
        <v>47.3387131686782</v>
      </c>
    </row>
    <row r="526" customFormat="false" ht="15" hidden="false" customHeight="false" outlineLevel="0" collapsed="false">
      <c r="A526" s="0" t="n">
        <v>12</v>
      </c>
      <c r="B526" s="0" t="n">
        <v>29</v>
      </c>
      <c r="C526" s="0" t="n">
        <f aca="false">-1+A526*0.05</f>
        <v>-0.4</v>
      </c>
      <c r="D526" s="0" t="n">
        <f aca="false">-1+B526*0.05</f>
        <v>0.45</v>
      </c>
      <c r="E526" s="0" t="n">
        <f aca="false">1</f>
        <v>1</v>
      </c>
      <c r="F526" s="0" t="n">
        <f aca="false">C526</f>
        <v>-0.4</v>
      </c>
      <c r="G526" s="0" t="n">
        <f aca="false">D526</f>
        <v>0.45</v>
      </c>
      <c r="H526" s="0" t="n">
        <f aca="false">C526*D526</f>
        <v>-0.18</v>
      </c>
      <c r="I526" s="0" t="n">
        <f aca="false">C526*C526</f>
        <v>0.16</v>
      </c>
      <c r="J526" s="0" t="n">
        <f aca="false">D526*D526</f>
        <v>0.2025</v>
      </c>
      <c r="K526" s="0" t="n">
        <f aca="false">SUMPRODUCT(E526:J526,_XtX!$B$53:$G$53)</f>
        <v>47.3751307471264</v>
      </c>
      <c r="L526" s="0" t="n">
        <f aca="false">SUMPRODUCT(MMULT(E526:J526,_XtX!$B$44:$G$49),E526:J526)</f>
        <v>0.181108584770115</v>
      </c>
      <c r="M526" s="0" t="n">
        <f aca="false">04_回帰ANOVA!$K$19*04_回帰ANOVA!$K$14*SQRT(1+L526)</f>
        <v>1.47272441068535</v>
      </c>
      <c r="N526" s="0" t="n">
        <f aca="false">K526-M526</f>
        <v>45.9024063364411</v>
      </c>
      <c r="O526" s="0" t="n">
        <f aca="false">K526+M526</f>
        <v>48.8478551578118</v>
      </c>
      <c r="P526" s="54" t="b">
        <f aca="false">AND(C526&gt;=01_因子設定!$L$5-0.000000001,C526&lt;=01_因子設定!$M$5+0.000000001,D526&gt;=01_因子設定!$L$6-0.000000001,D526&lt;=01_因子設定!$M$6+0.000000001,IF(01_因子設定!$B$20="Box-Behnken",C526^2+D526^2&lt;=2+0.000000001,TRUE()))</f>
        <v>1</v>
      </c>
      <c r="Q526" s="55" t="n">
        <f aca="false">IF(P526,IF(01_因子設定!$B$13="最大化",N526-01_因子設定!$B$14,IF(01_因子設定!$B$13="最小化",01_因子設定!$B$15-O526,MIN(N526-01_因子設定!$B$14,01_因子設定!$B$15-O526))),-1E+030)</f>
        <v>-0.597593663558918</v>
      </c>
      <c r="R526" s="55" t="n">
        <f aca="false">IF(P526,IF(01_因子設定!$B$13="最大化",K526,IF(01_因子設定!$B$13="最小化",-K526,-ABS(K526-01_因子設定!$B$16))),-1E+030)</f>
        <v>47.3751307471264</v>
      </c>
      <c r="S526" s="55" t="n">
        <f aca="false">Q526+ROW()*0.000000001</f>
        <v>-0.597593137558918</v>
      </c>
      <c r="T526" s="55" t="n">
        <f aca="false">R526+ROW()*0.000000001</f>
        <v>47.3751312731264</v>
      </c>
    </row>
    <row r="527" customFormat="false" ht="15" hidden="false" customHeight="false" outlineLevel="0" collapsed="false">
      <c r="A527" s="0" t="n">
        <v>12</v>
      </c>
      <c r="B527" s="0" t="n">
        <v>30</v>
      </c>
      <c r="C527" s="0" t="n">
        <f aca="false">-1+A527*0.05</f>
        <v>-0.4</v>
      </c>
      <c r="D527" s="0" t="n">
        <f aca="false">-1+B527*0.05</f>
        <v>0.5</v>
      </c>
      <c r="E527" s="0" t="n">
        <f aca="false">1</f>
        <v>1</v>
      </c>
      <c r="F527" s="0" t="n">
        <f aca="false">C527</f>
        <v>-0.4</v>
      </c>
      <c r="G527" s="0" t="n">
        <f aca="false">D527</f>
        <v>0.5</v>
      </c>
      <c r="H527" s="0" t="n">
        <f aca="false">C527*D527</f>
        <v>-0.2</v>
      </c>
      <c r="I527" s="0" t="n">
        <f aca="false">C527*C527</f>
        <v>0.16</v>
      </c>
      <c r="J527" s="0" t="n">
        <f aca="false">D527*D527</f>
        <v>0.25</v>
      </c>
      <c r="K527" s="0" t="n">
        <f aca="false">SUMPRODUCT(E527:J527,_XtX!$B$53:$G$53)</f>
        <v>47.4038333333333</v>
      </c>
      <c r="L527" s="0" t="n">
        <f aca="false">SUMPRODUCT(MMULT(E527:J527,_XtX!$B$44:$G$49),E527:J527)</f>
        <v>0.186783333333333</v>
      </c>
      <c r="M527" s="0" t="n">
        <f aca="false">04_回帰ANOVA!$K$19*04_回帰ANOVA!$K$14*SQRT(1+L527)</f>
        <v>1.47625809356371</v>
      </c>
      <c r="N527" s="0" t="n">
        <f aca="false">K527-M527</f>
        <v>45.9275752397696</v>
      </c>
      <c r="O527" s="0" t="n">
        <f aca="false">K527+M527</f>
        <v>48.880091426897</v>
      </c>
      <c r="P527" s="54" t="b">
        <f aca="false">AND(C527&gt;=01_因子設定!$L$5-0.000000001,C527&lt;=01_因子設定!$M$5+0.000000001,D527&gt;=01_因子設定!$L$6-0.000000001,D527&lt;=01_因子設定!$M$6+0.000000001,IF(01_因子設定!$B$20="Box-Behnken",C527^2+D527^2&lt;=2+0.000000001,TRUE()))</f>
        <v>1</v>
      </c>
      <c r="Q527" s="55" t="n">
        <f aca="false">IF(P527,IF(01_因子設定!$B$13="最大化",N527-01_因子設定!$B$14,IF(01_因子設定!$B$13="最小化",01_因子設定!$B$15-O527,MIN(N527-01_因子設定!$B$14,01_因子設定!$B$15-O527))),-1E+030)</f>
        <v>-0.572424760230376</v>
      </c>
      <c r="R527" s="55" t="n">
        <f aca="false">IF(P527,IF(01_因子設定!$B$13="最大化",K527,IF(01_因子設定!$B$13="最小化",-K527,-ABS(K527-01_因子設定!$B$16))),-1E+030)</f>
        <v>47.4038333333333</v>
      </c>
      <c r="S527" s="55" t="n">
        <f aca="false">Q527+ROW()*0.000000001</f>
        <v>-0.572424233230376</v>
      </c>
      <c r="T527" s="55" t="n">
        <f aca="false">R527+ROW()*0.000000001</f>
        <v>47.4038338603333</v>
      </c>
    </row>
    <row r="528" customFormat="false" ht="15" hidden="false" customHeight="false" outlineLevel="0" collapsed="false">
      <c r="A528" s="0" t="n">
        <v>12</v>
      </c>
      <c r="B528" s="0" t="n">
        <v>31</v>
      </c>
      <c r="C528" s="0" t="n">
        <f aca="false">-1+A528*0.05</f>
        <v>-0.4</v>
      </c>
      <c r="D528" s="0" t="n">
        <f aca="false">-1+B528*0.05</f>
        <v>0.55</v>
      </c>
      <c r="E528" s="0" t="n">
        <f aca="false">1</f>
        <v>1</v>
      </c>
      <c r="F528" s="0" t="n">
        <f aca="false">C528</f>
        <v>-0.4</v>
      </c>
      <c r="G528" s="0" t="n">
        <f aca="false">D528</f>
        <v>0.55</v>
      </c>
      <c r="H528" s="0" t="n">
        <f aca="false">C528*D528</f>
        <v>-0.22</v>
      </c>
      <c r="I528" s="0" t="n">
        <f aca="false">C528*C528</f>
        <v>0.16</v>
      </c>
      <c r="J528" s="0" t="n">
        <f aca="false">D528*D528</f>
        <v>0.3025</v>
      </c>
      <c r="K528" s="0" t="n">
        <f aca="false">SUMPRODUCT(E528:J528,_XtX!$B$53:$G$53)</f>
        <v>47.4248204022989</v>
      </c>
      <c r="L528" s="0" t="n">
        <f aca="false">SUMPRODUCT(MMULT(E528:J528,_XtX!$B$44:$G$49),E528:J528)</f>
        <v>0.19495628591954</v>
      </c>
      <c r="M528" s="0" t="n">
        <f aca="false">04_回帰ANOVA!$K$19*04_回帰ANOVA!$K$14*SQRT(1+L528)</f>
        <v>1.48133260286245</v>
      </c>
      <c r="N528" s="0" t="n">
        <f aca="false">K528-M528</f>
        <v>45.9434877994364</v>
      </c>
      <c r="O528" s="0" t="n">
        <f aca="false">K528+M528</f>
        <v>48.9061530051613</v>
      </c>
      <c r="P528" s="54" t="b">
        <f aca="false">AND(C528&gt;=01_因子設定!$L$5-0.000000001,C528&lt;=01_因子設定!$M$5+0.000000001,D528&gt;=01_因子設定!$L$6-0.000000001,D528&lt;=01_因子設定!$M$6+0.000000001,IF(01_因子設定!$B$20="Box-Behnken",C528^2+D528^2&lt;=2+0.000000001,TRUE()))</f>
        <v>1</v>
      </c>
      <c r="Q528" s="55" t="n">
        <f aca="false">IF(P528,IF(01_因子設定!$B$13="最大化",N528-01_因子設定!$B$14,IF(01_因子設定!$B$13="最小化",01_因子設定!$B$15-O528,MIN(N528-01_因子設定!$B$14,01_因子設定!$B$15-O528))),-1E+030)</f>
        <v>-0.556512200563603</v>
      </c>
      <c r="R528" s="55" t="n">
        <f aca="false">IF(P528,IF(01_因子設定!$B$13="最大化",K528,IF(01_因子設定!$B$13="最小化",-K528,-ABS(K528-01_因子設定!$B$16))),-1E+030)</f>
        <v>47.4248204022989</v>
      </c>
      <c r="S528" s="55" t="n">
        <f aca="false">Q528+ROW()*0.000000001</f>
        <v>-0.556511672563603</v>
      </c>
      <c r="T528" s="55" t="n">
        <f aca="false">R528+ROW()*0.000000001</f>
        <v>47.4248209302989</v>
      </c>
    </row>
    <row r="529" customFormat="false" ht="15" hidden="false" customHeight="false" outlineLevel="0" collapsed="false">
      <c r="A529" s="0" t="n">
        <v>12</v>
      </c>
      <c r="B529" s="0" t="n">
        <v>32</v>
      </c>
      <c r="C529" s="0" t="n">
        <f aca="false">-1+A529*0.05</f>
        <v>-0.4</v>
      </c>
      <c r="D529" s="0" t="n">
        <f aca="false">-1+B529*0.05</f>
        <v>0.6</v>
      </c>
      <c r="E529" s="0" t="n">
        <f aca="false">1</f>
        <v>1</v>
      </c>
      <c r="F529" s="0" t="n">
        <f aca="false">C529</f>
        <v>-0.4</v>
      </c>
      <c r="G529" s="0" t="n">
        <f aca="false">D529</f>
        <v>0.6</v>
      </c>
      <c r="H529" s="0" t="n">
        <f aca="false">C529*D529</f>
        <v>-0.24</v>
      </c>
      <c r="I529" s="0" t="n">
        <f aca="false">C529*C529</f>
        <v>0.16</v>
      </c>
      <c r="J529" s="0" t="n">
        <f aca="false">D529*D529</f>
        <v>0.36</v>
      </c>
      <c r="K529" s="0" t="n">
        <f aca="false">SUMPRODUCT(E529:J529,_XtX!$B$53:$G$53)</f>
        <v>47.438091954023</v>
      </c>
      <c r="L529" s="0" t="n">
        <f aca="false">SUMPRODUCT(MMULT(E529:J529,_XtX!$B$44:$G$49),E529:J529)</f>
        <v>0.206197701149425</v>
      </c>
      <c r="M529" s="0" t="n">
        <f aca="false">04_回帰ANOVA!$K$19*04_回帰ANOVA!$K$14*SQRT(1+L529)</f>
        <v>1.48828402636661</v>
      </c>
      <c r="N529" s="0" t="n">
        <f aca="false">K529-M529</f>
        <v>45.9498079276564</v>
      </c>
      <c r="O529" s="0" t="n">
        <f aca="false">K529+M529</f>
        <v>48.9263759803896</v>
      </c>
      <c r="P529" s="54" t="b">
        <f aca="false">AND(C529&gt;=01_因子設定!$L$5-0.000000001,C529&lt;=01_因子設定!$M$5+0.000000001,D529&gt;=01_因子設定!$L$6-0.000000001,D529&lt;=01_因子設定!$M$6+0.000000001,IF(01_因子設定!$B$20="Box-Behnken",C529^2+D529^2&lt;=2+0.000000001,TRUE()))</f>
        <v>1</v>
      </c>
      <c r="Q529" s="55" t="n">
        <f aca="false">IF(P529,IF(01_因子設定!$B$13="最大化",N529-01_因子設定!$B$14,IF(01_因子設定!$B$13="最小化",01_因子設定!$B$15-O529,MIN(N529-01_因子設定!$B$14,01_因子設定!$B$15-O529))),-1E+030)</f>
        <v>-0.550192072343627</v>
      </c>
      <c r="R529" s="55" t="n">
        <f aca="false">IF(P529,IF(01_因子設定!$B$13="最大化",K529,IF(01_因子設定!$B$13="最小化",-K529,-ABS(K529-01_因子設定!$B$16))),-1E+030)</f>
        <v>47.438091954023</v>
      </c>
      <c r="S529" s="55" t="n">
        <f aca="false">Q529+ROW()*0.000000001</f>
        <v>-0.550191543343627</v>
      </c>
      <c r="T529" s="55" t="n">
        <f aca="false">R529+ROW()*0.000000001</f>
        <v>47.438092483023</v>
      </c>
    </row>
    <row r="530" customFormat="false" ht="15" hidden="false" customHeight="false" outlineLevel="0" collapsed="false">
      <c r="A530" s="0" t="n">
        <v>12</v>
      </c>
      <c r="B530" s="0" t="n">
        <v>33</v>
      </c>
      <c r="C530" s="0" t="n">
        <f aca="false">-1+A530*0.05</f>
        <v>-0.4</v>
      </c>
      <c r="D530" s="0" t="n">
        <f aca="false">-1+B530*0.05</f>
        <v>0.65</v>
      </c>
      <c r="E530" s="0" t="n">
        <f aca="false">1</f>
        <v>1</v>
      </c>
      <c r="F530" s="0" t="n">
        <f aca="false">C530</f>
        <v>-0.4</v>
      </c>
      <c r="G530" s="0" t="n">
        <f aca="false">D530</f>
        <v>0.65</v>
      </c>
      <c r="H530" s="0" t="n">
        <f aca="false">C530*D530</f>
        <v>-0.26</v>
      </c>
      <c r="I530" s="0" t="n">
        <f aca="false">C530*C530</f>
        <v>0.16</v>
      </c>
      <c r="J530" s="0" t="n">
        <f aca="false">D530*D530</f>
        <v>0.4225</v>
      </c>
      <c r="K530" s="0" t="n">
        <f aca="false">SUMPRODUCT(E530:J530,_XtX!$B$53:$G$53)</f>
        <v>47.4436479885057</v>
      </c>
      <c r="L530" s="0" t="n">
        <f aca="false">SUMPRODUCT(MMULT(E530:J530,_XtX!$B$44:$G$49),E530:J530)</f>
        <v>0.221132147988506</v>
      </c>
      <c r="M530" s="0" t="n">
        <f aca="false">04_回帰ANOVA!$K$19*04_回帰ANOVA!$K$14*SQRT(1+L530)</f>
        <v>1.4974692211941</v>
      </c>
      <c r="N530" s="0" t="n">
        <f aca="false">K530-M530</f>
        <v>45.9461787673116</v>
      </c>
      <c r="O530" s="0" t="n">
        <f aca="false">K530+M530</f>
        <v>48.9411172096999</v>
      </c>
      <c r="P530" s="54" t="b">
        <f aca="false">AND(C530&gt;=01_因子設定!$L$5-0.000000001,C530&lt;=01_因子設定!$M$5+0.000000001,D530&gt;=01_因子設定!$L$6-0.000000001,D530&lt;=01_因子設定!$M$6+0.000000001,IF(01_因子設定!$B$20="Box-Behnken",C530^2+D530^2&lt;=2+0.000000001,TRUE()))</f>
        <v>1</v>
      </c>
      <c r="Q530" s="55" t="n">
        <f aca="false">IF(P530,IF(01_因子設定!$B$13="最大化",N530-01_因子設定!$B$14,IF(01_因子設定!$B$13="最小化",01_因子設定!$B$15-O530,MIN(N530-01_因子設定!$B$14,01_因子設定!$B$15-O530))),-1E+030)</f>
        <v>-0.553821232688357</v>
      </c>
      <c r="R530" s="55" t="n">
        <f aca="false">IF(P530,IF(01_因子設定!$B$13="最大化",K530,IF(01_因子設定!$B$13="最小化",-K530,-ABS(K530-01_因子設定!$B$16))),-1E+030)</f>
        <v>47.4436479885057</v>
      </c>
      <c r="S530" s="55" t="n">
        <f aca="false">Q530+ROW()*0.000000001</f>
        <v>-0.553820702688357</v>
      </c>
      <c r="T530" s="55" t="n">
        <f aca="false">R530+ROW()*0.000000001</f>
        <v>47.4436485185057</v>
      </c>
    </row>
    <row r="531" customFormat="false" ht="15" hidden="false" customHeight="false" outlineLevel="0" collapsed="false">
      <c r="A531" s="0" t="n">
        <v>12</v>
      </c>
      <c r="B531" s="0" t="n">
        <v>34</v>
      </c>
      <c r="C531" s="0" t="n">
        <f aca="false">-1+A531*0.05</f>
        <v>-0.4</v>
      </c>
      <c r="D531" s="0" t="n">
        <f aca="false">-1+B531*0.05</f>
        <v>0.7</v>
      </c>
      <c r="E531" s="0" t="n">
        <f aca="false">1</f>
        <v>1</v>
      </c>
      <c r="F531" s="0" t="n">
        <f aca="false">C531</f>
        <v>-0.4</v>
      </c>
      <c r="G531" s="0" t="n">
        <f aca="false">D531</f>
        <v>0.7</v>
      </c>
      <c r="H531" s="0" t="n">
        <f aca="false">C531*D531</f>
        <v>-0.28</v>
      </c>
      <c r="I531" s="0" t="n">
        <f aca="false">C531*C531</f>
        <v>0.16</v>
      </c>
      <c r="J531" s="0" t="n">
        <f aca="false">D531*D531</f>
        <v>0.49</v>
      </c>
      <c r="K531" s="0" t="n">
        <f aca="false">SUMPRODUCT(E531:J531,_XtX!$B$53:$G$53)</f>
        <v>47.4414885057471</v>
      </c>
      <c r="L531" s="0" t="n">
        <f aca="false">SUMPRODUCT(MMULT(E531:J531,_XtX!$B$44:$G$49),E531:J531)</f>
        <v>0.240438505747127</v>
      </c>
      <c r="M531" s="0" t="n">
        <f aca="false">04_回帰ANOVA!$K$19*04_回帰ANOVA!$K$14*SQRT(1+L531)</f>
        <v>1.5092604511937</v>
      </c>
      <c r="N531" s="0" t="n">
        <f aca="false">K531-M531</f>
        <v>45.9322280545534</v>
      </c>
      <c r="O531" s="0" t="n">
        <f aca="false">K531+M531</f>
        <v>48.9507489569408</v>
      </c>
      <c r="P531" s="54" t="b">
        <f aca="false">AND(C531&gt;=01_因子設定!$L$5-0.000000001,C531&lt;=01_因子設定!$M$5+0.000000001,D531&gt;=01_因子設定!$L$6-0.000000001,D531&lt;=01_因子設定!$M$6+0.000000001,IF(01_因子設定!$B$20="Box-Behnken",C531^2+D531^2&lt;=2+0.000000001,TRUE()))</f>
        <v>1</v>
      </c>
      <c r="Q531" s="55" t="n">
        <f aca="false">IF(P531,IF(01_因子設定!$B$13="最大化",N531-01_因子設定!$B$14,IF(01_因子設定!$B$13="最小化",01_因子設定!$B$15-O531,MIN(N531-01_因子設定!$B$14,01_因子設定!$B$15-O531))),-1E+030)</f>
        <v>-0.56777194544658</v>
      </c>
      <c r="R531" s="55" t="n">
        <f aca="false">IF(P531,IF(01_因子設定!$B$13="最大化",K531,IF(01_因子設定!$B$13="最小化",-K531,-ABS(K531-01_因子設定!$B$16))),-1E+030)</f>
        <v>47.4414885057471</v>
      </c>
      <c r="S531" s="55" t="n">
        <f aca="false">Q531+ROW()*0.000000001</f>
        <v>-0.56777141444658</v>
      </c>
      <c r="T531" s="55" t="n">
        <f aca="false">R531+ROW()*0.000000001</f>
        <v>47.4414890367471</v>
      </c>
    </row>
    <row r="532" customFormat="false" ht="15" hidden="false" customHeight="false" outlineLevel="0" collapsed="false">
      <c r="A532" s="0" t="n">
        <v>12</v>
      </c>
      <c r="B532" s="0" t="n">
        <v>35</v>
      </c>
      <c r="C532" s="0" t="n">
        <f aca="false">-1+A532*0.05</f>
        <v>-0.4</v>
      </c>
      <c r="D532" s="0" t="n">
        <f aca="false">-1+B532*0.05</f>
        <v>0.75</v>
      </c>
      <c r="E532" s="0" t="n">
        <f aca="false">1</f>
        <v>1</v>
      </c>
      <c r="F532" s="0" t="n">
        <f aca="false">C532</f>
        <v>-0.4</v>
      </c>
      <c r="G532" s="0" t="n">
        <f aca="false">D532</f>
        <v>0.75</v>
      </c>
      <c r="H532" s="0" t="n">
        <f aca="false">C532*D532</f>
        <v>-0.3</v>
      </c>
      <c r="I532" s="0" t="n">
        <f aca="false">C532*C532</f>
        <v>0.16</v>
      </c>
      <c r="J532" s="0" t="n">
        <f aca="false">D532*D532</f>
        <v>0.5625</v>
      </c>
      <c r="K532" s="0" t="n">
        <f aca="false">SUMPRODUCT(E532:J532,_XtX!$B$53:$G$53)</f>
        <v>47.4316135057471</v>
      </c>
      <c r="L532" s="0" t="n">
        <f aca="false">SUMPRODUCT(MMULT(E532:J532,_XtX!$B$44:$G$49),E532:J532)</f>
        <v>0.26484996408046</v>
      </c>
      <c r="M532" s="0" t="n">
        <f aca="false">04_回帰ANOVA!$K$19*04_回帰ANOVA!$K$14*SQRT(1+L532)</f>
        <v>1.52403899298102</v>
      </c>
      <c r="N532" s="0" t="n">
        <f aca="false">K532-M532</f>
        <v>45.9075745127661</v>
      </c>
      <c r="O532" s="0" t="n">
        <f aca="false">K532+M532</f>
        <v>48.9556524987281</v>
      </c>
      <c r="P532" s="54" t="b">
        <f aca="false">AND(C532&gt;=01_因子設定!$L$5-0.000000001,C532&lt;=01_因子設定!$M$5+0.000000001,D532&gt;=01_因子設定!$L$6-0.000000001,D532&lt;=01_因子設定!$M$6+0.000000001,IF(01_因子設定!$B$20="Box-Behnken",C532^2+D532^2&lt;=2+0.000000001,TRUE()))</f>
        <v>1</v>
      </c>
      <c r="Q532" s="55" t="n">
        <f aca="false">IF(P532,IF(01_因子設定!$B$13="最大化",N532-01_因子設定!$B$14,IF(01_因子設定!$B$13="最小化",01_因子設定!$B$15-O532,MIN(N532-01_因子設定!$B$14,01_因子設定!$B$15-O532))),-1E+030)</f>
        <v>-0.592425487233896</v>
      </c>
      <c r="R532" s="55" t="n">
        <f aca="false">IF(P532,IF(01_因子設定!$B$13="最大化",K532,IF(01_因子設定!$B$13="最小化",-K532,-ABS(K532-01_因子設定!$B$16))),-1E+030)</f>
        <v>47.4316135057471</v>
      </c>
      <c r="S532" s="55" t="n">
        <f aca="false">Q532+ROW()*0.000000001</f>
        <v>-0.592424955233896</v>
      </c>
      <c r="T532" s="55" t="n">
        <f aca="false">R532+ROW()*0.000000001</f>
        <v>47.4316140377471</v>
      </c>
    </row>
    <row r="533" customFormat="false" ht="15" hidden="false" customHeight="false" outlineLevel="0" collapsed="false">
      <c r="A533" s="0" t="n">
        <v>12</v>
      </c>
      <c r="B533" s="0" t="n">
        <v>36</v>
      </c>
      <c r="C533" s="0" t="n">
        <f aca="false">-1+A533*0.05</f>
        <v>-0.4</v>
      </c>
      <c r="D533" s="0" t="n">
        <f aca="false">-1+B533*0.05</f>
        <v>0.8</v>
      </c>
      <c r="E533" s="0" t="n">
        <f aca="false">1</f>
        <v>1</v>
      </c>
      <c r="F533" s="0" t="n">
        <f aca="false">C533</f>
        <v>-0.4</v>
      </c>
      <c r="G533" s="0" t="n">
        <f aca="false">D533</f>
        <v>0.8</v>
      </c>
      <c r="H533" s="0" t="n">
        <f aca="false">C533*D533</f>
        <v>-0.32</v>
      </c>
      <c r="I533" s="0" t="n">
        <f aca="false">C533*C533</f>
        <v>0.16</v>
      </c>
      <c r="J533" s="0" t="n">
        <f aca="false">D533*D533</f>
        <v>0.64</v>
      </c>
      <c r="K533" s="0" t="n">
        <f aca="false">SUMPRODUCT(E533:J533,_XtX!$B$53:$G$53)</f>
        <v>47.4140229885057</v>
      </c>
      <c r="L533" s="0" t="n">
        <f aca="false">SUMPRODUCT(MMULT(E533:J533,_XtX!$B$44:$G$49),E533:J533)</f>
        <v>0.295154022988506</v>
      </c>
      <c r="M533" s="0" t="n">
        <f aca="false">04_回帰ANOVA!$K$19*04_回帰ANOVA!$K$14*SQRT(1+L533)</f>
        <v>1.54218786602306</v>
      </c>
      <c r="N533" s="0" t="n">
        <f aca="false">K533-M533</f>
        <v>45.8718351224827</v>
      </c>
      <c r="O533" s="0" t="n">
        <f aca="false">K533+M533</f>
        <v>48.9562108545288</v>
      </c>
      <c r="P533" s="54" t="b">
        <f aca="false">AND(C533&gt;=01_因子設定!$L$5-0.000000001,C533&lt;=01_因子設定!$M$5+0.000000001,D533&gt;=01_因子設定!$L$6-0.000000001,D533&lt;=01_因子設定!$M$6+0.000000001,IF(01_因子設定!$B$20="Box-Behnken",C533^2+D533^2&lt;=2+0.000000001,TRUE()))</f>
        <v>1</v>
      </c>
      <c r="Q533" s="55" t="n">
        <f aca="false">IF(P533,IF(01_因子設定!$B$13="最大化",N533-01_因子設定!$B$14,IF(01_因子設定!$B$13="最小化",01_因子設定!$B$15-O533,MIN(N533-01_因子設定!$B$14,01_因子設定!$B$15-O533))),-1E+030)</f>
        <v>-0.628164877517321</v>
      </c>
      <c r="R533" s="55" t="n">
        <f aca="false">IF(P533,IF(01_因子設定!$B$13="最大化",K533,IF(01_因子設定!$B$13="最小化",-K533,-ABS(K533-01_因子設定!$B$16))),-1E+030)</f>
        <v>47.4140229885057</v>
      </c>
      <c r="S533" s="55" t="n">
        <f aca="false">Q533+ROW()*0.000000001</f>
        <v>-0.628164344517321</v>
      </c>
      <c r="T533" s="55" t="n">
        <f aca="false">R533+ROW()*0.000000001</f>
        <v>47.4140235215057</v>
      </c>
    </row>
    <row r="534" customFormat="false" ht="15" hidden="false" customHeight="false" outlineLevel="0" collapsed="false">
      <c r="A534" s="0" t="n">
        <v>12</v>
      </c>
      <c r="B534" s="0" t="n">
        <v>37</v>
      </c>
      <c r="C534" s="0" t="n">
        <f aca="false">-1+A534*0.05</f>
        <v>-0.4</v>
      </c>
      <c r="D534" s="0" t="n">
        <f aca="false">-1+B534*0.05</f>
        <v>0.85</v>
      </c>
      <c r="E534" s="0" t="n">
        <f aca="false">1</f>
        <v>1</v>
      </c>
      <c r="F534" s="0" t="n">
        <f aca="false">C534</f>
        <v>-0.4</v>
      </c>
      <c r="G534" s="0" t="n">
        <f aca="false">D534</f>
        <v>0.85</v>
      </c>
      <c r="H534" s="0" t="n">
        <f aca="false">C534*D534</f>
        <v>-0.34</v>
      </c>
      <c r="I534" s="0" t="n">
        <f aca="false">C534*C534</f>
        <v>0.16</v>
      </c>
      <c r="J534" s="0" t="n">
        <f aca="false">D534*D534</f>
        <v>0.7225</v>
      </c>
      <c r="K534" s="0" t="n">
        <f aca="false">SUMPRODUCT(E534:J534,_XtX!$B$53:$G$53)</f>
        <v>47.388716954023</v>
      </c>
      <c r="L534" s="0" t="n">
        <f aca="false">SUMPRODUCT(MMULT(E534:J534,_XtX!$B$44:$G$49),E534:J534)</f>
        <v>0.332192492816092</v>
      </c>
      <c r="M534" s="0" t="n">
        <f aca="false">04_回帰ANOVA!$K$19*04_回帰ANOVA!$K$14*SQRT(1+L534)</f>
        <v>1.56408396375374</v>
      </c>
      <c r="N534" s="0" t="n">
        <f aca="false">K534-M534</f>
        <v>45.8246329902693</v>
      </c>
      <c r="O534" s="0" t="n">
        <f aca="false">K534+M534</f>
        <v>48.9528009177767</v>
      </c>
      <c r="P534" s="54" t="b">
        <f aca="false">AND(C534&gt;=01_因子設定!$L$5-0.000000001,C534&lt;=01_因子設定!$M$5+0.000000001,D534&gt;=01_因子設定!$L$6-0.000000001,D534&lt;=01_因子設定!$M$6+0.000000001,IF(01_因子設定!$B$20="Box-Behnken",C534^2+D534^2&lt;=2+0.000000001,TRUE()))</f>
        <v>1</v>
      </c>
      <c r="Q534" s="55" t="n">
        <f aca="false">IF(P534,IF(01_因子設定!$B$13="最大化",N534-01_因子設定!$B$14,IF(01_因子設定!$B$13="最小化",01_因子設定!$B$15-O534,MIN(N534-01_因子設定!$B$14,01_因子設定!$B$15-O534))),-1E+030)</f>
        <v>-0.675367009730749</v>
      </c>
      <c r="R534" s="55" t="n">
        <f aca="false">IF(P534,IF(01_因子設定!$B$13="最大化",K534,IF(01_因子設定!$B$13="最小化",-K534,-ABS(K534-01_因子設定!$B$16))),-1E+030)</f>
        <v>47.388716954023</v>
      </c>
      <c r="S534" s="55" t="n">
        <f aca="false">Q534+ROW()*0.000000001</f>
        <v>-0.675366475730749</v>
      </c>
      <c r="T534" s="55" t="n">
        <f aca="false">R534+ROW()*0.000000001</f>
        <v>47.388717488023</v>
      </c>
    </row>
    <row r="535" customFormat="false" ht="15" hidden="false" customHeight="false" outlineLevel="0" collapsed="false">
      <c r="A535" s="0" t="n">
        <v>12</v>
      </c>
      <c r="B535" s="0" t="n">
        <v>38</v>
      </c>
      <c r="C535" s="0" t="n">
        <f aca="false">-1+A535*0.05</f>
        <v>-0.4</v>
      </c>
      <c r="D535" s="0" t="n">
        <f aca="false">-1+B535*0.05</f>
        <v>0.9</v>
      </c>
      <c r="E535" s="0" t="n">
        <f aca="false">1</f>
        <v>1</v>
      </c>
      <c r="F535" s="0" t="n">
        <f aca="false">C535</f>
        <v>-0.4</v>
      </c>
      <c r="G535" s="0" t="n">
        <f aca="false">D535</f>
        <v>0.9</v>
      </c>
      <c r="H535" s="0" t="n">
        <f aca="false">C535*D535</f>
        <v>-0.36</v>
      </c>
      <c r="I535" s="0" t="n">
        <f aca="false">C535*C535</f>
        <v>0.16</v>
      </c>
      <c r="J535" s="0" t="n">
        <f aca="false">D535*D535</f>
        <v>0.81</v>
      </c>
      <c r="K535" s="0" t="n">
        <f aca="false">SUMPRODUCT(E535:J535,_XtX!$B$53:$G$53)</f>
        <v>47.3556954022989</v>
      </c>
      <c r="L535" s="0" t="n">
        <f aca="false">SUMPRODUCT(MMULT(E535:J535,_XtX!$B$44:$G$49),E535:J535)</f>
        <v>0.376861494252874</v>
      </c>
      <c r="M535" s="0" t="n">
        <f aca="false">04_回帰ANOVA!$K$19*04_回帰ANOVA!$K$14*SQRT(1+L535)</f>
        <v>1.59008997521304</v>
      </c>
      <c r="N535" s="0" t="n">
        <f aca="false">K535-M535</f>
        <v>45.7656054270858</v>
      </c>
      <c r="O535" s="0" t="n">
        <f aca="false">K535+M535</f>
        <v>48.9457853775119</v>
      </c>
      <c r="P535" s="54" t="b">
        <f aca="false">AND(C535&gt;=01_因子設定!$L$5-0.000000001,C535&lt;=01_因子設定!$M$5+0.000000001,D535&gt;=01_因子設定!$L$6-0.000000001,D535&lt;=01_因子設定!$M$6+0.000000001,IF(01_因子設定!$B$20="Box-Behnken",C535^2+D535^2&lt;=2+0.000000001,TRUE()))</f>
        <v>1</v>
      </c>
      <c r="Q535" s="55" t="n">
        <f aca="false">IF(P535,IF(01_因子設定!$B$13="最大化",N535-01_因子設定!$B$14,IF(01_因子設定!$B$13="最小化",01_因子設定!$B$15-O535,MIN(N535-01_因子設定!$B$14,01_因子設定!$B$15-O535))),-1E+030)</f>
        <v>-0.734394572914191</v>
      </c>
      <c r="R535" s="55" t="n">
        <f aca="false">IF(P535,IF(01_因子設定!$B$13="最大化",K535,IF(01_因子設定!$B$13="最小化",-K535,-ABS(K535-01_因子設定!$B$16))),-1E+030)</f>
        <v>47.3556954022989</v>
      </c>
      <c r="S535" s="55" t="n">
        <f aca="false">Q535+ROW()*0.000000001</f>
        <v>-0.734394037914191</v>
      </c>
      <c r="T535" s="55" t="n">
        <f aca="false">R535+ROW()*0.000000001</f>
        <v>47.3556959372989</v>
      </c>
    </row>
    <row r="536" customFormat="false" ht="15" hidden="false" customHeight="false" outlineLevel="0" collapsed="false">
      <c r="A536" s="0" t="n">
        <v>12</v>
      </c>
      <c r="B536" s="0" t="n">
        <v>39</v>
      </c>
      <c r="C536" s="0" t="n">
        <f aca="false">-1+A536*0.05</f>
        <v>-0.4</v>
      </c>
      <c r="D536" s="0" t="n">
        <f aca="false">-1+B536*0.05</f>
        <v>0.95</v>
      </c>
      <c r="E536" s="0" t="n">
        <f aca="false">1</f>
        <v>1</v>
      </c>
      <c r="F536" s="0" t="n">
        <f aca="false">C536</f>
        <v>-0.4</v>
      </c>
      <c r="G536" s="0" t="n">
        <f aca="false">D536</f>
        <v>0.95</v>
      </c>
      <c r="H536" s="0" t="n">
        <f aca="false">C536*D536</f>
        <v>-0.38</v>
      </c>
      <c r="I536" s="0" t="n">
        <f aca="false">C536*C536</f>
        <v>0.16</v>
      </c>
      <c r="J536" s="0" t="n">
        <f aca="false">D536*D536</f>
        <v>0.9025</v>
      </c>
      <c r="K536" s="0" t="n">
        <f aca="false">SUMPRODUCT(E536:J536,_XtX!$B$53:$G$53)</f>
        <v>47.3149583333333</v>
      </c>
      <c r="L536" s="0" t="n">
        <f aca="false">SUMPRODUCT(MMULT(E536:J536,_XtX!$B$44:$G$49),E536:J536)</f>
        <v>0.430111458333334</v>
      </c>
      <c r="M536" s="0" t="n">
        <f aca="false">04_回帰ANOVA!$K$19*04_回帰ANOVA!$K$14*SQRT(1+L536)</f>
        <v>1.62054656818033</v>
      </c>
      <c r="N536" s="0" t="n">
        <f aca="false">K536-M536</f>
        <v>45.694411765153</v>
      </c>
      <c r="O536" s="0" t="n">
        <f aca="false">K536+M536</f>
        <v>48.9355049015137</v>
      </c>
      <c r="P536" s="54" t="b">
        <f aca="false">AND(C536&gt;=01_因子設定!$L$5-0.000000001,C536&lt;=01_因子設定!$M$5+0.000000001,D536&gt;=01_因子設定!$L$6-0.000000001,D536&lt;=01_因子設定!$M$6+0.000000001,IF(01_因子設定!$B$20="Box-Behnken",C536^2+D536^2&lt;=2+0.000000001,TRUE()))</f>
        <v>1</v>
      </c>
      <c r="Q536" s="55" t="n">
        <f aca="false">IF(P536,IF(01_因子設定!$B$13="最大化",N536-01_因子設定!$B$14,IF(01_因子設定!$B$13="最小化",01_因子設定!$B$15-O536,MIN(N536-01_因子設定!$B$14,01_因子設定!$B$15-O536))),-1E+030)</f>
        <v>-0.805588234847001</v>
      </c>
      <c r="R536" s="55" t="n">
        <f aca="false">IF(P536,IF(01_因子設定!$B$13="最大化",K536,IF(01_因子設定!$B$13="最小化",-K536,-ABS(K536-01_因子設定!$B$16))),-1E+030)</f>
        <v>47.3149583333333</v>
      </c>
      <c r="S536" s="55" t="n">
        <f aca="false">Q536+ROW()*0.000000001</f>
        <v>-0.805587698847001</v>
      </c>
      <c r="T536" s="55" t="n">
        <f aca="false">R536+ROW()*0.000000001</f>
        <v>47.3149588693333</v>
      </c>
    </row>
    <row r="537" customFormat="false" ht="15" hidden="false" customHeight="false" outlineLevel="0" collapsed="false">
      <c r="A537" s="0" t="n">
        <v>12</v>
      </c>
      <c r="B537" s="0" t="n">
        <v>40</v>
      </c>
      <c r="C537" s="0" t="n">
        <f aca="false">-1+A537*0.05</f>
        <v>-0.4</v>
      </c>
      <c r="D537" s="0" t="n">
        <f aca="false">-1+B537*0.05</f>
        <v>1</v>
      </c>
      <c r="E537" s="0" t="n">
        <f aca="false">1</f>
        <v>1</v>
      </c>
      <c r="F537" s="0" t="n">
        <f aca="false">C537</f>
        <v>-0.4</v>
      </c>
      <c r="G537" s="0" t="n">
        <f aca="false">D537</f>
        <v>1</v>
      </c>
      <c r="H537" s="0" t="n">
        <f aca="false">C537*D537</f>
        <v>-0.4</v>
      </c>
      <c r="I537" s="0" t="n">
        <f aca="false">C537*C537</f>
        <v>0.16</v>
      </c>
      <c r="J537" s="0" t="n">
        <f aca="false">D537*D537</f>
        <v>1</v>
      </c>
      <c r="K537" s="0" t="n">
        <f aca="false">SUMPRODUCT(E537:J537,_XtX!$B$53:$G$53)</f>
        <v>47.2665057471264</v>
      </c>
      <c r="L537" s="0" t="n">
        <f aca="false">SUMPRODUCT(MMULT(E537:J537,_XtX!$B$44:$G$49),E537:J537)</f>
        <v>0.492947126436782</v>
      </c>
      <c r="M537" s="0" t="n">
        <f aca="false">04_回帰ANOVA!$K$19*04_回帰ANOVA!$K$14*SQRT(1+L537)</f>
        <v>1.65576533475427</v>
      </c>
      <c r="N537" s="0" t="n">
        <f aca="false">K537-M537</f>
        <v>45.6107404123722</v>
      </c>
      <c r="O537" s="0" t="n">
        <f aca="false">K537+M537</f>
        <v>48.9222710818807</v>
      </c>
      <c r="P537" s="54" t="b">
        <f aca="false">AND(C537&gt;=01_因子設定!$L$5-0.000000001,C537&lt;=01_因子設定!$M$5+0.000000001,D537&gt;=01_因子設定!$L$6-0.000000001,D537&lt;=01_因子設定!$M$6+0.000000001,IF(01_因子設定!$B$20="Box-Behnken",C537^2+D537^2&lt;=2+0.000000001,TRUE()))</f>
        <v>1</v>
      </c>
      <c r="Q537" s="55" t="n">
        <f aca="false">IF(P537,IF(01_因子設定!$B$13="最大化",N537-01_因子設定!$B$14,IF(01_因子設定!$B$13="最小化",01_因子設定!$B$15-O537,MIN(N537-01_因子設定!$B$14,01_因子設定!$B$15-O537))),-1E+030)</f>
        <v>-0.889259587627834</v>
      </c>
      <c r="R537" s="55" t="n">
        <f aca="false">IF(P537,IF(01_因子設定!$B$13="最大化",K537,IF(01_因子設定!$B$13="最小化",-K537,-ABS(K537-01_因子設定!$B$16))),-1E+030)</f>
        <v>47.2665057471264</v>
      </c>
      <c r="S537" s="55" t="n">
        <f aca="false">Q537+ROW()*0.000000001</f>
        <v>-0.889259050627834</v>
      </c>
      <c r="T537" s="55" t="n">
        <f aca="false">R537+ROW()*0.000000001</f>
        <v>47.2665062841264</v>
      </c>
    </row>
    <row r="538" customFormat="false" ht="15" hidden="false" customHeight="false" outlineLevel="0" collapsed="false">
      <c r="A538" s="0" t="n">
        <v>13</v>
      </c>
      <c r="B538" s="0" t="n">
        <v>0</v>
      </c>
      <c r="C538" s="0" t="n">
        <f aca="false">-1+A538*0.05</f>
        <v>-0.35</v>
      </c>
      <c r="D538" s="0" t="n">
        <f aca="false">-1+B538*0.05</f>
        <v>-1</v>
      </c>
      <c r="E538" s="0" t="n">
        <f aca="false">1</f>
        <v>1</v>
      </c>
      <c r="F538" s="0" t="n">
        <f aca="false">C538</f>
        <v>-0.35</v>
      </c>
      <c r="G538" s="0" t="n">
        <f aca="false">D538</f>
        <v>-1</v>
      </c>
      <c r="H538" s="0" t="n">
        <f aca="false">C538*D538</f>
        <v>0.35</v>
      </c>
      <c r="I538" s="0" t="n">
        <f aca="false">C538*C538</f>
        <v>0.1225</v>
      </c>
      <c r="J538" s="0" t="n">
        <f aca="false">D538*D538</f>
        <v>1</v>
      </c>
      <c r="K538" s="0" t="n">
        <f aca="false">SUMPRODUCT(E538:J538,_XtX!$B$53:$G$53)</f>
        <v>43.3689554597701</v>
      </c>
      <c r="L538" s="0" t="n">
        <f aca="false">SUMPRODUCT(MMULT(E538:J538,_XtX!$B$44:$G$49),E538:J538)</f>
        <v>0.491589906609195</v>
      </c>
      <c r="M538" s="0" t="n">
        <f aca="false">04_回帰ANOVA!$K$19*04_回帰ANOVA!$K$14*SQRT(1+L538)</f>
        <v>1.65501254570079</v>
      </c>
      <c r="N538" s="0" t="n">
        <f aca="false">K538-M538</f>
        <v>41.7139429140693</v>
      </c>
      <c r="O538" s="0" t="n">
        <f aca="false">K538+M538</f>
        <v>45.0239680054709</v>
      </c>
      <c r="P538" s="54" t="b">
        <f aca="false">AND(C538&gt;=01_因子設定!$L$5-0.000000001,C538&lt;=01_因子設定!$M$5+0.000000001,D538&gt;=01_因子設定!$L$6-0.000000001,D538&lt;=01_因子設定!$M$6+0.000000001,IF(01_因子設定!$B$20="Box-Behnken",C538^2+D538^2&lt;=2+0.000000001,TRUE()))</f>
        <v>1</v>
      </c>
      <c r="Q538" s="55" t="n">
        <f aca="false">IF(P538,IF(01_因子設定!$B$13="最大化",N538-01_因子設定!$B$14,IF(01_因子設定!$B$13="最小化",01_因子設定!$B$15-O538,MIN(N538-01_因子設定!$B$14,01_因子設定!$B$15-O538))),-1E+030)</f>
        <v>-4.78605708593067</v>
      </c>
      <c r="R538" s="55" t="n">
        <f aca="false">IF(P538,IF(01_因子設定!$B$13="最大化",K538,IF(01_因子設定!$B$13="最小化",-K538,-ABS(K538-01_因子設定!$B$16))),-1E+030)</f>
        <v>43.3689554597701</v>
      </c>
      <c r="S538" s="55" t="n">
        <f aca="false">Q538+ROW()*0.000000001</f>
        <v>-4.78605654793067</v>
      </c>
      <c r="T538" s="55" t="n">
        <f aca="false">R538+ROW()*0.000000001</f>
        <v>43.3689559977701</v>
      </c>
    </row>
    <row r="539" customFormat="false" ht="15" hidden="false" customHeight="false" outlineLevel="0" collapsed="false">
      <c r="A539" s="0" t="n">
        <v>13</v>
      </c>
      <c r="B539" s="0" t="n">
        <v>1</v>
      </c>
      <c r="C539" s="0" t="n">
        <f aca="false">-1+A539*0.05</f>
        <v>-0.35</v>
      </c>
      <c r="D539" s="0" t="n">
        <f aca="false">-1+B539*0.05</f>
        <v>-0.95</v>
      </c>
      <c r="E539" s="0" t="n">
        <f aca="false">1</f>
        <v>1</v>
      </c>
      <c r="F539" s="0" t="n">
        <f aca="false">C539</f>
        <v>-0.35</v>
      </c>
      <c r="G539" s="0" t="n">
        <f aca="false">D539</f>
        <v>-0.95</v>
      </c>
      <c r="H539" s="0" t="n">
        <f aca="false">C539*D539</f>
        <v>0.3325</v>
      </c>
      <c r="I539" s="0" t="n">
        <f aca="false">C539*C539</f>
        <v>0.1225</v>
      </c>
      <c r="J539" s="0" t="n">
        <f aca="false">D539*D539</f>
        <v>0.9025</v>
      </c>
      <c r="K539" s="0" t="n">
        <f aca="false">SUMPRODUCT(E539:J539,_XtX!$B$53:$G$53)</f>
        <v>43.622720545977</v>
      </c>
      <c r="L539" s="0" t="n">
        <f aca="false">SUMPRODUCT(MMULT(E539:J539,_XtX!$B$44:$G$49),E539:J539)</f>
        <v>0.428659680316092</v>
      </c>
      <c r="M539" s="0" t="n">
        <f aca="false">04_回帰ANOVA!$K$19*04_回帰ANOVA!$K$14*SQRT(1+L539)</f>
        <v>1.6197238101874</v>
      </c>
      <c r="N539" s="0" t="n">
        <f aca="false">K539-M539</f>
        <v>42.0029967357896</v>
      </c>
      <c r="O539" s="0" t="n">
        <f aca="false">K539+M539</f>
        <v>45.2424443561644</v>
      </c>
      <c r="P539" s="54" t="b">
        <f aca="false">AND(C539&gt;=01_因子設定!$L$5-0.000000001,C539&lt;=01_因子設定!$M$5+0.000000001,D539&gt;=01_因子設定!$L$6-0.000000001,D539&lt;=01_因子設定!$M$6+0.000000001,IF(01_因子設定!$B$20="Box-Behnken",C539^2+D539^2&lt;=2+0.000000001,TRUE()))</f>
        <v>1</v>
      </c>
      <c r="Q539" s="55" t="n">
        <f aca="false">IF(P539,IF(01_因子設定!$B$13="最大化",N539-01_因子設定!$B$14,IF(01_因子設定!$B$13="最小化",01_因子設定!$B$15-O539,MIN(N539-01_因子設定!$B$14,01_因子設定!$B$15-O539))),-1E+030)</f>
        <v>-4.49700326421039</v>
      </c>
      <c r="R539" s="55" t="n">
        <f aca="false">IF(P539,IF(01_因子設定!$B$13="最大化",K539,IF(01_因子設定!$B$13="最小化",-K539,-ABS(K539-01_因子設定!$B$16))),-1E+030)</f>
        <v>43.622720545977</v>
      </c>
      <c r="S539" s="55" t="n">
        <f aca="false">Q539+ROW()*0.000000001</f>
        <v>-4.49700272521039</v>
      </c>
      <c r="T539" s="55" t="n">
        <f aca="false">R539+ROW()*0.000000001</f>
        <v>43.622721084977</v>
      </c>
    </row>
    <row r="540" customFormat="false" ht="15" hidden="false" customHeight="false" outlineLevel="0" collapsed="false">
      <c r="A540" s="0" t="n">
        <v>13</v>
      </c>
      <c r="B540" s="0" t="n">
        <v>2</v>
      </c>
      <c r="C540" s="0" t="n">
        <f aca="false">-1+A540*0.05</f>
        <v>-0.35</v>
      </c>
      <c r="D540" s="0" t="n">
        <f aca="false">-1+B540*0.05</f>
        <v>-0.9</v>
      </c>
      <c r="E540" s="0" t="n">
        <f aca="false">1</f>
        <v>1</v>
      </c>
      <c r="F540" s="0" t="n">
        <f aca="false">C540</f>
        <v>-0.35</v>
      </c>
      <c r="G540" s="0" t="n">
        <f aca="false">D540</f>
        <v>-0.9</v>
      </c>
      <c r="H540" s="0" t="n">
        <f aca="false">C540*D540</f>
        <v>0.315</v>
      </c>
      <c r="I540" s="0" t="n">
        <f aca="false">C540*C540</f>
        <v>0.1225</v>
      </c>
      <c r="J540" s="0" t="n">
        <f aca="false">D540*D540</f>
        <v>0.81</v>
      </c>
      <c r="K540" s="0" t="n">
        <f aca="false">SUMPRODUCT(E540:J540,_XtX!$B$53:$G$53)</f>
        <v>43.8687701149425</v>
      </c>
      <c r="L540" s="0" t="n">
        <f aca="false">SUMPRODUCT(MMULT(E540:J540,_XtX!$B$44:$G$49),E540:J540)</f>
        <v>0.375320007183908</v>
      </c>
      <c r="M540" s="0" t="n">
        <f aca="false">04_回帰ANOVA!$K$19*04_回帰ANOVA!$K$14*SQRT(1+L540)</f>
        <v>1.58919962074651</v>
      </c>
      <c r="N540" s="0" t="n">
        <f aca="false">K540-M540</f>
        <v>42.279570494196</v>
      </c>
      <c r="O540" s="0" t="n">
        <f aca="false">K540+M540</f>
        <v>45.457969735689</v>
      </c>
      <c r="P540" s="54" t="b">
        <f aca="false">AND(C540&gt;=01_因子設定!$L$5-0.000000001,C540&lt;=01_因子設定!$M$5+0.000000001,D540&gt;=01_因子設定!$L$6-0.000000001,D540&lt;=01_因子設定!$M$6+0.000000001,IF(01_因子設定!$B$20="Box-Behnken",C540^2+D540^2&lt;=2+0.000000001,TRUE()))</f>
        <v>1</v>
      </c>
      <c r="Q540" s="55" t="n">
        <f aca="false">IF(P540,IF(01_因子設定!$B$13="最大化",N540-01_因子設定!$B$14,IF(01_因子設定!$B$13="最小化",01_因子設定!$B$15-O540,MIN(N540-01_因子設定!$B$14,01_因子設定!$B$15-O540))),-1E+030)</f>
        <v>-4.22042950580398</v>
      </c>
      <c r="R540" s="55" t="n">
        <f aca="false">IF(P540,IF(01_因子設定!$B$13="最大化",K540,IF(01_因子設定!$B$13="最小化",-K540,-ABS(K540-01_因子設定!$B$16))),-1E+030)</f>
        <v>43.8687701149425</v>
      </c>
      <c r="S540" s="55" t="n">
        <f aca="false">Q540+ROW()*0.000000001</f>
        <v>-4.22042896580398</v>
      </c>
      <c r="T540" s="55" t="n">
        <f aca="false">R540+ROW()*0.000000001</f>
        <v>43.8687706549425</v>
      </c>
    </row>
    <row r="541" customFormat="false" ht="15" hidden="false" customHeight="false" outlineLevel="0" collapsed="false">
      <c r="A541" s="0" t="n">
        <v>13</v>
      </c>
      <c r="B541" s="0" t="n">
        <v>3</v>
      </c>
      <c r="C541" s="0" t="n">
        <f aca="false">-1+A541*0.05</f>
        <v>-0.35</v>
      </c>
      <c r="D541" s="0" t="n">
        <f aca="false">-1+B541*0.05</f>
        <v>-0.85</v>
      </c>
      <c r="E541" s="0" t="n">
        <f aca="false">1</f>
        <v>1</v>
      </c>
      <c r="F541" s="0" t="n">
        <f aca="false">C541</f>
        <v>-0.35</v>
      </c>
      <c r="G541" s="0" t="n">
        <f aca="false">D541</f>
        <v>-0.85</v>
      </c>
      <c r="H541" s="0" t="n">
        <f aca="false">C541*D541</f>
        <v>0.2975</v>
      </c>
      <c r="I541" s="0" t="n">
        <f aca="false">C541*C541</f>
        <v>0.1225</v>
      </c>
      <c r="J541" s="0" t="n">
        <f aca="false">D541*D541</f>
        <v>0.7225</v>
      </c>
      <c r="K541" s="0" t="n">
        <f aca="false">SUMPRODUCT(E541:J541,_XtX!$B$53:$G$53)</f>
        <v>44.1071041666667</v>
      </c>
      <c r="L541" s="0" t="n">
        <f aca="false">SUMPRODUCT(MMULT(E541:J541,_XtX!$B$44:$G$49),E541:J541)</f>
        <v>0.330566145833333</v>
      </c>
      <c r="M541" s="0" t="n">
        <f aca="false">04_回帰ANOVA!$K$19*04_回帰ANOVA!$K$14*SQRT(1+L541)</f>
        <v>1.5631289515927</v>
      </c>
      <c r="N541" s="0" t="n">
        <f aca="false">K541-M541</f>
        <v>42.543975215074</v>
      </c>
      <c r="O541" s="0" t="n">
        <f aca="false">K541+M541</f>
        <v>45.6702331182594</v>
      </c>
      <c r="P541" s="54" t="b">
        <f aca="false">AND(C541&gt;=01_因子設定!$L$5-0.000000001,C541&lt;=01_因子設定!$M$5+0.000000001,D541&gt;=01_因子設定!$L$6-0.000000001,D541&lt;=01_因子設定!$M$6+0.000000001,IF(01_因子設定!$B$20="Box-Behnken",C541^2+D541^2&lt;=2+0.000000001,TRUE()))</f>
        <v>1</v>
      </c>
      <c r="Q541" s="55" t="n">
        <f aca="false">IF(P541,IF(01_因子設定!$B$13="最大化",N541-01_因子設定!$B$14,IF(01_因子設定!$B$13="最小化",01_因子設定!$B$15-O541,MIN(N541-01_因子設定!$B$14,01_因子設定!$B$15-O541))),-1E+030)</f>
        <v>-3.95602478492603</v>
      </c>
      <c r="R541" s="55" t="n">
        <f aca="false">IF(P541,IF(01_因子設定!$B$13="最大化",K541,IF(01_因子設定!$B$13="最小化",-K541,-ABS(K541-01_因子設定!$B$16))),-1E+030)</f>
        <v>44.1071041666667</v>
      </c>
      <c r="S541" s="55" t="n">
        <f aca="false">Q541+ROW()*0.000000001</f>
        <v>-3.95602424392603</v>
      </c>
      <c r="T541" s="55" t="n">
        <f aca="false">R541+ROW()*0.000000001</f>
        <v>44.1071047076667</v>
      </c>
    </row>
    <row r="542" customFormat="false" ht="15" hidden="false" customHeight="false" outlineLevel="0" collapsed="false">
      <c r="A542" s="0" t="n">
        <v>13</v>
      </c>
      <c r="B542" s="0" t="n">
        <v>4</v>
      </c>
      <c r="C542" s="0" t="n">
        <f aca="false">-1+A542*0.05</f>
        <v>-0.35</v>
      </c>
      <c r="D542" s="0" t="n">
        <f aca="false">-1+B542*0.05</f>
        <v>-0.8</v>
      </c>
      <c r="E542" s="0" t="n">
        <f aca="false">1</f>
        <v>1</v>
      </c>
      <c r="F542" s="0" t="n">
        <f aca="false">C542</f>
        <v>-0.35</v>
      </c>
      <c r="G542" s="0" t="n">
        <f aca="false">D542</f>
        <v>-0.8</v>
      </c>
      <c r="H542" s="0" t="n">
        <f aca="false">C542*D542</f>
        <v>0.28</v>
      </c>
      <c r="I542" s="0" t="n">
        <f aca="false">C542*C542</f>
        <v>0.1225</v>
      </c>
      <c r="J542" s="0" t="n">
        <f aca="false">D542*D542</f>
        <v>0.64</v>
      </c>
      <c r="K542" s="0" t="n">
        <f aca="false">SUMPRODUCT(E542:J542,_XtX!$B$53:$G$53)</f>
        <v>44.3377227011494</v>
      </c>
      <c r="L542" s="0" t="n">
        <f aca="false">SUMPRODUCT(MMULT(E542:J542,_XtX!$B$44:$G$49),E542:J542)</f>
        <v>0.293447665229885</v>
      </c>
      <c r="M542" s="0" t="n">
        <f aca="false">04_回帰ANOVA!$K$19*04_回帰ANOVA!$K$14*SQRT(1+L542)</f>
        <v>1.54117161949579</v>
      </c>
      <c r="N542" s="0" t="n">
        <f aca="false">K542-M542</f>
        <v>42.7965510816536</v>
      </c>
      <c r="O542" s="0" t="n">
        <f aca="false">K542+M542</f>
        <v>45.8788943206452</v>
      </c>
      <c r="P542" s="54" t="b">
        <f aca="false">AND(C542&gt;=01_因子設定!$L$5-0.000000001,C542&lt;=01_因子設定!$M$5+0.000000001,D542&gt;=01_因子設定!$L$6-0.000000001,D542&lt;=01_因子設定!$M$6+0.000000001,IF(01_因子設定!$B$20="Box-Behnken",C542^2+D542^2&lt;=2+0.000000001,TRUE()))</f>
        <v>1</v>
      </c>
      <c r="Q542" s="55" t="n">
        <f aca="false">IF(P542,IF(01_因子設定!$B$13="最大化",N542-01_因子設定!$B$14,IF(01_因子設定!$B$13="最小化",01_因子設定!$B$15-O542,MIN(N542-01_因子設定!$B$14,01_因子設定!$B$15-O542))),-1E+030)</f>
        <v>-3.70344891834637</v>
      </c>
      <c r="R542" s="55" t="n">
        <f aca="false">IF(P542,IF(01_因子設定!$B$13="最大化",K542,IF(01_因子設定!$B$13="最小化",-K542,-ABS(K542-01_因子設定!$B$16))),-1E+030)</f>
        <v>44.3377227011494</v>
      </c>
      <c r="S542" s="55" t="n">
        <f aca="false">Q542+ROW()*0.000000001</f>
        <v>-3.70344837634637</v>
      </c>
      <c r="T542" s="55" t="n">
        <f aca="false">R542+ROW()*0.000000001</f>
        <v>44.3377232431494</v>
      </c>
    </row>
    <row r="543" customFormat="false" ht="15" hidden="false" customHeight="false" outlineLevel="0" collapsed="false">
      <c r="A543" s="0" t="n">
        <v>13</v>
      </c>
      <c r="B543" s="0" t="n">
        <v>5</v>
      </c>
      <c r="C543" s="0" t="n">
        <f aca="false">-1+A543*0.05</f>
        <v>-0.35</v>
      </c>
      <c r="D543" s="0" t="n">
        <f aca="false">-1+B543*0.05</f>
        <v>-0.75</v>
      </c>
      <c r="E543" s="0" t="n">
        <f aca="false">1</f>
        <v>1</v>
      </c>
      <c r="F543" s="0" t="n">
        <f aca="false">C543</f>
        <v>-0.35</v>
      </c>
      <c r="G543" s="0" t="n">
        <f aca="false">D543</f>
        <v>-0.75</v>
      </c>
      <c r="H543" s="0" t="n">
        <f aca="false">C543*D543</f>
        <v>0.2625</v>
      </c>
      <c r="I543" s="0" t="n">
        <f aca="false">C543*C543</f>
        <v>0.1225</v>
      </c>
      <c r="J543" s="0" t="n">
        <f aca="false">D543*D543</f>
        <v>0.5625</v>
      </c>
      <c r="K543" s="0" t="n">
        <f aca="false">SUMPRODUCT(E543:J543,_XtX!$B$53:$G$53)</f>
        <v>44.5606257183908</v>
      </c>
      <c r="L543" s="0" t="n">
        <f aca="false">SUMPRODUCT(MMULT(E543:J543,_XtX!$B$44:$G$49),E543:J543)</f>
        <v>0.263068444683908</v>
      </c>
      <c r="M543" s="0" t="n">
        <f aca="false">04_回帰ANOVA!$K$19*04_回帰ANOVA!$K$14*SQRT(1+L543)</f>
        <v>1.52296532344599</v>
      </c>
      <c r="N543" s="0" t="n">
        <f aca="false">K543-M543</f>
        <v>43.0376603949448</v>
      </c>
      <c r="O543" s="0" t="n">
        <f aca="false">K543+M543</f>
        <v>46.0835910418368</v>
      </c>
      <c r="P543" s="54" t="b">
        <f aca="false">AND(C543&gt;=01_因子設定!$L$5-0.000000001,C543&lt;=01_因子設定!$M$5+0.000000001,D543&gt;=01_因子設定!$L$6-0.000000001,D543&lt;=01_因子設定!$M$6+0.000000001,IF(01_因子設定!$B$20="Box-Behnken",C543^2+D543^2&lt;=2+0.000000001,TRUE()))</f>
        <v>1</v>
      </c>
      <c r="Q543" s="55" t="n">
        <f aca="false">IF(P543,IF(01_因子設定!$B$13="最大化",N543-01_因子設定!$B$14,IF(01_因子設定!$B$13="最小化",01_因子設定!$B$15-O543,MIN(N543-01_因子設定!$B$14,01_因子設定!$B$15-O543))),-1E+030)</f>
        <v>-3.46233960505518</v>
      </c>
      <c r="R543" s="55" t="n">
        <f aca="false">IF(P543,IF(01_因子設定!$B$13="最大化",K543,IF(01_因子設定!$B$13="最小化",-K543,-ABS(K543-01_因子設定!$B$16))),-1E+030)</f>
        <v>44.5606257183908</v>
      </c>
      <c r="S543" s="55" t="n">
        <f aca="false">Q543+ROW()*0.000000001</f>
        <v>-3.46233906205518</v>
      </c>
      <c r="T543" s="55" t="n">
        <f aca="false">R543+ROW()*0.000000001</f>
        <v>44.5606262613908</v>
      </c>
    </row>
    <row r="544" customFormat="false" ht="15" hidden="false" customHeight="false" outlineLevel="0" collapsed="false">
      <c r="A544" s="0" t="n">
        <v>13</v>
      </c>
      <c r="B544" s="0" t="n">
        <v>6</v>
      </c>
      <c r="C544" s="0" t="n">
        <f aca="false">-1+A544*0.05</f>
        <v>-0.35</v>
      </c>
      <c r="D544" s="0" t="n">
        <f aca="false">-1+B544*0.05</f>
        <v>-0.7</v>
      </c>
      <c r="E544" s="0" t="n">
        <f aca="false">1</f>
        <v>1</v>
      </c>
      <c r="F544" s="0" t="n">
        <f aca="false">C544</f>
        <v>-0.35</v>
      </c>
      <c r="G544" s="0" t="n">
        <f aca="false">D544</f>
        <v>-0.7</v>
      </c>
      <c r="H544" s="0" t="n">
        <f aca="false">C544*D544</f>
        <v>0.245</v>
      </c>
      <c r="I544" s="0" t="n">
        <f aca="false">C544*C544</f>
        <v>0.1225</v>
      </c>
      <c r="J544" s="0" t="n">
        <f aca="false">D544*D544</f>
        <v>0.49</v>
      </c>
      <c r="K544" s="0" t="n">
        <f aca="false">SUMPRODUCT(E544:J544,_XtX!$B$53:$G$53)</f>
        <v>44.7758132183908</v>
      </c>
      <c r="L544" s="0" t="n">
        <f aca="false">SUMPRODUCT(MMULT(E544:J544,_XtX!$B$44:$G$49),E544:J544)</f>
        <v>0.238586673850575</v>
      </c>
      <c r="M544" s="0" t="n">
        <f aca="false">04_回帰ANOVA!$K$19*04_回帰ANOVA!$K$14*SQRT(1+L544)</f>
        <v>1.50813345435958</v>
      </c>
      <c r="N544" s="0" t="n">
        <f aca="false">K544-M544</f>
        <v>43.2676797640312</v>
      </c>
      <c r="O544" s="0" t="n">
        <f aca="false">K544+M544</f>
        <v>46.2839466727504</v>
      </c>
      <c r="P544" s="54" t="b">
        <f aca="false">AND(C544&gt;=01_因子設定!$L$5-0.000000001,C544&lt;=01_因子設定!$M$5+0.000000001,D544&gt;=01_因子設定!$L$6-0.000000001,D544&lt;=01_因子設定!$M$6+0.000000001,IF(01_因子設定!$B$20="Box-Behnken",C544^2+D544^2&lt;=2+0.000000001,TRUE()))</f>
        <v>1</v>
      </c>
      <c r="Q544" s="55" t="n">
        <f aca="false">IF(P544,IF(01_因子設定!$B$13="最大化",N544-01_因子設定!$B$14,IF(01_因子設定!$B$13="最小化",01_因子設定!$B$15-O544,MIN(N544-01_因子設定!$B$14,01_因子設定!$B$15-O544))),-1E+030)</f>
        <v>-3.23232023596877</v>
      </c>
      <c r="R544" s="55" t="n">
        <f aca="false">IF(P544,IF(01_因子設定!$B$13="最大化",K544,IF(01_因子設定!$B$13="最小化",-K544,-ABS(K544-01_因子設定!$B$16))),-1E+030)</f>
        <v>44.7758132183908</v>
      </c>
      <c r="S544" s="55" t="n">
        <f aca="false">Q544+ROW()*0.000000001</f>
        <v>-3.23231969196877</v>
      </c>
      <c r="T544" s="55" t="n">
        <f aca="false">R544+ROW()*0.000000001</f>
        <v>44.7758137623908</v>
      </c>
    </row>
    <row r="545" customFormat="false" ht="15" hidden="false" customHeight="false" outlineLevel="0" collapsed="false">
      <c r="A545" s="0" t="n">
        <v>13</v>
      </c>
      <c r="B545" s="0" t="n">
        <v>7</v>
      </c>
      <c r="C545" s="0" t="n">
        <f aca="false">-1+A545*0.05</f>
        <v>-0.35</v>
      </c>
      <c r="D545" s="0" t="n">
        <f aca="false">-1+B545*0.05</f>
        <v>-0.65</v>
      </c>
      <c r="E545" s="0" t="n">
        <f aca="false">1</f>
        <v>1</v>
      </c>
      <c r="F545" s="0" t="n">
        <f aca="false">C545</f>
        <v>-0.35</v>
      </c>
      <c r="G545" s="0" t="n">
        <f aca="false">D545</f>
        <v>-0.65</v>
      </c>
      <c r="H545" s="0" t="n">
        <f aca="false">C545*D545</f>
        <v>0.2275</v>
      </c>
      <c r="I545" s="0" t="n">
        <f aca="false">C545*C545</f>
        <v>0.1225</v>
      </c>
      <c r="J545" s="0" t="n">
        <f aca="false">D545*D545</f>
        <v>0.4225</v>
      </c>
      <c r="K545" s="0" t="n">
        <f aca="false">SUMPRODUCT(E545:J545,_XtX!$B$53:$G$53)</f>
        <v>44.9832852011494</v>
      </c>
      <c r="L545" s="0" t="n">
        <f aca="false">SUMPRODUCT(MMULT(E545:J545,_XtX!$B$44:$G$49),E545:J545)</f>
        <v>0.219214852729885</v>
      </c>
      <c r="M545" s="0" t="n">
        <f aca="false">04_回帰ANOVA!$K$19*04_回帰ANOVA!$K$14*SQRT(1+L545)</f>
        <v>1.49629317382676</v>
      </c>
      <c r="N545" s="0" t="n">
        <f aca="false">K545-M545</f>
        <v>43.4869920273227</v>
      </c>
      <c r="O545" s="0" t="n">
        <f aca="false">K545+M545</f>
        <v>46.4795783749762</v>
      </c>
      <c r="P545" s="54" t="b">
        <f aca="false">AND(C545&gt;=01_因子設定!$L$5-0.000000001,C545&lt;=01_因子設定!$M$5+0.000000001,D545&gt;=01_因子設定!$L$6-0.000000001,D545&lt;=01_因子設定!$M$6+0.000000001,IF(01_因子設定!$B$20="Box-Behnken",C545^2+D545^2&lt;=2+0.000000001,TRUE()))</f>
        <v>1</v>
      </c>
      <c r="Q545" s="55" t="n">
        <f aca="false">IF(P545,IF(01_因子設定!$B$13="最大化",N545-01_因子設定!$B$14,IF(01_因子設定!$B$13="最小化",01_因子設定!$B$15-O545,MIN(N545-01_因子設定!$B$14,01_因子設定!$B$15-O545))),-1E+030)</f>
        <v>-3.01300797267734</v>
      </c>
      <c r="R545" s="55" t="n">
        <f aca="false">IF(P545,IF(01_因子設定!$B$13="最大化",K545,IF(01_因子設定!$B$13="最小化",-K545,-ABS(K545-01_因子設定!$B$16))),-1E+030)</f>
        <v>44.9832852011494</v>
      </c>
      <c r="S545" s="55" t="n">
        <f aca="false">Q545+ROW()*0.000000001</f>
        <v>-3.01300742767734</v>
      </c>
      <c r="T545" s="55" t="n">
        <f aca="false">R545+ROW()*0.000000001</f>
        <v>44.9832857461494</v>
      </c>
    </row>
    <row r="546" customFormat="false" ht="15" hidden="false" customHeight="false" outlineLevel="0" collapsed="false">
      <c r="A546" s="0" t="n">
        <v>13</v>
      </c>
      <c r="B546" s="0" t="n">
        <v>8</v>
      </c>
      <c r="C546" s="0" t="n">
        <f aca="false">-1+A546*0.05</f>
        <v>-0.35</v>
      </c>
      <c r="D546" s="0" t="n">
        <f aca="false">-1+B546*0.05</f>
        <v>-0.6</v>
      </c>
      <c r="E546" s="0" t="n">
        <f aca="false">1</f>
        <v>1</v>
      </c>
      <c r="F546" s="0" t="n">
        <f aca="false">C546</f>
        <v>-0.35</v>
      </c>
      <c r="G546" s="0" t="n">
        <f aca="false">D546</f>
        <v>-0.6</v>
      </c>
      <c r="H546" s="0" t="n">
        <f aca="false">C546*D546</f>
        <v>0.21</v>
      </c>
      <c r="I546" s="0" t="n">
        <f aca="false">C546*C546</f>
        <v>0.1225</v>
      </c>
      <c r="J546" s="0" t="n">
        <f aca="false">D546*D546</f>
        <v>0.36</v>
      </c>
      <c r="K546" s="0" t="n">
        <f aca="false">SUMPRODUCT(E546:J546,_XtX!$B$53:$G$53)</f>
        <v>45.1830416666667</v>
      </c>
      <c r="L546" s="0" t="n">
        <f aca="false">SUMPRODUCT(MMULT(E546:J546,_XtX!$B$44:$G$49),E546:J546)</f>
        <v>0.204219791666667</v>
      </c>
      <c r="M546" s="0" t="n">
        <f aca="false">04_回帰ANOVA!$K$19*04_回帰ANOVA!$K$14*SQRT(1+L546)</f>
        <v>1.48706328998387</v>
      </c>
      <c r="N546" s="0" t="n">
        <f aca="false">K546-M546</f>
        <v>43.6959783766828</v>
      </c>
      <c r="O546" s="0" t="n">
        <f aca="false">K546+M546</f>
        <v>46.6701049566505</v>
      </c>
      <c r="P546" s="54" t="b">
        <f aca="false">AND(C546&gt;=01_因子設定!$L$5-0.000000001,C546&lt;=01_因子設定!$M$5+0.000000001,D546&gt;=01_因子設定!$L$6-0.000000001,D546&lt;=01_因子設定!$M$6+0.000000001,IF(01_因子設定!$B$20="Box-Behnken",C546^2+D546^2&lt;=2+0.000000001,TRUE()))</f>
        <v>1</v>
      </c>
      <c r="Q546" s="55" t="n">
        <f aca="false">IF(P546,IF(01_因子設定!$B$13="最大化",N546-01_因子設定!$B$14,IF(01_因子設定!$B$13="最小化",01_因子設定!$B$15-O546,MIN(N546-01_因子設定!$B$14,01_因子設定!$B$15-O546))),-1E+030)</f>
        <v>-2.8040216233172</v>
      </c>
      <c r="R546" s="55" t="n">
        <f aca="false">IF(P546,IF(01_因子設定!$B$13="最大化",K546,IF(01_因子設定!$B$13="最小化",-K546,-ABS(K546-01_因子設定!$B$16))),-1E+030)</f>
        <v>45.1830416666667</v>
      </c>
      <c r="S546" s="55" t="n">
        <f aca="false">Q546+ROW()*0.000000001</f>
        <v>-2.8040210773172</v>
      </c>
      <c r="T546" s="55" t="n">
        <f aca="false">R546+ROW()*0.000000001</f>
        <v>45.1830422126667</v>
      </c>
    </row>
    <row r="547" customFormat="false" ht="15" hidden="false" customHeight="false" outlineLevel="0" collapsed="false">
      <c r="A547" s="0" t="n">
        <v>13</v>
      </c>
      <c r="B547" s="0" t="n">
        <v>9</v>
      </c>
      <c r="C547" s="0" t="n">
        <f aca="false">-1+A547*0.05</f>
        <v>-0.35</v>
      </c>
      <c r="D547" s="0" t="n">
        <f aca="false">-1+B547*0.05</f>
        <v>-0.55</v>
      </c>
      <c r="E547" s="0" t="n">
        <f aca="false">1</f>
        <v>1</v>
      </c>
      <c r="F547" s="0" t="n">
        <f aca="false">C547</f>
        <v>-0.35</v>
      </c>
      <c r="G547" s="0" t="n">
        <f aca="false">D547</f>
        <v>-0.55</v>
      </c>
      <c r="H547" s="0" t="n">
        <f aca="false">C547*D547</f>
        <v>0.1925</v>
      </c>
      <c r="I547" s="0" t="n">
        <f aca="false">C547*C547</f>
        <v>0.1225</v>
      </c>
      <c r="J547" s="0" t="n">
        <f aca="false">D547*D547</f>
        <v>0.3025</v>
      </c>
      <c r="K547" s="0" t="n">
        <f aca="false">SUMPRODUCT(E547:J547,_XtX!$B$53:$G$53)</f>
        <v>45.3750826149425</v>
      </c>
      <c r="L547" s="0" t="n">
        <f aca="false">SUMPRODUCT(MMULT(E547:J547,_XtX!$B$44:$G$49),E547:J547)</f>
        <v>0.192922611350575</v>
      </c>
      <c r="M547" s="0" t="n">
        <f aca="false">04_回帰ANOVA!$K$19*04_回帰ANOVA!$K$14*SQRT(1+L547)</f>
        <v>1.48007153945768</v>
      </c>
      <c r="N547" s="0" t="n">
        <f aca="false">K547-M547</f>
        <v>43.8950110754849</v>
      </c>
      <c r="O547" s="0" t="n">
        <f aca="false">K547+M547</f>
        <v>46.8551541544002</v>
      </c>
      <c r="P547" s="54" t="b">
        <f aca="false">AND(C547&gt;=01_因子設定!$L$5-0.000000001,C547&lt;=01_因子設定!$M$5+0.000000001,D547&gt;=01_因子設定!$L$6-0.000000001,D547&lt;=01_因子設定!$M$6+0.000000001,IF(01_因子設定!$B$20="Box-Behnken",C547^2+D547^2&lt;=2+0.000000001,TRUE()))</f>
        <v>1</v>
      </c>
      <c r="Q547" s="55" t="n">
        <f aca="false">IF(P547,IF(01_因子設定!$B$13="最大化",N547-01_因子設定!$B$14,IF(01_因子設定!$B$13="最小化",01_因子設定!$B$15-O547,MIN(N547-01_因子設定!$B$14,01_因子設定!$B$15-O547))),-1E+030)</f>
        <v>-2.60498892451515</v>
      </c>
      <c r="R547" s="55" t="n">
        <f aca="false">IF(P547,IF(01_因子設定!$B$13="最大化",K547,IF(01_因子設定!$B$13="最小化",-K547,-ABS(K547-01_因子設定!$B$16))),-1E+030)</f>
        <v>45.3750826149425</v>
      </c>
      <c r="S547" s="55" t="n">
        <f aca="false">Q547+ROW()*0.000000001</f>
        <v>-2.60498837751515</v>
      </c>
      <c r="T547" s="55" t="n">
        <f aca="false">R547+ROW()*0.000000001</f>
        <v>45.3750831619425</v>
      </c>
    </row>
    <row r="548" customFormat="false" ht="15" hidden="false" customHeight="false" outlineLevel="0" collapsed="false">
      <c r="A548" s="0" t="n">
        <v>13</v>
      </c>
      <c r="B548" s="0" t="n">
        <v>10</v>
      </c>
      <c r="C548" s="0" t="n">
        <f aca="false">-1+A548*0.05</f>
        <v>-0.35</v>
      </c>
      <c r="D548" s="0" t="n">
        <f aca="false">-1+B548*0.05</f>
        <v>-0.5</v>
      </c>
      <c r="E548" s="0" t="n">
        <f aca="false">1</f>
        <v>1</v>
      </c>
      <c r="F548" s="0" t="n">
        <f aca="false">C548</f>
        <v>-0.35</v>
      </c>
      <c r="G548" s="0" t="n">
        <f aca="false">D548</f>
        <v>-0.5</v>
      </c>
      <c r="H548" s="0" t="n">
        <f aca="false">C548*D548</f>
        <v>0.175</v>
      </c>
      <c r="I548" s="0" t="n">
        <f aca="false">C548*C548</f>
        <v>0.1225</v>
      </c>
      <c r="J548" s="0" t="n">
        <f aca="false">D548*D548</f>
        <v>0.25</v>
      </c>
      <c r="K548" s="0" t="n">
        <f aca="false">SUMPRODUCT(E548:J548,_XtX!$B$53:$G$53)</f>
        <v>45.559408045977</v>
      </c>
      <c r="L548" s="0" t="n">
        <f aca="false">SUMPRODUCT(MMULT(E548:J548,_XtX!$B$44:$G$49),E548:J548)</f>
        <v>0.184698742816092</v>
      </c>
      <c r="M548" s="0" t="n">
        <f aca="false">04_回帰ANOVA!$K$19*04_回帰ANOVA!$K$14*SQRT(1+L548)</f>
        <v>1.47496099657531</v>
      </c>
      <c r="N548" s="0" t="n">
        <f aca="false">K548-M548</f>
        <v>44.0844470494017</v>
      </c>
      <c r="O548" s="0" t="n">
        <f aca="false">K548+M548</f>
        <v>47.0343690425523</v>
      </c>
      <c r="P548" s="54" t="b">
        <f aca="false">AND(C548&gt;=01_因子設定!$L$5-0.000000001,C548&lt;=01_因子設定!$M$5+0.000000001,D548&gt;=01_因子設定!$L$6-0.000000001,D548&lt;=01_因子設定!$M$6+0.000000001,IF(01_因子設定!$B$20="Box-Behnken",C548^2+D548^2&lt;=2+0.000000001,TRUE()))</f>
        <v>1</v>
      </c>
      <c r="Q548" s="55" t="n">
        <f aca="false">IF(P548,IF(01_因子設定!$B$13="最大化",N548-01_因子設定!$B$14,IF(01_因子設定!$B$13="最小化",01_因子設定!$B$15-O548,MIN(N548-01_因子設定!$B$14,01_因子設定!$B$15-O548))),-1E+030)</f>
        <v>-2.4155529505983</v>
      </c>
      <c r="R548" s="55" t="n">
        <f aca="false">IF(P548,IF(01_因子設定!$B$13="最大化",K548,IF(01_因子設定!$B$13="最小化",-K548,-ABS(K548-01_因子設定!$B$16))),-1E+030)</f>
        <v>45.559408045977</v>
      </c>
      <c r="S548" s="55" t="n">
        <f aca="false">Q548+ROW()*0.000000001</f>
        <v>-2.4155524025983</v>
      </c>
      <c r="T548" s="55" t="n">
        <f aca="false">R548+ROW()*0.000000001</f>
        <v>45.559408593977</v>
      </c>
    </row>
    <row r="549" customFormat="false" ht="15" hidden="false" customHeight="false" outlineLevel="0" collapsed="false">
      <c r="A549" s="0" t="n">
        <v>13</v>
      </c>
      <c r="B549" s="0" t="n">
        <v>11</v>
      </c>
      <c r="C549" s="0" t="n">
        <f aca="false">-1+A549*0.05</f>
        <v>-0.35</v>
      </c>
      <c r="D549" s="0" t="n">
        <f aca="false">-1+B549*0.05</f>
        <v>-0.45</v>
      </c>
      <c r="E549" s="0" t="n">
        <f aca="false">1</f>
        <v>1</v>
      </c>
      <c r="F549" s="0" t="n">
        <f aca="false">C549</f>
        <v>-0.35</v>
      </c>
      <c r="G549" s="0" t="n">
        <f aca="false">D549</f>
        <v>-0.45</v>
      </c>
      <c r="H549" s="0" t="n">
        <f aca="false">C549*D549</f>
        <v>0.1575</v>
      </c>
      <c r="I549" s="0" t="n">
        <f aca="false">C549*C549</f>
        <v>0.1225</v>
      </c>
      <c r="J549" s="0" t="n">
        <f aca="false">D549*D549</f>
        <v>0.2025</v>
      </c>
      <c r="K549" s="0" t="n">
        <f aca="false">SUMPRODUCT(E549:J549,_XtX!$B$53:$G$53)</f>
        <v>45.7360179597701</v>
      </c>
      <c r="L549" s="0" t="n">
        <f aca="false">SUMPRODUCT(MMULT(E549:J549,_XtX!$B$44:$G$49),E549:J549)</f>
        <v>0.178977927442529</v>
      </c>
      <c r="M549" s="0" t="n">
        <f aca="false">04_回帰ANOVA!$K$19*04_回帰ANOVA!$K$14*SQRT(1+L549)</f>
        <v>1.47139545265652</v>
      </c>
      <c r="N549" s="0" t="n">
        <f aca="false">K549-M549</f>
        <v>44.2646225071136</v>
      </c>
      <c r="O549" s="0" t="n">
        <f aca="false">K549+M549</f>
        <v>47.2074134124266</v>
      </c>
      <c r="P549" s="54" t="b">
        <f aca="false">AND(C549&gt;=01_因子設定!$L$5-0.000000001,C549&lt;=01_因子設定!$M$5+0.000000001,D549&gt;=01_因子設定!$L$6-0.000000001,D549&lt;=01_因子設定!$M$6+0.000000001,IF(01_因子設定!$B$20="Box-Behnken",C549^2+D549^2&lt;=2+0.000000001,TRUE()))</f>
        <v>1</v>
      </c>
      <c r="Q549" s="55" t="n">
        <f aca="false">IF(P549,IF(01_因子設定!$B$13="最大化",N549-01_因子設定!$B$14,IF(01_因子設定!$B$13="最小化",01_因子設定!$B$15-O549,MIN(N549-01_因子設定!$B$14,01_因子設定!$B$15-O549))),-1E+030)</f>
        <v>-2.23537749288641</v>
      </c>
      <c r="R549" s="55" t="n">
        <f aca="false">IF(P549,IF(01_因子設定!$B$13="最大化",K549,IF(01_因子設定!$B$13="最小化",-K549,-ABS(K549-01_因子設定!$B$16))),-1E+030)</f>
        <v>45.7360179597701</v>
      </c>
      <c r="S549" s="55" t="n">
        <f aca="false">Q549+ROW()*0.000000001</f>
        <v>-2.23537694388641</v>
      </c>
      <c r="T549" s="55" t="n">
        <f aca="false">R549+ROW()*0.000000001</f>
        <v>45.7360185087701</v>
      </c>
    </row>
    <row r="550" customFormat="false" ht="15" hidden="false" customHeight="false" outlineLevel="0" collapsed="false">
      <c r="A550" s="0" t="n">
        <v>13</v>
      </c>
      <c r="B550" s="0" t="n">
        <v>12</v>
      </c>
      <c r="C550" s="0" t="n">
        <f aca="false">-1+A550*0.05</f>
        <v>-0.35</v>
      </c>
      <c r="D550" s="0" t="n">
        <f aca="false">-1+B550*0.05</f>
        <v>-0.4</v>
      </c>
      <c r="E550" s="0" t="n">
        <f aca="false">1</f>
        <v>1</v>
      </c>
      <c r="F550" s="0" t="n">
        <f aca="false">C550</f>
        <v>-0.35</v>
      </c>
      <c r="G550" s="0" t="n">
        <f aca="false">D550</f>
        <v>-0.4</v>
      </c>
      <c r="H550" s="0" t="n">
        <f aca="false">C550*D550</f>
        <v>0.14</v>
      </c>
      <c r="I550" s="0" t="n">
        <f aca="false">C550*C550</f>
        <v>0.1225</v>
      </c>
      <c r="J550" s="0" t="n">
        <f aca="false">D550*D550</f>
        <v>0.16</v>
      </c>
      <c r="K550" s="0" t="n">
        <f aca="false">SUMPRODUCT(E550:J550,_XtX!$B$53:$G$53)</f>
        <v>45.9049123563218</v>
      </c>
      <c r="L550" s="0" t="n">
        <f aca="false">SUMPRODUCT(MMULT(E550:J550,_XtX!$B$44:$G$49),E550:J550)</f>
        <v>0.175244216954023</v>
      </c>
      <c r="M550" s="0" t="n">
        <f aca="false">04_回帰ANOVA!$K$19*04_回帰ANOVA!$K$14*SQRT(1+L550)</f>
        <v>1.46906372066889</v>
      </c>
      <c r="N550" s="0" t="n">
        <f aca="false">K550-M550</f>
        <v>44.435848635653</v>
      </c>
      <c r="O550" s="0" t="n">
        <f aca="false">K550+M550</f>
        <v>47.3739760769907</v>
      </c>
      <c r="P550" s="54" t="b">
        <f aca="false">AND(C550&gt;=01_因子設定!$L$5-0.000000001,C550&lt;=01_因子設定!$M$5+0.000000001,D550&gt;=01_因子設定!$L$6-0.000000001,D550&lt;=01_因子設定!$M$6+0.000000001,IF(01_因子設定!$B$20="Box-Behnken",C550^2+D550^2&lt;=2+0.000000001,TRUE()))</f>
        <v>1</v>
      </c>
      <c r="Q550" s="55" t="n">
        <f aca="false">IF(P550,IF(01_因子設定!$B$13="最大化",N550-01_因子設定!$B$14,IF(01_因子設定!$B$13="最小化",01_因子設定!$B$15-O550,MIN(N550-01_因子設定!$B$14,01_因子設定!$B$15-O550))),-1E+030)</f>
        <v>-2.06415136434705</v>
      </c>
      <c r="R550" s="55" t="n">
        <f aca="false">IF(P550,IF(01_因子設定!$B$13="最大化",K550,IF(01_因子設定!$B$13="最小化",-K550,-ABS(K550-01_因子設定!$B$16))),-1E+030)</f>
        <v>45.9049123563218</v>
      </c>
      <c r="S550" s="55" t="n">
        <f aca="false">Q550+ROW()*0.000000001</f>
        <v>-2.06415081434705</v>
      </c>
      <c r="T550" s="55" t="n">
        <f aca="false">R550+ROW()*0.000000001</f>
        <v>45.9049129063218</v>
      </c>
    </row>
    <row r="551" customFormat="false" ht="15" hidden="false" customHeight="false" outlineLevel="0" collapsed="false">
      <c r="A551" s="0" t="n">
        <v>13</v>
      </c>
      <c r="B551" s="0" t="n">
        <v>13</v>
      </c>
      <c r="C551" s="0" t="n">
        <f aca="false">-1+A551*0.05</f>
        <v>-0.35</v>
      </c>
      <c r="D551" s="0" t="n">
        <f aca="false">-1+B551*0.05</f>
        <v>-0.35</v>
      </c>
      <c r="E551" s="0" t="n">
        <f aca="false">1</f>
        <v>1</v>
      </c>
      <c r="F551" s="0" t="n">
        <f aca="false">C551</f>
        <v>-0.35</v>
      </c>
      <c r="G551" s="0" t="n">
        <f aca="false">D551</f>
        <v>-0.35</v>
      </c>
      <c r="H551" s="0" t="n">
        <f aca="false">C551*D551</f>
        <v>0.1225</v>
      </c>
      <c r="I551" s="0" t="n">
        <f aca="false">C551*C551</f>
        <v>0.1225</v>
      </c>
      <c r="J551" s="0" t="n">
        <f aca="false">D551*D551</f>
        <v>0.1225</v>
      </c>
      <c r="K551" s="0" t="n">
        <f aca="false">SUMPRODUCT(E551:J551,_XtX!$B$53:$G$53)</f>
        <v>46.0660912356322</v>
      </c>
      <c r="L551" s="0" t="n">
        <f aca="false">SUMPRODUCT(MMULT(E551:J551,_XtX!$B$44:$G$49),E551:J551)</f>
        <v>0.17303597341954</v>
      </c>
      <c r="M551" s="0" t="n">
        <f aca="false">04_回帰ANOVA!$K$19*04_回帰ANOVA!$K$14*SQRT(1+L551)</f>
        <v>1.46768291159351</v>
      </c>
      <c r="N551" s="0" t="n">
        <f aca="false">K551-M551</f>
        <v>44.5984083240387</v>
      </c>
      <c r="O551" s="0" t="n">
        <f aca="false">K551+M551</f>
        <v>47.5337741472257</v>
      </c>
      <c r="P551" s="54" t="b">
        <f aca="false">AND(C551&gt;=01_因子設定!$L$5-0.000000001,C551&lt;=01_因子設定!$M$5+0.000000001,D551&gt;=01_因子設定!$L$6-0.000000001,D551&lt;=01_因子設定!$M$6+0.000000001,IF(01_因子設定!$B$20="Box-Behnken",C551^2+D551^2&lt;=2+0.000000001,TRUE()))</f>
        <v>1</v>
      </c>
      <c r="Q551" s="55" t="n">
        <f aca="false">IF(P551,IF(01_因子設定!$B$13="最大化",N551-01_因子設定!$B$14,IF(01_因子設定!$B$13="最小化",01_因子設定!$B$15-O551,MIN(N551-01_因子設定!$B$14,01_因子設定!$B$15-O551))),-1E+030)</f>
        <v>-1.90159167596133</v>
      </c>
      <c r="R551" s="55" t="n">
        <f aca="false">IF(P551,IF(01_因子設定!$B$13="最大化",K551,IF(01_因子設定!$B$13="最小化",-K551,-ABS(K551-01_因子設定!$B$16))),-1E+030)</f>
        <v>46.0660912356322</v>
      </c>
      <c r="S551" s="55" t="n">
        <f aca="false">Q551+ROW()*0.000000001</f>
        <v>-1.90159112496133</v>
      </c>
      <c r="T551" s="55" t="n">
        <f aca="false">R551+ROW()*0.000000001</f>
        <v>46.0660917866322</v>
      </c>
    </row>
    <row r="552" customFormat="false" ht="15" hidden="false" customHeight="false" outlineLevel="0" collapsed="false">
      <c r="A552" s="0" t="n">
        <v>13</v>
      </c>
      <c r="B552" s="0" t="n">
        <v>14</v>
      </c>
      <c r="C552" s="0" t="n">
        <f aca="false">-1+A552*0.05</f>
        <v>-0.35</v>
      </c>
      <c r="D552" s="0" t="n">
        <f aca="false">-1+B552*0.05</f>
        <v>-0.3</v>
      </c>
      <c r="E552" s="0" t="n">
        <f aca="false">1</f>
        <v>1</v>
      </c>
      <c r="F552" s="0" t="n">
        <f aca="false">C552</f>
        <v>-0.35</v>
      </c>
      <c r="G552" s="0" t="n">
        <f aca="false">D552</f>
        <v>-0.3</v>
      </c>
      <c r="H552" s="0" t="n">
        <f aca="false">C552*D552</f>
        <v>0.105</v>
      </c>
      <c r="I552" s="0" t="n">
        <f aca="false">C552*C552</f>
        <v>0.1225</v>
      </c>
      <c r="J552" s="0" t="n">
        <f aca="false">D552*D552</f>
        <v>0.09</v>
      </c>
      <c r="K552" s="0" t="n">
        <f aca="false">SUMPRODUCT(E552:J552,_XtX!$B$53:$G$53)</f>
        <v>46.2195545977012</v>
      </c>
      <c r="L552" s="0" t="n">
        <f aca="false">SUMPRODUCT(MMULT(E552:J552,_XtX!$B$44:$G$49),E552:J552)</f>
        <v>0.171945869252874</v>
      </c>
      <c r="M552" s="0" t="n">
        <f aca="false">04_回帰ANOVA!$K$19*04_回帰ANOVA!$K$14*SQRT(1+L552)</f>
        <v>1.46700079306941</v>
      </c>
      <c r="N552" s="0" t="n">
        <f aca="false">K552-M552</f>
        <v>44.7525538046317</v>
      </c>
      <c r="O552" s="0" t="n">
        <f aca="false">K552+M552</f>
        <v>47.6865553907706</v>
      </c>
      <c r="P552" s="54" t="b">
        <f aca="false">AND(C552&gt;=01_因子設定!$L$5-0.000000001,C552&lt;=01_因子設定!$M$5+0.000000001,D552&gt;=01_因子設定!$L$6-0.000000001,D552&lt;=01_因子設定!$M$6+0.000000001,IF(01_因子設定!$B$20="Box-Behnken",C552^2+D552^2&lt;=2+0.000000001,TRUE()))</f>
        <v>1</v>
      </c>
      <c r="Q552" s="55" t="n">
        <f aca="false">IF(P552,IF(01_因子設定!$B$13="最大化",N552-01_因子設定!$B$14,IF(01_因子設定!$B$13="最小化",01_因子設定!$B$15-O552,MIN(N552-01_因子設定!$B$14,01_因子設定!$B$15-O552))),-1E+030)</f>
        <v>-1.74744619536826</v>
      </c>
      <c r="R552" s="55" t="n">
        <f aca="false">IF(P552,IF(01_因子設定!$B$13="最大化",K552,IF(01_因子設定!$B$13="最小化",-K552,-ABS(K552-01_因子設定!$B$16))),-1E+030)</f>
        <v>46.2195545977012</v>
      </c>
      <c r="S552" s="55" t="n">
        <f aca="false">Q552+ROW()*0.000000001</f>
        <v>-1.74744564336826</v>
      </c>
      <c r="T552" s="55" t="n">
        <f aca="false">R552+ROW()*0.000000001</f>
        <v>46.2195551497012</v>
      </c>
    </row>
    <row r="553" customFormat="false" ht="15" hidden="false" customHeight="false" outlineLevel="0" collapsed="false">
      <c r="A553" s="0" t="n">
        <v>13</v>
      </c>
      <c r="B553" s="0" t="n">
        <v>15</v>
      </c>
      <c r="C553" s="0" t="n">
        <f aca="false">-1+A553*0.05</f>
        <v>-0.35</v>
      </c>
      <c r="D553" s="0" t="n">
        <f aca="false">-1+B553*0.05</f>
        <v>-0.25</v>
      </c>
      <c r="E553" s="0" t="n">
        <f aca="false">1</f>
        <v>1</v>
      </c>
      <c r="F553" s="0" t="n">
        <f aca="false">C553</f>
        <v>-0.35</v>
      </c>
      <c r="G553" s="0" t="n">
        <f aca="false">D553</f>
        <v>-0.25</v>
      </c>
      <c r="H553" s="0" t="n">
        <f aca="false">C553*D553</f>
        <v>0.0875</v>
      </c>
      <c r="I553" s="0" t="n">
        <f aca="false">C553*C553</f>
        <v>0.1225</v>
      </c>
      <c r="J553" s="0" t="n">
        <f aca="false">D553*D553</f>
        <v>0.0625</v>
      </c>
      <c r="K553" s="0" t="n">
        <f aca="false">SUMPRODUCT(E553:J553,_XtX!$B$53:$G$53)</f>
        <v>46.3653024425287</v>
      </c>
      <c r="L553" s="0" t="n">
        <f aca="false">SUMPRODUCT(MMULT(E553:J553,_XtX!$B$44:$G$49),E553:J553)</f>
        <v>0.171620887212644</v>
      </c>
      <c r="M553" s="0" t="n">
        <f aca="false">04_回帰ANOVA!$K$19*04_回帰ANOVA!$K$14*SQRT(1+L553)</f>
        <v>1.46679737839873</v>
      </c>
      <c r="N553" s="0" t="n">
        <f aca="false">K553-M553</f>
        <v>44.89850506413</v>
      </c>
      <c r="O553" s="0" t="n">
        <f aca="false">K553+M553</f>
        <v>47.8320998209275</v>
      </c>
      <c r="P553" s="54" t="b">
        <f aca="false">AND(C553&gt;=01_因子設定!$L$5-0.000000001,C553&lt;=01_因子設定!$M$5+0.000000001,D553&gt;=01_因子設定!$L$6-0.000000001,D553&lt;=01_因子設定!$M$6+0.000000001,IF(01_因子設定!$B$20="Box-Behnken",C553^2+D553^2&lt;=2+0.000000001,TRUE()))</f>
        <v>1</v>
      </c>
      <c r="Q553" s="55" t="n">
        <f aca="false">IF(P553,IF(01_因子設定!$B$13="最大化",N553-01_因子設定!$B$14,IF(01_因子設定!$B$13="最小化",01_因子設定!$B$15-O553,MIN(N553-01_因子設定!$B$14,01_因子設定!$B$15-O553))),-1E+030)</f>
        <v>-1.60149493587</v>
      </c>
      <c r="R553" s="55" t="n">
        <f aca="false">IF(P553,IF(01_因子設定!$B$13="最大化",K553,IF(01_因子設定!$B$13="最小化",-K553,-ABS(K553-01_因子設定!$B$16))),-1E+030)</f>
        <v>46.3653024425287</v>
      </c>
      <c r="S553" s="55" t="n">
        <f aca="false">Q553+ROW()*0.000000001</f>
        <v>-1.60149438287</v>
      </c>
      <c r="T553" s="55" t="n">
        <f aca="false">R553+ROW()*0.000000001</f>
        <v>46.3653029955287</v>
      </c>
    </row>
    <row r="554" customFormat="false" ht="15" hidden="false" customHeight="false" outlineLevel="0" collapsed="false">
      <c r="A554" s="0" t="n">
        <v>13</v>
      </c>
      <c r="B554" s="0" t="n">
        <v>16</v>
      </c>
      <c r="C554" s="0" t="n">
        <f aca="false">-1+A554*0.05</f>
        <v>-0.35</v>
      </c>
      <c r="D554" s="0" t="n">
        <f aca="false">-1+B554*0.05</f>
        <v>-0.2</v>
      </c>
      <c r="E554" s="0" t="n">
        <f aca="false">1</f>
        <v>1</v>
      </c>
      <c r="F554" s="0" t="n">
        <f aca="false">C554</f>
        <v>-0.35</v>
      </c>
      <c r="G554" s="0" t="n">
        <f aca="false">D554</f>
        <v>-0.2</v>
      </c>
      <c r="H554" s="0" t="n">
        <f aca="false">C554*D554</f>
        <v>0.07</v>
      </c>
      <c r="I554" s="0" t="n">
        <f aca="false">C554*C554</f>
        <v>0.1225</v>
      </c>
      <c r="J554" s="0" t="n">
        <f aca="false">D554*D554</f>
        <v>0.04</v>
      </c>
      <c r="K554" s="0" t="n">
        <f aca="false">SUMPRODUCT(E554:J554,_XtX!$B$53:$G$53)</f>
        <v>46.5033347701149</v>
      </c>
      <c r="L554" s="0" t="n">
        <f aca="false">SUMPRODUCT(MMULT(E554:J554,_XtX!$B$44:$G$49),E554:J554)</f>
        <v>0.171762320402299</v>
      </c>
      <c r="M554" s="0" t="n">
        <f aca="false">04_回帰ANOVA!$K$19*04_回帰ANOVA!$K$14*SQRT(1+L554)</f>
        <v>1.46688590855968</v>
      </c>
      <c r="N554" s="0" t="n">
        <f aca="false">K554-M554</f>
        <v>45.0364488615553</v>
      </c>
      <c r="O554" s="0" t="n">
        <f aca="false">K554+M554</f>
        <v>47.9702206786746</v>
      </c>
      <c r="P554" s="54" t="b">
        <f aca="false">AND(C554&gt;=01_因子設定!$L$5-0.000000001,C554&lt;=01_因子設定!$M$5+0.000000001,D554&gt;=01_因子設定!$L$6-0.000000001,D554&lt;=01_因子設定!$M$6+0.000000001,IF(01_因子設定!$B$20="Box-Behnken",C554^2+D554^2&lt;=2+0.000000001,TRUE()))</f>
        <v>1</v>
      </c>
      <c r="Q554" s="55" t="n">
        <f aca="false">IF(P554,IF(01_因子設定!$B$13="最大化",N554-01_因子設定!$B$14,IF(01_因子設定!$B$13="最小化",01_因子設定!$B$15-O554,MIN(N554-01_因子設定!$B$14,01_因子設定!$B$15-O554))),-1E+030)</f>
        <v>-1.46355113844474</v>
      </c>
      <c r="R554" s="55" t="n">
        <f aca="false">IF(P554,IF(01_因子設定!$B$13="最大化",K554,IF(01_因子設定!$B$13="最小化",-K554,-ABS(K554-01_因子設定!$B$16))),-1E+030)</f>
        <v>46.5033347701149</v>
      </c>
      <c r="S554" s="55" t="n">
        <f aca="false">Q554+ROW()*0.000000001</f>
        <v>-1.46355058444474</v>
      </c>
      <c r="T554" s="55" t="n">
        <f aca="false">R554+ROW()*0.000000001</f>
        <v>46.5033353241149</v>
      </c>
    </row>
    <row r="555" customFormat="false" ht="15" hidden="false" customHeight="false" outlineLevel="0" collapsed="false">
      <c r="A555" s="0" t="n">
        <v>13</v>
      </c>
      <c r="B555" s="0" t="n">
        <v>17</v>
      </c>
      <c r="C555" s="0" t="n">
        <f aca="false">-1+A555*0.05</f>
        <v>-0.35</v>
      </c>
      <c r="D555" s="0" t="n">
        <f aca="false">-1+B555*0.05</f>
        <v>-0.15</v>
      </c>
      <c r="E555" s="0" t="n">
        <f aca="false">1</f>
        <v>1</v>
      </c>
      <c r="F555" s="0" t="n">
        <f aca="false">C555</f>
        <v>-0.35</v>
      </c>
      <c r="G555" s="0" t="n">
        <f aca="false">D555</f>
        <v>-0.15</v>
      </c>
      <c r="H555" s="0" t="n">
        <f aca="false">C555*D555</f>
        <v>0.0525</v>
      </c>
      <c r="I555" s="0" t="n">
        <f aca="false">C555*C555</f>
        <v>0.1225</v>
      </c>
      <c r="J555" s="0" t="n">
        <f aca="false">D555*D555</f>
        <v>0.0225</v>
      </c>
      <c r="K555" s="0" t="n">
        <f aca="false">SUMPRODUCT(E555:J555,_XtX!$B$53:$G$53)</f>
        <v>46.6336515804598</v>
      </c>
      <c r="L555" s="0" t="n">
        <f aca="false">SUMPRODUCT(MMULT(E555:J555,_XtX!$B$44:$G$49),E555:J555)</f>
        <v>0.172125772270115</v>
      </c>
      <c r="M555" s="0" t="n">
        <f aca="false">04_回帰ANOVA!$K$19*04_回帰ANOVA!$K$14*SQRT(1+L555)</f>
        <v>1.46711338689661</v>
      </c>
      <c r="N555" s="0" t="n">
        <f aca="false">K555-M555</f>
        <v>45.1665381935632</v>
      </c>
      <c r="O555" s="0" t="n">
        <f aca="false">K555+M555</f>
        <v>48.1007649673564</v>
      </c>
      <c r="P555" s="54" t="b">
        <f aca="false">AND(C555&gt;=01_因子設定!$L$5-0.000000001,C555&lt;=01_因子設定!$M$5+0.000000001,D555&gt;=01_因子設定!$L$6-0.000000001,D555&lt;=01_因子設定!$M$6+0.000000001,IF(01_因子設定!$B$20="Box-Behnken",C555^2+D555^2&lt;=2+0.000000001,TRUE()))</f>
        <v>1</v>
      </c>
      <c r="Q555" s="55" t="n">
        <f aca="false">IF(P555,IF(01_因子設定!$B$13="最大化",N555-01_因子設定!$B$14,IF(01_因子設定!$B$13="最小化",01_因子設定!$B$15-O555,MIN(N555-01_因子設定!$B$14,01_因子設定!$B$15-O555))),-1E+030)</f>
        <v>-1.33346180643684</v>
      </c>
      <c r="R555" s="55" t="n">
        <f aca="false">IF(P555,IF(01_因子設定!$B$13="最大化",K555,IF(01_因子設定!$B$13="最小化",-K555,-ABS(K555-01_因子設定!$B$16))),-1E+030)</f>
        <v>46.6336515804598</v>
      </c>
      <c r="S555" s="55" t="n">
        <f aca="false">Q555+ROW()*0.000000001</f>
        <v>-1.33346125143684</v>
      </c>
      <c r="T555" s="55" t="n">
        <f aca="false">R555+ROW()*0.000000001</f>
        <v>46.6336521354598</v>
      </c>
    </row>
    <row r="556" customFormat="false" ht="15" hidden="false" customHeight="false" outlineLevel="0" collapsed="false">
      <c r="A556" s="0" t="n">
        <v>13</v>
      </c>
      <c r="B556" s="0" t="n">
        <v>18</v>
      </c>
      <c r="C556" s="0" t="n">
        <f aca="false">-1+A556*0.05</f>
        <v>-0.35</v>
      </c>
      <c r="D556" s="0" t="n">
        <f aca="false">-1+B556*0.05</f>
        <v>-0.1</v>
      </c>
      <c r="E556" s="0" t="n">
        <f aca="false">1</f>
        <v>1</v>
      </c>
      <c r="F556" s="0" t="n">
        <f aca="false">C556</f>
        <v>-0.35</v>
      </c>
      <c r="G556" s="0" t="n">
        <f aca="false">D556</f>
        <v>-0.1</v>
      </c>
      <c r="H556" s="0" t="n">
        <f aca="false">C556*D556</f>
        <v>0.035</v>
      </c>
      <c r="I556" s="0" t="n">
        <f aca="false">C556*C556</f>
        <v>0.1225</v>
      </c>
      <c r="J556" s="0" t="n">
        <f aca="false">D556*D556</f>
        <v>0.01</v>
      </c>
      <c r="K556" s="0" t="n">
        <f aca="false">SUMPRODUCT(E556:J556,_XtX!$B$53:$G$53)</f>
        <v>46.7562528735632</v>
      </c>
      <c r="L556" s="0" t="n">
        <f aca="false">SUMPRODUCT(MMULT(E556:J556,_XtX!$B$44:$G$49),E556:J556)</f>
        <v>0.172521156609195</v>
      </c>
      <c r="M556" s="0" t="n">
        <f aca="false">04_回帰ANOVA!$K$19*04_回帰ANOVA!$K$14*SQRT(1+L556)</f>
        <v>1.46736081117514</v>
      </c>
      <c r="N556" s="0" t="n">
        <f aca="false">K556-M556</f>
        <v>45.2888920623881</v>
      </c>
      <c r="O556" s="0" t="n">
        <f aca="false">K556+M556</f>
        <v>48.2236136847384</v>
      </c>
      <c r="P556" s="54" t="b">
        <f aca="false">AND(C556&gt;=01_因子設定!$L$5-0.000000001,C556&lt;=01_因子設定!$M$5+0.000000001,D556&gt;=01_因子設定!$L$6-0.000000001,D556&lt;=01_因子設定!$M$6+0.000000001,IF(01_因子設定!$B$20="Box-Behnken",C556^2+D556^2&lt;=2+0.000000001,TRUE()))</f>
        <v>1</v>
      </c>
      <c r="Q556" s="55" t="n">
        <f aca="false">IF(P556,IF(01_因子設定!$B$13="最大化",N556-01_因子設定!$B$14,IF(01_因子設定!$B$13="最小化",01_因子設定!$B$15-O556,MIN(N556-01_因子設定!$B$14,01_因子設定!$B$15-O556))),-1E+030)</f>
        <v>-1.21110793761194</v>
      </c>
      <c r="R556" s="55" t="n">
        <f aca="false">IF(P556,IF(01_因子設定!$B$13="最大化",K556,IF(01_因子設定!$B$13="最小化",-K556,-ABS(K556-01_因子設定!$B$16))),-1E+030)</f>
        <v>46.7562528735632</v>
      </c>
      <c r="S556" s="55" t="n">
        <f aca="false">Q556+ROW()*0.000000001</f>
        <v>-1.21110738161193</v>
      </c>
      <c r="T556" s="55" t="n">
        <f aca="false">R556+ROW()*0.000000001</f>
        <v>46.7562534295632</v>
      </c>
    </row>
    <row r="557" customFormat="false" ht="15" hidden="false" customHeight="false" outlineLevel="0" collapsed="false">
      <c r="A557" s="0" t="n">
        <v>13</v>
      </c>
      <c r="B557" s="0" t="n">
        <v>19</v>
      </c>
      <c r="C557" s="0" t="n">
        <f aca="false">-1+A557*0.05</f>
        <v>-0.35</v>
      </c>
      <c r="D557" s="0" t="n">
        <f aca="false">-1+B557*0.05</f>
        <v>-0.0499999999999999</v>
      </c>
      <c r="E557" s="0" t="n">
        <f aca="false">1</f>
        <v>1</v>
      </c>
      <c r="F557" s="0" t="n">
        <f aca="false">C557</f>
        <v>-0.35</v>
      </c>
      <c r="G557" s="0" t="n">
        <f aca="false">D557</f>
        <v>-0.0499999999999999</v>
      </c>
      <c r="H557" s="0" t="n">
        <f aca="false">C557*D557</f>
        <v>0.0175</v>
      </c>
      <c r="I557" s="0" t="n">
        <f aca="false">C557*C557</f>
        <v>0.1225</v>
      </c>
      <c r="J557" s="0" t="n">
        <f aca="false">D557*D557</f>
        <v>0.00249999999999999</v>
      </c>
      <c r="K557" s="0" t="n">
        <f aca="false">SUMPRODUCT(E557:J557,_XtX!$B$53:$G$53)</f>
        <v>46.8711386494253</v>
      </c>
      <c r="L557" s="0" t="n">
        <f aca="false">SUMPRODUCT(MMULT(E557:J557,_XtX!$B$44:$G$49),E557:J557)</f>
        <v>0.172812697557471</v>
      </c>
      <c r="M557" s="0" t="n">
        <f aca="false">04_回帰ANOVA!$K$19*04_回帰ANOVA!$K$14*SQRT(1+L557)</f>
        <v>1.46754322544161</v>
      </c>
      <c r="N557" s="0" t="n">
        <f aca="false">K557-M557</f>
        <v>45.4035954239837</v>
      </c>
      <c r="O557" s="0" t="n">
        <f aca="false">K557+M557</f>
        <v>48.3386818748669</v>
      </c>
      <c r="P557" s="54" t="b">
        <f aca="false">AND(C557&gt;=01_因子設定!$L$5-0.000000001,C557&lt;=01_因子設定!$M$5+0.000000001,D557&gt;=01_因子設定!$L$6-0.000000001,D557&lt;=01_因子設定!$M$6+0.000000001,IF(01_因子設定!$B$20="Box-Behnken",C557^2+D557^2&lt;=2+0.000000001,TRUE()))</f>
        <v>1</v>
      </c>
      <c r="Q557" s="55" t="n">
        <f aca="false">IF(P557,IF(01_因子設定!$B$13="最大化",N557-01_因子設定!$B$14,IF(01_因子設定!$B$13="最小化",01_因子設定!$B$15-O557,MIN(N557-01_因子設定!$B$14,01_因子設定!$B$15-O557))),-1E+030)</f>
        <v>-1.09640457601633</v>
      </c>
      <c r="R557" s="55" t="n">
        <f aca="false">IF(P557,IF(01_因子設定!$B$13="最大化",K557,IF(01_因子設定!$B$13="最小化",-K557,-ABS(K557-01_因子設定!$B$16))),-1E+030)</f>
        <v>46.8711386494253</v>
      </c>
      <c r="S557" s="55" t="n">
        <f aca="false">Q557+ROW()*0.000000001</f>
        <v>-1.09640401901633</v>
      </c>
      <c r="T557" s="55" t="n">
        <f aca="false">R557+ROW()*0.000000001</f>
        <v>46.8711392064253</v>
      </c>
    </row>
    <row r="558" customFormat="false" ht="15" hidden="false" customHeight="false" outlineLevel="0" collapsed="false">
      <c r="A558" s="0" t="n">
        <v>13</v>
      </c>
      <c r="B558" s="0" t="n">
        <v>20</v>
      </c>
      <c r="C558" s="0" t="n">
        <f aca="false">-1+A558*0.05</f>
        <v>-0.35</v>
      </c>
      <c r="D558" s="0" t="n">
        <f aca="false">-1+B558*0.05</f>
        <v>0</v>
      </c>
      <c r="E558" s="0" t="n">
        <f aca="false">1</f>
        <v>1</v>
      </c>
      <c r="F558" s="0" t="n">
        <f aca="false">C558</f>
        <v>-0.35</v>
      </c>
      <c r="G558" s="0" t="n">
        <f aca="false">D558</f>
        <v>0</v>
      </c>
      <c r="H558" s="0" t="n">
        <f aca="false">C558*D558</f>
        <v>-0</v>
      </c>
      <c r="I558" s="0" t="n">
        <f aca="false">C558*C558</f>
        <v>0.1225</v>
      </c>
      <c r="J558" s="0" t="n">
        <f aca="false">D558*D558</f>
        <v>0</v>
      </c>
      <c r="K558" s="0" t="n">
        <f aca="false">SUMPRODUCT(E558:J558,_XtX!$B$53:$G$53)</f>
        <v>46.978308908046</v>
      </c>
      <c r="L558" s="0" t="n">
        <f aca="false">SUMPRODUCT(MMULT(E558:J558,_XtX!$B$44:$G$49),E558:J558)</f>
        <v>0.172918929597701</v>
      </c>
      <c r="M558" s="0" t="n">
        <f aca="false">04_回帰ANOVA!$K$19*04_回帰ANOVA!$K$14*SQRT(1+L558)</f>
        <v>1.46760968813473</v>
      </c>
      <c r="N558" s="0" t="n">
        <f aca="false">K558-M558</f>
        <v>45.5106992199112</v>
      </c>
      <c r="O558" s="0" t="n">
        <f aca="false">K558+M558</f>
        <v>48.4459185961807</v>
      </c>
      <c r="P558" s="54" t="b">
        <f aca="false">AND(C558&gt;=01_因子設定!$L$5-0.000000001,C558&lt;=01_因子設定!$M$5+0.000000001,D558&gt;=01_因子設定!$L$6-0.000000001,D558&lt;=01_因子設定!$M$6+0.000000001,IF(01_因子設定!$B$20="Box-Behnken",C558^2+D558^2&lt;=2+0.000000001,TRUE()))</f>
        <v>1</v>
      </c>
      <c r="Q558" s="55" t="n">
        <f aca="false">IF(P558,IF(01_因子設定!$B$13="最大化",N558-01_因子設定!$B$14,IF(01_因子設定!$B$13="最小化",01_因子設定!$B$15-O558,MIN(N558-01_因子設定!$B$14,01_因子設定!$B$15-O558))),-1E+030)</f>
        <v>-0.989300780088755</v>
      </c>
      <c r="R558" s="55" t="n">
        <f aca="false">IF(P558,IF(01_因子設定!$B$13="最大化",K558,IF(01_因子設定!$B$13="最小化",-K558,-ABS(K558-01_因子設定!$B$16))),-1E+030)</f>
        <v>46.978308908046</v>
      </c>
      <c r="S558" s="55" t="n">
        <f aca="false">Q558+ROW()*0.000000001</f>
        <v>-0.989300222088755</v>
      </c>
      <c r="T558" s="55" t="n">
        <f aca="false">R558+ROW()*0.000000001</f>
        <v>46.978309466046</v>
      </c>
    </row>
    <row r="559" customFormat="false" ht="15" hidden="false" customHeight="false" outlineLevel="0" collapsed="false">
      <c r="A559" s="0" t="n">
        <v>13</v>
      </c>
      <c r="B559" s="0" t="n">
        <v>21</v>
      </c>
      <c r="C559" s="0" t="n">
        <f aca="false">-1+A559*0.05</f>
        <v>-0.35</v>
      </c>
      <c r="D559" s="0" t="n">
        <f aca="false">-1+B559*0.05</f>
        <v>0.05</v>
      </c>
      <c r="E559" s="0" t="n">
        <f aca="false">1</f>
        <v>1</v>
      </c>
      <c r="F559" s="0" t="n">
        <f aca="false">C559</f>
        <v>-0.35</v>
      </c>
      <c r="G559" s="0" t="n">
        <f aca="false">D559</f>
        <v>0.05</v>
      </c>
      <c r="H559" s="0" t="n">
        <f aca="false">C559*D559</f>
        <v>-0.0175</v>
      </c>
      <c r="I559" s="0" t="n">
        <f aca="false">C559*C559</f>
        <v>0.1225</v>
      </c>
      <c r="J559" s="0" t="n">
        <f aca="false">D559*D559</f>
        <v>0.0025</v>
      </c>
      <c r="K559" s="0" t="n">
        <f aca="false">SUMPRODUCT(E559:J559,_XtX!$B$53:$G$53)</f>
        <v>47.0777636494253</v>
      </c>
      <c r="L559" s="0" t="n">
        <f aca="false">SUMPRODUCT(MMULT(E559:J559,_XtX!$B$44:$G$49),E559:J559)</f>
        <v>0.172812697557471</v>
      </c>
      <c r="M559" s="0" t="n">
        <f aca="false">04_回帰ANOVA!$K$19*04_回帰ANOVA!$K$14*SQRT(1+L559)</f>
        <v>1.46754322544161</v>
      </c>
      <c r="N559" s="0" t="n">
        <f aca="false">K559-M559</f>
        <v>45.6102204239837</v>
      </c>
      <c r="O559" s="0" t="n">
        <f aca="false">K559+M559</f>
        <v>48.5453068748669</v>
      </c>
      <c r="P559" s="54" t="b">
        <f aca="false">AND(C559&gt;=01_因子設定!$L$5-0.000000001,C559&lt;=01_因子設定!$M$5+0.000000001,D559&gt;=01_因子設定!$L$6-0.000000001,D559&lt;=01_因子設定!$M$6+0.000000001,IF(01_因子設定!$B$20="Box-Behnken",C559^2+D559^2&lt;=2+0.000000001,TRUE()))</f>
        <v>1</v>
      </c>
      <c r="Q559" s="55" t="n">
        <f aca="false">IF(P559,IF(01_因子設定!$B$13="最大化",N559-01_因子設定!$B$14,IF(01_因子設定!$B$13="最小化",01_因子設定!$B$15-O559,MIN(N559-01_因子設定!$B$14,01_因子設定!$B$15-O559))),-1E+030)</f>
        <v>-0.889779576016323</v>
      </c>
      <c r="R559" s="55" t="n">
        <f aca="false">IF(P559,IF(01_因子設定!$B$13="最大化",K559,IF(01_因子設定!$B$13="最小化",-K559,-ABS(K559-01_因子設定!$B$16))),-1E+030)</f>
        <v>47.0777636494253</v>
      </c>
      <c r="S559" s="55" t="n">
        <f aca="false">Q559+ROW()*0.000000001</f>
        <v>-0.889779017016323</v>
      </c>
      <c r="T559" s="55" t="n">
        <f aca="false">R559+ROW()*0.000000001</f>
        <v>47.0777642084253</v>
      </c>
    </row>
    <row r="560" customFormat="false" ht="15" hidden="false" customHeight="false" outlineLevel="0" collapsed="false">
      <c r="A560" s="0" t="n">
        <v>13</v>
      </c>
      <c r="B560" s="0" t="n">
        <v>22</v>
      </c>
      <c r="C560" s="0" t="n">
        <f aca="false">-1+A560*0.05</f>
        <v>-0.35</v>
      </c>
      <c r="D560" s="0" t="n">
        <f aca="false">-1+B560*0.05</f>
        <v>0.1</v>
      </c>
      <c r="E560" s="0" t="n">
        <f aca="false">1</f>
        <v>1</v>
      </c>
      <c r="F560" s="0" t="n">
        <f aca="false">C560</f>
        <v>-0.35</v>
      </c>
      <c r="G560" s="0" t="n">
        <f aca="false">D560</f>
        <v>0.1</v>
      </c>
      <c r="H560" s="0" t="n">
        <f aca="false">C560*D560</f>
        <v>-0.035</v>
      </c>
      <c r="I560" s="0" t="n">
        <f aca="false">C560*C560</f>
        <v>0.1225</v>
      </c>
      <c r="J560" s="0" t="n">
        <f aca="false">D560*D560</f>
        <v>0.01</v>
      </c>
      <c r="K560" s="0" t="n">
        <f aca="false">SUMPRODUCT(E560:J560,_XtX!$B$53:$G$53)</f>
        <v>47.1695028735632</v>
      </c>
      <c r="L560" s="0" t="n">
        <f aca="false">SUMPRODUCT(MMULT(E560:J560,_XtX!$B$44:$G$49),E560:J560)</f>
        <v>0.172521156609195</v>
      </c>
      <c r="M560" s="0" t="n">
        <f aca="false">04_回帰ANOVA!$K$19*04_回帰ANOVA!$K$14*SQRT(1+L560)</f>
        <v>1.46736081117514</v>
      </c>
      <c r="N560" s="0" t="n">
        <f aca="false">K560-M560</f>
        <v>45.7021420623881</v>
      </c>
      <c r="O560" s="0" t="n">
        <f aca="false">K560+M560</f>
        <v>48.6368636847384</v>
      </c>
      <c r="P560" s="54" t="b">
        <f aca="false">AND(C560&gt;=01_因子設定!$L$5-0.000000001,C560&lt;=01_因子設定!$M$5+0.000000001,D560&gt;=01_因子設定!$L$6-0.000000001,D560&lt;=01_因子設定!$M$6+0.000000001,IF(01_因子設定!$B$20="Box-Behnken",C560^2+D560^2&lt;=2+0.000000001,TRUE()))</f>
        <v>1</v>
      </c>
      <c r="Q560" s="55" t="n">
        <f aca="false">IF(P560,IF(01_因子設定!$B$13="最大化",N560-01_因子設定!$B$14,IF(01_因子設定!$B$13="最小化",01_因子設定!$B$15-O560,MIN(N560-01_因子設定!$B$14,01_因子設定!$B$15-O560))),-1E+030)</f>
        <v>-0.79785793761193</v>
      </c>
      <c r="R560" s="55" t="n">
        <f aca="false">IF(P560,IF(01_因子設定!$B$13="最大化",K560,IF(01_因子設定!$B$13="最小化",-K560,-ABS(K560-01_因子設定!$B$16))),-1E+030)</f>
        <v>47.1695028735632</v>
      </c>
      <c r="S560" s="55" t="n">
        <f aca="false">Q560+ROW()*0.000000001</f>
        <v>-0.79785737761193</v>
      </c>
      <c r="T560" s="55" t="n">
        <f aca="false">R560+ROW()*0.000000001</f>
        <v>47.1695034335632</v>
      </c>
    </row>
    <row r="561" customFormat="false" ht="15" hidden="false" customHeight="false" outlineLevel="0" collapsed="false">
      <c r="A561" s="0" t="n">
        <v>13</v>
      </c>
      <c r="B561" s="0" t="n">
        <v>23</v>
      </c>
      <c r="C561" s="0" t="n">
        <f aca="false">-1+A561*0.05</f>
        <v>-0.35</v>
      </c>
      <c r="D561" s="0" t="n">
        <f aca="false">-1+B561*0.05</f>
        <v>0.15</v>
      </c>
      <c r="E561" s="0" t="n">
        <f aca="false">1</f>
        <v>1</v>
      </c>
      <c r="F561" s="0" t="n">
        <f aca="false">C561</f>
        <v>-0.35</v>
      </c>
      <c r="G561" s="0" t="n">
        <f aca="false">D561</f>
        <v>0.15</v>
      </c>
      <c r="H561" s="0" t="n">
        <f aca="false">C561*D561</f>
        <v>-0.0525000000000001</v>
      </c>
      <c r="I561" s="0" t="n">
        <f aca="false">C561*C561</f>
        <v>0.1225</v>
      </c>
      <c r="J561" s="0" t="n">
        <f aca="false">D561*D561</f>
        <v>0.0225</v>
      </c>
      <c r="K561" s="0" t="n">
        <f aca="false">SUMPRODUCT(E561:J561,_XtX!$B$53:$G$53)</f>
        <v>47.2535265804598</v>
      </c>
      <c r="L561" s="0" t="n">
        <f aca="false">SUMPRODUCT(MMULT(E561:J561,_XtX!$B$44:$G$49),E561:J561)</f>
        <v>0.172125772270115</v>
      </c>
      <c r="M561" s="0" t="n">
        <f aca="false">04_回帰ANOVA!$K$19*04_回帰ANOVA!$K$14*SQRT(1+L561)</f>
        <v>1.46711338689661</v>
      </c>
      <c r="N561" s="0" t="n">
        <f aca="false">K561-M561</f>
        <v>45.7864131935632</v>
      </c>
      <c r="O561" s="0" t="n">
        <f aca="false">K561+M561</f>
        <v>48.7206399673564</v>
      </c>
      <c r="P561" s="54" t="b">
        <f aca="false">AND(C561&gt;=01_因子設定!$L$5-0.000000001,C561&lt;=01_因子設定!$M$5+0.000000001,D561&gt;=01_因子設定!$L$6-0.000000001,D561&lt;=01_因子設定!$M$6+0.000000001,IF(01_因子設定!$B$20="Box-Behnken",C561^2+D561^2&lt;=2+0.000000001,TRUE()))</f>
        <v>1</v>
      </c>
      <c r="Q561" s="55" t="n">
        <f aca="false">IF(P561,IF(01_因子設定!$B$13="最大化",N561-01_因子設定!$B$14,IF(01_因子設定!$B$13="最小化",01_因子設定!$B$15-O561,MIN(N561-01_因子設定!$B$14,01_因子設定!$B$15-O561))),-1E+030)</f>
        <v>-0.713586806436844</v>
      </c>
      <c r="R561" s="55" t="n">
        <f aca="false">IF(P561,IF(01_因子設定!$B$13="最大化",K561,IF(01_因子設定!$B$13="最小化",-K561,-ABS(K561-01_因子設定!$B$16))),-1E+030)</f>
        <v>47.2535265804598</v>
      </c>
      <c r="S561" s="55" t="n">
        <f aca="false">Q561+ROW()*0.000000001</f>
        <v>-0.713586245436844</v>
      </c>
      <c r="T561" s="55" t="n">
        <f aca="false">R561+ROW()*0.000000001</f>
        <v>47.2535271414598</v>
      </c>
    </row>
    <row r="562" customFormat="false" ht="15" hidden="false" customHeight="false" outlineLevel="0" collapsed="false">
      <c r="A562" s="0" t="n">
        <v>13</v>
      </c>
      <c r="B562" s="0" t="n">
        <v>24</v>
      </c>
      <c r="C562" s="0" t="n">
        <f aca="false">-1+A562*0.05</f>
        <v>-0.35</v>
      </c>
      <c r="D562" s="0" t="n">
        <f aca="false">-1+B562*0.05</f>
        <v>0.2</v>
      </c>
      <c r="E562" s="0" t="n">
        <f aca="false">1</f>
        <v>1</v>
      </c>
      <c r="F562" s="0" t="n">
        <f aca="false">C562</f>
        <v>-0.35</v>
      </c>
      <c r="G562" s="0" t="n">
        <f aca="false">D562</f>
        <v>0.2</v>
      </c>
      <c r="H562" s="0" t="n">
        <f aca="false">C562*D562</f>
        <v>-0.0700000000000001</v>
      </c>
      <c r="I562" s="0" t="n">
        <f aca="false">C562*C562</f>
        <v>0.1225</v>
      </c>
      <c r="J562" s="0" t="n">
        <f aca="false">D562*D562</f>
        <v>0.0400000000000001</v>
      </c>
      <c r="K562" s="0" t="n">
        <f aca="false">SUMPRODUCT(E562:J562,_XtX!$B$53:$G$53)</f>
        <v>47.3298347701149</v>
      </c>
      <c r="L562" s="0" t="n">
        <f aca="false">SUMPRODUCT(MMULT(E562:J562,_XtX!$B$44:$G$49),E562:J562)</f>
        <v>0.171762320402299</v>
      </c>
      <c r="M562" s="0" t="n">
        <f aca="false">04_回帰ANOVA!$K$19*04_回帰ANOVA!$K$14*SQRT(1+L562)</f>
        <v>1.46688590855968</v>
      </c>
      <c r="N562" s="0" t="n">
        <f aca="false">K562-M562</f>
        <v>45.8629488615553</v>
      </c>
      <c r="O562" s="0" t="n">
        <f aca="false">K562+M562</f>
        <v>48.7967206786746</v>
      </c>
      <c r="P562" s="54" t="b">
        <f aca="false">AND(C562&gt;=01_因子設定!$L$5-0.000000001,C562&lt;=01_因子設定!$M$5+0.000000001,D562&gt;=01_因子設定!$L$6-0.000000001,D562&lt;=01_因子設定!$M$6+0.000000001,IF(01_因子設定!$B$20="Box-Behnken",C562^2+D562^2&lt;=2+0.000000001,TRUE()))</f>
        <v>1</v>
      </c>
      <c r="Q562" s="55" t="n">
        <f aca="false">IF(P562,IF(01_因子設定!$B$13="最大化",N562-01_因子設定!$B$14,IF(01_因子設定!$B$13="最小化",01_因子設定!$B$15-O562,MIN(N562-01_因子設定!$B$14,01_因子設定!$B$15-O562))),-1E+030)</f>
        <v>-0.637051138444747</v>
      </c>
      <c r="R562" s="55" t="n">
        <f aca="false">IF(P562,IF(01_因子設定!$B$13="最大化",K562,IF(01_因子設定!$B$13="最小化",-K562,-ABS(K562-01_因子設定!$B$16))),-1E+030)</f>
        <v>47.3298347701149</v>
      </c>
      <c r="S562" s="55" t="n">
        <f aca="false">Q562+ROW()*0.000000001</f>
        <v>-0.637050576444747</v>
      </c>
      <c r="T562" s="55" t="n">
        <f aca="false">R562+ROW()*0.000000001</f>
        <v>47.3298353321149</v>
      </c>
    </row>
    <row r="563" customFormat="false" ht="15" hidden="false" customHeight="false" outlineLevel="0" collapsed="false">
      <c r="A563" s="0" t="n">
        <v>13</v>
      </c>
      <c r="B563" s="0" t="n">
        <v>25</v>
      </c>
      <c r="C563" s="0" t="n">
        <f aca="false">-1+A563*0.05</f>
        <v>-0.35</v>
      </c>
      <c r="D563" s="0" t="n">
        <f aca="false">-1+B563*0.05</f>
        <v>0.25</v>
      </c>
      <c r="E563" s="0" t="n">
        <f aca="false">1</f>
        <v>1</v>
      </c>
      <c r="F563" s="0" t="n">
        <f aca="false">C563</f>
        <v>-0.35</v>
      </c>
      <c r="G563" s="0" t="n">
        <f aca="false">D563</f>
        <v>0.25</v>
      </c>
      <c r="H563" s="0" t="n">
        <f aca="false">C563*D563</f>
        <v>-0.0875</v>
      </c>
      <c r="I563" s="0" t="n">
        <f aca="false">C563*C563</f>
        <v>0.1225</v>
      </c>
      <c r="J563" s="0" t="n">
        <f aca="false">D563*D563</f>
        <v>0.0625</v>
      </c>
      <c r="K563" s="0" t="n">
        <f aca="false">SUMPRODUCT(E563:J563,_XtX!$B$53:$G$53)</f>
        <v>47.3984274425287</v>
      </c>
      <c r="L563" s="0" t="n">
        <f aca="false">SUMPRODUCT(MMULT(E563:J563,_XtX!$B$44:$G$49),E563:J563)</f>
        <v>0.171620887212644</v>
      </c>
      <c r="M563" s="0" t="n">
        <f aca="false">04_回帰ANOVA!$K$19*04_回帰ANOVA!$K$14*SQRT(1+L563)</f>
        <v>1.46679737839873</v>
      </c>
      <c r="N563" s="0" t="n">
        <f aca="false">K563-M563</f>
        <v>45.93163006413</v>
      </c>
      <c r="O563" s="0" t="n">
        <f aca="false">K563+M563</f>
        <v>48.8652248209275</v>
      </c>
      <c r="P563" s="54" t="b">
        <f aca="false">AND(C563&gt;=01_因子設定!$L$5-0.000000001,C563&lt;=01_因子設定!$M$5+0.000000001,D563&gt;=01_因子設定!$L$6-0.000000001,D563&lt;=01_因子設定!$M$6+0.000000001,IF(01_因子設定!$B$20="Box-Behnken",C563^2+D563^2&lt;=2+0.000000001,TRUE()))</f>
        <v>1</v>
      </c>
      <c r="Q563" s="55" t="n">
        <f aca="false">IF(P563,IF(01_因子設定!$B$13="最大化",N563-01_因子設定!$B$14,IF(01_因子設定!$B$13="最小化",01_因子設定!$B$15-O563,MIN(N563-01_因子設定!$B$14,01_因子設定!$B$15-O563))),-1E+030)</f>
        <v>-0.568369935870003</v>
      </c>
      <c r="R563" s="55" t="n">
        <f aca="false">IF(P563,IF(01_因子設定!$B$13="最大化",K563,IF(01_因子設定!$B$13="最小化",-K563,-ABS(K563-01_因子設定!$B$16))),-1E+030)</f>
        <v>47.3984274425287</v>
      </c>
      <c r="S563" s="55" t="n">
        <f aca="false">Q563+ROW()*0.000000001</f>
        <v>-0.568369372870003</v>
      </c>
      <c r="T563" s="55" t="n">
        <f aca="false">R563+ROW()*0.000000001</f>
        <v>47.3984280055287</v>
      </c>
    </row>
    <row r="564" customFormat="false" ht="15" hidden="false" customHeight="false" outlineLevel="0" collapsed="false">
      <c r="A564" s="0" t="n">
        <v>13</v>
      </c>
      <c r="B564" s="0" t="n">
        <v>26</v>
      </c>
      <c r="C564" s="0" t="n">
        <f aca="false">-1+A564*0.05</f>
        <v>-0.35</v>
      </c>
      <c r="D564" s="0" t="n">
        <f aca="false">-1+B564*0.05</f>
        <v>0.3</v>
      </c>
      <c r="E564" s="0" t="n">
        <f aca="false">1</f>
        <v>1</v>
      </c>
      <c r="F564" s="0" t="n">
        <f aca="false">C564</f>
        <v>-0.35</v>
      </c>
      <c r="G564" s="0" t="n">
        <f aca="false">D564</f>
        <v>0.3</v>
      </c>
      <c r="H564" s="0" t="n">
        <f aca="false">C564*D564</f>
        <v>-0.105</v>
      </c>
      <c r="I564" s="0" t="n">
        <f aca="false">C564*C564</f>
        <v>0.1225</v>
      </c>
      <c r="J564" s="0" t="n">
        <f aca="false">D564*D564</f>
        <v>0.09</v>
      </c>
      <c r="K564" s="0" t="n">
        <f aca="false">SUMPRODUCT(E564:J564,_XtX!$B$53:$G$53)</f>
        <v>47.4593045977012</v>
      </c>
      <c r="L564" s="0" t="n">
        <f aca="false">SUMPRODUCT(MMULT(E564:J564,_XtX!$B$44:$G$49),E564:J564)</f>
        <v>0.171945869252874</v>
      </c>
      <c r="M564" s="0" t="n">
        <f aca="false">04_回帰ANOVA!$K$19*04_回帰ANOVA!$K$14*SQRT(1+L564)</f>
        <v>1.46700079306941</v>
      </c>
      <c r="N564" s="0" t="n">
        <f aca="false">K564-M564</f>
        <v>45.9923038046317</v>
      </c>
      <c r="O564" s="0" t="n">
        <f aca="false">K564+M564</f>
        <v>48.9263053907706</v>
      </c>
      <c r="P564" s="54" t="b">
        <f aca="false">AND(C564&gt;=01_因子設定!$L$5-0.000000001,C564&lt;=01_因子設定!$M$5+0.000000001,D564&gt;=01_因子設定!$L$6-0.000000001,D564&lt;=01_因子設定!$M$6+0.000000001,IF(01_因子設定!$B$20="Box-Behnken",C564^2+D564^2&lt;=2+0.000000001,TRUE()))</f>
        <v>1</v>
      </c>
      <c r="Q564" s="55" t="n">
        <f aca="false">IF(P564,IF(01_因子設定!$B$13="最大化",N564-01_因子設定!$B$14,IF(01_因子設定!$B$13="最小化",01_因子設定!$B$15-O564,MIN(N564-01_因子設定!$B$14,01_因子設定!$B$15-O564))),-1E+030)</f>
        <v>-0.507696195368261</v>
      </c>
      <c r="R564" s="55" t="n">
        <f aca="false">IF(P564,IF(01_因子設定!$B$13="最大化",K564,IF(01_因子設定!$B$13="最小化",-K564,-ABS(K564-01_因子設定!$B$16))),-1E+030)</f>
        <v>47.4593045977012</v>
      </c>
      <c r="S564" s="55" t="n">
        <f aca="false">Q564+ROW()*0.000000001</f>
        <v>-0.507695631368261</v>
      </c>
      <c r="T564" s="55" t="n">
        <f aca="false">R564+ROW()*0.000000001</f>
        <v>47.4593051617011</v>
      </c>
    </row>
    <row r="565" customFormat="false" ht="15" hidden="false" customHeight="false" outlineLevel="0" collapsed="false">
      <c r="A565" s="0" t="n">
        <v>13</v>
      </c>
      <c r="B565" s="0" t="n">
        <v>27</v>
      </c>
      <c r="C565" s="0" t="n">
        <f aca="false">-1+A565*0.05</f>
        <v>-0.35</v>
      </c>
      <c r="D565" s="0" t="n">
        <f aca="false">-1+B565*0.05</f>
        <v>0.35</v>
      </c>
      <c r="E565" s="0" t="n">
        <f aca="false">1</f>
        <v>1</v>
      </c>
      <c r="F565" s="0" t="n">
        <f aca="false">C565</f>
        <v>-0.35</v>
      </c>
      <c r="G565" s="0" t="n">
        <f aca="false">D565</f>
        <v>0.35</v>
      </c>
      <c r="H565" s="0" t="n">
        <f aca="false">C565*D565</f>
        <v>-0.1225</v>
      </c>
      <c r="I565" s="0" t="n">
        <f aca="false">C565*C565</f>
        <v>0.1225</v>
      </c>
      <c r="J565" s="0" t="n">
        <f aca="false">D565*D565</f>
        <v>0.1225</v>
      </c>
      <c r="K565" s="0" t="n">
        <f aca="false">SUMPRODUCT(E565:J565,_XtX!$B$53:$G$53)</f>
        <v>47.5124662356322</v>
      </c>
      <c r="L565" s="0" t="n">
        <f aca="false">SUMPRODUCT(MMULT(E565:J565,_XtX!$B$44:$G$49),E565:J565)</f>
        <v>0.17303597341954</v>
      </c>
      <c r="M565" s="0" t="n">
        <f aca="false">04_回帰ANOVA!$K$19*04_回帰ANOVA!$K$14*SQRT(1+L565)</f>
        <v>1.46768291159351</v>
      </c>
      <c r="N565" s="0" t="n">
        <f aca="false">K565-M565</f>
        <v>46.0447833240387</v>
      </c>
      <c r="O565" s="0" t="n">
        <f aca="false">K565+M565</f>
        <v>48.9801491472257</v>
      </c>
      <c r="P565" s="54" t="b">
        <f aca="false">AND(C565&gt;=01_因子設定!$L$5-0.000000001,C565&lt;=01_因子設定!$M$5+0.000000001,D565&gt;=01_因子設定!$L$6-0.000000001,D565&lt;=01_因子設定!$M$6+0.000000001,IF(01_因子設定!$B$20="Box-Behnken",C565^2+D565^2&lt;=2+0.000000001,TRUE()))</f>
        <v>1</v>
      </c>
      <c r="Q565" s="55" t="n">
        <f aca="false">IF(P565,IF(01_因子設定!$B$13="最大化",N565-01_因子設定!$B$14,IF(01_因子設定!$B$13="最小化",01_因子設定!$B$15-O565,MIN(N565-01_因子設定!$B$14,01_因子設定!$B$15-O565))),-1E+030)</f>
        <v>-0.455216675961331</v>
      </c>
      <c r="R565" s="55" t="n">
        <f aca="false">IF(P565,IF(01_因子設定!$B$13="最大化",K565,IF(01_因子設定!$B$13="最小化",-K565,-ABS(K565-01_因子設定!$B$16))),-1E+030)</f>
        <v>47.5124662356322</v>
      </c>
      <c r="S565" s="55" t="n">
        <f aca="false">Q565+ROW()*0.000000001</f>
        <v>-0.455216110961331</v>
      </c>
      <c r="T565" s="55" t="n">
        <f aca="false">R565+ROW()*0.000000001</f>
        <v>47.5124668006322</v>
      </c>
    </row>
    <row r="566" customFormat="false" ht="15" hidden="false" customHeight="false" outlineLevel="0" collapsed="false">
      <c r="A566" s="0" t="n">
        <v>13</v>
      </c>
      <c r="B566" s="0" t="n">
        <v>28</v>
      </c>
      <c r="C566" s="0" t="n">
        <f aca="false">-1+A566*0.05</f>
        <v>-0.35</v>
      </c>
      <c r="D566" s="0" t="n">
        <f aca="false">-1+B566*0.05</f>
        <v>0.4</v>
      </c>
      <c r="E566" s="0" t="n">
        <f aca="false">1</f>
        <v>1</v>
      </c>
      <c r="F566" s="0" t="n">
        <f aca="false">C566</f>
        <v>-0.35</v>
      </c>
      <c r="G566" s="0" t="n">
        <f aca="false">D566</f>
        <v>0.4</v>
      </c>
      <c r="H566" s="0" t="n">
        <f aca="false">C566*D566</f>
        <v>-0.14</v>
      </c>
      <c r="I566" s="0" t="n">
        <f aca="false">C566*C566</f>
        <v>0.1225</v>
      </c>
      <c r="J566" s="0" t="n">
        <f aca="false">D566*D566</f>
        <v>0.16</v>
      </c>
      <c r="K566" s="0" t="n">
        <f aca="false">SUMPRODUCT(E566:J566,_XtX!$B$53:$G$53)</f>
        <v>47.5579123563218</v>
      </c>
      <c r="L566" s="0" t="n">
        <f aca="false">SUMPRODUCT(MMULT(E566:J566,_XtX!$B$44:$G$49),E566:J566)</f>
        <v>0.175244216954023</v>
      </c>
      <c r="M566" s="0" t="n">
        <f aca="false">04_回帰ANOVA!$K$19*04_回帰ANOVA!$K$14*SQRT(1+L566)</f>
        <v>1.46906372066889</v>
      </c>
      <c r="N566" s="0" t="n">
        <f aca="false">K566-M566</f>
        <v>46.088848635653</v>
      </c>
      <c r="O566" s="0" t="n">
        <f aca="false">K566+M566</f>
        <v>49.0269760769907</v>
      </c>
      <c r="P566" s="54" t="b">
        <f aca="false">AND(C566&gt;=01_因子設定!$L$5-0.000000001,C566&lt;=01_因子設定!$M$5+0.000000001,D566&gt;=01_因子設定!$L$6-0.000000001,D566&lt;=01_因子設定!$M$6+0.000000001,IF(01_因子設定!$B$20="Box-Behnken",C566^2+D566^2&lt;=2+0.000000001,TRUE()))</f>
        <v>1</v>
      </c>
      <c r="Q566" s="55" t="n">
        <f aca="false">IF(P566,IF(01_因子設定!$B$13="最大化",N566-01_因子設定!$B$14,IF(01_因子設定!$B$13="最小化",01_因子設定!$B$15-O566,MIN(N566-01_因子設定!$B$14,01_因子設定!$B$15-O566))),-1E+030)</f>
        <v>-0.411151364347049</v>
      </c>
      <c r="R566" s="55" t="n">
        <f aca="false">IF(P566,IF(01_因子設定!$B$13="最大化",K566,IF(01_因子設定!$B$13="最小化",-K566,-ABS(K566-01_因子設定!$B$16))),-1E+030)</f>
        <v>47.5579123563218</v>
      </c>
      <c r="S566" s="55" t="n">
        <f aca="false">Q566+ROW()*0.000000001</f>
        <v>-0.411150798347049</v>
      </c>
      <c r="T566" s="55" t="n">
        <f aca="false">R566+ROW()*0.000000001</f>
        <v>47.5579129223218</v>
      </c>
    </row>
    <row r="567" customFormat="false" ht="15" hidden="false" customHeight="false" outlineLevel="0" collapsed="false">
      <c r="A567" s="0" t="n">
        <v>13</v>
      </c>
      <c r="B567" s="0" t="n">
        <v>29</v>
      </c>
      <c r="C567" s="0" t="n">
        <f aca="false">-1+A567*0.05</f>
        <v>-0.35</v>
      </c>
      <c r="D567" s="0" t="n">
        <f aca="false">-1+B567*0.05</f>
        <v>0.45</v>
      </c>
      <c r="E567" s="0" t="n">
        <f aca="false">1</f>
        <v>1</v>
      </c>
      <c r="F567" s="0" t="n">
        <f aca="false">C567</f>
        <v>-0.35</v>
      </c>
      <c r="G567" s="0" t="n">
        <f aca="false">D567</f>
        <v>0.45</v>
      </c>
      <c r="H567" s="0" t="n">
        <f aca="false">C567*D567</f>
        <v>-0.1575</v>
      </c>
      <c r="I567" s="0" t="n">
        <f aca="false">C567*C567</f>
        <v>0.1225</v>
      </c>
      <c r="J567" s="0" t="n">
        <f aca="false">D567*D567</f>
        <v>0.2025</v>
      </c>
      <c r="K567" s="0" t="n">
        <f aca="false">SUMPRODUCT(E567:J567,_XtX!$B$53:$G$53)</f>
        <v>47.5956429597701</v>
      </c>
      <c r="L567" s="0" t="n">
        <f aca="false">SUMPRODUCT(MMULT(E567:J567,_XtX!$B$44:$G$49),E567:J567)</f>
        <v>0.178977927442529</v>
      </c>
      <c r="M567" s="0" t="n">
        <f aca="false">04_回帰ANOVA!$K$19*04_回帰ANOVA!$K$14*SQRT(1+L567)</f>
        <v>1.47139545265652</v>
      </c>
      <c r="N567" s="0" t="n">
        <f aca="false">K567-M567</f>
        <v>46.1242475071136</v>
      </c>
      <c r="O567" s="0" t="n">
        <f aca="false">K567+M567</f>
        <v>49.0670384124266</v>
      </c>
      <c r="P567" s="54" t="b">
        <f aca="false">AND(C567&gt;=01_因子設定!$L$5-0.000000001,C567&lt;=01_因子設定!$M$5+0.000000001,D567&gt;=01_因子設定!$L$6-0.000000001,D567&lt;=01_因子設定!$M$6+0.000000001,IF(01_因子設定!$B$20="Box-Behnken",C567^2+D567^2&lt;=2+0.000000001,TRUE()))</f>
        <v>1</v>
      </c>
      <c r="Q567" s="55" t="n">
        <f aca="false">IF(P567,IF(01_因子設定!$B$13="最大化",N567-01_因子設定!$B$14,IF(01_因子設定!$B$13="最小化",01_因子設定!$B$15-O567,MIN(N567-01_因子設定!$B$14,01_因子設定!$B$15-O567))),-1E+030)</f>
        <v>-0.375752492886413</v>
      </c>
      <c r="R567" s="55" t="n">
        <f aca="false">IF(P567,IF(01_因子設定!$B$13="最大化",K567,IF(01_因子設定!$B$13="最小化",-K567,-ABS(K567-01_因子設定!$B$16))),-1E+030)</f>
        <v>47.5956429597701</v>
      </c>
      <c r="S567" s="55" t="n">
        <f aca="false">Q567+ROW()*0.000000001</f>
        <v>-0.375751925886413</v>
      </c>
      <c r="T567" s="55" t="n">
        <f aca="false">R567+ROW()*0.000000001</f>
        <v>47.5956435267701</v>
      </c>
    </row>
    <row r="568" customFormat="false" ht="15" hidden="false" customHeight="false" outlineLevel="0" collapsed="false">
      <c r="A568" s="0" t="n">
        <v>13</v>
      </c>
      <c r="B568" s="0" t="n">
        <v>30</v>
      </c>
      <c r="C568" s="0" t="n">
        <f aca="false">-1+A568*0.05</f>
        <v>-0.35</v>
      </c>
      <c r="D568" s="0" t="n">
        <f aca="false">-1+B568*0.05</f>
        <v>0.5</v>
      </c>
      <c r="E568" s="0" t="n">
        <f aca="false">1</f>
        <v>1</v>
      </c>
      <c r="F568" s="0" t="n">
        <f aca="false">C568</f>
        <v>-0.35</v>
      </c>
      <c r="G568" s="0" t="n">
        <f aca="false">D568</f>
        <v>0.5</v>
      </c>
      <c r="H568" s="0" t="n">
        <f aca="false">C568*D568</f>
        <v>-0.175</v>
      </c>
      <c r="I568" s="0" t="n">
        <f aca="false">C568*C568</f>
        <v>0.1225</v>
      </c>
      <c r="J568" s="0" t="n">
        <f aca="false">D568*D568</f>
        <v>0.25</v>
      </c>
      <c r="K568" s="0" t="n">
        <f aca="false">SUMPRODUCT(E568:J568,_XtX!$B$53:$G$53)</f>
        <v>47.625658045977</v>
      </c>
      <c r="L568" s="0" t="n">
        <f aca="false">SUMPRODUCT(MMULT(E568:J568,_XtX!$B$44:$G$49),E568:J568)</f>
        <v>0.184698742816092</v>
      </c>
      <c r="M568" s="0" t="n">
        <f aca="false">04_回帰ANOVA!$K$19*04_回帰ANOVA!$K$14*SQRT(1+L568)</f>
        <v>1.47496099657531</v>
      </c>
      <c r="N568" s="0" t="n">
        <f aca="false">K568-M568</f>
        <v>46.1506970494017</v>
      </c>
      <c r="O568" s="0" t="n">
        <f aca="false">K568+M568</f>
        <v>49.1006190425523</v>
      </c>
      <c r="P568" s="54" t="b">
        <f aca="false">AND(C568&gt;=01_因子設定!$L$5-0.000000001,C568&lt;=01_因子設定!$M$5+0.000000001,D568&gt;=01_因子設定!$L$6-0.000000001,D568&lt;=01_因子設定!$M$6+0.000000001,IF(01_因子設定!$B$20="Box-Behnken",C568^2+D568^2&lt;=2+0.000000001,TRUE()))</f>
        <v>1</v>
      </c>
      <c r="Q568" s="55" t="n">
        <f aca="false">IF(P568,IF(01_因子設定!$B$13="最大化",N568-01_因子設定!$B$14,IF(01_因子設定!$B$13="最小化",01_因子設定!$B$15-O568,MIN(N568-01_因子設定!$B$14,01_因子設定!$B$15-O568))),-1E+030)</f>
        <v>-0.349302950598307</v>
      </c>
      <c r="R568" s="55" t="n">
        <f aca="false">IF(P568,IF(01_因子設定!$B$13="最大化",K568,IF(01_因子設定!$B$13="最小化",-K568,-ABS(K568-01_因子設定!$B$16))),-1E+030)</f>
        <v>47.625658045977</v>
      </c>
      <c r="S568" s="55" t="n">
        <f aca="false">Q568+ROW()*0.000000001</f>
        <v>-0.349302382598307</v>
      </c>
      <c r="T568" s="55" t="n">
        <f aca="false">R568+ROW()*0.000000001</f>
        <v>47.625658613977</v>
      </c>
    </row>
    <row r="569" customFormat="false" ht="15" hidden="false" customHeight="false" outlineLevel="0" collapsed="false">
      <c r="A569" s="0" t="n">
        <v>13</v>
      </c>
      <c r="B569" s="0" t="n">
        <v>31</v>
      </c>
      <c r="C569" s="0" t="n">
        <f aca="false">-1+A569*0.05</f>
        <v>-0.35</v>
      </c>
      <c r="D569" s="0" t="n">
        <f aca="false">-1+B569*0.05</f>
        <v>0.55</v>
      </c>
      <c r="E569" s="0" t="n">
        <f aca="false">1</f>
        <v>1</v>
      </c>
      <c r="F569" s="0" t="n">
        <f aca="false">C569</f>
        <v>-0.35</v>
      </c>
      <c r="G569" s="0" t="n">
        <f aca="false">D569</f>
        <v>0.55</v>
      </c>
      <c r="H569" s="0" t="n">
        <f aca="false">C569*D569</f>
        <v>-0.1925</v>
      </c>
      <c r="I569" s="0" t="n">
        <f aca="false">C569*C569</f>
        <v>0.1225</v>
      </c>
      <c r="J569" s="0" t="n">
        <f aca="false">D569*D569</f>
        <v>0.3025</v>
      </c>
      <c r="K569" s="0" t="n">
        <f aca="false">SUMPRODUCT(E569:J569,_XtX!$B$53:$G$53)</f>
        <v>47.6479576149425</v>
      </c>
      <c r="L569" s="0" t="n">
        <f aca="false">SUMPRODUCT(MMULT(E569:J569,_XtX!$B$44:$G$49),E569:J569)</f>
        <v>0.192922611350575</v>
      </c>
      <c r="M569" s="0" t="n">
        <f aca="false">04_回帰ANOVA!$K$19*04_回帰ANOVA!$K$14*SQRT(1+L569)</f>
        <v>1.48007153945768</v>
      </c>
      <c r="N569" s="0" t="n">
        <f aca="false">K569-M569</f>
        <v>46.1678860754849</v>
      </c>
      <c r="O569" s="0" t="n">
        <f aca="false">K569+M569</f>
        <v>49.1280291544002</v>
      </c>
      <c r="P569" s="54" t="b">
        <f aca="false">AND(C569&gt;=01_因子設定!$L$5-0.000000001,C569&lt;=01_因子設定!$M$5+0.000000001,D569&gt;=01_因子設定!$L$6-0.000000001,D569&lt;=01_因子設定!$M$6+0.000000001,IF(01_因子設定!$B$20="Box-Behnken",C569^2+D569^2&lt;=2+0.000000001,TRUE()))</f>
        <v>1</v>
      </c>
      <c r="Q569" s="55" t="n">
        <f aca="false">IF(P569,IF(01_因子設定!$B$13="最大化",N569-01_因子設定!$B$14,IF(01_因子設定!$B$13="最小化",01_因子設定!$B$15-O569,MIN(N569-01_因子設定!$B$14,01_因子設定!$B$15-O569))),-1E+030)</f>
        <v>-0.332113924515149</v>
      </c>
      <c r="R569" s="55" t="n">
        <f aca="false">IF(P569,IF(01_因子設定!$B$13="最大化",K569,IF(01_因子設定!$B$13="最小化",-K569,-ABS(K569-01_因子設定!$B$16))),-1E+030)</f>
        <v>47.6479576149425</v>
      </c>
      <c r="S569" s="55" t="n">
        <f aca="false">Q569+ROW()*0.000000001</f>
        <v>-0.332113355515149</v>
      </c>
      <c r="T569" s="55" t="n">
        <f aca="false">R569+ROW()*0.000000001</f>
        <v>47.6479581839425</v>
      </c>
    </row>
    <row r="570" customFormat="false" ht="15" hidden="false" customHeight="false" outlineLevel="0" collapsed="false">
      <c r="A570" s="0" t="n">
        <v>13</v>
      </c>
      <c r="B570" s="0" t="n">
        <v>32</v>
      </c>
      <c r="C570" s="0" t="n">
        <f aca="false">-1+A570*0.05</f>
        <v>-0.35</v>
      </c>
      <c r="D570" s="0" t="n">
        <f aca="false">-1+B570*0.05</f>
        <v>0.6</v>
      </c>
      <c r="E570" s="0" t="n">
        <f aca="false">1</f>
        <v>1</v>
      </c>
      <c r="F570" s="0" t="n">
        <f aca="false">C570</f>
        <v>-0.35</v>
      </c>
      <c r="G570" s="0" t="n">
        <f aca="false">D570</f>
        <v>0.6</v>
      </c>
      <c r="H570" s="0" t="n">
        <f aca="false">C570*D570</f>
        <v>-0.21</v>
      </c>
      <c r="I570" s="0" t="n">
        <f aca="false">C570*C570</f>
        <v>0.1225</v>
      </c>
      <c r="J570" s="0" t="n">
        <f aca="false">D570*D570</f>
        <v>0.36</v>
      </c>
      <c r="K570" s="0" t="n">
        <f aca="false">SUMPRODUCT(E570:J570,_XtX!$B$53:$G$53)</f>
        <v>47.6625416666667</v>
      </c>
      <c r="L570" s="0" t="n">
        <f aca="false">SUMPRODUCT(MMULT(E570:J570,_XtX!$B$44:$G$49),E570:J570)</f>
        <v>0.204219791666667</v>
      </c>
      <c r="M570" s="0" t="n">
        <f aca="false">04_回帰ANOVA!$K$19*04_回帰ANOVA!$K$14*SQRT(1+L570)</f>
        <v>1.48706328998387</v>
      </c>
      <c r="N570" s="0" t="n">
        <f aca="false">K570-M570</f>
        <v>46.1754783766828</v>
      </c>
      <c r="O570" s="0" t="n">
        <f aca="false">K570+M570</f>
        <v>49.1496049566505</v>
      </c>
      <c r="P570" s="54" t="b">
        <f aca="false">AND(C570&gt;=01_因子設定!$L$5-0.000000001,C570&lt;=01_因子設定!$M$5+0.000000001,D570&gt;=01_因子設定!$L$6-0.000000001,D570&lt;=01_因子設定!$M$6+0.000000001,IF(01_因子設定!$B$20="Box-Behnken",C570^2+D570^2&lt;=2+0.000000001,TRUE()))</f>
        <v>1</v>
      </c>
      <c r="Q570" s="55" t="n">
        <f aca="false">IF(P570,IF(01_因子設定!$B$13="最大化",N570-01_因子設定!$B$14,IF(01_因子設定!$B$13="最小化",01_因子設定!$B$15-O570,MIN(N570-01_因子設定!$B$14,01_因子設定!$B$15-O570))),-1E+030)</f>
        <v>-0.32452162331721</v>
      </c>
      <c r="R570" s="55" t="n">
        <f aca="false">IF(P570,IF(01_因子設定!$B$13="最大化",K570,IF(01_因子設定!$B$13="最小化",-K570,-ABS(K570-01_因子設定!$B$16))),-1E+030)</f>
        <v>47.6625416666667</v>
      </c>
      <c r="S570" s="55" t="n">
        <f aca="false">Q570+ROW()*0.000000001</f>
        <v>-0.32452105331721</v>
      </c>
      <c r="T570" s="55" t="n">
        <f aca="false">R570+ROW()*0.000000001</f>
        <v>47.6625422366667</v>
      </c>
    </row>
    <row r="571" customFormat="false" ht="15" hidden="false" customHeight="false" outlineLevel="0" collapsed="false">
      <c r="A571" s="0" t="n">
        <v>13</v>
      </c>
      <c r="B571" s="0" t="n">
        <v>33</v>
      </c>
      <c r="C571" s="0" t="n">
        <f aca="false">-1+A571*0.05</f>
        <v>-0.35</v>
      </c>
      <c r="D571" s="0" t="n">
        <f aca="false">-1+B571*0.05</f>
        <v>0.65</v>
      </c>
      <c r="E571" s="0" t="n">
        <f aca="false">1</f>
        <v>1</v>
      </c>
      <c r="F571" s="0" t="n">
        <f aca="false">C571</f>
        <v>-0.35</v>
      </c>
      <c r="G571" s="0" t="n">
        <f aca="false">D571</f>
        <v>0.65</v>
      </c>
      <c r="H571" s="0" t="n">
        <f aca="false">C571*D571</f>
        <v>-0.2275</v>
      </c>
      <c r="I571" s="0" t="n">
        <f aca="false">C571*C571</f>
        <v>0.1225</v>
      </c>
      <c r="J571" s="0" t="n">
        <f aca="false">D571*D571</f>
        <v>0.4225</v>
      </c>
      <c r="K571" s="0" t="n">
        <f aca="false">SUMPRODUCT(E571:J571,_XtX!$B$53:$G$53)</f>
        <v>47.6694102011494</v>
      </c>
      <c r="L571" s="0" t="n">
        <f aca="false">SUMPRODUCT(MMULT(E571:J571,_XtX!$B$44:$G$49),E571:J571)</f>
        <v>0.219214852729885</v>
      </c>
      <c r="M571" s="0" t="n">
        <f aca="false">04_回帰ANOVA!$K$19*04_回帰ANOVA!$K$14*SQRT(1+L571)</f>
        <v>1.49629317382676</v>
      </c>
      <c r="N571" s="0" t="n">
        <f aca="false">K571-M571</f>
        <v>46.1731170273227</v>
      </c>
      <c r="O571" s="0" t="n">
        <f aca="false">K571+M571</f>
        <v>49.1657033749762</v>
      </c>
      <c r="P571" s="54" t="b">
        <f aca="false">AND(C571&gt;=01_因子設定!$L$5-0.000000001,C571&lt;=01_因子設定!$M$5+0.000000001,D571&gt;=01_因子設定!$L$6-0.000000001,D571&lt;=01_因子設定!$M$6+0.000000001,IF(01_因子設定!$B$20="Box-Behnken",C571^2+D571^2&lt;=2+0.000000001,TRUE()))</f>
        <v>1</v>
      </c>
      <c r="Q571" s="55" t="n">
        <f aca="false">IF(P571,IF(01_因子設定!$B$13="最大化",N571-01_因子設定!$B$14,IF(01_因子設定!$B$13="最小化",01_因子設定!$B$15-O571,MIN(N571-01_因子設定!$B$14,01_因子設定!$B$15-O571))),-1E+030)</f>
        <v>-0.326882972677339</v>
      </c>
      <c r="R571" s="55" t="n">
        <f aca="false">IF(P571,IF(01_因子設定!$B$13="最大化",K571,IF(01_因子設定!$B$13="最小化",-K571,-ABS(K571-01_因子設定!$B$16))),-1E+030)</f>
        <v>47.6694102011494</v>
      </c>
      <c r="S571" s="55" t="n">
        <f aca="false">Q571+ROW()*0.000000001</f>
        <v>-0.326882401677339</v>
      </c>
      <c r="T571" s="55" t="n">
        <f aca="false">R571+ROW()*0.000000001</f>
        <v>47.6694107721494</v>
      </c>
    </row>
    <row r="572" customFormat="false" ht="15" hidden="false" customHeight="false" outlineLevel="0" collapsed="false">
      <c r="A572" s="0" t="n">
        <v>13</v>
      </c>
      <c r="B572" s="0" t="n">
        <v>34</v>
      </c>
      <c r="C572" s="0" t="n">
        <f aca="false">-1+A572*0.05</f>
        <v>-0.35</v>
      </c>
      <c r="D572" s="0" t="n">
        <f aca="false">-1+B572*0.05</f>
        <v>0.7</v>
      </c>
      <c r="E572" s="0" t="n">
        <f aca="false">1</f>
        <v>1</v>
      </c>
      <c r="F572" s="0" t="n">
        <f aca="false">C572</f>
        <v>-0.35</v>
      </c>
      <c r="G572" s="0" t="n">
        <f aca="false">D572</f>
        <v>0.7</v>
      </c>
      <c r="H572" s="0" t="n">
        <f aca="false">C572*D572</f>
        <v>-0.245</v>
      </c>
      <c r="I572" s="0" t="n">
        <f aca="false">C572*C572</f>
        <v>0.1225</v>
      </c>
      <c r="J572" s="0" t="n">
        <f aca="false">D572*D572</f>
        <v>0.49</v>
      </c>
      <c r="K572" s="0" t="n">
        <f aca="false">SUMPRODUCT(E572:J572,_XtX!$B$53:$G$53)</f>
        <v>47.6685632183908</v>
      </c>
      <c r="L572" s="0" t="n">
        <f aca="false">SUMPRODUCT(MMULT(E572:J572,_XtX!$B$44:$G$49),E572:J572)</f>
        <v>0.238586673850575</v>
      </c>
      <c r="M572" s="0" t="n">
        <f aca="false">04_回帰ANOVA!$K$19*04_回帰ANOVA!$K$14*SQRT(1+L572)</f>
        <v>1.50813345435958</v>
      </c>
      <c r="N572" s="0" t="n">
        <f aca="false">K572-M572</f>
        <v>46.1604297640312</v>
      </c>
      <c r="O572" s="0" t="n">
        <f aca="false">K572+M572</f>
        <v>49.1766966727504</v>
      </c>
      <c r="P572" s="54" t="b">
        <f aca="false">AND(C572&gt;=01_因子設定!$L$5-0.000000001,C572&lt;=01_因子設定!$M$5+0.000000001,D572&gt;=01_因子設定!$L$6-0.000000001,D572&lt;=01_因子設定!$M$6+0.000000001,IF(01_因子設定!$B$20="Box-Behnken",C572^2+D572^2&lt;=2+0.000000001,TRUE()))</f>
        <v>1</v>
      </c>
      <c r="Q572" s="55" t="n">
        <f aca="false">IF(P572,IF(01_因子設定!$B$13="最大化",N572-01_因子設定!$B$14,IF(01_因子設定!$B$13="最小化",01_因子設定!$B$15-O572,MIN(N572-01_因子設定!$B$14,01_因子設定!$B$15-O572))),-1E+030)</f>
        <v>-0.339570235968772</v>
      </c>
      <c r="R572" s="55" t="n">
        <f aca="false">IF(P572,IF(01_因子設定!$B$13="最大化",K572,IF(01_因子設定!$B$13="最小化",-K572,-ABS(K572-01_因子設定!$B$16))),-1E+030)</f>
        <v>47.6685632183908</v>
      </c>
      <c r="S572" s="55" t="n">
        <f aca="false">Q572+ROW()*0.000000001</f>
        <v>-0.339569663968772</v>
      </c>
      <c r="T572" s="55" t="n">
        <f aca="false">R572+ROW()*0.000000001</f>
        <v>47.6685637903908</v>
      </c>
    </row>
    <row r="573" customFormat="false" ht="15" hidden="false" customHeight="false" outlineLevel="0" collapsed="false">
      <c r="A573" s="0" t="n">
        <v>13</v>
      </c>
      <c r="B573" s="0" t="n">
        <v>35</v>
      </c>
      <c r="C573" s="0" t="n">
        <f aca="false">-1+A573*0.05</f>
        <v>-0.35</v>
      </c>
      <c r="D573" s="0" t="n">
        <f aca="false">-1+B573*0.05</f>
        <v>0.75</v>
      </c>
      <c r="E573" s="0" t="n">
        <f aca="false">1</f>
        <v>1</v>
      </c>
      <c r="F573" s="0" t="n">
        <f aca="false">C573</f>
        <v>-0.35</v>
      </c>
      <c r="G573" s="0" t="n">
        <f aca="false">D573</f>
        <v>0.75</v>
      </c>
      <c r="H573" s="0" t="n">
        <f aca="false">C573*D573</f>
        <v>-0.2625</v>
      </c>
      <c r="I573" s="0" t="n">
        <f aca="false">C573*C573</f>
        <v>0.1225</v>
      </c>
      <c r="J573" s="0" t="n">
        <f aca="false">D573*D573</f>
        <v>0.5625</v>
      </c>
      <c r="K573" s="0" t="n">
        <f aca="false">SUMPRODUCT(E573:J573,_XtX!$B$53:$G$53)</f>
        <v>47.6600007183908</v>
      </c>
      <c r="L573" s="0" t="n">
        <f aca="false">SUMPRODUCT(MMULT(E573:J573,_XtX!$B$44:$G$49),E573:J573)</f>
        <v>0.263068444683908</v>
      </c>
      <c r="M573" s="0" t="n">
        <f aca="false">04_回帰ANOVA!$K$19*04_回帰ANOVA!$K$14*SQRT(1+L573)</f>
        <v>1.52296532344599</v>
      </c>
      <c r="N573" s="0" t="n">
        <f aca="false">K573-M573</f>
        <v>46.1370353949448</v>
      </c>
      <c r="O573" s="0" t="n">
        <f aca="false">K573+M573</f>
        <v>49.1829660418368</v>
      </c>
      <c r="P573" s="54" t="b">
        <f aca="false">AND(C573&gt;=01_因子設定!$L$5-0.000000001,C573&lt;=01_因子設定!$M$5+0.000000001,D573&gt;=01_因子設定!$L$6-0.000000001,D573&lt;=01_因子設定!$M$6+0.000000001,IF(01_因子設定!$B$20="Box-Behnken",C573^2+D573^2&lt;=2+0.000000001,TRUE()))</f>
        <v>1</v>
      </c>
      <c r="Q573" s="55" t="n">
        <f aca="false">IF(P573,IF(01_因子設定!$B$13="最大化",N573-01_因子設定!$B$14,IF(01_因子設定!$B$13="最小化",01_因子設定!$B$15-O573,MIN(N573-01_因子設定!$B$14,01_因子設定!$B$15-O573))),-1E+030)</f>
        <v>-0.362964605055183</v>
      </c>
      <c r="R573" s="55" t="n">
        <f aca="false">IF(P573,IF(01_因子設定!$B$13="最大化",K573,IF(01_因子設定!$B$13="最小化",-K573,-ABS(K573-01_因子設定!$B$16))),-1E+030)</f>
        <v>47.6600007183908</v>
      </c>
      <c r="S573" s="55" t="n">
        <f aca="false">Q573+ROW()*0.000000001</f>
        <v>-0.362964032055183</v>
      </c>
      <c r="T573" s="55" t="n">
        <f aca="false">R573+ROW()*0.000000001</f>
        <v>47.6600012913908</v>
      </c>
    </row>
    <row r="574" customFormat="false" ht="15" hidden="false" customHeight="false" outlineLevel="0" collapsed="false">
      <c r="A574" s="0" t="n">
        <v>13</v>
      </c>
      <c r="B574" s="0" t="n">
        <v>36</v>
      </c>
      <c r="C574" s="0" t="n">
        <f aca="false">-1+A574*0.05</f>
        <v>-0.35</v>
      </c>
      <c r="D574" s="0" t="n">
        <f aca="false">-1+B574*0.05</f>
        <v>0.8</v>
      </c>
      <c r="E574" s="0" t="n">
        <f aca="false">1</f>
        <v>1</v>
      </c>
      <c r="F574" s="0" t="n">
        <f aca="false">C574</f>
        <v>-0.35</v>
      </c>
      <c r="G574" s="0" t="n">
        <f aca="false">D574</f>
        <v>0.8</v>
      </c>
      <c r="H574" s="0" t="n">
        <f aca="false">C574*D574</f>
        <v>-0.28</v>
      </c>
      <c r="I574" s="0" t="n">
        <f aca="false">C574*C574</f>
        <v>0.1225</v>
      </c>
      <c r="J574" s="0" t="n">
        <f aca="false">D574*D574</f>
        <v>0.64</v>
      </c>
      <c r="K574" s="0" t="n">
        <f aca="false">SUMPRODUCT(E574:J574,_XtX!$B$53:$G$53)</f>
        <v>47.6437227011494</v>
      </c>
      <c r="L574" s="0" t="n">
        <f aca="false">SUMPRODUCT(MMULT(E574:J574,_XtX!$B$44:$G$49),E574:J574)</f>
        <v>0.293447665229885</v>
      </c>
      <c r="M574" s="0" t="n">
        <f aca="false">04_回帰ANOVA!$K$19*04_回帰ANOVA!$K$14*SQRT(1+L574)</f>
        <v>1.54117161949579</v>
      </c>
      <c r="N574" s="0" t="n">
        <f aca="false">K574-M574</f>
        <v>46.1025510816536</v>
      </c>
      <c r="O574" s="0" t="n">
        <f aca="false">K574+M574</f>
        <v>49.1848943206452</v>
      </c>
      <c r="P574" s="54" t="b">
        <f aca="false">AND(C574&gt;=01_因子設定!$L$5-0.000000001,C574&lt;=01_因子設定!$M$5+0.000000001,D574&gt;=01_因子設定!$L$6-0.000000001,D574&lt;=01_因子設定!$M$6+0.000000001,IF(01_因子設定!$B$20="Box-Behnken",C574^2+D574^2&lt;=2+0.000000001,TRUE()))</f>
        <v>1</v>
      </c>
      <c r="Q574" s="55" t="n">
        <f aca="false">IF(P574,IF(01_因子設定!$B$13="最大化",N574-01_因子設定!$B$14,IF(01_因子設定!$B$13="最小化",01_因子設定!$B$15-O574,MIN(N574-01_因子設定!$B$14,01_因子設定!$B$15-O574))),-1E+030)</f>
        <v>-0.39744891834637</v>
      </c>
      <c r="R574" s="55" t="n">
        <f aca="false">IF(P574,IF(01_因子設定!$B$13="最大化",K574,IF(01_因子設定!$B$13="最小化",-K574,-ABS(K574-01_因子設定!$B$16))),-1E+030)</f>
        <v>47.6437227011494</v>
      </c>
      <c r="S574" s="55" t="n">
        <f aca="false">Q574+ROW()*0.000000001</f>
        <v>-0.39744834434637</v>
      </c>
      <c r="T574" s="55" t="n">
        <f aca="false">R574+ROW()*0.000000001</f>
        <v>47.6437232751494</v>
      </c>
    </row>
    <row r="575" customFormat="false" ht="15" hidden="false" customHeight="false" outlineLevel="0" collapsed="false">
      <c r="A575" s="0" t="n">
        <v>13</v>
      </c>
      <c r="B575" s="0" t="n">
        <v>37</v>
      </c>
      <c r="C575" s="0" t="n">
        <f aca="false">-1+A575*0.05</f>
        <v>-0.35</v>
      </c>
      <c r="D575" s="0" t="n">
        <f aca="false">-1+B575*0.05</f>
        <v>0.85</v>
      </c>
      <c r="E575" s="0" t="n">
        <f aca="false">1</f>
        <v>1</v>
      </c>
      <c r="F575" s="0" t="n">
        <f aca="false">C575</f>
        <v>-0.35</v>
      </c>
      <c r="G575" s="0" t="n">
        <f aca="false">D575</f>
        <v>0.85</v>
      </c>
      <c r="H575" s="0" t="n">
        <f aca="false">C575*D575</f>
        <v>-0.2975</v>
      </c>
      <c r="I575" s="0" t="n">
        <f aca="false">C575*C575</f>
        <v>0.1225</v>
      </c>
      <c r="J575" s="0" t="n">
        <f aca="false">D575*D575</f>
        <v>0.7225</v>
      </c>
      <c r="K575" s="0" t="n">
        <f aca="false">SUMPRODUCT(E575:J575,_XtX!$B$53:$G$53)</f>
        <v>47.6197291666667</v>
      </c>
      <c r="L575" s="0" t="n">
        <f aca="false">SUMPRODUCT(MMULT(E575:J575,_XtX!$B$44:$G$49),E575:J575)</f>
        <v>0.330566145833333</v>
      </c>
      <c r="M575" s="0" t="n">
        <f aca="false">04_回帰ANOVA!$K$19*04_回帰ANOVA!$K$14*SQRT(1+L575)</f>
        <v>1.5631289515927</v>
      </c>
      <c r="N575" s="0" t="n">
        <f aca="false">K575-M575</f>
        <v>46.056600215074</v>
      </c>
      <c r="O575" s="0" t="n">
        <f aca="false">K575+M575</f>
        <v>49.1828581182594</v>
      </c>
      <c r="P575" s="54" t="b">
        <f aca="false">AND(C575&gt;=01_因子設定!$L$5-0.000000001,C575&lt;=01_因子設定!$M$5+0.000000001,D575&gt;=01_因子設定!$L$6-0.000000001,D575&lt;=01_因子設定!$M$6+0.000000001,IF(01_因子設定!$B$20="Box-Behnken",C575^2+D575^2&lt;=2+0.000000001,TRUE()))</f>
        <v>1</v>
      </c>
      <c r="Q575" s="55" t="n">
        <f aca="false">IF(P575,IF(01_因子設定!$B$13="最大化",N575-01_因子設定!$B$14,IF(01_因子設定!$B$13="最小化",01_因子設定!$B$15-O575,MIN(N575-01_因子設定!$B$14,01_因子設定!$B$15-O575))),-1E+030)</f>
        <v>-0.443399784926029</v>
      </c>
      <c r="R575" s="55" t="n">
        <f aca="false">IF(P575,IF(01_因子設定!$B$13="最大化",K575,IF(01_因子設定!$B$13="最小化",-K575,-ABS(K575-01_因子設定!$B$16))),-1E+030)</f>
        <v>47.6197291666667</v>
      </c>
      <c r="S575" s="55" t="n">
        <f aca="false">Q575+ROW()*0.000000001</f>
        <v>-0.443399209926029</v>
      </c>
      <c r="T575" s="55" t="n">
        <f aca="false">R575+ROW()*0.000000001</f>
        <v>47.6197297416667</v>
      </c>
    </row>
    <row r="576" customFormat="false" ht="15" hidden="false" customHeight="false" outlineLevel="0" collapsed="false">
      <c r="A576" s="0" t="n">
        <v>13</v>
      </c>
      <c r="B576" s="0" t="n">
        <v>38</v>
      </c>
      <c r="C576" s="0" t="n">
        <f aca="false">-1+A576*0.05</f>
        <v>-0.35</v>
      </c>
      <c r="D576" s="0" t="n">
        <f aca="false">-1+B576*0.05</f>
        <v>0.9</v>
      </c>
      <c r="E576" s="0" t="n">
        <f aca="false">1</f>
        <v>1</v>
      </c>
      <c r="F576" s="0" t="n">
        <f aca="false">C576</f>
        <v>-0.35</v>
      </c>
      <c r="G576" s="0" t="n">
        <f aca="false">D576</f>
        <v>0.9</v>
      </c>
      <c r="H576" s="0" t="n">
        <f aca="false">C576*D576</f>
        <v>-0.315</v>
      </c>
      <c r="I576" s="0" t="n">
        <f aca="false">C576*C576</f>
        <v>0.1225</v>
      </c>
      <c r="J576" s="0" t="n">
        <f aca="false">D576*D576</f>
        <v>0.81</v>
      </c>
      <c r="K576" s="0" t="n">
        <f aca="false">SUMPRODUCT(E576:J576,_XtX!$B$53:$G$53)</f>
        <v>47.5880201149425</v>
      </c>
      <c r="L576" s="0" t="n">
        <f aca="false">SUMPRODUCT(MMULT(E576:J576,_XtX!$B$44:$G$49),E576:J576)</f>
        <v>0.375320007183908</v>
      </c>
      <c r="M576" s="0" t="n">
        <f aca="false">04_回帰ANOVA!$K$19*04_回帰ANOVA!$K$14*SQRT(1+L576)</f>
        <v>1.58919962074651</v>
      </c>
      <c r="N576" s="0" t="n">
        <f aca="false">K576-M576</f>
        <v>45.998820494196</v>
      </c>
      <c r="O576" s="0" t="n">
        <f aca="false">K576+M576</f>
        <v>49.177219735689</v>
      </c>
      <c r="P576" s="54" t="b">
        <f aca="false">AND(C576&gt;=01_因子設定!$L$5-0.000000001,C576&lt;=01_因子設定!$M$5+0.000000001,D576&gt;=01_因子設定!$L$6-0.000000001,D576&lt;=01_因子設定!$M$6+0.000000001,IF(01_因子設定!$B$20="Box-Behnken",C576^2+D576^2&lt;=2+0.000000001,TRUE()))</f>
        <v>1</v>
      </c>
      <c r="Q576" s="55" t="n">
        <f aca="false">IF(P576,IF(01_因子設定!$B$13="最大化",N576-01_因子設定!$B$14,IF(01_因子設定!$B$13="最小化",01_因子設定!$B$15-O576,MIN(N576-01_因子設定!$B$14,01_因子設定!$B$15-O576))),-1E+030)</f>
        <v>-0.501179505803975</v>
      </c>
      <c r="R576" s="55" t="n">
        <f aca="false">IF(P576,IF(01_因子設定!$B$13="最大化",K576,IF(01_因子設定!$B$13="最小化",-K576,-ABS(K576-01_因子設定!$B$16))),-1E+030)</f>
        <v>47.5880201149425</v>
      </c>
      <c r="S576" s="55" t="n">
        <f aca="false">Q576+ROW()*0.000000001</f>
        <v>-0.501178929803975</v>
      </c>
      <c r="T576" s="55" t="n">
        <f aca="false">R576+ROW()*0.000000001</f>
        <v>47.5880206909425</v>
      </c>
    </row>
    <row r="577" customFormat="false" ht="15" hidden="false" customHeight="false" outlineLevel="0" collapsed="false">
      <c r="A577" s="0" t="n">
        <v>13</v>
      </c>
      <c r="B577" s="0" t="n">
        <v>39</v>
      </c>
      <c r="C577" s="0" t="n">
        <f aca="false">-1+A577*0.05</f>
        <v>-0.35</v>
      </c>
      <c r="D577" s="0" t="n">
        <f aca="false">-1+B577*0.05</f>
        <v>0.95</v>
      </c>
      <c r="E577" s="0" t="n">
        <f aca="false">1</f>
        <v>1</v>
      </c>
      <c r="F577" s="0" t="n">
        <f aca="false">C577</f>
        <v>-0.35</v>
      </c>
      <c r="G577" s="0" t="n">
        <f aca="false">D577</f>
        <v>0.95</v>
      </c>
      <c r="H577" s="0" t="n">
        <f aca="false">C577*D577</f>
        <v>-0.3325</v>
      </c>
      <c r="I577" s="0" t="n">
        <f aca="false">C577*C577</f>
        <v>0.1225</v>
      </c>
      <c r="J577" s="0" t="n">
        <f aca="false">D577*D577</f>
        <v>0.9025</v>
      </c>
      <c r="K577" s="0" t="n">
        <f aca="false">SUMPRODUCT(E577:J577,_XtX!$B$53:$G$53)</f>
        <v>47.548595545977</v>
      </c>
      <c r="L577" s="0" t="n">
        <f aca="false">SUMPRODUCT(MMULT(E577:J577,_XtX!$B$44:$G$49),E577:J577)</f>
        <v>0.428659680316092</v>
      </c>
      <c r="M577" s="0" t="n">
        <f aca="false">04_回帰ANOVA!$K$19*04_回帰ANOVA!$K$14*SQRT(1+L577)</f>
        <v>1.6197238101874</v>
      </c>
      <c r="N577" s="0" t="n">
        <f aca="false">K577-M577</f>
        <v>45.9288717357896</v>
      </c>
      <c r="O577" s="0" t="n">
        <f aca="false">K577+M577</f>
        <v>49.1683193561644</v>
      </c>
      <c r="P577" s="54" t="b">
        <f aca="false">AND(C577&gt;=01_因子設定!$L$5-0.000000001,C577&lt;=01_因子設定!$M$5+0.000000001,D577&gt;=01_因子設定!$L$6-0.000000001,D577&lt;=01_因子設定!$M$6+0.000000001,IF(01_因子設定!$B$20="Box-Behnken",C577^2+D577^2&lt;=2+0.000000001,TRUE()))</f>
        <v>1</v>
      </c>
      <c r="Q577" s="55" t="n">
        <f aca="false">IF(P577,IF(01_因子設定!$B$13="最大化",N577-01_因子設定!$B$14,IF(01_因子設定!$B$13="最小化",01_因子設定!$B$15-O577,MIN(N577-01_因子設定!$B$14,01_因子設定!$B$15-O577))),-1E+030)</f>
        <v>-0.571128264210394</v>
      </c>
      <c r="R577" s="55" t="n">
        <f aca="false">IF(P577,IF(01_因子設定!$B$13="最大化",K577,IF(01_因子設定!$B$13="最小化",-K577,-ABS(K577-01_因子設定!$B$16))),-1E+030)</f>
        <v>47.548595545977</v>
      </c>
      <c r="S577" s="55" t="n">
        <f aca="false">Q577+ROW()*0.000000001</f>
        <v>-0.571127687210394</v>
      </c>
      <c r="T577" s="55" t="n">
        <f aca="false">R577+ROW()*0.000000001</f>
        <v>47.548596122977</v>
      </c>
    </row>
    <row r="578" customFormat="false" ht="15" hidden="false" customHeight="false" outlineLevel="0" collapsed="false">
      <c r="A578" s="0" t="n">
        <v>13</v>
      </c>
      <c r="B578" s="0" t="n">
        <v>40</v>
      </c>
      <c r="C578" s="0" t="n">
        <f aca="false">-1+A578*0.05</f>
        <v>-0.35</v>
      </c>
      <c r="D578" s="0" t="n">
        <f aca="false">-1+B578*0.05</f>
        <v>1</v>
      </c>
      <c r="E578" s="0" t="n">
        <f aca="false">1</f>
        <v>1</v>
      </c>
      <c r="F578" s="0" t="n">
        <f aca="false">C578</f>
        <v>-0.35</v>
      </c>
      <c r="G578" s="0" t="n">
        <f aca="false">D578</f>
        <v>1</v>
      </c>
      <c r="H578" s="0" t="n">
        <f aca="false">C578*D578</f>
        <v>-0.35</v>
      </c>
      <c r="I578" s="0" t="n">
        <f aca="false">C578*C578</f>
        <v>0.1225</v>
      </c>
      <c r="J578" s="0" t="n">
        <f aca="false">D578*D578</f>
        <v>1</v>
      </c>
      <c r="K578" s="0" t="n">
        <f aca="false">SUMPRODUCT(E578:J578,_XtX!$B$53:$G$53)</f>
        <v>47.5014554597701</v>
      </c>
      <c r="L578" s="0" t="n">
        <f aca="false">SUMPRODUCT(MMULT(E578:J578,_XtX!$B$44:$G$49),E578:J578)</f>
        <v>0.491589906609195</v>
      </c>
      <c r="M578" s="0" t="n">
        <f aca="false">04_回帰ANOVA!$K$19*04_回帰ANOVA!$K$14*SQRT(1+L578)</f>
        <v>1.65501254570079</v>
      </c>
      <c r="N578" s="0" t="n">
        <f aca="false">K578-M578</f>
        <v>45.8464429140693</v>
      </c>
      <c r="O578" s="0" t="n">
        <f aca="false">K578+M578</f>
        <v>49.1564680054709</v>
      </c>
      <c r="P578" s="54" t="b">
        <f aca="false">AND(C578&gt;=01_因子設定!$L$5-0.000000001,C578&lt;=01_因子設定!$M$5+0.000000001,D578&gt;=01_因子設定!$L$6-0.000000001,D578&lt;=01_因子設定!$M$6+0.000000001,IF(01_因子設定!$B$20="Box-Behnken",C578^2+D578^2&lt;=2+0.000000001,TRUE()))</f>
        <v>1</v>
      </c>
      <c r="Q578" s="55" t="n">
        <f aca="false">IF(P578,IF(01_因子設定!$B$13="最大化",N578-01_因子設定!$B$14,IF(01_因子設定!$B$13="最小化",01_因子設定!$B$15-O578,MIN(N578-01_因子設定!$B$14,01_因子設定!$B$15-O578))),-1E+030)</f>
        <v>-0.653557085930672</v>
      </c>
      <c r="R578" s="55" t="n">
        <f aca="false">IF(P578,IF(01_因子設定!$B$13="最大化",K578,IF(01_因子設定!$B$13="最小化",-K578,-ABS(K578-01_因子設定!$B$16))),-1E+030)</f>
        <v>47.5014554597701</v>
      </c>
      <c r="S578" s="55" t="n">
        <f aca="false">Q578+ROW()*0.000000001</f>
        <v>-0.653556507930672</v>
      </c>
      <c r="T578" s="55" t="n">
        <f aca="false">R578+ROW()*0.000000001</f>
        <v>47.5014560377701</v>
      </c>
    </row>
    <row r="579" customFormat="false" ht="15" hidden="false" customHeight="false" outlineLevel="0" collapsed="false">
      <c r="A579" s="0" t="n">
        <v>14</v>
      </c>
      <c r="B579" s="0" t="n">
        <v>0</v>
      </c>
      <c r="C579" s="0" t="n">
        <f aca="false">-1+A579*0.05</f>
        <v>-0.3</v>
      </c>
      <c r="D579" s="0" t="n">
        <f aca="false">-1+B579*0.05</f>
        <v>-1</v>
      </c>
      <c r="E579" s="0" t="n">
        <f aca="false">1</f>
        <v>1</v>
      </c>
      <c r="F579" s="0" t="n">
        <f aca="false">C579</f>
        <v>-0.3</v>
      </c>
      <c r="G579" s="0" t="n">
        <f aca="false">D579</f>
        <v>-1</v>
      </c>
      <c r="H579" s="0" t="n">
        <f aca="false">C579*D579</f>
        <v>0.3</v>
      </c>
      <c r="I579" s="0" t="n">
        <f aca="false">C579*C579</f>
        <v>0.09</v>
      </c>
      <c r="J579" s="0" t="n">
        <f aca="false">D579*D579</f>
        <v>1</v>
      </c>
      <c r="K579" s="0" t="n">
        <f aca="false">SUMPRODUCT(E579:J579,_XtX!$B$53:$G$53)</f>
        <v>43.5376896551724</v>
      </c>
      <c r="L579" s="0" t="n">
        <f aca="false">SUMPRODUCT(MMULT(E579:J579,_XtX!$B$44:$G$49),E579:J579)</f>
        <v>0.491237356321839</v>
      </c>
      <c r="M579" s="0" t="n">
        <f aca="false">04_回帰ANOVA!$K$19*04_回帰ANOVA!$K$14*SQRT(1+L579)</f>
        <v>1.65481694581525</v>
      </c>
      <c r="N579" s="0" t="n">
        <f aca="false">K579-M579</f>
        <v>41.8828727093572</v>
      </c>
      <c r="O579" s="0" t="n">
        <f aca="false">K579+M579</f>
        <v>45.1925066009877</v>
      </c>
      <c r="P579" s="54" t="b">
        <f aca="false">AND(C579&gt;=01_因子設定!$L$5-0.000000001,C579&lt;=01_因子設定!$M$5+0.000000001,D579&gt;=01_因子設定!$L$6-0.000000001,D579&lt;=01_因子設定!$M$6+0.000000001,IF(01_因子設定!$B$20="Box-Behnken",C579^2+D579^2&lt;=2+0.000000001,TRUE()))</f>
        <v>1</v>
      </c>
      <c r="Q579" s="55" t="n">
        <f aca="false">IF(P579,IF(01_因子設定!$B$13="最大化",N579-01_因子設定!$B$14,IF(01_因子設定!$B$13="最小化",01_因子設定!$B$15-O579,MIN(N579-01_因子設定!$B$14,01_因子設定!$B$15-O579))),-1E+030)</f>
        <v>-4.61712729064283</v>
      </c>
      <c r="R579" s="55" t="n">
        <f aca="false">IF(P579,IF(01_因子設定!$B$13="最大化",K579,IF(01_因子設定!$B$13="最小化",-K579,-ABS(K579-01_因子設定!$B$16))),-1E+030)</f>
        <v>43.5376896551724</v>
      </c>
      <c r="S579" s="55" t="n">
        <f aca="false">Q579+ROW()*0.000000001</f>
        <v>-4.61712671164283</v>
      </c>
      <c r="T579" s="55" t="n">
        <f aca="false">R579+ROW()*0.000000001</f>
        <v>43.5376902341724</v>
      </c>
    </row>
    <row r="580" customFormat="false" ht="15" hidden="false" customHeight="false" outlineLevel="0" collapsed="false">
      <c r="A580" s="0" t="n">
        <v>14</v>
      </c>
      <c r="B580" s="0" t="n">
        <v>1</v>
      </c>
      <c r="C580" s="0" t="n">
        <f aca="false">-1+A580*0.05</f>
        <v>-0.3</v>
      </c>
      <c r="D580" s="0" t="n">
        <f aca="false">-1+B580*0.05</f>
        <v>-0.95</v>
      </c>
      <c r="E580" s="0" t="n">
        <f aca="false">1</f>
        <v>1</v>
      </c>
      <c r="F580" s="0" t="n">
        <f aca="false">C580</f>
        <v>-0.3</v>
      </c>
      <c r="G580" s="0" t="n">
        <f aca="false">D580</f>
        <v>-0.95</v>
      </c>
      <c r="H580" s="0" t="n">
        <f aca="false">C580*D580</f>
        <v>0.285</v>
      </c>
      <c r="I580" s="0" t="n">
        <f aca="false">C580*C580</f>
        <v>0.09</v>
      </c>
      <c r="J580" s="0" t="n">
        <f aca="false">D580*D580</f>
        <v>0.9025</v>
      </c>
      <c r="K580" s="0" t="n">
        <f aca="false">SUMPRODUCT(E580:J580,_XtX!$B$53:$G$53)</f>
        <v>43.7927672413793</v>
      </c>
      <c r="L580" s="0" t="n">
        <f aca="false">SUMPRODUCT(MMULT(E580:J580,_XtX!$B$44:$G$49),E580:J580)</f>
        <v>0.428225179597701</v>
      </c>
      <c r="M580" s="0" t="n">
        <f aca="false">04_回帰ANOVA!$K$19*04_回帰ANOVA!$K$14*SQRT(1+L580)</f>
        <v>1.61947748676737</v>
      </c>
      <c r="N580" s="0" t="n">
        <f aca="false">K580-M580</f>
        <v>42.1732897546119</v>
      </c>
      <c r="O580" s="0" t="n">
        <f aca="false">K580+M580</f>
        <v>45.4122447281467</v>
      </c>
      <c r="P580" s="54" t="b">
        <f aca="false">AND(C580&gt;=01_因子設定!$L$5-0.000000001,C580&lt;=01_因子設定!$M$5+0.000000001,D580&gt;=01_因子設定!$L$6-0.000000001,D580&lt;=01_因子設定!$M$6+0.000000001,IF(01_因子設定!$B$20="Box-Behnken",C580^2+D580^2&lt;=2+0.000000001,TRUE()))</f>
        <v>1</v>
      </c>
      <c r="Q580" s="55" t="n">
        <f aca="false">IF(P580,IF(01_因子設定!$B$13="最大化",N580-01_因子設定!$B$14,IF(01_因子設定!$B$13="最小化",01_因子設定!$B$15-O580,MIN(N580-01_因子設定!$B$14,01_因子設定!$B$15-O580))),-1E+030)</f>
        <v>-4.32671024538806</v>
      </c>
      <c r="R580" s="55" t="n">
        <f aca="false">IF(P580,IF(01_因子設定!$B$13="最大化",K580,IF(01_因子設定!$B$13="最小化",-K580,-ABS(K580-01_因子設定!$B$16))),-1E+030)</f>
        <v>43.7927672413793</v>
      </c>
      <c r="S580" s="55" t="n">
        <f aca="false">Q580+ROW()*0.000000001</f>
        <v>-4.32670966538806</v>
      </c>
      <c r="T580" s="55" t="n">
        <f aca="false">R580+ROW()*0.000000001</f>
        <v>43.7927678213793</v>
      </c>
    </row>
    <row r="581" customFormat="false" ht="15" hidden="false" customHeight="false" outlineLevel="0" collapsed="false">
      <c r="A581" s="0" t="n">
        <v>14</v>
      </c>
      <c r="B581" s="0" t="n">
        <v>2</v>
      </c>
      <c r="C581" s="0" t="n">
        <f aca="false">-1+A581*0.05</f>
        <v>-0.3</v>
      </c>
      <c r="D581" s="0" t="n">
        <f aca="false">-1+B581*0.05</f>
        <v>-0.9</v>
      </c>
      <c r="E581" s="0" t="n">
        <f aca="false">1</f>
        <v>1</v>
      </c>
      <c r="F581" s="0" t="n">
        <f aca="false">C581</f>
        <v>-0.3</v>
      </c>
      <c r="G581" s="0" t="n">
        <f aca="false">D581</f>
        <v>-0.9</v>
      </c>
      <c r="H581" s="0" t="n">
        <f aca="false">C581*D581</f>
        <v>0.27</v>
      </c>
      <c r="I581" s="0" t="n">
        <f aca="false">C581*C581</f>
        <v>0.09</v>
      </c>
      <c r="J581" s="0" t="n">
        <f aca="false">D581*D581</f>
        <v>0.81</v>
      </c>
      <c r="K581" s="0" t="n">
        <f aca="false">SUMPRODUCT(E581:J581,_XtX!$B$53:$G$53)</f>
        <v>44.0401293103448</v>
      </c>
      <c r="L581" s="0" t="n">
        <f aca="false">SUMPRODUCT(MMULT(E581:J581,_XtX!$B$44:$G$49),E581:J581)</f>
        <v>0.37480775862069</v>
      </c>
      <c r="M581" s="0" t="n">
        <f aca="false">04_回帰ANOVA!$K$19*04_回帰ANOVA!$K$14*SQRT(1+L581)</f>
        <v>1.58890363834478</v>
      </c>
      <c r="N581" s="0" t="n">
        <f aca="false">K581-M581</f>
        <v>42.4512256720001</v>
      </c>
      <c r="O581" s="0" t="n">
        <f aca="false">K581+M581</f>
        <v>45.6290329486896</v>
      </c>
      <c r="P581" s="54" t="b">
        <f aca="false">AND(C581&gt;=01_因子設定!$L$5-0.000000001,C581&lt;=01_因子設定!$M$5+0.000000001,D581&gt;=01_因子設定!$L$6-0.000000001,D581&lt;=01_因子設定!$M$6+0.000000001,IF(01_因子設定!$B$20="Box-Behnken",C581^2+D581^2&lt;=2+0.000000001,TRUE()))</f>
        <v>1</v>
      </c>
      <c r="Q581" s="55" t="n">
        <f aca="false">IF(P581,IF(01_因子設定!$B$13="最大化",N581-01_因子設定!$B$14,IF(01_因子設定!$B$13="最小化",01_因子設定!$B$15-O581,MIN(N581-01_因子設定!$B$14,01_因子設定!$B$15-O581))),-1E+030)</f>
        <v>-4.04877432799995</v>
      </c>
      <c r="R581" s="55" t="n">
        <f aca="false">IF(P581,IF(01_因子設定!$B$13="最大化",K581,IF(01_因子設定!$B$13="最小化",-K581,-ABS(K581-01_因子設定!$B$16))),-1E+030)</f>
        <v>44.0401293103448</v>
      </c>
      <c r="S581" s="55" t="n">
        <f aca="false">Q581+ROW()*0.000000001</f>
        <v>-4.04877374699995</v>
      </c>
      <c r="T581" s="55" t="n">
        <f aca="false">R581+ROW()*0.000000001</f>
        <v>44.0401298913448</v>
      </c>
    </row>
    <row r="582" customFormat="false" ht="15" hidden="false" customHeight="false" outlineLevel="0" collapsed="false">
      <c r="A582" s="0" t="n">
        <v>14</v>
      </c>
      <c r="B582" s="0" t="n">
        <v>3</v>
      </c>
      <c r="C582" s="0" t="n">
        <f aca="false">-1+A582*0.05</f>
        <v>-0.3</v>
      </c>
      <c r="D582" s="0" t="n">
        <f aca="false">-1+B582*0.05</f>
        <v>-0.85</v>
      </c>
      <c r="E582" s="0" t="n">
        <f aca="false">1</f>
        <v>1</v>
      </c>
      <c r="F582" s="0" t="n">
        <f aca="false">C582</f>
        <v>-0.3</v>
      </c>
      <c r="G582" s="0" t="n">
        <f aca="false">D582</f>
        <v>-0.85</v>
      </c>
      <c r="H582" s="0" t="n">
        <f aca="false">C582*D582</f>
        <v>0.255</v>
      </c>
      <c r="I582" s="0" t="n">
        <f aca="false">C582*C582</f>
        <v>0.09</v>
      </c>
      <c r="J582" s="0" t="n">
        <f aca="false">D582*D582</f>
        <v>0.7225</v>
      </c>
      <c r="K582" s="0" t="n">
        <f aca="false">SUMPRODUCT(E582:J582,_XtX!$B$53:$G$53)</f>
        <v>44.279775862069</v>
      </c>
      <c r="L582" s="0" t="n">
        <f aca="false">SUMPRODUCT(MMULT(E582:J582,_XtX!$B$44:$G$49),E582:J582)</f>
        <v>0.329980352011494</v>
      </c>
      <c r="M582" s="0" t="n">
        <f aca="false">04_回帰ANOVA!$K$19*04_回帰ANOVA!$K$14*SQRT(1+L582)</f>
        <v>1.56278482285818</v>
      </c>
      <c r="N582" s="0" t="n">
        <f aca="false">K582-M582</f>
        <v>42.7169910392108</v>
      </c>
      <c r="O582" s="0" t="n">
        <f aca="false">K582+M582</f>
        <v>45.8425606849271</v>
      </c>
      <c r="P582" s="54" t="b">
        <f aca="false">AND(C582&gt;=01_因子設定!$L$5-0.000000001,C582&lt;=01_因子設定!$M$5+0.000000001,D582&gt;=01_因子設定!$L$6-0.000000001,D582&lt;=01_因子設定!$M$6+0.000000001,IF(01_因子設定!$B$20="Box-Behnken",C582^2+D582^2&lt;=2+0.000000001,TRUE()))</f>
        <v>1</v>
      </c>
      <c r="Q582" s="55" t="n">
        <f aca="false">IF(P582,IF(01_因子設定!$B$13="最大化",N582-01_因子設定!$B$14,IF(01_因子設定!$B$13="最小化",01_因子設定!$B$15-O582,MIN(N582-01_因子設定!$B$14,01_因子設定!$B$15-O582))),-1E+030)</f>
        <v>-3.78300896078921</v>
      </c>
      <c r="R582" s="55" t="n">
        <f aca="false">IF(P582,IF(01_因子設定!$B$13="最大化",K582,IF(01_因子設定!$B$13="最小化",-K582,-ABS(K582-01_因子設定!$B$16))),-1E+030)</f>
        <v>44.279775862069</v>
      </c>
      <c r="S582" s="55" t="n">
        <f aca="false">Q582+ROW()*0.000000001</f>
        <v>-3.78300837878921</v>
      </c>
      <c r="T582" s="55" t="n">
        <f aca="false">R582+ROW()*0.000000001</f>
        <v>44.279776444069</v>
      </c>
    </row>
    <row r="583" customFormat="false" ht="15" hidden="false" customHeight="false" outlineLevel="0" collapsed="false">
      <c r="A583" s="0" t="n">
        <v>14</v>
      </c>
      <c r="B583" s="0" t="n">
        <v>4</v>
      </c>
      <c r="C583" s="0" t="n">
        <f aca="false">-1+A583*0.05</f>
        <v>-0.3</v>
      </c>
      <c r="D583" s="0" t="n">
        <f aca="false">-1+B583*0.05</f>
        <v>-0.8</v>
      </c>
      <c r="E583" s="0" t="n">
        <f aca="false">1</f>
        <v>1</v>
      </c>
      <c r="F583" s="0" t="n">
        <f aca="false">C583</f>
        <v>-0.3</v>
      </c>
      <c r="G583" s="0" t="n">
        <f aca="false">D583</f>
        <v>-0.8</v>
      </c>
      <c r="H583" s="0" t="n">
        <f aca="false">C583*D583</f>
        <v>0.24</v>
      </c>
      <c r="I583" s="0" t="n">
        <f aca="false">C583*C583</f>
        <v>0.09</v>
      </c>
      <c r="J583" s="0" t="n">
        <f aca="false">D583*D583</f>
        <v>0.64</v>
      </c>
      <c r="K583" s="0" t="n">
        <f aca="false">SUMPRODUCT(E583:J583,_XtX!$B$53:$G$53)</f>
        <v>44.5117068965517</v>
      </c>
      <c r="L583" s="0" t="n">
        <f aca="false">SUMPRODUCT(MMULT(E583:J583,_XtX!$B$44:$G$49),E583:J583)</f>
        <v>0.292792528735632</v>
      </c>
      <c r="M583" s="0" t="n">
        <f aca="false">04_回帰ANOVA!$K$19*04_回帰ANOVA!$K$14*SQRT(1+L583)</f>
        <v>1.54078126521906</v>
      </c>
      <c r="N583" s="0" t="n">
        <f aca="false">K583-M583</f>
        <v>42.9709256313327</v>
      </c>
      <c r="O583" s="0" t="n">
        <f aca="false">K583+M583</f>
        <v>46.0524881617708</v>
      </c>
      <c r="P583" s="54" t="b">
        <f aca="false">AND(C583&gt;=01_因子設定!$L$5-0.000000001,C583&lt;=01_因子設定!$M$5+0.000000001,D583&gt;=01_因子設定!$L$6-0.000000001,D583&lt;=01_因子設定!$M$6+0.000000001,IF(01_因子設定!$B$20="Box-Behnken",C583^2+D583^2&lt;=2+0.000000001,TRUE()))</f>
        <v>1</v>
      </c>
      <c r="Q583" s="55" t="n">
        <f aca="false">IF(P583,IF(01_因子設定!$B$13="最大化",N583-01_因子設定!$B$14,IF(01_因子設定!$B$13="最小化",01_因子設定!$B$15-O583,MIN(N583-01_因子設定!$B$14,01_因子設定!$B$15-O583))),-1E+030)</f>
        <v>-3.52907436866734</v>
      </c>
      <c r="R583" s="55" t="n">
        <f aca="false">IF(P583,IF(01_因子設定!$B$13="最大化",K583,IF(01_因子設定!$B$13="最小化",-K583,-ABS(K583-01_因子設定!$B$16))),-1E+030)</f>
        <v>44.5117068965517</v>
      </c>
      <c r="S583" s="55" t="n">
        <f aca="false">Q583+ROW()*0.000000001</f>
        <v>-3.52907378566734</v>
      </c>
      <c r="T583" s="55" t="n">
        <f aca="false">R583+ROW()*0.000000001</f>
        <v>44.5117074795517</v>
      </c>
    </row>
    <row r="584" customFormat="false" ht="15" hidden="false" customHeight="false" outlineLevel="0" collapsed="false">
      <c r="A584" s="0" t="n">
        <v>14</v>
      </c>
      <c r="B584" s="0" t="n">
        <v>5</v>
      </c>
      <c r="C584" s="0" t="n">
        <f aca="false">-1+A584*0.05</f>
        <v>-0.3</v>
      </c>
      <c r="D584" s="0" t="n">
        <f aca="false">-1+B584*0.05</f>
        <v>-0.75</v>
      </c>
      <c r="E584" s="0" t="n">
        <f aca="false">1</f>
        <v>1</v>
      </c>
      <c r="F584" s="0" t="n">
        <f aca="false">C584</f>
        <v>-0.3</v>
      </c>
      <c r="G584" s="0" t="n">
        <f aca="false">D584</f>
        <v>-0.75</v>
      </c>
      <c r="H584" s="0" t="n">
        <f aca="false">C584*D584</f>
        <v>0.225</v>
      </c>
      <c r="I584" s="0" t="n">
        <f aca="false">C584*C584</f>
        <v>0.09</v>
      </c>
      <c r="J584" s="0" t="n">
        <f aca="false">D584*D584</f>
        <v>0.5625</v>
      </c>
      <c r="K584" s="0" t="n">
        <f aca="false">SUMPRODUCT(E584:J584,_XtX!$B$53:$G$53)</f>
        <v>44.7359224137931</v>
      </c>
      <c r="L584" s="0" t="n">
        <f aca="false">SUMPRODUCT(MMULT(E584:J584,_XtX!$B$44:$G$49),E584:J584)</f>
        <v>0.262348168103448</v>
      </c>
      <c r="M584" s="0" t="n">
        <f aca="false">04_回帰ANOVA!$K$19*04_回帰ANOVA!$K$14*SQRT(1+L584)</f>
        <v>1.52253101891881</v>
      </c>
      <c r="N584" s="0" t="n">
        <f aca="false">K584-M584</f>
        <v>43.2133913948743</v>
      </c>
      <c r="O584" s="0" t="n">
        <f aca="false">K584+M584</f>
        <v>46.2584534327119</v>
      </c>
      <c r="P584" s="54" t="b">
        <f aca="false">AND(C584&gt;=01_因子設定!$L$5-0.000000001,C584&lt;=01_因子設定!$M$5+0.000000001,D584&gt;=01_因子設定!$L$6-0.000000001,D584&lt;=01_因子設定!$M$6+0.000000001,IF(01_因子設定!$B$20="Box-Behnken",C584^2+D584^2&lt;=2+0.000000001,TRUE()))</f>
        <v>1</v>
      </c>
      <c r="Q584" s="55" t="n">
        <f aca="false">IF(P584,IF(01_因子設定!$B$13="最大化",N584-01_因子設定!$B$14,IF(01_因子設定!$B$13="最小化",01_因子設定!$B$15-O584,MIN(N584-01_因子設定!$B$14,01_因子設定!$B$15-O584))),-1E+030)</f>
        <v>-3.2866086051257</v>
      </c>
      <c r="R584" s="55" t="n">
        <f aca="false">IF(P584,IF(01_因子設定!$B$13="最大化",K584,IF(01_因子設定!$B$13="最小化",-K584,-ABS(K584-01_因子設定!$B$16))),-1E+030)</f>
        <v>44.7359224137931</v>
      </c>
      <c r="S584" s="55" t="n">
        <f aca="false">Q584+ROW()*0.000000001</f>
        <v>-3.2866080211257</v>
      </c>
      <c r="T584" s="55" t="n">
        <f aca="false">R584+ROW()*0.000000001</f>
        <v>44.7359229977931</v>
      </c>
    </row>
    <row r="585" customFormat="false" ht="15" hidden="false" customHeight="false" outlineLevel="0" collapsed="false">
      <c r="A585" s="0" t="n">
        <v>14</v>
      </c>
      <c r="B585" s="0" t="n">
        <v>6</v>
      </c>
      <c r="C585" s="0" t="n">
        <f aca="false">-1+A585*0.05</f>
        <v>-0.3</v>
      </c>
      <c r="D585" s="0" t="n">
        <f aca="false">-1+B585*0.05</f>
        <v>-0.7</v>
      </c>
      <c r="E585" s="0" t="n">
        <f aca="false">1</f>
        <v>1</v>
      </c>
      <c r="F585" s="0" t="n">
        <f aca="false">C585</f>
        <v>-0.3</v>
      </c>
      <c r="G585" s="0" t="n">
        <f aca="false">D585</f>
        <v>-0.7</v>
      </c>
      <c r="H585" s="0" t="n">
        <f aca="false">C585*D585</f>
        <v>0.21</v>
      </c>
      <c r="I585" s="0" t="n">
        <f aca="false">C585*C585</f>
        <v>0.09</v>
      </c>
      <c r="J585" s="0" t="n">
        <f aca="false">D585*D585</f>
        <v>0.49</v>
      </c>
      <c r="K585" s="0" t="n">
        <f aca="false">SUMPRODUCT(E585:J585,_XtX!$B$53:$G$53)</f>
        <v>44.9524224137931</v>
      </c>
      <c r="L585" s="0" t="n">
        <f aca="false">SUMPRODUCT(MMULT(E585:J585,_XtX!$B$44:$G$49),E585:J585)</f>
        <v>0.237805459770115</v>
      </c>
      <c r="M585" s="0" t="n">
        <f aca="false">04_回帰ANOVA!$K$19*04_回帰ANOVA!$K$14*SQRT(1+L585)</f>
        <v>1.50765776664594</v>
      </c>
      <c r="N585" s="0" t="n">
        <f aca="false">K585-M585</f>
        <v>43.4447646471472</v>
      </c>
      <c r="O585" s="0" t="n">
        <f aca="false">K585+M585</f>
        <v>46.460080180439</v>
      </c>
      <c r="P585" s="54" t="b">
        <f aca="false">AND(C585&gt;=01_因子設定!$L$5-0.000000001,C585&lt;=01_因子設定!$M$5+0.000000001,D585&gt;=01_因子設定!$L$6-0.000000001,D585&lt;=01_因子設定!$M$6+0.000000001,IF(01_因子設定!$B$20="Box-Behnken",C585^2+D585^2&lt;=2+0.000000001,TRUE()))</f>
        <v>1</v>
      </c>
      <c r="Q585" s="55" t="n">
        <f aca="false">IF(P585,IF(01_因子設定!$B$13="最大化",N585-01_因子設定!$B$14,IF(01_因子設定!$B$13="最小化",01_因子設定!$B$15-O585,MIN(N585-01_因子設定!$B$14,01_因子設定!$B$15-O585))),-1E+030)</f>
        <v>-3.05523535285284</v>
      </c>
      <c r="R585" s="55" t="n">
        <f aca="false">IF(P585,IF(01_因子設定!$B$13="最大化",K585,IF(01_因子設定!$B$13="最小化",-K585,-ABS(K585-01_因子設定!$B$16))),-1E+030)</f>
        <v>44.9524224137931</v>
      </c>
      <c r="S585" s="55" t="n">
        <f aca="false">Q585+ROW()*0.000000001</f>
        <v>-3.05523476785284</v>
      </c>
      <c r="T585" s="55" t="n">
        <f aca="false">R585+ROW()*0.000000001</f>
        <v>44.9524229987931</v>
      </c>
    </row>
    <row r="586" customFormat="false" ht="15" hidden="false" customHeight="false" outlineLevel="0" collapsed="false">
      <c r="A586" s="0" t="n">
        <v>14</v>
      </c>
      <c r="B586" s="0" t="n">
        <v>7</v>
      </c>
      <c r="C586" s="0" t="n">
        <f aca="false">-1+A586*0.05</f>
        <v>-0.3</v>
      </c>
      <c r="D586" s="0" t="n">
        <f aca="false">-1+B586*0.05</f>
        <v>-0.65</v>
      </c>
      <c r="E586" s="0" t="n">
        <f aca="false">1</f>
        <v>1</v>
      </c>
      <c r="F586" s="0" t="n">
        <f aca="false">C586</f>
        <v>-0.3</v>
      </c>
      <c r="G586" s="0" t="n">
        <f aca="false">D586</f>
        <v>-0.65</v>
      </c>
      <c r="H586" s="0" t="n">
        <f aca="false">C586*D586</f>
        <v>0.195</v>
      </c>
      <c r="I586" s="0" t="n">
        <f aca="false">C586*C586</f>
        <v>0.09</v>
      </c>
      <c r="J586" s="0" t="n">
        <f aca="false">D586*D586</f>
        <v>0.4225</v>
      </c>
      <c r="K586" s="0" t="n">
        <f aca="false">SUMPRODUCT(E586:J586,_XtX!$B$53:$G$53)</f>
        <v>45.1612068965517</v>
      </c>
      <c r="L586" s="0" t="n">
        <f aca="false">SUMPRODUCT(MMULT(E586:J586,_XtX!$B$44:$G$49),E586:J586)</f>
        <v>0.218376903735632</v>
      </c>
      <c r="M586" s="0" t="n">
        <f aca="false">04_回帰ANOVA!$K$19*04_回帰ANOVA!$K$14*SQRT(1+L586)</f>
        <v>1.49577889495948</v>
      </c>
      <c r="N586" s="0" t="n">
        <f aca="false">K586-M586</f>
        <v>43.6654280015923</v>
      </c>
      <c r="O586" s="0" t="n">
        <f aca="false">K586+M586</f>
        <v>46.6569857915112</v>
      </c>
      <c r="P586" s="54" t="b">
        <f aca="false">AND(C586&gt;=01_因子設定!$L$5-0.000000001,C586&lt;=01_因子設定!$M$5+0.000000001,D586&gt;=01_因子設定!$L$6-0.000000001,D586&lt;=01_因子設定!$M$6+0.000000001,IF(01_因子設定!$B$20="Box-Behnken",C586^2+D586^2&lt;=2+0.000000001,TRUE()))</f>
        <v>1</v>
      </c>
      <c r="Q586" s="55" t="n">
        <f aca="false">IF(P586,IF(01_因子設定!$B$13="最大化",N586-01_因子設定!$B$14,IF(01_因子設定!$B$13="最小化",01_因子設定!$B$15-O586,MIN(N586-01_因子設定!$B$14,01_因子設定!$B$15-O586))),-1E+030)</f>
        <v>-2.83457199840775</v>
      </c>
      <c r="R586" s="55" t="n">
        <f aca="false">IF(P586,IF(01_因子設定!$B$13="最大化",K586,IF(01_因子設定!$B$13="最小化",-K586,-ABS(K586-01_因子設定!$B$16))),-1E+030)</f>
        <v>45.1612068965517</v>
      </c>
      <c r="S586" s="55" t="n">
        <f aca="false">Q586+ROW()*0.000000001</f>
        <v>-2.83457141240775</v>
      </c>
      <c r="T586" s="55" t="n">
        <f aca="false">R586+ROW()*0.000000001</f>
        <v>45.1612074825517</v>
      </c>
    </row>
    <row r="587" customFormat="false" ht="15" hidden="false" customHeight="false" outlineLevel="0" collapsed="false">
      <c r="A587" s="0" t="n">
        <v>14</v>
      </c>
      <c r="B587" s="0" t="n">
        <v>8</v>
      </c>
      <c r="C587" s="0" t="n">
        <f aca="false">-1+A587*0.05</f>
        <v>-0.3</v>
      </c>
      <c r="D587" s="0" t="n">
        <f aca="false">-1+B587*0.05</f>
        <v>-0.6</v>
      </c>
      <c r="E587" s="0" t="n">
        <f aca="false">1</f>
        <v>1</v>
      </c>
      <c r="F587" s="0" t="n">
        <f aca="false">C587</f>
        <v>-0.3</v>
      </c>
      <c r="G587" s="0" t="n">
        <f aca="false">D587</f>
        <v>-0.6</v>
      </c>
      <c r="H587" s="0" t="n">
        <f aca="false">C587*D587</f>
        <v>0.18</v>
      </c>
      <c r="I587" s="0" t="n">
        <f aca="false">C587*C587</f>
        <v>0.09</v>
      </c>
      <c r="J587" s="0" t="n">
        <f aca="false">D587*D587</f>
        <v>0.36</v>
      </c>
      <c r="K587" s="0" t="n">
        <f aca="false">SUMPRODUCT(E587:J587,_XtX!$B$53:$G$53)</f>
        <v>45.362275862069</v>
      </c>
      <c r="L587" s="0" t="n">
        <f aca="false">SUMPRODUCT(MMULT(E587:J587,_XtX!$B$44:$G$49),E587:J587)</f>
        <v>0.203329310344828</v>
      </c>
      <c r="M587" s="0" t="n">
        <f aca="false">04_回帰ANOVA!$K$19*04_回帰ANOVA!$K$14*SQRT(1+L587)</f>
        <v>1.48651337086407</v>
      </c>
      <c r="N587" s="0" t="n">
        <f aca="false">K587-M587</f>
        <v>43.8757624912049</v>
      </c>
      <c r="O587" s="0" t="n">
        <f aca="false">K587+M587</f>
        <v>46.848789232933</v>
      </c>
      <c r="P587" s="54" t="b">
        <f aca="false">AND(C587&gt;=01_因子設定!$L$5-0.000000001,C587&lt;=01_因子設定!$M$5+0.000000001,D587&gt;=01_因子設定!$L$6-0.000000001,D587&lt;=01_因子設定!$M$6+0.000000001,IF(01_因子設定!$B$20="Box-Behnken",C587^2+D587^2&lt;=2+0.000000001,TRUE()))</f>
        <v>1</v>
      </c>
      <c r="Q587" s="55" t="n">
        <f aca="false">IF(P587,IF(01_因子設定!$B$13="最大化",N587-01_因子設定!$B$14,IF(01_因子設定!$B$13="最小化",01_因子設定!$B$15-O587,MIN(N587-01_因子設定!$B$14,01_因子設定!$B$15-O587))),-1E+030)</f>
        <v>-2.62423750879511</v>
      </c>
      <c r="R587" s="55" t="n">
        <f aca="false">IF(P587,IF(01_因子設定!$B$13="最大化",K587,IF(01_因子設定!$B$13="最小化",-K587,-ABS(K587-01_因子設定!$B$16))),-1E+030)</f>
        <v>45.362275862069</v>
      </c>
      <c r="S587" s="55" t="n">
        <f aca="false">Q587+ROW()*0.000000001</f>
        <v>-2.62423692179511</v>
      </c>
      <c r="T587" s="55" t="n">
        <f aca="false">R587+ROW()*0.000000001</f>
        <v>45.362276449069</v>
      </c>
    </row>
    <row r="588" customFormat="false" ht="15" hidden="false" customHeight="false" outlineLevel="0" collapsed="false">
      <c r="A588" s="0" t="n">
        <v>14</v>
      </c>
      <c r="B588" s="0" t="n">
        <v>9</v>
      </c>
      <c r="C588" s="0" t="n">
        <f aca="false">-1+A588*0.05</f>
        <v>-0.3</v>
      </c>
      <c r="D588" s="0" t="n">
        <f aca="false">-1+B588*0.05</f>
        <v>-0.55</v>
      </c>
      <c r="E588" s="0" t="n">
        <f aca="false">1</f>
        <v>1</v>
      </c>
      <c r="F588" s="0" t="n">
        <f aca="false">C588</f>
        <v>-0.3</v>
      </c>
      <c r="G588" s="0" t="n">
        <f aca="false">D588</f>
        <v>-0.55</v>
      </c>
      <c r="H588" s="0" t="n">
        <f aca="false">C588*D588</f>
        <v>0.165</v>
      </c>
      <c r="I588" s="0" t="n">
        <f aca="false">C588*C588</f>
        <v>0.09</v>
      </c>
      <c r="J588" s="0" t="n">
        <f aca="false">D588*D588</f>
        <v>0.3025</v>
      </c>
      <c r="K588" s="0" t="n">
        <f aca="false">SUMPRODUCT(E588:J588,_XtX!$B$53:$G$53)</f>
        <v>45.5556293103448</v>
      </c>
      <c r="L588" s="0" t="n">
        <f aca="false">SUMPRODUCT(MMULT(E588:J588,_XtX!$B$44:$G$49),E588:J588)</f>
        <v>0.191983800287356</v>
      </c>
      <c r="M588" s="0" t="n">
        <f aca="false">04_回帰ANOVA!$K$19*04_回帰ANOVA!$K$14*SQRT(1+L588)</f>
        <v>1.47948902848418</v>
      </c>
      <c r="N588" s="0" t="n">
        <f aca="false">K588-M588</f>
        <v>44.0761402818606</v>
      </c>
      <c r="O588" s="0" t="n">
        <f aca="false">K588+M588</f>
        <v>47.035118338829</v>
      </c>
      <c r="P588" s="54" t="b">
        <f aca="false">AND(C588&gt;=01_因子設定!$L$5-0.000000001,C588&lt;=01_因子設定!$M$5+0.000000001,D588&gt;=01_因子設定!$L$6-0.000000001,D588&lt;=01_因子設定!$M$6+0.000000001,IF(01_因子設定!$B$20="Box-Behnken",C588^2+D588^2&lt;=2+0.000000001,TRUE()))</f>
        <v>1</v>
      </c>
      <c r="Q588" s="55" t="n">
        <f aca="false">IF(P588,IF(01_因子設定!$B$13="最大化",N588-01_因子設定!$B$14,IF(01_因子設定!$B$13="最小化",01_因子設定!$B$15-O588,MIN(N588-01_因子設定!$B$14,01_因子設定!$B$15-O588))),-1E+030)</f>
        <v>-2.42385971813935</v>
      </c>
      <c r="R588" s="55" t="n">
        <f aca="false">IF(P588,IF(01_因子設定!$B$13="最大化",K588,IF(01_因子設定!$B$13="最小化",-K588,-ABS(K588-01_因子設定!$B$16))),-1E+030)</f>
        <v>45.5556293103448</v>
      </c>
      <c r="S588" s="55" t="n">
        <f aca="false">Q588+ROW()*0.000000001</f>
        <v>-2.42385913013935</v>
      </c>
      <c r="T588" s="55" t="n">
        <f aca="false">R588+ROW()*0.000000001</f>
        <v>45.5556298983448</v>
      </c>
    </row>
    <row r="589" customFormat="false" ht="15" hidden="false" customHeight="false" outlineLevel="0" collapsed="false">
      <c r="A589" s="0" t="n">
        <v>14</v>
      </c>
      <c r="B589" s="0" t="n">
        <v>10</v>
      </c>
      <c r="C589" s="0" t="n">
        <f aca="false">-1+A589*0.05</f>
        <v>-0.3</v>
      </c>
      <c r="D589" s="0" t="n">
        <f aca="false">-1+B589*0.05</f>
        <v>-0.5</v>
      </c>
      <c r="E589" s="0" t="n">
        <f aca="false">1</f>
        <v>1</v>
      </c>
      <c r="F589" s="0" t="n">
        <f aca="false">C589</f>
        <v>-0.3</v>
      </c>
      <c r="G589" s="0" t="n">
        <f aca="false">D589</f>
        <v>-0.5</v>
      </c>
      <c r="H589" s="0" t="n">
        <f aca="false">C589*D589</f>
        <v>0.15</v>
      </c>
      <c r="I589" s="0" t="n">
        <f aca="false">C589*C589</f>
        <v>0.09</v>
      </c>
      <c r="J589" s="0" t="n">
        <f aca="false">D589*D589</f>
        <v>0.25</v>
      </c>
      <c r="K589" s="0" t="n">
        <f aca="false">SUMPRODUCT(E589:J589,_XtX!$B$53:$G$53)</f>
        <v>45.7412672413793</v>
      </c>
      <c r="L589" s="0" t="n">
        <f aca="false">SUMPRODUCT(MMULT(E589:J589,_XtX!$B$44:$G$49),E589:J589)</f>
        <v>0.183715804597701</v>
      </c>
      <c r="M589" s="0" t="n">
        <f aca="false">04_回帰ANOVA!$K$19*04_回帰ANOVA!$K$14*SQRT(1+L589)</f>
        <v>1.47434898597359</v>
      </c>
      <c r="N589" s="0" t="n">
        <f aca="false">K589-M589</f>
        <v>44.2669182554057</v>
      </c>
      <c r="O589" s="0" t="n">
        <f aca="false">K589+M589</f>
        <v>47.2156162273529</v>
      </c>
      <c r="P589" s="54" t="b">
        <f aca="false">AND(C589&gt;=01_因子設定!$L$5-0.000000001,C589&lt;=01_因子設定!$M$5+0.000000001,D589&gt;=01_因子設定!$L$6-0.000000001,D589&lt;=01_因子設定!$M$6+0.000000001,IF(01_因子設定!$B$20="Box-Behnken",C589^2+D589^2&lt;=2+0.000000001,TRUE()))</f>
        <v>1</v>
      </c>
      <c r="Q589" s="55" t="n">
        <f aca="false">IF(P589,IF(01_因子設定!$B$13="最大化",N589-01_因子設定!$B$14,IF(01_因子設定!$B$13="最小化",01_因子設定!$B$15-O589,MIN(N589-01_因子設定!$B$14,01_因子設定!$B$15-O589))),-1E+030)</f>
        <v>-2.23308174459428</v>
      </c>
      <c r="R589" s="55" t="n">
        <f aca="false">IF(P589,IF(01_因子設定!$B$13="最大化",K589,IF(01_因子設定!$B$13="最小化",-K589,-ABS(K589-01_因子設定!$B$16))),-1E+030)</f>
        <v>45.7412672413793</v>
      </c>
      <c r="S589" s="55" t="n">
        <f aca="false">Q589+ROW()*0.000000001</f>
        <v>-2.23308115559428</v>
      </c>
      <c r="T589" s="55" t="n">
        <f aca="false">R589+ROW()*0.000000001</f>
        <v>45.7412678303793</v>
      </c>
    </row>
    <row r="590" customFormat="false" ht="15" hidden="false" customHeight="false" outlineLevel="0" collapsed="false">
      <c r="A590" s="0" t="n">
        <v>14</v>
      </c>
      <c r="B590" s="0" t="n">
        <v>11</v>
      </c>
      <c r="C590" s="0" t="n">
        <f aca="false">-1+A590*0.05</f>
        <v>-0.3</v>
      </c>
      <c r="D590" s="0" t="n">
        <f aca="false">-1+B590*0.05</f>
        <v>-0.45</v>
      </c>
      <c r="E590" s="0" t="n">
        <f aca="false">1</f>
        <v>1</v>
      </c>
      <c r="F590" s="0" t="n">
        <f aca="false">C590</f>
        <v>-0.3</v>
      </c>
      <c r="G590" s="0" t="n">
        <f aca="false">D590</f>
        <v>-0.45</v>
      </c>
      <c r="H590" s="0" t="n">
        <f aca="false">C590*D590</f>
        <v>0.135</v>
      </c>
      <c r="I590" s="0" t="n">
        <f aca="false">C590*C590</f>
        <v>0.09</v>
      </c>
      <c r="J590" s="0" t="n">
        <f aca="false">D590*D590</f>
        <v>0.2025</v>
      </c>
      <c r="K590" s="0" t="n">
        <f aca="false">SUMPRODUCT(E590:J590,_XtX!$B$53:$G$53)</f>
        <v>45.9191896551724</v>
      </c>
      <c r="L590" s="0" t="n">
        <f aca="false">SUMPRODUCT(MMULT(E590:J590,_XtX!$B$44:$G$49),E590:J590)</f>
        <v>0.177955064655172</v>
      </c>
      <c r="M590" s="0" t="n">
        <f aca="false">04_回帰ANOVA!$K$19*04_回帰ANOVA!$K$14*SQRT(1+L590)</f>
        <v>1.47075703432952</v>
      </c>
      <c r="N590" s="0" t="n">
        <f aca="false">K590-M590</f>
        <v>44.4484326208429</v>
      </c>
      <c r="O590" s="0" t="n">
        <f aca="false">K590+M590</f>
        <v>47.3899466895019</v>
      </c>
      <c r="P590" s="54" t="b">
        <f aca="false">AND(C590&gt;=01_因子設定!$L$5-0.000000001,C590&lt;=01_因子設定!$M$5+0.000000001,D590&gt;=01_因子設定!$L$6-0.000000001,D590&lt;=01_因子設定!$M$6+0.000000001,IF(01_因子設定!$B$20="Box-Behnken",C590^2+D590^2&lt;=2+0.000000001,TRUE()))</f>
        <v>1</v>
      </c>
      <c r="Q590" s="55" t="n">
        <f aca="false">IF(P590,IF(01_因子設定!$B$13="最大化",N590-01_因子設定!$B$14,IF(01_因子設定!$B$13="最小化",01_因子設定!$B$15-O590,MIN(N590-01_因子設定!$B$14,01_因子設定!$B$15-O590))),-1E+030)</f>
        <v>-2.05156737915711</v>
      </c>
      <c r="R590" s="55" t="n">
        <f aca="false">IF(P590,IF(01_因子設定!$B$13="最大化",K590,IF(01_因子設定!$B$13="最小化",-K590,-ABS(K590-01_因子設定!$B$16))),-1E+030)</f>
        <v>45.9191896551724</v>
      </c>
      <c r="S590" s="55" t="n">
        <f aca="false">Q590+ROW()*0.000000001</f>
        <v>-2.05156678915711</v>
      </c>
      <c r="T590" s="55" t="n">
        <f aca="false">R590+ROW()*0.000000001</f>
        <v>45.9191902451724</v>
      </c>
    </row>
    <row r="591" customFormat="false" ht="15" hidden="false" customHeight="false" outlineLevel="0" collapsed="false">
      <c r="A591" s="0" t="n">
        <v>14</v>
      </c>
      <c r="B591" s="0" t="n">
        <v>12</v>
      </c>
      <c r="C591" s="0" t="n">
        <f aca="false">-1+A591*0.05</f>
        <v>-0.3</v>
      </c>
      <c r="D591" s="0" t="n">
        <f aca="false">-1+B591*0.05</f>
        <v>-0.4</v>
      </c>
      <c r="E591" s="0" t="n">
        <f aca="false">1</f>
        <v>1</v>
      </c>
      <c r="F591" s="0" t="n">
        <f aca="false">C591</f>
        <v>-0.3</v>
      </c>
      <c r="G591" s="0" t="n">
        <f aca="false">D591</f>
        <v>-0.4</v>
      </c>
      <c r="H591" s="0" t="n">
        <f aca="false">C591*D591</f>
        <v>0.12</v>
      </c>
      <c r="I591" s="0" t="n">
        <f aca="false">C591*C591</f>
        <v>0.09</v>
      </c>
      <c r="J591" s="0" t="n">
        <f aca="false">D591*D591</f>
        <v>0.16</v>
      </c>
      <c r="K591" s="0" t="n">
        <f aca="false">SUMPRODUCT(E591:J591,_XtX!$B$53:$G$53)</f>
        <v>46.0893965517241</v>
      </c>
      <c r="L591" s="0" t="n">
        <f aca="false">SUMPRODUCT(MMULT(E591:J591,_XtX!$B$44:$G$49),E591:J591)</f>
        <v>0.174185632183908</v>
      </c>
      <c r="M591" s="0" t="n">
        <f aca="false">04_回帰ANOVA!$K$19*04_回帰ANOVA!$K$14*SQRT(1+L591)</f>
        <v>1.46840195232898</v>
      </c>
      <c r="N591" s="0" t="n">
        <f aca="false">K591-M591</f>
        <v>44.6209945993952</v>
      </c>
      <c r="O591" s="0" t="n">
        <f aca="false">K591+M591</f>
        <v>47.5577985040531</v>
      </c>
      <c r="P591" s="54" t="b">
        <f aca="false">AND(C591&gt;=01_因子設定!$L$5-0.000000001,C591&lt;=01_因子設定!$M$5+0.000000001,D591&gt;=01_因子設定!$L$6-0.000000001,D591&lt;=01_因子設定!$M$6+0.000000001,IF(01_因子設定!$B$20="Box-Behnken",C591^2+D591^2&lt;=2+0.000000001,TRUE()))</f>
        <v>1</v>
      </c>
      <c r="Q591" s="55" t="n">
        <f aca="false">IF(P591,IF(01_因子設定!$B$13="最大化",N591-01_因子設定!$B$14,IF(01_因子設定!$B$13="最小化",01_因子設定!$B$15-O591,MIN(N591-01_因子設定!$B$14,01_因子設定!$B$15-O591))),-1E+030)</f>
        <v>-1.87900540060484</v>
      </c>
      <c r="R591" s="55" t="n">
        <f aca="false">IF(P591,IF(01_因子設定!$B$13="最大化",K591,IF(01_因子設定!$B$13="最小化",-K591,-ABS(K591-01_因子設定!$B$16))),-1E+030)</f>
        <v>46.0893965517241</v>
      </c>
      <c r="S591" s="55" t="n">
        <f aca="false">Q591+ROW()*0.000000001</f>
        <v>-1.87900480960484</v>
      </c>
      <c r="T591" s="55" t="n">
        <f aca="false">R591+ROW()*0.000000001</f>
        <v>46.0893971427241</v>
      </c>
    </row>
    <row r="592" customFormat="false" ht="15" hidden="false" customHeight="false" outlineLevel="0" collapsed="false">
      <c r="A592" s="0" t="n">
        <v>14</v>
      </c>
      <c r="B592" s="0" t="n">
        <v>13</v>
      </c>
      <c r="C592" s="0" t="n">
        <f aca="false">-1+A592*0.05</f>
        <v>-0.3</v>
      </c>
      <c r="D592" s="0" t="n">
        <f aca="false">-1+B592*0.05</f>
        <v>-0.35</v>
      </c>
      <c r="E592" s="0" t="n">
        <f aca="false">1</f>
        <v>1</v>
      </c>
      <c r="F592" s="0" t="n">
        <f aca="false">C592</f>
        <v>-0.3</v>
      </c>
      <c r="G592" s="0" t="n">
        <f aca="false">D592</f>
        <v>-0.35</v>
      </c>
      <c r="H592" s="0" t="n">
        <f aca="false">C592*D592</f>
        <v>0.105</v>
      </c>
      <c r="I592" s="0" t="n">
        <f aca="false">C592*C592</f>
        <v>0.09</v>
      </c>
      <c r="J592" s="0" t="n">
        <f aca="false">D592*D592</f>
        <v>0.1225</v>
      </c>
      <c r="K592" s="0" t="n">
        <f aca="false">SUMPRODUCT(E592:J592,_XtX!$B$53:$G$53)</f>
        <v>46.2518879310345</v>
      </c>
      <c r="L592" s="0" t="n">
        <f aca="false">SUMPRODUCT(MMULT(E592:J592,_XtX!$B$44:$G$49),E592:J592)</f>
        <v>0.171945869252874</v>
      </c>
      <c r="M592" s="0" t="n">
        <f aca="false">04_回帰ANOVA!$K$19*04_回帰ANOVA!$K$14*SQRT(1+L592)</f>
        <v>1.46700079306941</v>
      </c>
      <c r="N592" s="0" t="n">
        <f aca="false">K592-M592</f>
        <v>44.7848871379651</v>
      </c>
      <c r="O592" s="0" t="n">
        <f aca="false">K592+M592</f>
        <v>47.7188887241039</v>
      </c>
      <c r="P592" s="54" t="b">
        <f aca="false">AND(C592&gt;=01_因子設定!$L$5-0.000000001,C592&lt;=01_因子設定!$M$5+0.000000001,D592&gt;=01_因子設定!$L$6-0.000000001,D592&lt;=01_因子設定!$M$6+0.000000001,IF(01_因子設定!$B$20="Box-Behnken",C592^2+D592^2&lt;=2+0.000000001,TRUE()))</f>
        <v>1</v>
      </c>
      <c r="Q592" s="55" t="n">
        <f aca="false">IF(P592,IF(01_因子設定!$B$13="最大化",N592-01_因子設定!$B$14,IF(01_因子設定!$B$13="最小化",01_因子設定!$B$15-O592,MIN(N592-01_因子設定!$B$14,01_因子設定!$B$15-O592))),-1E+030)</f>
        <v>-1.71511286203493</v>
      </c>
      <c r="R592" s="55" t="n">
        <f aca="false">IF(P592,IF(01_因子設定!$B$13="最大化",K592,IF(01_因子設定!$B$13="最小化",-K592,-ABS(K592-01_因子設定!$B$16))),-1E+030)</f>
        <v>46.2518879310345</v>
      </c>
      <c r="S592" s="55" t="n">
        <f aca="false">Q592+ROW()*0.000000001</f>
        <v>-1.71511227003493</v>
      </c>
      <c r="T592" s="55" t="n">
        <f aca="false">R592+ROW()*0.000000001</f>
        <v>46.2518885230345</v>
      </c>
    </row>
    <row r="593" customFormat="false" ht="15" hidden="false" customHeight="false" outlineLevel="0" collapsed="false">
      <c r="A593" s="0" t="n">
        <v>14</v>
      </c>
      <c r="B593" s="0" t="n">
        <v>14</v>
      </c>
      <c r="C593" s="0" t="n">
        <f aca="false">-1+A593*0.05</f>
        <v>-0.3</v>
      </c>
      <c r="D593" s="0" t="n">
        <f aca="false">-1+B593*0.05</f>
        <v>-0.3</v>
      </c>
      <c r="E593" s="0" t="n">
        <f aca="false">1</f>
        <v>1</v>
      </c>
      <c r="F593" s="0" t="n">
        <f aca="false">C593</f>
        <v>-0.3</v>
      </c>
      <c r="G593" s="0" t="n">
        <f aca="false">D593</f>
        <v>-0.3</v>
      </c>
      <c r="H593" s="0" t="n">
        <f aca="false">C593*D593</f>
        <v>0.09</v>
      </c>
      <c r="I593" s="0" t="n">
        <f aca="false">C593*C593</f>
        <v>0.09</v>
      </c>
      <c r="J593" s="0" t="n">
        <f aca="false">D593*D593</f>
        <v>0.09</v>
      </c>
      <c r="K593" s="0" t="n">
        <f aca="false">SUMPRODUCT(E593:J593,_XtX!$B$53:$G$53)</f>
        <v>46.4066637931035</v>
      </c>
      <c r="L593" s="0" t="n">
        <f aca="false">SUMPRODUCT(MMULT(E593:J593,_XtX!$B$44:$G$49),E593:J593)</f>
        <v>0.170828448275862</v>
      </c>
      <c r="M593" s="0" t="n">
        <f aca="false">04_回帰ANOVA!$K$19*04_回帰ANOVA!$K$14*SQRT(1+L593)</f>
        <v>1.46630125205963</v>
      </c>
      <c r="N593" s="0" t="n">
        <f aca="false">K593-M593</f>
        <v>44.9403625410438</v>
      </c>
      <c r="O593" s="0" t="n">
        <f aca="false">K593+M593</f>
        <v>47.8729650451631</v>
      </c>
      <c r="P593" s="54" t="b">
        <f aca="false">AND(C593&gt;=01_因子設定!$L$5-0.000000001,C593&lt;=01_因子設定!$M$5+0.000000001,D593&gt;=01_因子設定!$L$6-0.000000001,D593&lt;=01_因子設定!$M$6+0.000000001,IF(01_因子設定!$B$20="Box-Behnken",C593^2+D593^2&lt;=2+0.000000001,TRUE()))</f>
        <v>1</v>
      </c>
      <c r="Q593" s="55" t="n">
        <f aca="false">IF(P593,IF(01_因子設定!$B$13="最大化",N593-01_因子設定!$B$14,IF(01_因子設定!$B$13="最小化",01_因子設定!$B$15-O593,MIN(N593-01_因子設定!$B$14,01_因子設定!$B$15-O593))),-1E+030)</f>
        <v>-1.55963745895618</v>
      </c>
      <c r="R593" s="55" t="n">
        <f aca="false">IF(P593,IF(01_因子設定!$B$13="最大化",K593,IF(01_因子設定!$B$13="最小化",-K593,-ABS(K593-01_因子設定!$B$16))),-1E+030)</f>
        <v>46.4066637931035</v>
      </c>
      <c r="S593" s="55" t="n">
        <f aca="false">Q593+ROW()*0.000000001</f>
        <v>-1.55963686595618</v>
      </c>
      <c r="T593" s="55" t="n">
        <f aca="false">R593+ROW()*0.000000001</f>
        <v>46.4066643861035</v>
      </c>
    </row>
    <row r="594" customFormat="false" ht="15" hidden="false" customHeight="false" outlineLevel="0" collapsed="false">
      <c r="A594" s="0" t="n">
        <v>14</v>
      </c>
      <c r="B594" s="0" t="n">
        <v>15</v>
      </c>
      <c r="C594" s="0" t="n">
        <f aca="false">-1+A594*0.05</f>
        <v>-0.3</v>
      </c>
      <c r="D594" s="0" t="n">
        <f aca="false">-1+B594*0.05</f>
        <v>-0.25</v>
      </c>
      <c r="E594" s="0" t="n">
        <f aca="false">1</f>
        <v>1</v>
      </c>
      <c r="F594" s="0" t="n">
        <f aca="false">C594</f>
        <v>-0.3</v>
      </c>
      <c r="G594" s="0" t="n">
        <f aca="false">D594</f>
        <v>-0.25</v>
      </c>
      <c r="H594" s="0" t="n">
        <f aca="false">C594*D594</f>
        <v>0.075</v>
      </c>
      <c r="I594" s="0" t="n">
        <f aca="false">C594*C594</f>
        <v>0.09</v>
      </c>
      <c r="J594" s="0" t="n">
        <f aca="false">D594*D594</f>
        <v>0.0625</v>
      </c>
      <c r="K594" s="0" t="n">
        <f aca="false">SUMPRODUCT(E594:J594,_XtX!$B$53:$G$53)</f>
        <v>46.553724137931</v>
      </c>
      <c r="L594" s="0" t="n">
        <f aca="false">SUMPRODUCT(MMULT(E594:J594,_XtX!$B$44:$G$49),E594:J594)</f>
        <v>0.170480352011494</v>
      </c>
      <c r="M594" s="0" t="n">
        <f aca="false">04_回帰ANOVA!$K$19*04_回帰ANOVA!$K$14*SQRT(1+L594)</f>
        <v>1.46608326456019</v>
      </c>
      <c r="N594" s="0" t="n">
        <f aca="false">K594-M594</f>
        <v>45.0876408733708</v>
      </c>
      <c r="O594" s="0" t="n">
        <f aca="false">K594+M594</f>
        <v>48.0198074024912</v>
      </c>
      <c r="P594" s="54" t="b">
        <f aca="false">AND(C594&gt;=01_因子設定!$L$5-0.000000001,C594&lt;=01_因子設定!$M$5+0.000000001,D594&gt;=01_因子設定!$L$6-0.000000001,D594&lt;=01_因子設定!$M$6+0.000000001,IF(01_因子設定!$B$20="Box-Behnken",C594^2+D594^2&lt;=2+0.000000001,TRUE()))</f>
        <v>1</v>
      </c>
      <c r="Q594" s="55" t="n">
        <f aca="false">IF(P594,IF(01_因子設定!$B$13="最大化",N594-01_因子設定!$B$14,IF(01_因子設定!$B$13="最小化",01_因子設定!$B$15-O594,MIN(N594-01_因子設定!$B$14,01_因子設定!$B$15-O594))),-1E+030)</f>
        <v>-1.41235912662916</v>
      </c>
      <c r="R594" s="55" t="n">
        <f aca="false">IF(P594,IF(01_因子設定!$B$13="最大化",K594,IF(01_因子設定!$B$13="最小化",-K594,-ABS(K594-01_因子設定!$B$16))),-1E+030)</f>
        <v>46.553724137931</v>
      </c>
      <c r="S594" s="55" t="n">
        <f aca="false">Q594+ROW()*0.000000001</f>
        <v>-1.41235853262916</v>
      </c>
      <c r="T594" s="55" t="n">
        <f aca="false">R594+ROW()*0.000000001</f>
        <v>46.553724731931</v>
      </c>
    </row>
    <row r="595" customFormat="false" ht="15" hidden="false" customHeight="false" outlineLevel="0" collapsed="false">
      <c r="A595" s="0" t="n">
        <v>14</v>
      </c>
      <c r="B595" s="0" t="n">
        <v>16</v>
      </c>
      <c r="C595" s="0" t="n">
        <f aca="false">-1+A595*0.05</f>
        <v>-0.3</v>
      </c>
      <c r="D595" s="0" t="n">
        <f aca="false">-1+B595*0.05</f>
        <v>-0.2</v>
      </c>
      <c r="E595" s="0" t="n">
        <f aca="false">1</f>
        <v>1</v>
      </c>
      <c r="F595" s="0" t="n">
        <f aca="false">C595</f>
        <v>-0.3</v>
      </c>
      <c r="G595" s="0" t="n">
        <f aca="false">D595</f>
        <v>-0.2</v>
      </c>
      <c r="H595" s="0" t="n">
        <f aca="false">C595*D595</f>
        <v>0.06</v>
      </c>
      <c r="I595" s="0" t="n">
        <f aca="false">C595*C595</f>
        <v>0.09</v>
      </c>
      <c r="J595" s="0" t="n">
        <f aca="false">D595*D595</f>
        <v>0.04</v>
      </c>
      <c r="K595" s="0" t="n">
        <f aca="false">SUMPRODUCT(E595:J595,_XtX!$B$53:$G$53)</f>
        <v>46.6930689655172</v>
      </c>
      <c r="L595" s="0" t="n">
        <f aca="false">SUMPRODUCT(MMULT(E595:J595,_XtX!$B$44:$G$49),E595:J595)</f>
        <v>0.170602873563218</v>
      </c>
      <c r="M595" s="0" t="n">
        <f aca="false">04_回帰ANOVA!$K$19*04_回帰ANOVA!$K$14*SQRT(1+L595)</f>
        <v>1.46615999463764</v>
      </c>
      <c r="N595" s="0" t="n">
        <f aca="false">K595-M595</f>
        <v>45.2269089708796</v>
      </c>
      <c r="O595" s="0" t="n">
        <f aca="false">K595+M595</f>
        <v>48.1592289601549</v>
      </c>
      <c r="P595" s="54" t="b">
        <f aca="false">AND(C595&gt;=01_因子設定!$L$5-0.000000001,C595&lt;=01_因子設定!$M$5+0.000000001,D595&gt;=01_因子設定!$L$6-0.000000001,D595&lt;=01_因子設定!$M$6+0.000000001,IF(01_因子設定!$B$20="Box-Behnken",C595^2+D595^2&lt;=2+0.000000001,TRUE()))</f>
        <v>1</v>
      </c>
      <c r="Q595" s="55" t="n">
        <f aca="false">IF(P595,IF(01_因子設定!$B$13="最大化",N595-01_因子設定!$B$14,IF(01_因子設定!$B$13="最小化",01_因子設定!$B$15-O595,MIN(N595-01_因子設定!$B$14,01_因子設定!$B$15-O595))),-1E+030)</f>
        <v>-1.27309102912039</v>
      </c>
      <c r="R595" s="55" t="n">
        <f aca="false">IF(P595,IF(01_因子設定!$B$13="最大化",K595,IF(01_因子設定!$B$13="最小化",-K595,-ABS(K595-01_因子設定!$B$16))),-1E+030)</f>
        <v>46.6930689655172</v>
      </c>
      <c r="S595" s="55" t="n">
        <f aca="false">Q595+ROW()*0.000000001</f>
        <v>-1.27309043412039</v>
      </c>
      <c r="T595" s="55" t="n">
        <f aca="false">R595+ROW()*0.000000001</f>
        <v>46.6930695605172</v>
      </c>
    </row>
    <row r="596" customFormat="false" ht="15" hidden="false" customHeight="false" outlineLevel="0" collapsed="false">
      <c r="A596" s="0" t="n">
        <v>14</v>
      </c>
      <c r="B596" s="0" t="n">
        <v>17</v>
      </c>
      <c r="C596" s="0" t="n">
        <f aca="false">-1+A596*0.05</f>
        <v>-0.3</v>
      </c>
      <c r="D596" s="0" t="n">
        <f aca="false">-1+B596*0.05</f>
        <v>-0.15</v>
      </c>
      <c r="E596" s="0" t="n">
        <f aca="false">1</f>
        <v>1</v>
      </c>
      <c r="F596" s="0" t="n">
        <f aca="false">C596</f>
        <v>-0.3</v>
      </c>
      <c r="G596" s="0" t="n">
        <f aca="false">D596</f>
        <v>-0.15</v>
      </c>
      <c r="H596" s="0" t="n">
        <f aca="false">C596*D596</f>
        <v>0.045</v>
      </c>
      <c r="I596" s="0" t="n">
        <f aca="false">C596*C596</f>
        <v>0.09</v>
      </c>
      <c r="J596" s="0" t="n">
        <f aca="false">D596*D596</f>
        <v>0.0225</v>
      </c>
      <c r="K596" s="0" t="n">
        <f aca="false">SUMPRODUCT(E596:J596,_XtX!$B$53:$G$53)</f>
        <v>46.8246982758621</v>
      </c>
      <c r="L596" s="0" t="n">
        <f aca="false">SUMPRODUCT(MMULT(E596:J596,_XtX!$B$44:$G$49),E596:J596)</f>
        <v>0.17095161637931</v>
      </c>
      <c r="M596" s="0" t="n">
        <f aca="false">04_回帰ANOVA!$K$19*04_回帰ANOVA!$K$14*SQRT(1+L596)</f>
        <v>1.46637837556782</v>
      </c>
      <c r="N596" s="0" t="n">
        <f aca="false">K596-M596</f>
        <v>45.3583199002943</v>
      </c>
      <c r="O596" s="0" t="n">
        <f aca="false">K596+M596</f>
        <v>48.2910766514299</v>
      </c>
      <c r="P596" s="54" t="b">
        <f aca="false">AND(C596&gt;=01_因子設定!$L$5-0.000000001,C596&lt;=01_因子設定!$M$5+0.000000001,D596&gt;=01_因子設定!$L$6-0.000000001,D596&lt;=01_因子設定!$M$6+0.000000001,IF(01_因子設定!$B$20="Box-Behnken",C596^2+D596^2&lt;=2+0.000000001,TRUE()))</f>
        <v>1</v>
      </c>
      <c r="Q596" s="55" t="n">
        <f aca="false">IF(P596,IF(01_因子設定!$B$13="最大化",N596-01_因子設定!$B$14,IF(01_因子設定!$B$13="最小化",01_因子設定!$B$15-O596,MIN(N596-01_因子設定!$B$14,01_因子設定!$B$15-O596))),-1E+030)</f>
        <v>-1.14168009970575</v>
      </c>
      <c r="R596" s="55" t="n">
        <f aca="false">IF(P596,IF(01_因子設定!$B$13="最大化",K596,IF(01_因子設定!$B$13="最小化",-K596,-ABS(K596-01_因子設定!$B$16))),-1E+030)</f>
        <v>46.8246982758621</v>
      </c>
      <c r="S596" s="55" t="n">
        <f aca="false">Q596+ROW()*0.000000001</f>
        <v>-1.14167950370575</v>
      </c>
      <c r="T596" s="55" t="n">
        <f aca="false">R596+ROW()*0.000000001</f>
        <v>46.8246988718621</v>
      </c>
    </row>
    <row r="597" customFormat="false" ht="15" hidden="false" customHeight="false" outlineLevel="0" collapsed="false">
      <c r="A597" s="0" t="n">
        <v>14</v>
      </c>
      <c r="B597" s="0" t="n">
        <v>18</v>
      </c>
      <c r="C597" s="0" t="n">
        <f aca="false">-1+A597*0.05</f>
        <v>-0.3</v>
      </c>
      <c r="D597" s="0" t="n">
        <f aca="false">-1+B597*0.05</f>
        <v>-0.1</v>
      </c>
      <c r="E597" s="0" t="n">
        <f aca="false">1</f>
        <v>1</v>
      </c>
      <c r="F597" s="0" t="n">
        <f aca="false">C597</f>
        <v>-0.3</v>
      </c>
      <c r="G597" s="0" t="n">
        <f aca="false">D597</f>
        <v>-0.1</v>
      </c>
      <c r="H597" s="0" t="n">
        <f aca="false">C597*D597</f>
        <v>0.03</v>
      </c>
      <c r="I597" s="0" t="n">
        <f aca="false">C597*C597</f>
        <v>0.09</v>
      </c>
      <c r="J597" s="0" t="n">
        <f aca="false">D597*D597</f>
        <v>0.01</v>
      </c>
      <c r="K597" s="0" t="n">
        <f aca="false">SUMPRODUCT(E597:J597,_XtX!$B$53:$G$53)</f>
        <v>46.9486120689655</v>
      </c>
      <c r="L597" s="0" t="n">
        <f aca="false">SUMPRODUCT(MMULT(E597:J597,_XtX!$B$44:$G$49),E597:J597)</f>
        <v>0.171336494252874</v>
      </c>
      <c r="M597" s="0" t="n">
        <f aca="false">04_回帰ANOVA!$K$19*04_回帰ANOVA!$K$14*SQRT(1+L597)</f>
        <v>1.46661934633672</v>
      </c>
      <c r="N597" s="0" t="n">
        <f aca="false">K597-M597</f>
        <v>45.4819927226288</v>
      </c>
      <c r="O597" s="0" t="n">
        <f aca="false">K597+M597</f>
        <v>48.4152314153022</v>
      </c>
      <c r="P597" s="54" t="b">
        <f aca="false">AND(C597&gt;=01_因子設定!$L$5-0.000000001,C597&lt;=01_因子設定!$M$5+0.000000001,D597&gt;=01_因子設定!$L$6-0.000000001,D597&lt;=01_因子設定!$M$6+0.000000001,IF(01_因子設定!$B$20="Box-Behnken",C597^2+D597^2&lt;=2+0.000000001,TRUE()))</f>
        <v>1</v>
      </c>
      <c r="Q597" s="55" t="n">
        <f aca="false">IF(P597,IF(01_因子設定!$B$13="最大化",N597-01_因子設定!$B$14,IF(01_因子設定!$B$13="最小化",01_因子設定!$B$15-O597,MIN(N597-01_因子設定!$B$14,01_因子設定!$B$15-O597))),-1E+030)</f>
        <v>-1.0180072773712</v>
      </c>
      <c r="R597" s="55" t="n">
        <f aca="false">IF(P597,IF(01_因子設定!$B$13="最大化",K597,IF(01_因子設定!$B$13="最小化",-K597,-ABS(K597-01_因子設定!$B$16))),-1E+030)</f>
        <v>46.9486120689655</v>
      </c>
      <c r="S597" s="55" t="n">
        <f aca="false">Q597+ROW()*0.000000001</f>
        <v>-1.0180066803712</v>
      </c>
      <c r="T597" s="55" t="n">
        <f aca="false">R597+ROW()*0.000000001</f>
        <v>46.9486126659655</v>
      </c>
    </row>
    <row r="598" customFormat="false" ht="15" hidden="false" customHeight="false" outlineLevel="0" collapsed="false">
      <c r="A598" s="0" t="n">
        <v>14</v>
      </c>
      <c r="B598" s="0" t="n">
        <v>19</v>
      </c>
      <c r="C598" s="0" t="n">
        <f aca="false">-1+A598*0.05</f>
        <v>-0.3</v>
      </c>
      <c r="D598" s="0" t="n">
        <f aca="false">-1+B598*0.05</f>
        <v>-0.0499999999999999</v>
      </c>
      <c r="E598" s="0" t="n">
        <f aca="false">1</f>
        <v>1</v>
      </c>
      <c r="F598" s="0" t="n">
        <f aca="false">C598</f>
        <v>-0.3</v>
      </c>
      <c r="G598" s="0" t="n">
        <f aca="false">D598</f>
        <v>-0.0499999999999999</v>
      </c>
      <c r="H598" s="0" t="n">
        <f aca="false">C598*D598</f>
        <v>0.015</v>
      </c>
      <c r="I598" s="0" t="n">
        <f aca="false">C598*C598</f>
        <v>0.09</v>
      </c>
      <c r="J598" s="0" t="n">
        <f aca="false">D598*D598</f>
        <v>0.00249999999999999</v>
      </c>
      <c r="K598" s="0" t="n">
        <f aca="false">SUMPRODUCT(E598:J598,_XtX!$B$53:$G$53)</f>
        <v>47.0648103448276</v>
      </c>
      <c r="L598" s="0" t="n">
        <f aca="false">SUMPRODUCT(MMULT(E598:J598,_XtX!$B$44:$G$49),E598:J598)</f>
        <v>0.171621731321839</v>
      </c>
      <c r="M598" s="0" t="n">
        <f aca="false">04_回帰ANOVA!$K$19*04_回帰ANOVA!$K$14*SQRT(1+L598)</f>
        <v>1.46679790678507</v>
      </c>
      <c r="N598" s="0" t="n">
        <f aca="false">K598-M598</f>
        <v>45.5980124380425</v>
      </c>
      <c r="O598" s="0" t="n">
        <f aca="false">K598+M598</f>
        <v>48.5316082516127</v>
      </c>
      <c r="P598" s="54" t="b">
        <f aca="false">AND(C598&gt;=01_因子設定!$L$5-0.000000001,C598&lt;=01_因子設定!$M$5+0.000000001,D598&gt;=01_因子設定!$L$6-0.000000001,D598&lt;=01_因子設定!$M$6+0.000000001,IF(01_因子設定!$B$20="Box-Behnken",C598^2+D598^2&lt;=2+0.000000001,TRUE()))</f>
        <v>1</v>
      </c>
      <c r="Q598" s="55" t="n">
        <f aca="false">IF(P598,IF(01_因子設定!$B$13="最大化",N598-01_因子設定!$B$14,IF(01_因子設定!$B$13="最小化",01_因子設定!$B$15-O598,MIN(N598-01_因子設定!$B$14,01_因子設定!$B$15-O598))),-1E+030)</f>
        <v>-0.901987561957483</v>
      </c>
      <c r="R598" s="55" t="n">
        <f aca="false">IF(P598,IF(01_因子設定!$B$13="最大化",K598,IF(01_因子設定!$B$13="最小化",-K598,-ABS(K598-01_因子設定!$B$16))),-1E+030)</f>
        <v>47.0648103448276</v>
      </c>
      <c r="S598" s="55" t="n">
        <f aca="false">Q598+ROW()*0.000000001</f>
        <v>-0.901986963957483</v>
      </c>
      <c r="T598" s="55" t="n">
        <f aca="false">R598+ROW()*0.000000001</f>
        <v>47.0648109428276</v>
      </c>
    </row>
    <row r="599" customFormat="false" ht="15" hidden="false" customHeight="false" outlineLevel="0" collapsed="false">
      <c r="A599" s="0" t="n">
        <v>14</v>
      </c>
      <c r="B599" s="0" t="n">
        <v>20</v>
      </c>
      <c r="C599" s="0" t="n">
        <f aca="false">-1+A599*0.05</f>
        <v>-0.3</v>
      </c>
      <c r="D599" s="0" t="n">
        <f aca="false">-1+B599*0.05</f>
        <v>0</v>
      </c>
      <c r="E599" s="0" t="n">
        <f aca="false">1</f>
        <v>1</v>
      </c>
      <c r="F599" s="0" t="n">
        <f aca="false">C599</f>
        <v>-0.3</v>
      </c>
      <c r="G599" s="0" t="n">
        <f aca="false">D599</f>
        <v>0</v>
      </c>
      <c r="H599" s="0" t="n">
        <f aca="false">C599*D599</f>
        <v>-0</v>
      </c>
      <c r="I599" s="0" t="n">
        <f aca="false">C599*C599</f>
        <v>0.09</v>
      </c>
      <c r="J599" s="0" t="n">
        <f aca="false">D599*D599</f>
        <v>0</v>
      </c>
      <c r="K599" s="0" t="n">
        <f aca="false">SUMPRODUCT(E599:J599,_XtX!$B$53:$G$53)</f>
        <v>47.1732931034483</v>
      </c>
      <c r="L599" s="0" t="n">
        <f aca="false">SUMPRODUCT(MMULT(E599:J599,_XtX!$B$44:$G$49),E599:J599)</f>
        <v>0.171725862068966</v>
      </c>
      <c r="M599" s="0" t="n">
        <f aca="false">04_回帰ANOVA!$K$19*04_回帰ANOVA!$K$14*SQRT(1+L599)</f>
        <v>1.46686308796267</v>
      </c>
      <c r="N599" s="0" t="n">
        <f aca="false">K599-M599</f>
        <v>45.7064300154856</v>
      </c>
      <c r="O599" s="0" t="n">
        <f aca="false">K599+M599</f>
        <v>48.6401561914109</v>
      </c>
      <c r="P599" s="54" t="b">
        <f aca="false">AND(C599&gt;=01_因子設定!$L$5-0.000000001,C599&lt;=01_因子設定!$M$5+0.000000001,D599&gt;=01_因子設定!$L$6-0.000000001,D599&lt;=01_因子設定!$M$6+0.000000001,IF(01_因子設定!$B$20="Box-Behnken",C599^2+D599^2&lt;=2+0.000000001,TRUE()))</f>
        <v>1</v>
      </c>
      <c r="Q599" s="55" t="n">
        <f aca="false">IF(P599,IF(01_因子設定!$B$13="最大化",N599-01_因子設定!$B$14,IF(01_因子設定!$B$13="最小化",01_因子設定!$B$15-O599,MIN(N599-01_因子設定!$B$14,01_因子設定!$B$15-O599))),-1E+030)</f>
        <v>-0.793569984514399</v>
      </c>
      <c r="R599" s="55" t="n">
        <f aca="false">IF(P599,IF(01_因子設定!$B$13="最大化",K599,IF(01_因子設定!$B$13="最小化",-K599,-ABS(K599-01_因子設定!$B$16))),-1E+030)</f>
        <v>47.1732931034483</v>
      </c>
      <c r="S599" s="55" t="n">
        <f aca="false">Q599+ROW()*0.000000001</f>
        <v>-0.793569385514399</v>
      </c>
      <c r="T599" s="55" t="n">
        <f aca="false">R599+ROW()*0.000000001</f>
        <v>47.1732937024483</v>
      </c>
    </row>
    <row r="600" customFormat="false" ht="15" hidden="false" customHeight="false" outlineLevel="0" collapsed="false">
      <c r="A600" s="0" t="n">
        <v>14</v>
      </c>
      <c r="B600" s="0" t="n">
        <v>21</v>
      </c>
      <c r="C600" s="0" t="n">
        <f aca="false">-1+A600*0.05</f>
        <v>-0.3</v>
      </c>
      <c r="D600" s="0" t="n">
        <f aca="false">-1+B600*0.05</f>
        <v>0.05</v>
      </c>
      <c r="E600" s="0" t="n">
        <f aca="false">1</f>
        <v>1</v>
      </c>
      <c r="F600" s="0" t="n">
        <f aca="false">C600</f>
        <v>-0.3</v>
      </c>
      <c r="G600" s="0" t="n">
        <f aca="false">D600</f>
        <v>0.05</v>
      </c>
      <c r="H600" s="0" t="n">
        <f aca="false">C600*D600</f>
        <v>-0.015</v>
      </c>
      <c r="I600" s="0" t="n">
        <f aca="false">C600*C600</f>
        <v>0.09</v>
      </c>
      <c r="J600" s="0" t="n">
        <f aca="false">D600*D600</f>
        <v>0.0025</v>
      </c>
      <c r="K600" s="0" t="n">
        <f aca="false">SUMPRODUCT(E600:J600,_XtX!$B$53:$G$53)</f>
        <v>47.2740603448276</v>
      </c>
      <c r="L600" s="0" t="n">
        <f aca="false">SUMPRODUCT(MMULT(E600:J600,_XtX!$B$44:$G$49),E600:J600)</f>
        <v>0.171621731321839</v>
      </c>
      <c r="M600" s="0" t="n">
        <f aca="false">04_回帰ANOVA!$K$19*04_回帰ANOVA!$K$14*SQRT(1+L600)</f>
        <v>1.46679790678507</v>
      </c>
      <c r="N600" s="0" t="n">
        <f aca="false">K600-M600</f>
        <v>45.8072624380425</v>
      </c>
      <c r="O600" s="0" t="n">
        <f aca="false">K600+M600</f>
        <v>48.7408582516127</v>
      </c>
      <c r="P600" s="54" t="b">
        <f aca="false">AND(C600&gt;=01_因子設定!$L$5-0.000000001,C600&lt;=01_因子設定!$M$5+0.000000001,D600&gt;=01_因子設定!$L$6-0.000000001,D600&lt;=01_因子設定!$M$6+0.000000001,IF(01_因子設定!$B$20="Box-Behnken",C600^2+D600^2&lt;=2+0.000000001,TRUE()))</f>
        <v>1</v>
      </c>
      <c r="Q600" s="55" t="n">
        <f aca="false">IF(P600,IF(01_因子設定!$B$13="最大化",N600-01_因子設定!$B$14,IF(01_因子設定!$B$13="最小化",01_因子設定!$B$15-O600,MIN(N600-01_因子設定!$B$14,01_因子設定!$B$15-O600))),-1E+030)</f>
        <v>-0.692737561957486</v>
      </c>
      <c r="R600" s="55" t="n">
        <f aca="false">IF(P600,IF(01_因子設定!$B$13="最大化",K600,IF(01_因子設定!$B$13="最小化",-K600,-ABS(K600-01_因子設定!$B$16))),-1E+030)</f>
        <v>47.2740603448276</v>
      </c>
      <c r="S600" s="55" t="n">
        <f aca="false">Q600+ROW()*0.000000001</f>
        <v>-0.692736961957486</v>
      </c>
      <c r="T600" s="55" t="n">
        <f aca="false">R600+ROW()*0.000000001</f>
        <v>47.2740609448276</v>
      </c>
    </row>
    <row r="601" customFormat="false" ht="15" hidden="false" customHeight="false" outlineLevel="0" collapsed="false">
      <c r="A601" s="0" t="n">
        <v>14</v>
      </c>
      <c r="B601" s="0" t="n">
        <v>22</v>
      </c>
      <c r="C601" s="0" t="n">
        <f aca="false">-1+A601*0.05</f>
        <v>-0.3</v>
      </c>
      <c r="D601" s="0" t="n">
        <f aca="false">-1+B601*0.05</f>
        <v>0.1</v>
      </c>
      <c r="E601" s="0" t="n">
        <f aca="false">1</f>
        <v>1</v>
      </c>
      <c r="F601" s="0" t="n">
        <f aca="false">C601</f>
        <v>-0.3</v>
      </c>
      <c r="G601" s="0" t="n">
        <f aca="false">D601</f>
        <v>0.1</v>
      </c>
      <c r="H601" s="0" t="n">
        <f aca="false">C601*D601</f>
        <v>-0.03</v>
      </c>
      <c r="I601" s="0" t="n">
        <f aca="false">C601*C601</f>
        <v>0.09</v>
      </c>
      <c r="J601" s="0" t="n">
        <f aca="false">D601*D601</f>
        <v>0.01</v>
      </c>
      <c r="K601" s="0" t="n">
        <f aca="false">SUMPRODUCT(E601:J601,_XtX!$B$53:$G$53)</f>
        <v>47.3671120689655</v>
      </c>
      <c r="L601" s="0" t="n">
        <f aca="false">SUMPRODUCT(MMULT(E601:J601,_XtX!$B$44:$G$49),E601:J601)</f>
        <v>0.171336494252874</v>
      </c>
      <c r="M601" s="0" t="n">
        <f aca="false">04_回帰ANOVA!$K$19*04_回帰ANOVA!$K$14*SQRT(1+L601)</f>
        <v>1.46661934633672</v>
      </c>
      <c r="N601" s="0" t="n">
        <f aca="false">K601-M601</f>
        <v>45.9004927226288</v>
      </c>
      <c r="O601" s="0" t="n">
        <f aca="false">K601+M601</f>
        <v>48.8337314153022</v>
      </c>
      <c r="P601" s="54" t="b">
        <f aca="false">AND(C601&gt;=01_因子設定!$L$5-0.000000001,C601&lt;=01_因子設定!$M$5+0.000000001,D601&gt;=01_因子設定!$L$6-0.000000001,D601&lt;=01_因子設定!$M$6+0.000000001,IF(01_因子設定!$B$20="Box-Behnken",C601^2+D601^2&lt;=2+0.000000001,TRUE()))</f>
        <v>1</v>
      </c>
      <c r="Q601" s="55" t="n">
        <f aca="false">IF(P601,IF(01_因子設定!$B$13="最大化",N601-01_因子設定!$B$14,IF(01_因子設定!$B$13="最小化",01_因子設定!$B$15-O601,MIN(N601-01_因子設定!$B$14,01_因子設定!$B$15-O601))),-1E+030)</f>
        <v>-0.59950727737121</v>
      </c>
      <c r="R601" s="55" t="n">
        <f aca="false">IF(P601,IF(01_因子設定!$B$13="最大化",K601,IF(01_因子設定!$B$13="最小化",-K601,-ABS(K601-01_因子設定!$B$16))),-1E+030)</f>
        <v>47.3671120689655</v>
      </c>
      <c r="S601" s="55" t="n">
        <f aca="false">Q601+ROW()*0.000000001</f>
        <v>-0.59950667637121</v>
      </c>
      <c r="T601" s="55" t="n">
        <f aca="false">R601+ROW()*0.000000001</f>
        <v>47.3671126699655</v>
      </c>
    </row>
    <row r="602" customFormat="false" ht="15" hidden="false" customHeight="false" outlineLevel="0" collapsed="false">
      <c r="A602" s="0" t="n">
        <v>14</v>
      </c>
      <c r="B602" s="0" t="n">
        <v>23</v>
      </c>
      <c r="C602" s="0" t="n">
        <f aca="false">-1+A602*0.05</f>
        <v>-0.3</v>
      </c>
      <c r="D602" s="0" t="n">
        <f aca="false">-1+B602*0.05</f>
        <v>0.15</v>
      </c>
      <c r="E602" s="0" t="n">
        <f aca="false">1</f>
        <v>1</v>
      </c>
      <c r="F602" s="0" t="n">
        <f aca="false">C602</f>
        <v>-0.3</v>
      </c>
      <c r="G602" s="0" t="n">
        <f aca="false">D602</f>
        <v>0.15</v>
      </c>
      <c r="H602" s="0" t="n">
        <f aca="false">C602*D602</f>
        <v>-0.045</v>
      </c>
      <c r="I602" s="0" t="n">
        <f aca="false">C602*C602</f>
        <v>0.09</v>
      </c>
      <c r="J602" s="0" t="n">
        <f aca="false">D602*D602</f>
        <v>0.0225</v>
      </c>
      <c r="K602" s="0" t="n">
        <f aca="false">SUMPRODUCT(E602:J602,_XtX!$B$53:$G$53)</f>
        <v>47.4524482758621</v>
      </c>
      <c r="L602" s="0" t="n">
        <f aca="false">SUMPRODUCT(MMULT(E602:J602,_XtX!$B$44:$G$49),E602:J602)</f>
        <v>0.17095161637931</v>
      </c>
      <c r="M602" s="0" t="n">
        <f aca="false">04_回帰ANOVA!$K$19*04_回帰ANOVA!$K$14*SQRT(1+L602)</f>
        <v>1.46637837556782</v>
      </c>
      <c r="N602" s="0" t="n">
        <f aca="false">K602-M602</f>
        <v>45.9860699002943</v>
      </c>
      <c r="O602" s="0" t="n">
        <f aca="false">K602+M602</f>
        <v>48.9188266514299</v>
      </c>
      <c r="P602" s="54" t="b">
        <f aca="false">AND(C602&gt;=01_因子設定!$L$5-0.000000001,C602&lt;=01_因子設定!$M$5+0.000000001,D602&gt;=01_因子設定!$L$6-0.000000001,D602&lt;=01_因子設定!$M$6+0.000000001,IF(01_因子設定!$B$20="Box-Behnken",C602^2+D602^2&lt;=2+0.000000001,TRUE()))</f>
        <v>1</v>
      </c>
      <c r="Q602" s="55" t="n">
        <f aca="false">IF(P602,IF(01_因子設定!$B$13="最大化",N602-01_因子設定!$B$14,IF(01_因子設定!$B$13="最小化",01_因子設定!$B$15-O602,MIN(N602-01_因子設定!$B$14,01_因子設定!$B$15-O602))),-1E+030)</f>
        <v>-0.513930099705753</v>
      </c>
      <c r="R602" s="55" t="n">
        <f aca="false">IF(P602,IF(01_因子設定!$B$13="最大化",K602,IF(01_因子設定!$B$13="最小化",-K602,-ABS(K602-01_因子設定!$B$16))),-1E+030)</f>
        <v>47.4524482758621</v>
      </c>
      <c r="S602" s="55" t="n">
        <f aca="false">Q602+ROW()*0.000000001</f>
        <v>-0.513929497705753</v>
      </c>
      <c r="T602" s="55" t="n">
        <f aca="false">R602+ROW()*0.000000001</f>
        <v>47.4524488778621</v>
      </c>
    </row>
    <row r="603" customFormat="false" ht="15" hidden="false" customHeight="false" outlineLevel="0" collapsed="false">
      <c r="A603" s="0" t="n">
        <v>14</v>
      </c>
      <c r="B603" s="0" t="n">
        <v>24</v>
      </c>
      <c r="C603" s="0" t="n">
        <f aca="false">-1+A603*0.05</f>
        <v>-0.3</v>
      </c>
      <c r="D603" s="0" t="n">
        <f aca="false">-1+B603*0.05</f>
        <v>0.2</v>
      </c>
      <c r="E603" s="0" t="n">
        <f aca="false">1</f>
        <v>1</v>
      </c>
      <c r="F603" s="0" t="n">
        <f aca="false">C603</f>
        <v>-0.3</v>
      </c>
      <c r="G603" s="0" t="n">
        <f aca="false">D603</f>
        <v>0.2</v>
      </c>
      <c r="H603" s="0" t="n">
        <f aca="false">C603*D603</f>
        <v>-0.06</v>
      </c>
      <c r="I603" s="0" t="n">
        <f aca="false">C603*C603</f>
        <v>0.09</v>
      </c>
      <c r="J603" s="0" t="n">
        <f aca="false">D603*D603</f>
        <v>0.0400000000000001</v>
      </c>
      <c r="K603" s="0" t="n">
        <f aca="false">SUMPRODUCT(E603:J603,_XtX!$B$53:$G$53)</f>
        <v>47.5300689655172</v>
      </c>
      <c r="L603" s="0" t="n">
        <f aca="false">SUMPRODUCT(MMULT(E603:J603,_XtX!$B$44:$G$49),E603:J603)</f>
        <v>0.170602873563218</v>
      </c>
      <c r="M603" s="0" t="n">
        <f aca="false">04_回帰ANOVA!$K$19*04_回帰ANOVA!$K$14*SQRT(1+L603)</f>
        <v>1.46615999463764</v>
      </c>
      <c r="N603" s="0" t="n">
        <f aca="false">K603-M603</f>
        <v>46.0639089708796</v>
      </c>
      <c r="O603" s="0" t="n">
        <f aca="false">K603+M603</f>
        <v>48.9962289601549</v>
      </c>
      <c r="P603" s="54" t="b">
        <f aca="false">AND(C603&gt;=01_因子設定!$L$5-0.000000001,C603&lt;=01_因子設定!$M$5+0.000000001,D603&gt;=01_因子設定!$L$6-0.000000001,D603&lt;=01_因子設定!$M$6+0.000000001,IF(01_因子設定!$B$20="Box-Behnken",C603^2+D603^2&lt;=2+0.000000001,TRUE()))</f>
        <v>1</v>
      </c>
      <c r="Q603" s="55" t="n">
        <f aca="false">IF(P603,IF(01_因子設定!$B$13="最大化",N603-01_因子設定!$B$14,IF(01_因子設定!$B$13="最小化",01_因子設定!$B$15-O603,MIN(N603-01_因子設定!$B$14,01_因子設定!$B$15-O603))),-1E+030)</f>
        <v>-0.436091029120398</v>
      </c>
      <c r="R603" s="55" t="n">
        <f aca="false">IF(P603,IF(01_因子設定!$B$13="最大化",K603,IF(01_因子設定!$B$13="最小化",-K603,-ABS(K603-01_因子設定!$B$16))),-1E+030)</f>
        <v>47.5300689655172</v>
      </c>
      <c r="S603" s="55" t="n">
        <f aca="false">Q603+ROW()*0.000000001</f>
        <v>-0.436090426120398</v>
      </c>
      <c r="T603" s="55" t="n">
        <f aca="false">R603+ROW()*0.000000001</f>
        <v>47.5300695685172</v>
      </c>
    </row>
    <row r="604" customFormat="false" ht="15" hidden="false" customHeight="false" outlineLevel="0" collapsed="false">
      <c r="A604" s="0" t="n">
        <v>14</v>
      </c>
      <c r="B604" s="0" t="n">
        <v>25</v>
      </c>
      <c r="C604" s="0" t="n">
        <f aca="false">-1+A604*0.05</f>
        <v>-0.3</v>
      </c>
      <c r="D604" s="0" t="n">
        <f aca="false">-1+B604*0.05</f>
        <v>0.25</v>
      </c>
      <c r="E604" s="0" t="n">
        <f aca="false">1</f>
        <v>1</v>
      </c>
      <c r="F604" s="0" t="n">
        <f aca="false">C604</f>
        <v>-0.3</v>
      </c>
      <c r="G604" s="0" t="n">
        <f aca="false">D604</f>
        <v>0.25</v>
      </c>
      <c r="H604" s="0" t="n">
        <f aca="false">C604*D604</f>
        <v>-0.075</v>
      </c>
      <c r="I604" s="0" t="n">
        <f aca="false">C604*C604</f>
        <v>0.09</v>
      </c>
      <c r="J604" s="0" t="n">
        <f aca="false">D604*D604</f>
        <v>0.0625</v>
      </c>
      <c r="K604" s="0" t="n">
        <f aca="false">SUMPRODUCT(E604:J604,_XtX!$B$53:$G$53)</f>
        <v>47.599974137931</v>
      </c>
      <c r="L604" s="0" t="n">
        <f aca="false">SUMPRODUCT(MMULT(E604:J604,_XtX!$B$44:$G$49),E604:J604)</f>
        <v>0.170480352011494</v>
      </c>
      <c r="M604" s="0" t="n">
        <f aca="false">04_回帰ANOVA!$K$19*04_回帰ANOVA!$K$14*SQRT(1+L604)</f>
        <v>1.46608326456019</v>
      </c>
      <c r="N604" s="0" t="n">
        <f aca="false">K604-M604</f>
        <v>46.1338908733708</v>
      </c>
      <c r="O604" s="0" t="n">
        <f aca="false">K604+M604</f>
        <v>49.0660574024912</v>
      </c>
      <c r="P604" s="54" t="b">
        <f aca="false">AND(C604&gt;=01_因子設定!$L$5-0.000000001,C604&lt;=01_因子設定!$M$5+0.000000001,D604&gt;=01_因子設定!$L$6-0.000000001,D604&lt;=01_因子設定!$M$6+0.000000001,IF(01_因子設定!$B$20="Box-Behnken",C604^2+D604^2&lt;=2+0.000000001,TRUE()))</f>
        <v>1</v>
      </c>
      <c r="Q604" s="55" t="n">
        <f aca="false">IF(P604,IF(01_因子設定!$B$13="最大化",N604-01_因子設定!$B$14,IF(01_因子設定!$B$13="最小化",01_因子設定!$B$15-O604,MIN(N604-01_因子設定!$B$14,01_因子設定!$B$15-O604))),-1E+030)</f>
        <v>-0.366109126629162</v>
      </c>
      <c r="R604" s="55" t="n">
        <f aca="false">IF(P604,IF(01_因子設定!$B$13="最大化",K604,IF(01_因子設定!$B$13="最小化",-K604,-ABS(K604-01_因子設定!$B$16))),-1E+030)</f>
        <v>47.599974137931</v>
      </c>
      <c r="S604" s="55" t="n">
        <f aca="false">Q604+ROW()*0.000000001</f>
        <v>-0.366108522629162</v>
      </c>
      <c r="T604" s="55" t="n">
        <f aca="false">R604+ROW()*0.000000001</f>
        <v>47.599974741931</v>
      </c>
    </row>
    <row r="605" customFormat="false" ht="15" hidden="false" customHeight="false" outlineLevel="0" collapsed="false">
      <c r="A605" s="0" t="n">
        <v>14</v>
      </c>
      <c r="B605" s="0" t="n">
        <v>26</v>
      </c>
      <c r="C605" s="0" t="n">
        <f aca="false">-1+A605*0.05</f>
        <v>-0.3</v>
      </c>
      <c r="D605" s="0" t="n">
        <f aca="false">-1+B605*0.05</f>
        <v>0.3</v>
      </c>
      <c r="E605" s="0" t="n">
        <f aca="false">1</f>
        <v>1</v>
      </c>
      <c r="F605" s="0" t="n">
        <f aca="false">C605</f>
        <v>-0.3</v>
      </c>
      <c r="G605" s="0" t="n">
        <f aca="false">D605</f>
        <v>0.3</v>
      </c>
      <c r="H605" s="0" t="n">
        <f aca="false">C605*D605</f>
        <v>-0.09</v>
      </c>
      <c r="I605" s="0" t="n">
        <f aca="false">C605*C605</f>
        <v>0.09</v>
      </c>
      <c r="J605" s="0" t="n">
        <f aca="false">D605*D605</f>
        <v>0.09</v>
      </c>
      <c r="K605" s="0" t="n">
        <f aca="false">SUMPRODUCT(E605:J605,_XtX!$B$53:$G$53)</f>
        <v>47.6621637931034</v>
      </c>
      <c r="L605" s="0" t="n">
        <f aca="false">SUMPRODUCT(MMULT(E605:J605,_XtX!$B$44:$G$49),E605:J605)</f>
        <v>0.170828448275862</v>
      </c>
      <c r="M605" s="0" t="n">
        <f aca="false">04_回帰ANOVA!$K$19*04_回帰ANOVA!$K$14*SQRT(1+L605)</f>
        <v>1.46630125205963</v>
      </c>
      <c r="N605" s="0" t="n">
        <f aca="false">K605-M605</f>
        <v>46.1958625410438</v>
      </c>
      <c r="O605" s="0" t="n">
        <f aca="false">K605+M605</f>
        <v>49.1284650451631</v>
      </c>
      <c r="P605" s="54" t="b">
        <f aca="false">AND(C605&gt;=01_因子設定!$L$5-0.000000001,C605&lt;=01_因子設定!$M$5+0.000000001,D605&gt;=01_因子設定!$L$6-0.000000001,D605&lt;=01_因子設定!$M$6+0.000000001,IF(01_因子設定!$B$20="Box-Behnken",C605^2+D605^2&lt;=2+0.000000001,TRUE()))</f>
        <v>1</v>
      </c>
      <c r="Q605" s="55" t="n">
        <f aca="false">IF(P605,IF(01_因子設定!$B$13="最大化",N605-01_因子設定!$B$14,IF(01_因子設定!$B$13="最小化",01_因子設定!$B$15-O605,MIN(N605-01_因子設定!$B$14,01_因子設定!$B$15-O605))),-1E+030)</f>
        <v>-0.304137458956184</v>
      </c>
      <c r="R605" s="55" t="n">
        <f aca="false">IF(P605,IF(01_因子設定!$B$13="最大化",K605,IF(01_因子設定!$B$13="最小化",-K605,-ABS(K605-01_因子設定!$B$16))),-1E+030)</f>
        <v>47.6621637931034</v>
      </c>
      <c r="S605" s="55" t="n">
        <f aca="false">Q605+ROW()*0.000000001</f>
        <v>-0.304136853956184</v>
      </c>
      <c r="T605" s="55" t="n">
        <f aca="false">R605+ROW()*0.000000001</f>
        <v>47.6621643981034</v>
      </c>
    </row>
    <row r="606" customFormat="false" ht="15" hidden="false" customHeight="false" outlineLevel="0" collapsed="false">
      <c r="A606" s="0" t="n">
        <v>14</v>
      </c>
      <c r="B606" s="0" t="n">
        <v>27</v>
      </c>
      <c r="C606" s="0" t="n">
        <f aca="false">-1+A606*0.05</f>
        <v>-0.3</v>
      </c>
      <c r="D606" s="0" t="n">
        <f aca="false">-1+B606*0.05</f>
        <v>0.35</v>
      </c>
      <c r="E606" s="0" t="n">
        <f aca="false">1</f>
        <v>1</v>
      </c>
      <c r="F606" s="0" t="n">
        <f aca="false">C606</f>
        <v>-0.3</v>
      </c>
      <c r="G606" s="0" t="n">
        <f aca="false">D606</f>
        <v>0.35</v>
      </c>
      <c r="H606" s="0" t="n">
        <f aca="false">C606*D606</f>
        <v>-0.105</v>
      </c>
      <c r="I606" s="0" t="n">
        <f aca="false">C606*C606</f>
        <v>0.09</v>
      </c>
      <c r="J606" s="0" t="n">
        <f aca="false">D606*D606</f>
        <v>0.1225</v>
      </c>
      <c r="K606" s="0" t="n">
        <f aca="false">SUMPRODUCT(E606:J606,_XtX!$B$53:$G$53)</f>
        <v>47.7166379310345</v>
      </c>
      <c r="L606" s="0" t="n">
        <f aca="false">SUMPRODUCT(MMULT(E606:J606,_XtX!$B$44:$G$49),E606:J606)</f>
        <v>0.171945869252874</v>
      </c>
      <c r="M606" s="0" t="n">
        <f aca="false">04_回帰ANOVA!$K$19*04_回帰ANOVA!$K$14*SQRT(1+L606)</f>
        <v>1.46700079306941</v>
      </c>
      <c r="N606" s="0" t="n">
        <f aca="false">K606-M606</f>
        <v>46.2496371379651</v>
      </c>
      <c r="O606" s="0" t="n">
        <f aca="false">K606+M606</f>
        <v>49.1836387241039</v>
      </c>
      <c r="P606" s="54" t="b">
        <f aca="false">AND(C606&gt;=01_因子設定!$L$5-0.000000001,C606&lt;=01_因子設定!$M$5+0.000000001,D606&gt;=01_因子設定!$L$6-0.000000001,D606&lt;=01_因子設定!$M$6+0.000000001,IF(01_因子設定!$B$20="Box-Behnken",C606^2+D606^2&lt;=2+0.000000001,TRUE()))</f>
        <v>1</v>
      </c>
      <c r="Q606" s="55" t="n">
        <f aca="false">IF(P606,IF(01_因子設定!$B$13="最大化",N606-01_因子設定!$B$14,IF(01_因子設定!$B$13="最小化",01_因子設定!$B$15-O606,MIN(N606-01_因子設定!$B$14,01_因子設定!$B$15-O606))),-1E+030)</f>
        <v>-0.250362862034933</v>
      </c>
      <c r="R606" s="55" t="n">
        <f aca="false">IF(P606,IF(01_因子設定!$B$13="最大化",K606,IF(01_因子設定!$B$13="最小化",-K606,-ABS(K606-01_因子設定!$B$16))),-1E+030)</f>
        <v>47.7166379310345</v>
      </c>
      <c r="S606" s="55" t="n">
        <f aca="false">Q606+ROW()*0.000000001</f>
        <v>-0.250362256034933</v>
      </c>
      <c r="T606" s="55" t="n">
        <f aca="false">R606+ROW()*0.000000001</f>
        <v>47.7166385370345</v>
      </c>
    </row>
    <row r="607" customFormat="false" ht="15" hidden="false" customHeight="false" outlineLevel="0" collapsed="false">
      <c r="A607" s="0" t="n">
        <v>14</v>
      </c>
      <c r="B607" s="0" t="n">
        <v>28</v>
      </c>
      <c r="C607" s="0" t="n">
        <f aca="false">-1+A607*0.05</f>
        <v>-0.3</v>
      </c>
      <c r="D607" s="0" t="n">
        <f aca="false">-1+B607*0.05</f>
        <v>0.4</v>
      </c>
      <c r="E607" s="0" t="n">
        <f aca="false">1</f>
        <v>1</v>
      </c>
      <c r="F607" s="0" t="n">
        <f aca="false">C607</f>
        <v>-0.3</v>
      </c>
      <c r="G607" s="0" t="n">
        <f aca="false">D607</f>
        <v>0.4</v>
      </c>
      <c r="H607" s="0" t="n">
        <f aca="false">C607*D607</f>
        <v>-0.12</v>
      </c>
      <c r="I607" s="0" t="n">
        <f aca="false">C607*C607</f>
        <v>0.09</v>
      </c>
      <c r="J607" s="0" t="n">
        <f aca="false">D607*D607</f>
        <v>0.16</v>
      </c>
      <c r="K607" s="0" t="n">
        <f aca="false">SUMPRODUCT(E607:J607,_XtX!$B$53:$G$53)</f>
        <v>47.7633965517241</v>
      </c>
      <c r="L607" s="0" t="n">
        <f aca="false">SUMPRODUCT(MMULT(E607:J607,_XtX!$B$44:$G$49),E607:J607)</f>
        <v>0.174185632183908</v>
      </c>
      <c r="M607" s="0" t="n">
        <f aca="false">04_回帰ANOVA!$K$19*04_回帰ANOVA!$K$14*SQRT(1+L607)</f>
        <v>1.46840195232898</v>
      </c>
      <c r="N607" s="0" t="n">
        <f aca="false">K607-M607</f>
        <v>46.2949945993952</v>
      </c>
      <c r="O607" s="0" t="n">
        <f aca="false">K607+M607</f>
        <v>49.2317985040531</v>
      </c>
      <c r="P607" s="54" t="b">
        <f aca="false">AND(C607&gt;=01_因子設定!$L$5-0.000000001,C607&lt;=01_因子設定!$M$5+0.000000001,D607&gt;=01_因子設定!$L$6-0.000000001,D607&lt;=01_因子設定!$M$6+0.000000001,IF(01_因子設定!$B$20="Box-Behnken",C607^2+D607^2&lt;=2+0.000000001,TRUE()))</f>
        <v>1</v>
      </c>
      <c r="Q607" s="55" t="n">
        <f aca="false">IF(P607,IF(01_因子設定!$B$13="最大化",N607-01_因子設定!$B$14,IF(01_因子設定!$B$13="最小化",01_因子設定!$B$15-O607,MIN(N607-01_因子設定!$B$14,01_因子設定!$B$15-O607))),-1E+030)</f>
        <v>-0.20500540060484</v>
      </c>
      <c r="R607" s="55" t="n">
        <f aca="false">IF(P607,IF(01_因子設定!$B$13="最大化",K607,IF(01_因子設定!$B$13="最小化",-K607,-ABS(K607-01_因子設定!$B$16))),-1E+030)</f>
        <v>47.7633965517241</v>
      </c>
      <c r="S607" s="55" t="n">
        <f aca="false">Q607+ROW()*0.000000001</f>
        <v>-0.20500479360484</v>
      </c>
      <c r="T607" s="55" t="n">
        <f aca="false">R607+ROW()*0.000000001</f>
        <v>47.7633971587241</v>
      </c>
    </row>
    <row r="608" customFormat="false" ht="15" hidden="false" customHeight="false" outlineLevel="0" collapsed="false">
      <c r="A608" s="0" t="n">
        <v>14</v>
      </c>
      <c r="B608" s="0" t="n">
        <v>29</v>
      </c>
      <c r="C608" s="0" t="n">
        <f aca="false">-1+A608*0.05</f>
        <v>-0.3</v>
      </c>
      <c r="D608" s="0" t="n">
        <f aca="false">-1+B608*0.05</f>
        <v>0.45</v>
      </c>
      <c r="E608" s="0" t="n">
        <f aca="false">1</f>
        <v>1</v>
      </c>
      <c r="F608" s="0" t="n">
        <f aca="false">C608</f>
        <v>-0.3</v>
      </c>
      <c r="G608" s="0" t="n">
        <f aca="false">D608</f>
        <v>0.45</v>
      </c>
      <c r="H608" s="0" t="n">
        <f aca="false">C608*D608</f>
        <v>-0.135</v>
      </c>
      <c r="I608" s="0" t="n">
        <f aca="false">C608*C608</f>
        <v>0.09</v>
      </c>
      <c r="J608" s="0" t="n">
        <f aca="false">D608*D608</f>
        <v>0.2025</v>
      </c>
      <c r="K608" s="0" t="n">
        <f aca="false">SUMPRODUCT(E608:J608,_XtX!$B$53:$G$53)</f>
        <v>47.8024396551724</v>
      </c>
      <c r="L608" s="0" t="n">
        <f aca="false">SUMPRODUCT(MMULT(E608:J608,_XtX!$B$44:$G$49),E608:J608)</f>
        <v>0.177955064655172</v>
      </c>
      <c r="M608" s="0" t="n">
        <f aca="false">04_回帰ANOVA!$K$19*04_回帰ANOVA!$K$14*SQRT(1+L608)</f>
        <v>1.47075703432952</v>
      </c>
      <c r="N608" s="0" t="n">
        <f aca="false">K608-M608</f>
        <v>46.3316826208429</v>
      </c>
      <c r="O608" s="0" t="n">
        <f aca="false">K608+M608</f>
        <v>49.2731966895019</v>
      </c>
      <c r="P608" s="54" t="b">
        <f aca="false">AND(C608&gt;=01_因子設定!$L$5-0.000000001,C608&lt;=01_因子設定!$M$5+0.000000001,D608&gt;=01_因子設定!$L$6-0.000000001,D608&lt;=01_因子設定!$M$6+0.000000001,IF(01_因子設定!$B$20="Box-Behnken",C608^2+D608^2&lt;=2+0.000000001,TRUE()))</f>
        <v>1</v>
      </c>
      <c r="Q608" s="55" t="n">
        <f aca="false">IF(P608,IF(01_因子設定!$B$13="最大化",N608-01_因子設定!$B$14,IF(01_因子設定!$B$13="最小化",01_因子設定!$B$15-O608,MIN(N608-01_因子設定!$B$14,01_因子設定!$B$15-O608))),-1E+030)</f>
        <v>-0.168317379157102</v>
      </c>
      <c r="R608" s="55" t="n">
        <f aca="false">IF(P608,IF(01_因子設定!$B$13="最大化",K608,IF(01_因子設定!$B$13="最小化",-K608,-ABS(K608-01_因子設定!$B$16))),-1E+030)</f>
        <v>47.8024396551724</v>
      </c>
      <c r="S608" s="55" t="n">
        <f aca="false">Q608+ROW()*0.000000001</f>
        <v>-0.168316771157102</v>
      </c>
      <c r="T608" s="55" t="n">
        <f aca="false">R608+ROW()*0.000000001</f>
        <v>47.8024402631724</v>
      </c>
    </row>
    <row r="609" customFormat="false" ht="15" hidden="false" customHeight="false" outlineLevel="0" collapsed="false">
      <c r="A609" s="0" t="n">
        <v>14</v>
      </c>
      <c r="B609" s="0" t="n">
        <v>30</v>
      </c>
      <c r="C609" s="0" t="n">
        <f aca="false">-1+A609*0.05</f>
        <v>-0.3</v>
      </c>
      <c r="D609" s="0" t="n">
        <f aca="false">-1+B609*0.05</f>
        <v>0.5</v>
      </c>
      <c r="E609" s="0" t="n">
        <f aca="false">1</f>
        <v>1</v>
      </c>
      <c r="F609" s="0" t="n">
        <f aca="false">C609</f>
        <v>-0.3</v>
      </c>
      <c r="G609" s="0" t="n">
        <f aca="false">D609</f>
        <v>0.5</v>
      </c>
      <c r="H609" s="0" t="n">
        <f aca="false">C609*D609</f>
        <v>-0.15</v>
      </c>
      <c r="I609" s="0" t="n">
        <f aca="false">C609*C609</f>
        <v>0.09</v>
      </c>
      <c r="J609" s="0" t="n">
        <f aca="false">D609*D609</f>
        <v>0.25</v>
      </c>
      <c r="K609" s="0" t="n">
        <f aca="false">SUMPRODUCT(E609:J609,_XtX!$B$53:$G$53)</f>
        <v>47.8337672413793</v>
      </c>
      <c r="L609" s="0" t="n">
        <f aca="false">SUMPRODUCT(MMULT(E609:J609,_XtX!$B$44:$G$49),E609:J609)</f>
        <v>0.183715804597701</v>
      </c>
      <c r="M609" s="0" t="n">
        <f aca="false">04_回帰ANOVA!$K$19*04_回帰ANOVA!$K$14*SQRT(1+L609)</f>
        <v>1.47434898597359</v>
      </c>
      <c r="N609" s="0" t="n">
        <f aca="false">K609-M609</f>
        <v>46.3594182554057</v>
      </c>
      <c r="O609" s="0" t="n">
        <f aca="false">K609+M609</f>
        <v>49.3081162273529</v>
      </c>
      <c r="P609" s="54" t="b">
        <f aca="false">AND(C609&gt;=01_因子設定!$L$5-0.000000001,C609&lt;=01_因子設定!$M$5+0.000000001,D609&gt;=01_因子設定!$L$6-0.000000001,D609&lt;=01_因子設定!$M$6+0.000000001,IF(01_因子設定!$B$20="Box-Behnken",C609^2+D609^2&lt;=2+0.000000001,TRUE()))</f>
        <v>1</v>
      </c>
      <c r="Q609" s="55" t="n">
        <f aca="false">IF(P609,IF(01_因子設定!$B$13="最大化",N609-01_因子設定!$B$14,IF(01_因子設定!$B$13="最小化",01_因子設定!$B$15-O609,MIN(N609-01_因子設定!$B$14,01_因子設定!$B$15-O609))),-1E+030)</f>
        <v>-0.140581744594286</v>
      </c>
      <c r="R609" s="55" t="n">
        <f aca="false">IF(P609,IF(01_因子設定!$B$13="最大化",K609,IF(01_因子設定!$B$13="最小化",-K609,-ABS(K609-01_因子設定!$B$16))),-1E+030)</f>
        <v>47.8337672413793</v>
      </c>
      <c r="S609" s="55" t="n">
        <f aca="false">Q609+ROW()*0.000000001</f>
        <v>-0.140581135594286</v>
      </c>
      <c r="T609" s="55" t="n">
        <f aca="false">R609+ROW()*0.000000001</f>
        <v>47.8337678503793</v>
      </c>
    </row>
    <row r="610" customFormat="false" ht="15" hidden="false" customHeight="false" outlineLevel="0" collapsed="false">
      <c r="A610" s="0" t="n">
        <v>14</v>
      </c>
      <c r="B610" s="0" t="n">
        <v>31</v>
      </c>
      <c r="C610" s="0" t="n">
        <f aca="false">-1+A610*0.05</f>
        <v>-0.3</v>
      </c>
      <c r="D610" s="0" t="n">
        <f aca="false">-1+B610*0.05</f>
        <v>0.55</v>
      </c>
      <c r="E610" s="0" t="n">
        <f aca="false">1</f>
        <v>1</v>
      </c>
      <c r="F610" s="0" t="n">
        <f aca="false">C610</f>
        <v>-0.3</v>
      </c>
      <c r="G610" s="0" t="n">
        <f aca="false">D610</f>
        <v>0.55</v>
      </c>
      <c r="H610" s="0" t="n">
        <f aca="false">C610*D610</f>
        <v>-0.165</v>
      </c>
      <c r="I610" s="0" t="n">
        <f aca="false">C610*C610</f>
        <v>0.09</v>
      </c>
      <c r="J610" s="0" t="n">
        <f aca="false">D610*D610</f>
        <v>0.3025</v>
      </c>
      <c r="K610" s="0" t="n">
        <f aca="false">SUMPRODUCT(E610:J610,_XtX!$B$53:$G$53)</f>
        <v>47.8573793103448</v>
      </c>
      <c r="L610" s="0" t="n">
        <f aca="false">SUMPRODUCT(MMULT(E610:J610,_XtX!$B$44:$G$49),E610:J610)</f>
        <v>0.191983800287356</v>
      </c>
      <c r="M610" s="0" t="n">
        <f aca="false">04_回帰ANOVA!$K$19*04_回帰ANOVA!$K$14*SQRT(1+L610)</f>
        <v>1.47948902848418</v>
      </c>
      <c r="N610" s="0" t="n">
        <f aca="false">K610-M610</f>
        <v>46.3778902818606</v>
      </c>
      <c r="O610" s="0" t="n">
        <f aca="false">K610+M610</f>
        <v>49.336868338829</v>
      </c>
      <c r="P610" s="54" t="b">
        <f aca="false">AND(C610&gt;=01_因子設定!$L$5-0.000000001,C610&lt;=01_因子設定!$M$5+0.000000001,D610&gt;=01_因子設定!$L$6-0.000000001,D610&lt;=01_因子設定!$M$6+0.000000001,IF(01_因子設定!$B$20="Box-Behnken",C610^2+D610^2&lt;=2+0.000000001,TRUE()))</f>
        <v>1</v>
      </c>
      <c r="Q610" s="55" t="n">
        <f aca="false">IF(P610,IF(01_因子設定!$B$13="最大化",N610-01_因子設定!$B$14,IF(01_因子設定!$B$13="最小化",01_因子設定!$B$15-O610,MIN(N610-01_因子設定!$B$14,01_因子設定!$B$15-O610))),-1E+030)</f>
        <v>-0.122109718139356</v>
      </c>
      <c r="R610" s="55" t="n">
        <f aca="false">IF(P610,IF(01_因子設定!$B$13="最大化",K610,IF(01_因子設定!$B$13="最小化",-K610,-ABS(K610-01_因子設定!$B$16))),-1E+030)</f>
        <v>47.8573793103448</v>
      </c>
      <c r="S610" s="55" t="n">
        <f aca="false">Q610+ROW()*0.000000001</f>
        <v>-0.122109108139356</v>
      </c>
      <c r="T610" s="55" t="n">
        <f aca="false">R610+ROW()*0.000000001</f>
        <v>47.8573799203448</v>
      </c>
    </row>
    <row r="611" customFormat="false" ht="15" hidden="false" customHeight="false" outlineLevel="0" collapsed="false">
      <c r="A611" s="0" t="n">
        <v>14</v>
      </c>
      <c r="B611" s="0" t="n">
        <v>32</v>
      </c>
      <c r="C611" s="0" t="n">
        <f aca="false">-1+A611*0.05</f>
        <v>-0.3</v>
      </c>
      <c r="D611" s="0" t="n">
        <f aca="false">-1+B611*0.05</f>
        <v>0.6</v>
      </c>
      <c r="E611" s="0" t="n">
        <f aca="false">1</f>
        <v>1</v>
      </c>
      <c r="F611" s="0" t="n">
        <f aca="false">C611</f>
        <v>-0.3</v>
      </c>
      <c r="G611" s="0" t="n">
        <f aca="false">D611</f>
        <v>0.6</v>
      </c>
      <c r="H611" s="0" t="n">
        <f aca="false">C611*D611</f>
        <v>-0.18</v>
      </c>
      <c r="I611" s="0" t="n">
        <f aca="false">C611*C611</f>
        <v>0.09</v>
      </c>
      <c r="J611" s="0" t="n">
        <f aca="false">D611*D611</f>
        <v>0.36</v>
      </c>
      <c r="K611" s="0" t="n">
        <f aca="false">SUMPRODUCT(E611:J611,_XtX!$B$53:$G$53)</f>
        <v>47.873275862069</v>
      </c>
      <c r="L611" s="0" t="n">
        <f aca="false">SUMPRODUCT(MMULT(E611:J611,_XtX!$B$44:$G$49),E611:J611)</f>
        <v>0.203329310344828</v>
      </c>
      <c r="M611" s="0" t="n">
        <f aca="false">04_回帰ANOVA!$K$19*04_回帰ANOVA!$K$14*SQRT(1+L611)</f>
        <v>1.48651337086407</v>
      </c>
      <c r="N611" s="0" t="n">
        <f aca="false">K611-M611</f>
        <v>46.3867624912049</v>
      </c>
      <c r="O611" s="0" t="n">
        <f aca="false">K611+M611</f>
        <v>49.359789232933</v>
      </c>
      <c r="P611" s="54" t="b">
        <f aca="false">AND(C611&gt;=01_因子設定!$L$5-0.000000001,C611&lt;=01_因子設定!$M$5+0.000000001,D611&gt;=01_因子設定!$L$6-0.000000001,D611&lt;=01_因子設定!$M$6+0.000000001,IF(01_因子設定!$B$20="Box-Behnken",C611^2+D611^2&lt;=2+0.000000001,TRUE()))</f>
        <v>1</v>
      </c>
      <c r="Q611" s="55" t="n">
        <f aca="false">IF(P611,IF(01_因子設定!$B$13="最大化",N611-01_因子設定!$B$14,IF(01_因子設定!$B$13="最小化",01_因子設定!$B$15-O611,MIN(N611-01_因子設定!$B$14,01_因子設定!$B$15-O611))),-1E+030)</f>
        <v>-0.113237508795109</v>
      </c>
      <c r="R611" s="55" t="n">
        <f aca="false">IF(P611,IF(01_因子設定!$B$13="最大化",K611,IF(01_因子設定!$B$13="最小化",-K611,-ABS(K611-01_因子設定!$B$16))),-1E+030)</f>
        <v>47.873275862069</v>
      </c>
      <c r="S611" s="55" t="n">
        <f aca="false">Q611+ROW()*0.000000001</f>
        <v>-0.113236897795109</v>
      </c>
      <c r="T611" s="55" t="n">
        <f aca="false">R611+ROW()*0.000000001</f>
        <v>47.873276473069</v>
      </c>
    </row>
    <row r="612" customFormat="false" ht="15" hidden="false" customHeight="false" outlineLevel="0" collapsed="false">
      <c r="A612" s="0" t="n">
        <v>14</v>
      </c>
      <c r="B612" s="0" t="n">
        <v>33</v>
      </c>
      <c r="C612" s="0" t="n">
        <f aca="false">-1+A612*0.05</f>
        <v>-0.3</v>
      </c>
      <c r="D612" s="0" t="n">
        <f aca="false">-1+B612*0.05</f>
        <v>0.65</v>
      </c>
      <c r="E612" s="0" t="n">
        <f aca="false">1</f>
        <v>1</v>
      </c>
      <c r="F612" s="0" t="n">
        <f aca="false">C612</f>
        <v>-0.3</v>
      </c>
      <c r="G612" s="0" t="n">
        <f aca="false">D612</f>
        <v>0.65</v>
      </c>
      <c r="H612" s="0" t="n">
        <f aca="false">C612*D612</f>
        <v>-0.195</v>
      </c>
      <c r="I612" s="0" t="n">
        <f aca="false">C612*C612</f>
        <v>0.09</v>
      </c>
      <c r="J612" s="0" t="n">
        <f aca="false">D612*D612</f>
        <v>0.4225</v>
      </c>
      <c r="K612" s="0" t="n">
        <f aca="false">SUMPRODUCT(E612:J612,_XtX!$B$53:$G$53)</f>
        <v>47.8814568965517</v>
      </c>
      <c r="L612" s="0" t="n">
        <f aca="false">SUMPRODUCT(MMULT(E612:J612,_XtX!$B$44:$G$49),E612:J612)</f>
        <v>0.218376903735632</v>
      </c>
      <c r="M612" s="0" t="n">
        <f aca="false">04_回帰ANOVA!$K$19*04_回帰ANOVA!$K$14*SQRT(1+L612)</f>
        <v>1.49577889495948</v>
      </c>
      <c r="N612" s="0" t="n">
        <f aca="false">K612-M612</f>
        <v>46.3856780015923</v>
      </c>
      <c r="O612" s="0" t="n">
        <f aca="false">K612+M612</f>
        <v>49.3772357915112</v>
      </c>
      <c r="P612" s="54" t="b">
        <f aca="false">AND(C612&gt;=01_因子設定!$L$5-0.000000001,C612&lt;=01_因子設定!$M$5+0.000000001,D612&gt;=01_因子設定!$L$6-0.000000001,D612&lt;=01_因子設定!$M$6+0.000000001,IF(01_因子設定!$B$20="Box-Behnken",C612^2+D612^2&lt;=2+0.000000001,TRUE()))</f>
        <v>1</v>
      </c>
      <c r="Q612" s="55" t="n">
        <f aca="false">IF(P612,IF(01_因子設定!$B$13="最大化",N612-01_因子設定!$B$14,IF(01_因子設定!$B$13="最小化",01_因子設定!$B$15-O612,MIN(N612-01_因子設定!$B$14,01_因子設定!$B$15-O612))),-1E+030)</f>
        <v>-0.114321998407753</v>
      </c>
      <c r="R612" s="55" t="n">
        <f aca="false">IF(P612,IF(01_因子設定!$B$13="最大化",K612,IF(01_因子設定!$B$13="最小化",-K612,-ABS(K612-01_因子設定!$B$16))),-1E+030)</f>
        <v>47.8814568965517</v>
      </c>
      <c r="S612" s="55" t="n">
        <f aca="false">Q612+ROW()*0.000000001</f>
        <v>-0.114321386407753</v>
      </c>
      <c r="T612" s="55" t="n">
        <f aca="false">R612+ROW()*0.000000001</f>
        <v>47.8814575085517</v>
      </c>
    </row>
    <row r="613" customFormat="false" ht="15" hidden="false" customHeight="false" outlineLevel="0" collapsed="false">
      <c r="A613" s="0" t="n">
        <v>14</v>
      </c>
      <c r="B613" s="0" t="n">
        <v>34</v>
      </c>
      <c r="C613" s="0" t="n">
        <f aca="false">-1+A613*0.05</f>
        <v>-0.3</v>
      </c>
      <c r="D613" s="0" t="n">
        <f aca="false">-1+B613*0.05</f>
        <v>0.7</v>
      </c>
      <c r="E613" s="0" t="n">
        <f aca="false">1</f>
        <v>1</v>
      </c>
      <c r="F613" s="0" t="n">
        <f aca="false">C613</f>
        <v>-0.3</v>
      </c>
      <c r="G613" s="0" t="n">
        <f aca="false">D613</f>
        <v>0.7</v>
      </c>
      <c r="H613" s="0" t="n">
        <f aca="false">C613*D613</f>
        <v>-0.21</v>
      </c>
      <c r="I613" s="0" t="n">
        <f aca="false">C613*C613</f>
        <v>0.09</v>
      </c>
      <c r="J613" s="0" t="n">
        <f aca="false">D613*D613</f>
        <v>0.49</v>
      </c>
      <c r="K613" s="0" t="n">
        <f aca="false">SUMPRODUCT(E613:J613,_XtX!$B$53:$G$53)</f>
        <v>47.8819224137931</v>
      </c>
      <c r="L613" s="0" t="n">
        <f aca="false">SUMPRODUCT(MMULT(E613:J613,_XtX!$B$44:$G$49),E613:J613)</f>
        <v>0.237805459770115</v>
      </c>
      <c r="M613" s="0" t="n">
        <f aca="false">04_回帰ANOVA!$K$19*04_回帰ANOVA!$K$14*SQRT(1+L613)</f>
        <v>1.50765776664594</v>
      </c>
      <c r="N613" s="0" t="n">
        <f aca="false">K613-M613</f>
        <v>46.3742646471472</v>
      </c>
      <c r="O613" s="0" t="n">
        <f aca="false">K613+M613</f>
        <v>49.389580180439</v>
      </c>
      <c r="P613" s="54" t="b">
        <f aca="false">AND(C613&gt;=01_因子設定!$L$5-0.000000001,C613&lt;=01_因子設定!$M$5+0.000000001,D613&gt;=01_因子設定!$L$6-0.000000001,D613&lt;=01_因子設定!$M$6+0.000000001,IF(01_因子設定!$B$20="Box-Behnken",C613^2+D613^2&lt;=2+0.000000001,TRUE()))</f>
        <v>1</v>
      </c>
      <c r="Q613" s="55" t="n">
        <f aca="false">IF(P613,IF(01_因子設定!$B$13="最大化",N613-01_因子設定!$B$14,IF(01_因子設定!$B$13="最小化",01_因子設定!$B$15-O613,MIN(N613-01_因子設定!$B$14,01_因子設定!$B$15-O613))),-1E+030)</f>
        <v>-0.125735352852843</v>
      </c>
      <c r="R613" s="55" t="n">
        <f aca="false">IF(P613,IF(01_因子設定!$B$13="最大化",K613,IF(01_因子設定!$B$13="最小化",-K613,-ABS(K613-01_因子設定!$B$16))),-1E+030)</f>
        <v>47.8819224137931</v>
      </c>
      <c r="S613" s="55" t="n">
        <f aca="false">Q613+ROW()*0.000000001</f>
        <v>-0.125734739852843</v>
      </c>
      <c r="T613" s="55" t="n">
        <f aca="false">R613+ROW()*0.000000001</f>
        <v>47.8819230267931</v>
      </c>
    </row>
    <row r="614" customFormat="false" ht="15" hidden="false" customHeight="false" outlineLevel="0" collapsed="false">
      <c r="A614" s="0" t="n">
        <v>14</v>
      </c>
      <c r="B614" s="0" t="n">
        <v>35</v>
      </c>
      <c r="C614" s="0" t="n">
        <f aca="false">-1+A614*0.05</f>
        <v>-0.3</v>
      </c>
      <c r="D614" s="0" t="n">
        <f aca="false">-1+B614*0.05</f>
        <v>0.75</v>
      </c>
      <c r="E614" s="0" t="n">
        <f aca="false">1</f>
        <v>1</v>
      </c>
      <c r="F614" s="0" t="n">
        <f aca="false">C614</f>
        <v>-0.3</v>
      </c>
      <c r="G614" s="0" t="n">
        <f aca="false">D614</f>
        <v>0.75</v>
      </c>
      <c r="H614" s="0" t="n">
        <f aca="false">C614*D614</f>
        <v>-0.225</v>
      </c>
      <c r="I614" s="0" t="n">
        <f aca="false">C614*C614</f>
        <v>0.09</v>
      </c>
      <c r="J614" s="0" t="n">
        <f aca="false">D614*D614</f>
        <v>0.5625</v>
      </c>
      <c r="K614" s="0" t="n">
        <f aca="false">SUMPRODUCT(E614:J614,_XtX!$B$53:$G$53)</f>
        <v>47.8746724137931</v>
      </c>
      <c r="L614" s="0" t="n">
        <f aca="false">SUMPRODUCT(MMULT(E614:J614,_XtX!$B$44:$G$49),E614:J614)</f>
        <v>0.262348168103448</v>
      </c>
      <c r="M614" s="0" t="n">
        <f aca="false">04_回帰ANOVA!$K$19*04_回帰ANOVA!$K$14*SQRT(1+L614)</f>
        <v>1.52253101891881</v>
      </c>
      <c r="N614" s="0" t="n">
        <f aca="false">K614-M614</f>
        <v>46.3521413948743</v>
      </c>
      <c r="O614" s="0" t="n">
        <f aca="false">K614+M614</f>
        <v>49.3972034327119</v>
      </c>
      <c r="P614" s="54" t="b">
        <f aca="false">AND(C614&gt;=01_因子設定!$L$5-0.000000001,C614&lt;=01_因子設定!$M$5+0.000000001,D614&gt;=01_因子設定!$L$6-0.000000001,D614&lt;=01_因子設定!$M$6+0.000000001,IF(01_因子設定!$B$20="Box-Behnken",C614^2+D614^2&lt;=2+0.000000001,TRUE()))</f>
        <v>1</v>
      </c>
      <c r="Q614" s="55" t="n">
        <f aca="false">IF(P614,IF(01_因子設定!$B$13="最大化",N614-01_因子設定!$B$14,IF(01_因子設定!$B$13="最小化",01_因子設定!$B$15-O614,MIN(N614-01_因子設定!$B$14,01_因子設定!$B$15-O614))),-1E+030)</f>
        <v>-0.147858605125705</v>
      </c>
      <c r="R614" s="55" t="n">
        <f aca="false">IF(P614,IF(01_因子設定!$B$13="最大化",K614,IF(01_因子設定!$B$13="最小化",-K614,-ABS(K614-01_因子設定!$B$16))),-1E+030)</f>
        <v>47.8746724137931</v>
      </c>
      <c r="S614" s="55" t="n">
        <f aca="false">Q614+ROW()*0.000000001</f>
        <v>-0.147857991125705</v>
      </c>
      <c r="T614" s="55" t="n">
        <f aca="false">R614+ROW()*0.000000001</f>
        <v>47.8746730277931</v>
      </c>
    </row>
    <row r="615" customFormat="false" ht="15" hidden="false" customHeight="false" outlineLevel="0" collapsed="false">
      <c r="A615" s="0" t="n">
        <v>14</v>
      </c>
      <c r="B615" s="0" t="n">
        <v>36</v>
      </c>
      <c r="C615" s="0" t="n">
        <f aca="false">-1+A615*0.05</f>
        <v>-0.3</v>
      </c>
      <c r="D615" s="0" t="n">
        <f aca="false">-1+B615*0.05</f>
        <v>0.8</v>
      </c>
      <c r="E615" s="0" t="n">
        <f aca="false">1</f>
        <v>1</v>
      </c>
      <c r="F615" s="0" t="n">
        <f aca="false">C615</f>
        <v>-0.3</v>
      </c>
      <c r="G615" s="0" t="n">
        <f aca="false">D615</f>
        <v>0.8</v>
      </c>
      <c r="H615" s="0" t="n">
        <f aca="false">C615*D615</f>
        <v>-0.24</v>
      </c>
      <c r="I615" s="0" t="n">
        <f aca="false">C615*C615</f>
        <v>0.09</v>
      </c>
      <c r="J615" s="0" t="n">
        <f aca="false">D615*D615</f>
        <v>0.64</v>
      </c>
      <c r="K615" s="0" t="n">
        <f aca="false">SUMPRODUCT(E615:J615,_XtX!$B$53:$G$53)</f>
        <v>47.8597068965517</v>
      </c>
      <c r="L615" s="0" t="n">
        <f aca="false">SUMPRODUCT(MMULT(E615:J615,_XtX!$B$44:$G$49),E615:J615)</f>
        <v>0.292792528735632</v>
      </c>
      <c r="M615" s="0" t="n">
        <f aca="false">04_回帰ANOVA!$K$19*04_回帰ANOVA!$K$14*SQRT(1+L615)</f>
        <v>1.54078126521906</v>
      </c>
      <c r="N615" s="0" t="n">
        <f aca="false">K615-M615</f>
        <v>46.3189256313327</v>
      </c>
      <c r="O615" s="0" t="n">
        <f aca="false">K615+M615</f>
        <v>49.4004881617708</v>
      </c>
      <c r="P615" s="54" t="b">
        <f aca="false">AND(C615&gt;=01_因子設定!$L$5-0.000000001,C615&lt;=01_因子設定!$M$5+0.000000001,D615&gt;=01_因子設定!$L$6-0.000000001,D615&lt;=01_因子設定!$M$6+0.000000001,IF(01_因子設定!$B$20="Box-Behnken",C615^2+D615^2&lt;=2+0.000000001,TRUE()))</f>
        <v>1</v>
      </c>
      <c r="Q615" s="55" t="n">
        <f aca="false">IF(P615,IF(01_因子設定!$B$13="最大化",N615-01_因子設定!$B$14,IF(01_因子設定!$B$13="最小化",01_因子設定!$B$15-O615,MIN(N615-01_因子設定!$B$14,01_因子設定!$B$15-O615))),-1E+030)</f>
        <v>-0.181074368667339</v>
      </c>
      <c r="R615" s="55" t="n">
        <f aca="false">IF(P615,IF(01_因子設定!$B$13="最大化",K615,IF(01_因子設定!$B$13="最小化",-K615,-ABS(K615-01_因子設定!$B$16))),-1E+030)</f>
        <v>47.8597068965517</v>
      </c>
      <c r="S615" s="55" t="n">
        <f aca="false">Q615+ROW()*0.000000001</f>
        <v>-0.181073753667339</v>
      </c>
      <c r="T615" s="55" t="n">
        <f aca="false">R615+ROW()*0.000000001</f>
        <v>47.8597075115517</v>
      </c>
    </row>
    <row r="616" customFormat="false" ht="15" hidden="false" customHeight="false" outlineLevel="0" collapsed="false">
      <c r="A616" s="0" t="n">
        <v>14</v>
      </c>
      <c r="B616" s="0" t="n">
        <v>37</v>
      </c>
      <c r="C616" s="0" t="n">
        <f aca="false">-1+A616*0.05</f>
        <v>-0.3</v>
      </c>
      <c r="D616" s="0" t="n">
        <f aca="false">-1+B616*0.05</f>
        <v>0.85</v>
      </c>
      <c r="E616" s="0" t="n">
        <f aca="false">1</f>
        <v>1</v>
      </c>
      <c r="F616" s="0" t="n">
        <f aca="false">C616</f>
        <v>-0.3</v>
      </c>
      <c r="G616" s="0" t="n">
        <f aca="false">D616</f>
        <v>0.85</v>
      </c>
      <c r="H616" s="0" t="n">
        <f aca="false">C616*D616</f>
        <v>-0.255</v>
      </c>
      <c r="I616" s="0" t="n">
        <f aca="false">C616*C616</f>
        <v>0.09</v>
      </c>
      <c r="J616" s="0" t="n">
        <f aca="false">D616*D616</f>
        <v>0.7225</v>
      </c>
      <c r="K616" s="0" t="n">
        <f aca="false">SUMPRODUCT(E616:J616,_XtX!$B$53:$G$53)</f>
        <v>47.837025862069</v>
      </c>
      <c r="L616" s="0" t="n">
        <f aca="false">SUMPRODUCT(MMULT(E616:J616,_XtX!$B$44:$G$49),E616:J616)</f>
        <v>0.329980352011494</v>
      </c>
      <c r="M616" s="0" t="n">
        <f aca="false">04_回帰ANOVA!$K$19*04_回帰ANOVA!$K$14*SQRT(1+L616)</f>
        <v>1.56278482285818</v>
      </c>
      <c r="N616" s="0" t="n">
        <f aca="false">K616-M616</f>
        <v>46.2742410392108</v>
      </c>
      <c r="O616" s="0" t="n">
        <f aca="false">K616+M616</f>
        <v>49.3998106849271</v>
      </c>
      <c r="P616" s="54" t="b">
        <f aca="false">AND(C616&gt;=01_因子設定!$L$5-0.000000001,C616&lt;=01_因子設定!$M$5+0.000000001,D616&gt;=01_因子設定!$L$6-0.000000001,D616&lt;=01_因子設定!$M$6+0.000000001,IF(01_因子設定!$B$20="Box-Behnken",C616^2+D616^2&lt;=2+0.000000001,TRUE()))</f>
        <v>1</v>
      </c>
      <c r="Q616" s="55" t="n">
        <f aca="false">IF(P616,IF(01_因子設定!$B$13="最大化",N616-01_因子設定!$B$14,IF(01_因子設定!$B$13="最小化",01_因子設定!$B$15-O616,MIN(N616-01_因子設定!$B$14,01_因子設定!$B$15-O616))),-1E+030)</f>
        <v>-0.225758960789214</v>
      </c>
      <c r="R616" s="55" t="n">
        <f aca="false">IF(P616,IF(01_因子設定!$B$13="最大化",K616,IF(01_因子設定!$B$13="最小化",-K616,-ABS(K616-01_因子設定!$B$16))),-1E+030)</f>
        <v>47.837025862069</v>
      </c>
      <c r="S616" s="55" t="n">
        <f aca="false">Q616+ROW()*0.000000001</f>
        <v>-0.225758344789214</v>
      </c>
      <c r="T616" s="55" t="n">
        <f aca="false">R616+ROW()*0.000000001</f>
        <v>47.837026478069</v>
      </c>
    </row>
    <row r="617" customFormat="false" ht="15" hidden="false" customHeight="false" outlineLevel="0" collapsed="false">
      <c r="A617" s="0" t="n">
        <v>14</v>
      </c>
      <c r="B617" s="0" t="n">
        <v>38</v>
      </c>
      <c r="C617" s="0" t="n">
        <f aca="false">-1+A617*0.05</f>
        <v>-0.3</v>
      </c>
      <c r="D617" s="0" t="n">
        <f aca="false">-1+B617*0.05</f>
        <v>0.9</v>
      </c>
      <c r="E617" s="0" t="n">
        <f aca="false">1</f>
        <v>1</v>
      </c>
      <c r="F617" s="0" t="n">
        <f aca="false">C617</f>
        <v>-0.3</v>
      </c>
      <c r="G617" s="0" t="n">
        <f aca="false">D617</f>
        <v>0.9</v>
      </c>
      <c r="H617" s="0" t="n">
        <f aca="false">C617*D617</f>
        <v>-0.27</v>
      </c>
      <c r="I617" s="0" t="n">
        <f aca="false">C617*C617</f>
        <v>0.09</v>
      </c>
      <c r="J617" s="0" t="n">
        <f aca="false">D617*D617</f>
        <v>0.81</v>
      </c>
      <c r="K617" s="0" t="n">
        <f aca="false">SUMPRODUCT(E617:J617,_XtX!$B$53:$G$53)</f>
        <v>47.8066293103448</v>
      </c>
      <c r="L617" s="0" t="n">
        <f aca="false">SUMPRODUCT(MMULT(E617:J617,_XtX!$B$44:$G$49),E617:J617)</f>
        <v>0.37480775862069</v>
      </c>
      <c r="M617" s="0" t="n">
        <f aca="false">04_回帰ANOVA!$K$19*04_回帰ANOVA!$K$14*SQRT(1+L617)</f>
        <v>1.58890363834478</v>
      </c>
      <c r="N617" s="0" t="n">
        <f aca="false">K617-M617</f>
        <v>46.217725672</v>
      </c>
      <c r="O617" s="0" t="n">
        <f aca="false">K617+M617</f>
        <v>49.3955329486896</v>
      </c>
      <c r="P617" s="54" t="b">
        <f aca="false">AND(C617&gt;=01_因子設定!$L$5-0.000000001,C617&lt;=01_因子設定!$M$5+0.000000001,D617&gt;=01_因子設定!$L$6-0.000000001,D617&lt;=01_因子設定!$M$6+0.000000001,IF(01_因子設定!$B$20="Box-Behnken",C617^2+D617^2&lt;=2+0.000000001,TRUE()))</f>
        <v>1</v>
      </c>
      <c r="Q617" s="55" t="n">
        <f aca="false">IF(P617,IF(01_因子設定!$B$13="最大化",N617-01_因子設定!$B$14,IF(01_因子設定!$B$13="最小化",01_因子設定!$B$15-O617,MIN(N617-01_因子設定!$B$14,01_因子設定!$B$15-O617))),-1E+030)</f>
        <v>-0.282274327999957</v>
      </c>
      <c r="R617" s="55" t="n">
        <f aca="false">IF(P617,IF(01_因子設定!$B$13="最大化",K617,IF(01_因子設定!$B$13="最小化",-K617,-ABS(K617-01_因子設定!$B$16))),-1E+030)</f>
        <v>47.8066293103448</v>
      </c>
      <c r="S617" s="55" t="n">
        <f aca="false">Q617+ROW()*0.000000001</f>
        <v>-0.282273710999957</v>
      </c>
      <c r="T617" s="55" t="n">
        <f aca="false">R617+ROW()*0.000000001</f>
        <v>47.8066299273448</v>
      </c>
    </row>
    <row r="618" customFormat="false" ht="15" hidden="false" customHeight="false" outlineLevel="0" collapsed="false">
      <c r="A618" s="0" t="n">
        <v>14</v>
      </c>
      <c r="B618" s="0" t="n">
        <v>39</v>
      </c>
      <c r="C618" s="0" t="n">
        <f aca="false">-1+A618*0.05</f>
        <v>-0.3</v>
      </c>
      <c r="D618" s="0" t="n">
        <f aca="false">-1+B618*0.05</f>
        <v>0.95</v>
      </c>
      <c r="E618" s="0" t="n">
        <f aca="false">1</f>
        <v>1</v>
      </c>
      <c r="F618" s="0" t="n">
        <f aca="false">C618</f>
        <v>-0.3</v>
      </c>
      <c r="G618" s="0" t="n">
        <f aca="false">D618</f>
        <v>0.95</v>
      </c>
      <c r="H618" s="0" t="n">
        <f aca="false">C618*D618</f>
        <v>-0.285</v>
      </c>
      <c r="I618" s="0" t="n">
        <f aca="false">C618*C618</f>
        <v>0.09</v>
      </c>
      <c r="J618" s="0" t="n">
        <f aca="false">D618*D618</f>
        <v>0.9025</v>
      </c>
      <c r="K618" s="0" t="n">
        <f aca="false">SUMPRODUCT(E618:J618,_XtX!$B$53:$G$53)</f>
        <v>47.7685172413793</v>
      </c>
      <c r="L618" s="0" t="n">
        <f aca="false">SUMPRODUCT(MMULT(E618:J618,_XtX!$B$44:$G$49),E618:J618)</f>
        <v>0.428225179597701</v>
      </c>
      <c r="M618" s="0" t="n">
        <f aca="false">04_回帰ANOVA!$K$19*04_回帰ANOVA!$K$14*SQRT(1+L618)</f>
        <v>1.61947748676737</v>
      </c>
      <c r="N618" s="0" t="n">
        <f aca="false">K618-M618</f>
        <v>46.1490397546119</v>
      </c>
      <c r="O618" s="0" t="n">
        <f aca="false">K618+M618</f>
        <v>49.3879947281467</v>
      </c>
      <c r="P618" s="54" t="b">
        <f aca="false">AND(C618&gt;=01_因子設定!$L$5-0.000000001,C618&lt;=01_因子設定!$M$5+0.000000001,D618&gt;=01_因子設定!$L$6-0.000000001,D618&lt;=01_因子設定!$M$6+0.000000001,IF(01_因子設定!$B$20="Box-Behnken",C618^2+D618^2&lt;=2+0.000000001,TRUE()))</f>
        <v>1</v>
      </c>
      <c r="Q618" s="55" t="n">
        <f aca="false">IF(P618,IF(01_因子設定!$B$13="最大化",N618-01_因子設定!$B$14,IF(01_因子設定!$B$13="最小化",01_因子設定!$B$15-O618,MIN(N618-01_因子設定!$B$14,01_因子設定!$B$15-O618))),-1E+030)</f>
        <v>-0.350960245388066</v>
      </c>
      <c r="R618" s="55" t="n">
        <f aca="false">IF(P618,IF(01_因子設定!$B$13="最大化",K618,IF(01_因子設定!$B$13="最小化",-K618,-ABS(K618-01_因子設定!$B$16))),-1E+030)</f>
        <v>47.7685172413793</v>
      </c>
      <c r="S618" s="55" t="n">
        <f aca="false">Q618+ROW()*0.000000001</f>
        <v>-0.350959627388066</v>
      </c>
      <c r="T618" s="55" t="n">
        <f aca="false">R618+ROW()*0.000000001</f>
        <v>47.7685178593793</v>
      </c>
    </row>
    <row r="619" customFormat="false" ht="15" hidden="false" customHeight="false" outlineLevel="0" collapsed="false">
      <c r="A619" s="0" t="n">
        <v>14</v>
      </c>
      <c r="B619" s="0" t="n">
        <v>40</v>
      </c>
      <c r="C619" s="0" t="n">
        <f aca="false">-1+A619*0.05</f>
        <v>-0.3</v>
      </c>
      <c r="D619" s="0" t="n">
        <f aca="false">-1+B619*0.05</f>
        <v>1</v>
      </c>
      <c r="E619" s="0" t="n">
        <f aca="false">1</f>
        <v>1</v>
      </c>
      <c r="F619" s="0" t="n">
        <f aca="false">C619</f>
        <v>-0.3</v>
      </c>
      <c r="G619" s="0" t="n">
        <f aca="false">D619</f>
        <v>1</v>
      </c>
      <c r="H619" s="0" t="n">
        <f aca="false">C619*D619</f>
        <v>-0.3</v>
      </c>
      <c r="I619" s="0" t="n">
        <f aca="false">C619*C619</f>
        <v>0.09</v>
      </c>
      <c r="J619" s="0" t="n">
        <f aca="false">D619*D619</f>
        <v>1</v>
      </c>
      <c r="K619" s="0" t="n">
        <f aca="false">SUMPRODUCT(E619:J619,_XtX!$B$53:$G$53)</f>
        <v>47.7226896551724</v>
      </c>
      <c r="L619" s="0" t="n">
        <f aca="false">SUMPRODUCT(MMULT(E619:J619,_XtX!$B$44:$G$49),E619:J619)</f>
        <v>0.491237356321839</v>
      </c>
      <c r="M619" s="0" t="n">
        <f aca="false">04_回帰ANOVA!$K$19*04_回帰ANOVA!$K$14*SQRT(1+L619)</f>
        <v>1.65481694581525</v>
      </c>
      <c r="N619" s="0" t="n">
        <f aca="false">K619-M619</f>
        <v>46.0678727093572</v>
      </c>
      <c r="O619" s="0" t="n">
        <f aca="false">K619+M619</f>
        <v>49.3775066009877</v>
      </c>
      <c r="P619" s="54" t="b">
        <f aca="false">AND(C619&gt;=01_因子設定!$L$5-0.000000001,C619&lt;=01_因子設定!$M$5+0.000000001,D619&gt;=01_因子設定!$L$6-0.000000001,D619&lt;=01_因子設定!$M$6+0.000000001,IF(01_因子設定!$B$20="Box-Behnken",C619^2+D619^2&lt;=2+0.000000001,TRUE()))</f>
        <v>1</v>
      </c>
      <c r="Q619" s="55" t="n">
        <f aca="false">IF(P619,IF(01_因子設定!$B$13="最大化",N619-01_因子設定!$B$14,IF(01_因子設定!$B$13="最小化",01_因子設定!$B$15-O619,MIN(N619-01_因子設定!$B$14,01_因子設定!$B$15-O619))),-1E+030)</f>
        <v>-0.432127290642832</v>
      </c>
      <c r="R619" s="55" t="n">
        <f aca="false">IF(P619,IF(01_因子設定!$B$13="最大化",K619,IF(01_因子設定!$B$13="最小化",-K619,-ABS(K619-01_因子設定!$B$16))),-1E+030)</f>
        <v>47.7226896551724</v>
      </c>
      <c r="S619" s="55" t="n">
        <f aca="false">Q619+ROW()*0.000000001</f>
        <v>-0.432126671642832</v>
      </c>
      <c r="T619" s="55" t="n">
        <f aca="false">R619+ROW()*0.000000001</f>
        <v>47.7226902741724</v>
      </c>
    </row>
    <row r="620" customFormat="false" ht="15" hidden="false" customHeight="false" outlineLevel="0" collapsed="false">
      <c r="A620" s="0" t="n">
        <v>15</v>
      </c>
      <c r="B620" s="0" t="n">
        <v>0</v>
      </c>
      <c r="C620" s="0" t="n">
        <f aca="false">-1+A620*0.05</f>
        <v>-0.25</v>
      </c>
      <c r="D620" s="0" t="n">
        <f aca="false">-1+B620*0.05</f>
        <v>-1</v>
      </c>
      <c r="E620" s="0" t="n">
        <f aca="false">1</f>
        <v>1</v>
      </c>
      <c r="F620" s="0" t="n">
        <f aca="false">C620</f>
        <v>-0.25</v>
      </c>
      <c r="G620" s="0" t="n">
        <f aca="false">D620</f>
        <v>-1</v>
      </c>
      <c r="H620" s="0" t="n">
        <f aca="false">C620*D620</f>
        <v>0.25</v>
      </c>
      <c r="I620" s="0" t="n">
        <f aca="false">C620*C620</f>
        <v>0.0625</v>
      </c>
      <c r="J620" s="0" t="n">
        <f aca="false">D620*D620</f>
        <v>1</v>
      </c>
      <c r="K620" s="0" t="n">
        <f aca="false">SUMPRODUCT(E620:J620,_XtX!$B$53:$G$53)</f>
        <v>43.6927083333333</v>
      </c>
      <c r="L620" s="0" t="n">
        <f aca="false">SUMPRODUCT(MMULT(E620:J620,_XtX!$B$44:$G$49),E620:J620)</f>
        <v>0.491536458333333</v>
      </c>
      <c r="M620" s="0" t="n">
        <f aca="false">04_回帰ANOVA!$K$19*04_回帰ANOVA!$K$14*SQRT(1+L620)</f>
        <v>1.65498289332813</v>
      </c>
      <c r="N620" s="0" t="n">
        <f aca="false">K620-M620</f>
        <v>42.0377254400052</v>
      </c>
      <c r="O620" s="0" t="n">
        <f aca="false">K620+M620</f>
        <v>45.3476912266615</v>
      </c>
      <c r="P620" s="54" t="b">
        <f aca="false">AND(C620&gt;=01_因子設定!$L$5-0.000000001,C620&lt;=01_因子設定!$M$5+0.000000001,D620&gt;=01_因子設定!$L$6-0.000000001,D620&lt;=01_因子設定!$M$6+0.000000001,IF(01_因子設定!$B$20="Box-Behnken",C620^2+D620^2&lt;=2+0.000000001,TRUE()))</f>
        <v>1</v>
      </c>
      <c r="Q620" s="55" t="n">
        <f aca="false">IF(P620,IF(01_因子設定!$B$13="最大化",N620-01_因子設定!$B$14,IF(01_因子設定!$B$13="最小化",01_因子設定!$B$15-O620,MIN(N620-01_因子設定!$B$14,01_因子設定!$B$15-O620))),-1E+030)</f>
        <v>-4.46227455999479</v>
      </c>
      <c r="R620" s="55" t="n">
        <f aca="false">IF(P620,IF(01_因子設定!$B$13="最大化",K620,IF(01_因子設定!$B$13="最小化",-K620,-ABS(K620-01_因子設定!$B$16))),-1E+030)</f>
        <v>43.6927083333333</v>
      </c>
      <c r="S620" s="55" t="n">
        <f aca="false">Q620+ROW()*0.000000001</f>
        <v>-4.46227393999479</v>
      </c>
      <c r="T620" s="55" t="n">
        <f aca="false">R620+ROW()*0.000000001</f>
        <v>43.6927089533333</v>
      </c>
    </row>
    <row r="621" customFormat="false" ht="15" hidden="false" customHeight="false" outlineLevel="0" collapsed="false">
      <c r="A621" s="0" t="n">
        <v>15</v>
      </c>
      <c r="B621" s="0" t="n">
        <v>1</v>
      </c>
      <c r="C621" s="0" t="n">
        <f aca="false">-1+A621*0.05</f>
        <v>-0.25</v>
      </c>
      <c r="D621" s="0" t="n">
        <f aca="false">-1+B621*0.05</f>
        <v>-0.95</v>
      </c>
      <c r="E621" s="0" t="n">
        <f aca="false">1</f>
        <v>1</v>
      </c>
      <c r="F621" s="0" t="n">
        <f aca="false">C621</f>
        <v>-0.25</v>
      </c>
      <c r="G621" s="0" t="n">
        <f aca="false">D621</f>
        <v>-0.95</v>
      </c>
      <c r="H621" s="0" t="n">
        <f aca="false">C621*D621</f>
        <v>0.2375</v>
      </c>
      <c r="I621" s="0" t="n">
        <f aca="false">C621*C621</f>
        <v>0.0625</v>
      </c>
      <c r="J621" s="0" t="n">
        <f aca="false">D621*D621</f>
        <v>0.9025</v>
      </c>
      <c r="K621" s="0" t="n">
        <f aca="false">SUMPRODUCT(E621:J621,_XtX!$B$53:$G$53)</f>
        <v>43.9490984195402</v>
      </c>
      <c r="L621" s="0" t="n">
        <f aca="false">SUMPRODUCT(MMULT(E621:J621,_XtX!$B$44:$G$49),E621:J621)</f>
        <v>0.428454938936782</v>
      </c>
      <c r="M621" s="0" t="n">
        <f aca="false">04_回帰ANOVA!$K$19*04_回帰ANOVA!$K$14*SQRT(1+L621)</f>
        <v>1.6196077446283</v>
      </c>
      <c r="N621" s="0" t="n">
        <f aca="false">K621-M621</f>
        <v>42.3294906749119</v>
      </c>
      <c r="O621" s="0" t="n">
        <f aca="false">K621+M621</f>
        <v>45.5687061641685</v>
      </c>
      <c r="P621" s="54" t="b">
        <f aca="false">AND(C621&gt;=01_因子設定!$L$5-0.000000001,C621&lt;=01_因子設定!$M$5+0.000000001,D621&gt;=01_因子設定!$L$6-0.000000001,D621&lt;=01_因子設定!$M$6+0.000000001,IF(01_因子設定!$B$20="Box-Behnken",C621^2+D621^2&lt;=2+0.000000001,TRUE()))</f>
        <v>1</v>
      </c>
      <c r="Q621" s="55" t="n">
        <f aca="false">IF(P621,IF(01_因子設定!$B$13="最大化",N621-01_因子設定!$B$14,IF(01_因子設定!$B$13="最小化",01_因子設定!$B$15-O621,MIN(N621-01_因子設定!$B$14,01_因子設定!$B$15-O621))),-1E+030)</f>
        <v>-4.17050932508806</v>
      </c>
      <c r="R621" s="55" t="n">
        <f aca="false">IF(P621,IF(01_因子設定!$B$13="最大化",K621,IF(01_因子設定!$B$13="最小化",-K621,-ABS(K621-01_因子設定!$B$16))),-1E+030)</f>
        <v>43.9490984195402</v>
      </c>
      <c r="S621" s="55" t="n">
        <f aca="false">Q621+ROW()*0.000000001</f>
        <v>-4.17050870408806</v>
      </c>
      <c r="T621" s="55" t="n">
        <f aca="false">R621+ROW()*0.000000001</f>
        <v>43.9490990405402</v>
      </c>
    </row>
    <row r="622" customFormat="false" ht="15" hidden="false" customHeight="false" outlineLevel="0" collapsed="false">
      <c r="A622" s="0" t="n">
        <v>15</v>
      </c>
      <c r="B622" s="0" t="n">
        <v>2</v>
      </c>
      <c r="C622" s="0" t="n">
        <f aca="false">-1+A622*0.05</f>
        <v>-0.25</v>
      </c>
      <c r="D622" s="0" t="n">
        <f aca="false">-1+B622*0.05</f>
        <v>-0.9</v>
      </c>
      <c r="E622" s="0" t="n">
        <f aca="false">1</f>
        <v>1</v>
      </c>
      <c r="F622" s="0" t="n">
        <f aca="false">C622</f>
        <v>-0.25</v>
      </c>
      <c r="G622" s="0" t="n">
        <f aca="false">D622</f>
        <v>-0.9</v>
      </c>
      <c r="H622" s="0" t="n">
        <f aca="false">C622*D622</f>
        <v>0.225</v>
      </c>
      <c r="I622" s="0" t="n">
        <f aca="false">C622*C622</f>
        <v>0.0625</v>
      </c>
      <c r="J622" s="0" t="n">
        <f aca="false">D622*D622</f>
        <v>0.81</v>
      </c>
      <c r="K622" s="0" t="n">
        <f aca="false">SUMPRODUCT(E622:J622,_XtX!$B$53:$G$53)</f>
        <v>44.1977729885058</v>
      </c>
      <c r="L622" s="0" t="n">
        <f aca="false">SUMPRODUCT(MMULT(E622:J622,_XtX!$B$44:$G$49),E622:J622)</f>
        <v>0.374971731321839</v>
      </c>
      <c r="M622" s="0" t="n">
        <f aca="false">04_回帰ANOVA!$K$19*04_回帰ANOVA!$K$14*SQRT(1+L622)</f>
        <v>1.58899838942971</v>
      </c>
      <c r="N622" s="0" t="n">
        <f aca="false">K622-M622</f>
        <v>42.608774599076</v>
      </c>
      <c r="O622" s="0" t="n">
        <f aca="false">K622+M622</f>
        <v>45.7867713779355</v>
      </c>
      <c r="P622" s="54" t="b">
        <f aca="false">AND(C622&gt;=01_因子設定!$L$5-0.000000001,C622&lt;=01_因子設定!$M$5+0.000000001,D622&gt;=01_因子設定!$L$6-0.000000001,D622&lt;=01_因子設定!$M$6+0.000000001,IF(01_因子設定!$B$20="Box-Behnken",C622^2+D622^2&lt;=2+0.000000001,TRUE()))</f>
        <v>1</v>
      </c>
      <c r="Q622" s="55" t="n">
        <f aca="false">IF(P622,IF(01_因子設定!$B$13="最大化",N622-01_因子設定!$B$14,IF(01_因子設定!$B$13="最小化",01_因子設定!$B$15-O622,MIN(N622-01_因子設定!$B$14,01_因子設定!$B$15-O622))),-1E+030)</f>
        <v>-3.89122540092396</v>
      </c>
      <c r="R622" s="55" t="n">
        <f aca="false">IF(P622,IF(01_因子設定!$B$13="最大化",K622,IF(01_因子設定!$B$13="最小化",-K622,-ABS(K622-01_因子設定!$B$16))),-1E+030)</f>
        <v>44.1977729885058</v>
      </c>
      <c r="S622" s="55" t="n">
        <f aca="false">Q622+ROW()*0.000000001</f>
        <v>-3.89122477892396</v>
      </c>
      <c r="T622" s="55" t="n">
        <f aca="false">R622+ROW()*0.000000001</f>
        <v>44.1977736105058</v>
      </c>
    </row>
    <row r="623" customFormat="false" ht="15" hidden="false" customHeight="false" outlineLevel="0" collapsed="false">
      <c r="A623" s="0" t="n">
        <v>15</v>
      </c>
      <c r="B623" s="0" t="n">
        <v>3</v>
      </c>
      <c r="C623" s="0" t="n">
        <f aca="false">-1+A623*0.05</f>
        <v>-0.25</v>
      </c>
      <c r="D623" s="0" t="n">
        <f aca="false">-1+B623*0.05</f>
        <v>-0.85</v>
      </c>
      <c r="E623" s="0" t="n">
        <f aca="false">1</f>
        <v>1</v>
      </c>
      <c r="F623" s="0" t="n">
        <f aca="false">C623</f>
        <v>-0.25</v>
      </c>
      <c r="G623" s="0" t="n">
        <f aca="false">D623</f>
        <v>-0.85</v>
      </c>
      <c r="H623" s="0" t="n">
        <f aca="false">C623*D623</f>
        <v>0.2125</v>
      </c>
      <c r="I623" s="0" t="n">
        <f aca="false">C623*C623</f>
        <v>0.0625</v>
      </c>
      <c r="J623" s="0" t="n">
        <f aca="false">D623*D623</f>
        <v>0.7225</v>
      </c>
      <c r="K623" s="0" t="n">
        <f aca="false">SUMPRODUCT(E623:J623,_XtX!$B$53:$G$53)</f>
        <v>44.4387320402299</v>
      </c>
      <c r="L623" s="0" t="n">
        <f aca="false">SUMPRODUCT(MMULT(E623:J623,_XtX!$B$44:$G$49),E623:J623)</f>
        <v>0.330082094109195</v>
      </c>
      <c r="M623" s="0" t="n">
        <f aca="false">04_回帰ANOVA!$K$19*04_回帰ANOVA!$K$14*SQRT(1+L623)</f>
        <v>1.56284459741243</v>
      </c>
      <c r="N623" s="0" t="n">
        <f aca="false">K623-M623</f>
        <v>42.8758874428175</v>
      </c>
      <c r="O623" s="0" t="n">
        <f aca="false">K623+M623</f>
        <v>46.0015766376423</v>
      </c>
      <c r="P623" s="54" t="b">
        <f aca="false">AND(C623&gt;=01_因子設定!$L$5-0.000000001,C623&lt;=01_因子設定!$M$5+0.000000001,D623&gt;=01_因子設定!$L$6-0.000000001,D623&lt;=01_因子設定!$M$6+0.000000001,IF(01_因子設定!$B$20="Box-Behnken",C623^2+D623^2&lt;=2+0.000000001,TRUE()))</f>
        <v>1</v>
      </c>
      <c r="Q623" s="55" t="n">
        <f aca="false">IF(P623,IF(01_因子設定!$B$13="最大化",N623-01_因子設定!$B$14,IF(01_因子設定!$B$13="最小化",01_因子設定!$B$15-O623,MIN(N623-01_因子設定!$B$14,01_因子設定!$B$15-O623))),-1E+030)</f>
        <v>-3.62411255718254</v>
      </c>
      <c r="R623" s="55" t="n">
        <f aca="false">IF(P623,IF(01_因子設定!$B$13="最大化",K623,IF(01_因子設定!$B$13="最小化",-K623,-ABS(K623-01_因子設定!$B$16))),-1E+030)</f>
        <v>44.4387320402299</v>
      </c>
      <c r="S623" s="55" t="n">
        <f aca="false">Q623+ROW()*0.000000001</f>
        <v>-3.62411193418254</v>
      </c>
      <c r="T623" s="55" t="n">
        <f aca="false">R623+ROW()*0.000000001</f>
        <v>44.4387326632299</v>
      </c>
    </row>
    <row r="624" customFormat="false" ht="15" hidden="false" customHeight="false" outlineLevel="0" collapsed="false">
      <c r="A624" s="0" t="n">
        <v>15</v>
      </c>
      <c r="B624" s="0" t="n">
        <v>4</v>
      </c>
      <c r="C624" s="0" t="n">
        <f aca="false">-1+A624*0.05</f>
        <v>-0.25</v>
      </c>
      <c r="D624" s="0" t="n">
        <f aca="false">-1+B624*0.05</f>
        <v>-0.8</v>
      </c>
      <c r="E624" s="0" t="n">
        <f aca="false">1</f>
        <v>1</v>
      </c>
      <c r="F624" s="0" t="n">
        <f aca="false">C624</f>
        <v>-0.25</v>
      </c>
      <c r="G624" s="0" t="n">
        <f aca="false">D624</f>
        <v>-0.8</v>
      </c>
      <c r="H624" s="0" t="n">
        <f aca="false">C624*D624</f>
        <v>0.2</v>
      </c>
      <c r="I624" s="0" t="n">
        <f aca="false">C624*C624</f>
        <v>0.0625</v>
      </c>
      <c r="J624" s="0" t="n">
        <f aca="false">D624*D624</f>
        <v>0.64</v>
      </c>
      <c r="K624" s="0" t="n">
        <f aca="false">SUMPRODUCT(E624:J624,_XtX!$B$53:$G$53)</f>
        <v>44.6719755747127</v>
      </c>
      <c r="L624" s="0" t="n">
        <f aca="false">SUMPRODUCT(MMULT(E624:J624,_XtX!$B$44:$G$49),E624:J624)</f>
        <v>0.292835596264368</v>
      </c>
      <c r="M624" s="0" t="n">
        <f aca="false">04_回帰ANOVA!$K$19*04_回帰ANOVA!$K$14*SQRT(1+L624)</f>
        <v>1.54080692946421</v>
      </c>
      <c r="N624" s="0" t="n">
        <f aca="false">K624-M624</f>
        <v>43.1311686452484</v>
      </c>
      <c r="O624" s="0" t="n">
        <f aca="false">K624+M624</f>
        <v>46.2127825041769</v>
      </c>
      <c r="P624" s="54" t="b">
        <f aca="false">AND(C624&gt;=01_因子設定!$L$5-0.000000001,C624&lt;=01_因子設定!$M$5+0.000000001,D624&gt;=01_因子設定!$L$6-0.000000001,D624&lt;=01_因子設定!$M$6+0.000000001,IF(01_因子設定!$B$20="Box-Behnken",C624^2+D624^2&lt;=2+0.000000001,TRUE()))</f>
        <v>1</v>
      </c>
      <c r="Q624" s="55" t="n">
        <f aca="false">IF(P624,IF(01_因子設定!$B$13="最大化",N624-01_因子設定!$B$14,IF(01_因子設定!$B$13="最小化",01_因子設定!$B$15-O624,MIN(N624-01_因子設定!$B$14,01_因子設定!$B$15-O624))),-1E+030)</f>
        <v>-3.36883135475156</v>
      </c>
      <c r="R624" s="55" t="n">
        <f aca="false">IF(P624,IF(01_因子設定!$B$13="最大化",K624,IF(01_因子設定!$B$13="最小化",-K624,-ABS(K624-01_因子設定!$B$16))),-1E+030)</f>
        <v>44.6719755747127</v>
      </c>
      <c r="S624" s="55" t="n">
        <f aca="false">Q624+ROW()*0.000000001</f>
        <v>-3.36883073075156</v>
      </c>
      <c r="T624" s="55" t="n">
        <f aca="false">R624+ROW()*0.000000001</f>
        <v>44.6719761987127</v>
      </c>
    </row>
    <row r="625" customFormat="false" ht="15" hidden="false" customHeight="false" outlineLevel="0" collapsed="false">
      <c r="A625" s="0" t="n">
        <v>15</v>
      </c>
      <c r="B625" s="0" t="n">
        <v>5</v>
      </c>
      <c r="C625" s="0" t="n">
        <f aca="false">-1+A625*0.05</f>
        <v>-0.25</v>
      </c>
      <c r="D625" s="0" t="n">
        <f aca="false">-1+B625*0.05</f>
        <v>-0.75</v>
      </c>
      <c r="E625" s="0" t="n">
        <f aca="false">1</f>
        <v>1</v>
      </c>
      <c r="F625" s="0" t="n">
        <f aca="false">C625</f>
        <v>-0.25</v>
      </c>
      <c r="G625" s="0" t="n">
        <f aca="false">D625</f>
        <v>-0.75</v>
      </c>
      <c r="H625" s="0" t="n">
        <f aca="false">C625*D625</f>
        <v>0.1875</v>
      </c>
      <c r="I625" s="0" t="n">
        <f aca="false">C625*C625</f>
        <v>0.0625</v>
      </c>
      <c r="J625" s="0" t="n">
        <f aca="false">D625*D625</f>
        <v>0.5625</v>
      </c>
      <c r="K625" s="0" t="n">
        <f aca="false">SUMPRODUCT(E625:J625,_XtX!$B$53:$G$53)</f>
        <v>44.897503591954</v>
      </c>
      <c r="L625" s="0" t="n">
        <f aca="false">SUMPRODUCT(MMULT(E625:J625,_XtX!$B$44:$G$49),E625:J625)</f>
        <v>0.262336117097701</v>
      </c>
      <c r="M625" s="0" t="n">
        <f aca="false">04_回帰ANOVA!$K$19*04_回帰ANOVA!$K$14*SQRT(1+L625)</f>
        <v>1.5225237514809</v>
      </c>
      <c r="N625" s="0" t="n">
        <f aca="false">K625-M625</f>
        <v>43.3749798404731</v>
      </c>
      <c r="O625" s="0" t="n">
        <f aca="false">K625+M625</f>
        <v>46.4200273434349</v>
      </c>
      <c r="P625" s="54" t="b">
        <f aca="false">AND(C625&gt;=01_因子設定!$L$5-0.000000001,C625&lt;=01_因子設定!$M$5+0.000000001,D625&gt;=01_因子設定!$L$6-0.000000001,D625&lt;=01_因子設定!$M$6+0.000000001,IF(01_因子設定!$B$20="Box-Behnken",C625^2+D625^2&lt;=2+0.000000001,TRUE()))</f>
        <v>1</v>
      </c>
      <c r="Q625" s="55" t="n">
        <f aca="false">IF(P625,IF(01_因子設定!$B$13="最大化",N625-01_因子設定!$B$14,IF(01_因子設定!$B$13="最小化",01_因子設定!$B$15-O625,MIN(N625-01_因子設定!$B$14,01_因子設定!$B$15-O625))),-1E+030)</f>
        <v>-3.12502015952688</v>
      </c>
      <c r="R625" s="55" t="n">
        <f aca="false">IF(P625,IF(01_因子設定!$B$13="最大化",K625,IF(01_因子設定!$B$13="最小化",-K625,-ABS(K625-01_因子設定!$B$16))),-1E+030)</f>
        <v>44.897503591954</v>
      </c>
      <c r="S625" s="55" t="n">
        <f aca="false">Q625+ROW()*0.000000001</f>
        <v>-3.12501953452688</v>
      </c>
      <c r="T625" s="55" t="n">
        <f aca="false">R625+ROW()*0.000000001</f>
        <v>44.897504216954</v>
      </c>
    </row>
    <row r="626" customFormat="false" ht="15" hidden="false" customHeight="false" outlineLevel="0" collapsed="false">
      <c r="A626" s="0" t="n">
        <v>15</v>
      </c>
      <c r="B626" s="0" t="n">
        <v>6</v>
      </c>
      <c r="C626" s="0" t="n">
        <f aca="false">-1+A626*0.05</f>
        <v>-0.25</v>
      </c>
      <c r="D626" s="0" t="n">
        <f aca="false">-1+B626*0.05</f>
        <v>-0.7</v>
      </c>
      <c r="E626" s="0" t="n">
        <f aca="false">1</f>
        <v>1</v>
      </c>
      <c r="F626" s="0" t="n">
        <f aca="false">C626</f>
        <v>-0.25</v>
      </c>
      <c r="G626" s="0" t="n">
        <f aca="false">D626</f>
        <v>-0.7</v>
      </c>
      <c r="H626" s="0" t="n">
        <f aca="false">C626*D626</f>
        <v>0.175</v>
      </c>
      <c r="I626" s="0" t="n">
        <f aca="false">C626*C626</f>
        <v>0.0625</v>
      </c>
      <c r="J626" s="0" t="n">
        <f aca="false">D626*D626</f>
        <v>0.49</v>
      </c>
      <c r="K626" s="0" t="n">
        <f aca="false">SUMPRODUCT(E626:J626,_XtX!$B$53:$G$53)</f>
        <v>45.115316091954</v>
      </c>
      <c r="L626" s="0" t="n">
        <f aca="false">SUMPRODUCT(MMULT(E626:J626,_XtX!$B$44:$G$49),E626:J626)</f>
        <v>0.237741846264368</v>
      </c>
      <c r="M626" s="0" t="n">
        <f aca="false">04_回帰ANOVA!$K$19*04_回帰ANOVA!$K$14*SQRT(1+L626)</f>
        <v>1.50761902524781</v>
      </c>
      <c r="N626" s="0" t="n">
        <f aca="false">K626-M626</f>
        <v>43.6076970667062</v>
      </c>
      <c r="O626" s="0" t="n">
        <f aca="false">K626+M626</f>
        <v>46.6229351172018</v>
      </c>
      <c r="P626" s="54" t="b">
        <f aca="false">AND(C626&gt;=01_因子設定!$L$5-0.000000001,C626&lt;=01_因子設定!$M$5+0.000000001,D626&gt;=01_因子設定!$L$6-0.000000001,D626&lt;=01_因子設定!$M$6+0.000000001,IF(01_因子設定!$B$20="Box-Behnken",C626^2+D626^2&lt;=2+0.000000001,TRUE()))</f>
        <v>1</v>
      </c>
      <c r="Q626" s="55" t="n">
        <f aca="false">IF(P626,IF(01_因子設定!$B$13="最大化",N626-01_因子設定!$B$14,IF(01_因子設定!$B$13="最小化",01_因子設定!$B$15-O626,MIN(N626-01_因子設定!$B$14,01_因子設定!$B$15-O626))),-1E+030)</f>
        <v>-2.89230293329379</v>
      </c>
      <c r="R626" s="55" t="n">
        <f aca="false">IF(P626,IF(01_因子設定!$B$13="最大化",K626,IF(01_因子設定!$B$13="最小化",-K626,-ABS(K626-01_因子設定!$B$16))),-1E+030)</f>
        <v>45.115316091954</v>
      </c>
      <c r="S626" s="55" t="n">
        <f aca="false">Q626+ROW()*0.000000001</f>
        <v>-2.89230230729379</v>
      </c>
      <c r="T626" s="55" t="n">
        <f aca="false">R626+ROW()*0.000000001</f>
        <v>45.115316717954</v>
      </c>
    </row>
    <row r="627" customFormat="false" ht="15" hidden="false" customHeight="false" outlineLevel="0" collapsed="false">
      <c r="A627" s="0" t="n">
        <v>15</v>
      </c>
      <c r="B627" s="0" t="n">
        <v>7</v>
      </c>
      <c r="C627" s="0" t="n">
        <f aca="false">-1+A627*0.05</f>
        <v>-0.25</v>
      </c>
      <c r="D627" s="0" t="n">
        <f aca="false">-1+B627*0.05</f>
        <v>-0.65</v>
      </c>
      <c r="E627" s="0" t="n">
        <f aca="false">1</f>
        <v>1</v>
      </c>
      <c r="F627" s="0" t="n">
        <f aca="false">C627</f>
        <v>-0.25</v>
      </c>
      <c r="G627" s="0" t="n">
        <f aca="false">D627</f>
        <v>-0.65</v>
      </c>
      <c r="H627" s="0" t="n">
        <f aca="false">C627*D627</f>
        <v>0.1625</v>
      </c>
      <c r="I627" s="0" t="n">
        <f aca="false">C627*C627</f>
        <v>0.0625</v>
      </c>
      <c r="J627" s="0" t="n">
        <f aca="false">D627*D627</f>
        <v>0.4225</v>
      </c>
      <c r="K627" s="0" t="n">
        <f aca="false">SUMPRODUCT(E627:J627,_XtX!$B$53:$G$53)</f>
        <v>45.3254130747126</v>
      </c>
      <c r="L627" s="0" t="n">
        <f aca="false">SUMPRODUCT(MMULT(E627:J627,_XtX!$B$44:$G$49),E627:J627)</f>
        <v>0.218265283764368</v>
      </c>
      <c r="M627" s="0" t="n">
        <f aca="false">04_回帰ANOVA!$K$19*04_回帰ANOVA!$K$14*SQRT(1+L627)</f>
        <v>1.49571037649821</v>
      </c>
      <c r="N627" s="0" t="n">
        <f aca="false">K627-M627</f>
        <v>43.8297026982144</v>
      </c>
      <c r="O627" s="0" t="n">
        <f aca="false">K627+M627</f>
        <v>46.8211234512109</v>
      </c>
      <c r="P627" s="54" t="b">
        <f aca="false">AND(C627&gt;=01_因子設定!$L$5-0.000000001,C627&lt;=01_因子設定!$M$5+0.000000001,D627&gt;=01_因子設定!$L$6-0.000000001,D627&lt;=01_因子設定!$M$6+0.000000001,IF(01_因子設定!$B$20="Box-Behnken",C627^2+D627^2&lt;=2+0.000000001,TRUE()))</f>
        <v>1</v>
      </c>
      <c r="Q627" s="55" t="n">
        <f aca="false">IF(P627,IF(01_因子設定!$B$13="最大化",N627-01_因子設定!$B$14,IF(01_因子設定!$B$13="最小化",01_因子設定!$B$15-O627,MIN(N627-01_因子設定!$B$14,01_因子設定!$B$15-O627))),-1E+030)</f>
        <v>-2.67029730178557</v>
      </c>
      <c r="R627" s="55" t="n">
        <f aca="false">IF(P627,IF(01_因子設定!$B$13="最大化",K627,IF(01_因子設定!$B$13="最小化",-K627,-ABS(K627-01_因子設定!$B$16))),-1E+030)</f>
        <v>45.3254130747126</v>
      </c>
      <c r="S627" s="55" t="n">
        <f aca="false">Q627+ROW()*0.000000001</f>
        <v>-2.67029667478557</v>
      </c>
      <c r="T627" s="55" t="n">
        <f aca="false">R627+ROW()*0.000000001</f>
        <v>45.3254137017126</v>
      </c>
    </row>
    <row r="628" customFormat="false" ht="15" hidden="false" customHeight="false" outlineLevel="0" collapsed="false">
      <c r="A628" s="0" t="n">
        <v>15</v>
      </c>
      <c r="B628" s="0" t="n">
        <v>8</v>
      </c>
      <c r="C628" s="0" t="n">
        <f aca="false">-1+A628*0.05</f>
        <v>-0.25</v>
      </c>
      <c r="D628" s="0" t="n">
        <f aca="false">-1+B628*0.05</f>
        <v>-0.6</v>
      </c>
      <c r="E628" s="0" t="n">
        <f aca="false">1</f>
        <v>1</v>
      </c>
      <c r="F628" s="0" t="n">
        <f aca="false">C628</f>
        <v>-0.25</v>
      </c>
      <c r="G628" s="0" t="n">
        <f aca="false">D628</f>
        <v>-0.6</v>
      </c>
      <c r="H628" s="0" t="n">
        <f aca="false">C628*D628</f>
        <v>0.15</v>
      </c>
      <c r="I628" s="0" t="n">
        <f aca="false">C628*C628</f>
        <v>0.0625</v>
      </c>
      <c r="J628" s="0" t="n">
        <f aca="false">D628*D628</f>
        <v>0.36</v>
      </c>
      <c r="K628" s="0" t="n">
        <f aca="false">SUMPRODUCT(E628:J628,_XtX!$B$53:$G$53)</f>
        <v>45.5277945402299</v>
      </c>
      <c r="L628" s="0" t="n">
        <f aca="false">SUMPRODUCT(MMULT(E628:J628,_XtX!$B$44:$G$49),E628:J628)</f>
        <v>0.203173239942529</v>
      </c>
      <c r="M628" s="0" t="n">
        <f aca="false">04_回帰ANOVA!$K$19*04_回帰ANOVA!$K$14*SQRT(1+L628)</f>
        <v>1.48641696821649</v>
      </c>
      <c r="N628" s="0" t="n">
        <f aca="false">K628-M628</f>
        <v>44.0413775720134</v>
      </c>
      <c r="O628" s="0" t="n">
        <f aca="false">K628+M628</f>
        <v>47.0142115084464</v>
      </c>
      <c r="P628" s="54" t="b">
        <f aca="false">AND(C628&gt;=01_因子設定!$L$5-0.000000001,C628&lt;=01_因子設定!$M$5+0.000000001,D628&gt;=01_因子設定!$L$6-0.000000001,D628&lt;=01_因子設定!$M$6+0.000000001,IF(01_因子設定!$B$20="Box-Behnken",C628^2+D628^2&lt;=2+0.000000001,TRUE()))</f>
        <v>1</v>
      </c>
      <c r="Q628" s="55" t="n">
        <f aca="false">IF(P628,IF(01_因子設定!$B$13="最大化",N628-01_因子設定!$B$14,IF(01_因子設定!$B$13="最小化",01_因子設定!$B$15-O628,MIN(N628-01_因子設定!$B$14,01_因子設定!$B$15-O628))),-1E+030)</f>
        <v>-2.45862242798661</v>
      </c>
      <c r="R628" s="55" t="n">
        <f aca="false">IF(P628,IF(01_因子設定!$B$13="最大化",K628,IF(01_因子設定!$B$13="最小化",-K628,-ABS(K628-01_因子設定!$B$16))),-1E+030)</f>
        <v>45.5277945402299</v>
      </c>
      <c r="S628" s="55" t="n">
        <f aca="false">Q628+ROW()*0.000000001</f>
        <v>-2.45862179998661</v>
      </c>
      <c r="T628" s="55" t="n">
        <f aca="false">R628+ROW()*0.000000001</f>
        <v>45.5277951682299</v>
      </c>
    </row>
    <row r="629" customFormat="false" ht="15" hidden="false" customHeight="false" outlineLevel="0" collapsed="false">
      <c r="A629" s="0" t="n">
        <v>15</v>
      </c>
      <c r="B629" s="0" t="n">
        <v>9</v>
      </c>
      <c r="C629" s="0" t="n">
        <f aca="false">-1+A629*0.05</f>
        <v>-0.25</v>
      </c>
      <c r="D629" s="0" t="n">
        <f aca="false">-1+B629*0.05</f>
        <v>-0.55</v>
      </c>
      <c r="E629" s="0" t="n">
        <f aca="false">1</f>
        <v>1</v>
      </c>
      <c r="F629" s="0" t="n">
        <f aca="false">C629</f>
        <v>-0.25</v>
      </c>
      <c r="G629" s="0" t="n">
        <f aca="false">D629</f>
        <v>-0.55</v>
      </c>
      <c r="H629" s="0" t="n">
        <f aca="false">C629*D629</f>
        <v>0.1375</v>
      </c>
      <c r="I629" s="0" t="n">
        <f aca="false">C629*C629</f>
        <v>0.0625</v>
      </c>
      <c r="J629" s="0" t="n">
        <f aca="false">D629*D629</f>
        <v>0.3025</v>
      </c>
      <c r="K629" s="0" t="n">
        <f aca="false">SUMPRODUCT(E629:J629,_XtX!$B$53:$G$53)</f>
        <v>45.7224604885057</v>
      </c>
      <c r="L629" s="0" t="n">
        <f aca="false">SUMPRODUCT(MMULT(E629:J629,_XtX!$B$44:$G$49),E629:J629)</f>
        <v>0.191786835488506</v>
      </c>
      <c r="M629" s="0" t="n">
        <f aca="false">04_回帰ANOVA!$K$19*04_回帰ANOVA!$K$14*SQRT(1+L629)</f>
        <v>1.47936678718445</v>
      </c>
      <c r="N629" s="0" t="n">
        <f aca="false">K629-M629</f>
        <v>44.2430937013213</v>
      </c>
      <c r="O629" s="0" t="n">
        <f aca="false">K629+M629</f>
        <v>47.2018272756902</v>
      </c>
      <c r="P629" s="54" t="b">
        <f aca="false">AND(C629&gt;=01_因子設定!$L$5-0.000000001,C629&lt;=01_因子設定!$M$5+0.000000001,D629&gt;=01_因子設定!$L$6-0.000000001,D629&lt;=01_因子設定!$M$6+0.000000001,IF(01_因子設定!$B$20="Box-Behnken",C629^2+D629^2&lt;=2+0.000000001,TRUE()))</f>
        <v>1</v>
      </c>
      <c r="Q629" s="55" t="n">
        <f aca="false">IF(P629,IF(01_因子設定!$B$13="最大化",N629-01_因子設定!$B$14,IF(01_因子設定!$B$13="最小化",01_因子設定!$B$15-O629,MIN(N629-01_因子設定!$B$14,01_因子設定!$B$15-O629))),-1E+030)</f>
        <v>-2.2569062986787</v>
      </c>
      <c r="R629" s="55" t="n">
        <f aca="false">IF(P629,IF(01_因子設定!$B$13="最大化",K629,IF(01_因子設定!$B$13="最小化",-K629,-ABS(K629-01_因子設定!$B$16))),-1E+030)</f>
        <v>45.7224604885057</v>
      </c>
      <c r="S629" s="55" t="n">
        <f aca="false">Q629+ROW()*0.000000001</f>
        <v>-2.2569056696787</v>
      </c>
      <c r="T629" s="55" t="n">
        <f aca="false">R629+ROW()*0.000000001</f>
        <v>45.7224611175057</v>
      </c>
    </row>
    <row r="630" customFormat="false" ht="15" hidden="false" customHeight="false" outlineLevel="0" collapsed="false">
      <c r="A630" s="0" t="n">
        <v>15</v>
      </c>
      <c r="B630" s="0" t="n">
        <v>10</v>
      </c>
      <c r="C630" s="0" t="n">
        <f aca="false">-1+A630*0.05</f>
        <v>-0.25</v>
      </c>
      <c r="D630" s="0" t="n">
        <f aca="false">-1+B630*0.05</f>
        <v>-0.5</v>
      </c>
      <c r="E630" s="0" t="n">
        <f aca="false">1</f>
        <v>1</v>
      </c>
      <c r="F630" s="0" t="n">
        <f aca="false">C630</f>
        <v>-0.25</v>
      </c>
      <c r="G630" s="0" t="n">
        <f aca="false">D630</f>
        <v>-0.5</v>
      </c>
      <c r="H630" s="0" t="n">
        <f aca="false">C630*D630</f>
        <v>0.125</v>
      </c>
      <c r="I630" s="0" t="n">
        <f aca="false">C630*C630</f>
        <v>0.0625</v>
      </c>
      <c r="J630" s="0" t="n">
        <f aca="false">D630*D630</f>
        <v>0.25</v>
      </c>
      <c r="K630" s="0" t="n">
        <f aca="false">SUMPRODUCT(E630:J630,_XtX!$B$53:$G$53)</f>
        <v>45.9094109195402</v>
      </c>
      <c r="L630" s="0" t="n">
        <f aca="false">SUMPRODUCT(MMULT(E630:J630,_XtX!$B$44:$G$49),E630:J630)</f>
        <v>0.183481501436782</v>
      </c>
      <c r="M630" s="0" t="n">
        <f aca="false">04_回帰ANOVA!$K$19*04_回帰ANOVA!$K$14*SQRT(1+L630)</f>
        <v>1.47420306339561</v>
      </c>
      <c r="N630" s="0" t="n">
        <f aca="false">K630-M630</f>
        <v>44.4352078561446</v>
      </c>
      <c r="O630" s="0" t="n">
        <f aca="false">K630+M630</f>
        <v>47.3836139829358</v>
      </c>
      <c r="P630" s="54" t="b">
        <f aca="false">AND(C630&gt;=01_因子設定!$L$5-0.000000001,C630&lt;=01_因子設定!$M$5+0.000000001,D630&gt;=01_因子設定!$L$6-0.000000001,D630&lt;=01_因子設定!$M$6+0.000000001,IF(01_因子設定!$B$20="Box-Behnken",C630^2+D630^2&lt;=2+0.000000001,TRUE()))</f>
        <v>1</v>
      </c>
      <c r="Q630" s="55" t="n">
        <f aca="false">IF(P630,IF(01_因子設定!$B$13="最大化",N630-01_因子設定!$B$14,IF(01_因子設定!$B$13="最小化",01_因子設定!$B$15-O630,MIN(N630-01_因子設定!$B$14,01_因子設定!$B$15-O630))),-1E+030)</f>
        <v>-2.06479214385538</v>
      </c>
      <c r="R630" s="55" t="n">
        <f aca="false">IF(P630,IF(01_因子設定!$B$13="最大化",K630,IF(01_因子設定!$B$13="最小化",-K630,-ABS(K630-01_因子設定!$B$16))),-1E+030)</f>
        <v>45.9094109195402</v>
      </c>
      <c r="S630" s="55" t="n">
        <f aca="false">Q630+ROW()*0.000000001</f>
        <v>-2.06479151385538</v>
      </c>
      <c r="T630" s="55" t="n">
        <f aca="false">R630+ROW()*0.000000001</f>
        <v>45.9094115495402</v>
      </c>
    </row>
    <row r="631" customFormat="false" ht="15" hidden="false" customHeight="false" outlineLevel="0" collapsed="false">
      <c r="A631" s="0" t="n">
        <v>15</v>
      </c>
      <c r="B631" s="0" t="n">
        <v>11</v>
      </c>
      <c r="C631" s="0" t="n">
        <f aca="false">-1+A631*0.05</f>
        <v>-0.25</v>
      </c>
      <c r="D631" s="0" t="n">
        <f aca="false">-1+B631*0.05</f>
        <v>-0.45</v>
      </c>
      <c r="E631" s="0" t="n">
        <f aca="false">1</f>
        <v>1</v>
      </c>
      <c r="F631" s="0" t="n">
        <f aca="false">C631</f>
        <v>-0.25</v>
      </c>
      <c r="G631" s="0" t="n">
        <f aca="false">D631</f>
        <v>-0.45</v>
      </c>
      <c r="H631" s="0" t="n">
        <f aca="false">C631*D631</f>
        <v>0.1125</v>
      </c>
      <c r="I631" s="0" t="n">
        <f aca="false">C631*C631</f>
        <v>0.0625</v>
      </c>
      <c r="J631" s="0" t="n">
        <f aca="false">D631*D631</f>
        <v>0.2025</v>
      </c>
      <c r="K631" s="0" t="n">
        <f aca="false">SUMPRODUCT(E631:J631,_XtX!$B$53:$G$53)</f>
        <v>46.0886458333333</v>
      </c>
      <c r="L631" s="0" t="n">
        <f aca="false">SUMPRODUCT(MMULT(E631:J631,_XtX!$B$44:$G$49),E631:J631)</f>
        <v>0.177686979166667</v>
      </c>
      <c r="M631" s="0" t="n">
        <f aca="false">04_回帰ANOVA!$K$19*04_回帰ANOVA!$K$14*SQRT(1+L631)</f>
        <v>1.47058966332106</v>
      </c>
      <c r="N631" s="0" t="n">
        <f aca="false">K631-M631</f>
        <v>44.6180561700123</v>
      </c>
      <c r="O631" s="0" t="n">
        <f aca="false">K631+M631</f>
        <v>47.5592354966544</v>
      </c>
      <c r="P631" s="54" t="b">
        <f aca="false">AND(C631&gt;=01_因子設定!$L$5-0.000000001,C631&lt;=01_因子設定!$M$5+0.000000001,D631&gt;=01_因子設定!$L$6-0.000000001,D631&lt;=01_因子設定!$M$6+0.000000001,IF(01_因子設定!$B$20="Box-Behnken",C631^2+D631^2&lt;=2+0.000000001,TRUE()))</f>
        <v>1</v>
      </c>
      <c r="Q631" s="55" t="n">
        <f aca="false">IF(P631,IF(01_因子設定!$B$13="最大化",N631-01_因子設定!$B$14,IF(01_因子設定!$B$13="最小化",01_因子設定!$B$15-O631,MIN(N631-01_因子設定!$B$14,01_因子設定!$B$15-O631))),-1E+030)</f>
        <v>-1.88194382998773</v>
      </c>
      <c r="R631" s="55" t="n">
        <f aca="false">IF(P631,IF(01_因子設定!$B$13="最大化",K631,IF(01_因子設定!$B$13="最小化",-K631,-ABS(K631-01_因子設定!$B$16))),-1E+030)</f>
        <v>46.0886458333333</v>
      </c>
      <c r="S631" s="55" t="n">
        <f aca="false">Q631+ROW()*0.000000001</f>
        <v>-1.88194319898773</v>
      </c>
      <c r="T631" s="55" t="n">
        <f aca="false">R631+ROW()*0.000000001</f>
        <v>46.0886464643333</v>
      </c>
    </row>
    <row r="632" customFormat="false" ht="15" hidden="false" customHeight="false" outlineLevel="0" collapsed="false">
      <c r="A632" s="0" t="n">
        <v>15</v>
      </c>
      <c r="B632" s="0" t="n">
        <v>12</v>
      </c>
      <c r="C632" s="0" t="n">
        <f aca="false">-1+A632*0.05</f>
        <v>-0.25</v>
      </c>
      <c r="D632" s="0" t="n">
        <f aca="false">-1+B632*0.05</f>
        <v>-0.4</v>
      </c>
      <c r="E632" s="0" t="n">
        <f aca="false">1</f>
        <v>1</v>
      </c>
      <c r="F632" s="0" t="n">
        <f aca="false">C632</f>
        <v>-0.25</v>
      </c>
      <c r="G632" s="0" t="n">
        <f aca="false">D632</f>
        <v>-0.4</v>
      </c>
      <c r="H632" s="0" t="n">
        <f aca="false">C632*D632</f>
        <v>0.1</v>
      </c>
      <c r="I632" s="0" t="n">
        <f aca="false">C632*C632</f>
        <v>0.0625</v>
      </c>
      <c r="J632" s="0" t="n">
        <f aca="false">D632*D632</f>
        <v>0.16</v>
      </c>
      <c r="K632" s="0" t="n">
        <f aca="false">SUMPRODUCT(E632:J632,_XtX!$B$53:$G$53)</f>
        <v>46.2601652298851</v>
      </c>
      <c r="L632" s="0" t="n">
        <f aca="false">SUMPRODUCT(MMULT(E632:J632,_XtX!$B$44:$G$49),E632:J632)</f>
        <v>0.173887320402299</v>
      </c>
      <c r="M632" s="0" t="n">
        <f aca="false">04_回帰ANOVA!$K$19*04_回帰ANOVA!$K$14*SQRT(1+L632)</f>
        <v>1.46821541051817</v>
      </c>
      <c r="N632" s="0" t="n">
        <f aca="false">K632-M632</f>
        <v>44.7919498193669</v>
      </c>
      <c r="O632" s="0" t="n">
        <f aca="false">K632+M632</f>
        <v>47.7283806404032</v>
      </c>
      <c r="P632" s="54" t="b">
        <f aca="false">AND(C632&gt;=01_因子設定!$L$5-0.000000001,C632&lt;=01_因子設定!$M$5+0.000000001,D632&gt;=01_因子設定!$L$6-0.000000001,D632&lt;=01_因子設定!$M$6+0.000000001,IF(01_因子設定!$B$20="Box-Behnken",C632^2+D632^2&lt;=2+0.000000001,TRUE()))</f>
        <v>1</v>
      </c>
      <c r="Q632" s="55" t="n">
        <f aca="false">IF(P632,IF(01_因子設定!$B$13="最大化",N632-01_因子設定!$B$14,IF(01_因子設定!$B$13="最小化",01_因子設定!$B$15-O632,MIN(N632-01_因子設定!$B$14,01_因子設定!$B$15-O632))),-1E+030)</f>
        <v>-1.70805018063312</v>
      </c>
      <c r="R632" s="55" t="n">
        <f aca="false">IF(P632,IF(01_因子設定!$B$13="最大化",K632,IF(01_因子設定!$B$13="最小化",-K632,-ABS(K632-01_因子設定!$B$16))),-1E+030)</f>
        <v>46.2601652298851</v>
      </c>
      <c r="S632" s="55" t="n">
        <f aca="false">Q632+ROW()*0.000000001</f>
        <v>-1.70804954863312</v>
      </c>
      <c r="T632" s="55" t="n">
        <f aca="false">R632+ROW()*0.000000001</f>
        <v>46.2601658618851</v>
      </c>
    </row>
    <row r="633" customFormat="false" ht="15" hidden="false" customHeight="false" outlineLevel="0" collapsed="false">
      <c r="A633" s="0" t="n">
        <v>15</v>
      </c>
      <c r="B633" s="0" t="n">
        <v>13</v>
      </c>
      <c r="C633" s="0" t="n">
        <f aca="false">-1+A633*0.05</f>
        <v>-0.25</v>
      </c>
      <c r="D633" s="0" t="n">
        <f aca="false">-1+B633*0.05</f>
        <v>-0.35</v>
      </c>
      <c r="E633" s="0" t="n">
        <f aca="false">1</f>
        <v>1</v>
      </c>
      <c r="F633" s="0" t="n">
        <f aca="false">C633</f>
        <v>-0.25</v>
      </c>
      <c r="G633" s="0" t="n">
        <f aca="false">D633</f>
        <v>-0.35</v>
      </c>
      <c r="H633" s="0" t="n">
        <f aca="false">C633*D633</f>
        <v>0.0875</v>
      </c>
      <c r="I633" s="0" t="n">
        <f aca="false">C633*C633</f>
        <v>0.0625</v>
      </c>
      <c r="J633" s="0" t="n">
        <f aca="false">D633*D633</f>
        <v>0.1225</v>
      </c>
      <c r="K633" s="0" t="n">
        <f aca="false">SUMPRODUCT(E633:J633,_XtX!$B$53:$G$53)</f>
        <v>46.4239691091954</v>
      </c>
      <c r="L633" s="0" t="n">
        <f aca="false">SUMPRODUCT(MMULT(E633:J633,_XtX!$B$44:$G$49),E633:J633)</f>
        <v>0.171620887212644</v>
      </c>
      <c r="M633" s="0" t="n">
        <f aca="false">04_回帰ANOVA!$K$19*04_回帰ANOVA!$K$14*SQRT(1+L633)</f>
        <v>1.46679737839873</v>
      </c>
      <c r="N633" s="0" t="n">
        <f aca="false">K633-M633</f>
        <v>44.9571717307967</v>
      </c>
      <c r="O633" s="0" t="n">
        <f aca="false">K633+M633</f>
        <v>47.8907664875941</v>
      </c>
      <c r="P633" s="54" t="b">
        <f aca="false">AND(C633&gt;=01_因子設定!$L$5-0.000000001,C633&lt;=01_因子設定!$M$5+0.000000001,D633&gt;=01_因子設定!$L$6-0.000000001,D633&lt;=01_因子設定!$M$6+0.000000001,IF(01_因子設定!$B$20="Box-Behnken",C633^2+D633^2&lt;=2+0.000000001,TRUE()))</f>
        <v>1</v>
      </c>
      <c r="Q633" s="55" t="n">
        <f aca="false">IF(P633,IF(01_因子設定!$B$13="最大化",N633-01_因子設定!$B$14,IF(01_因子設定!$B$13="最小化",01_因子設定!$B$15-O633,MIN(N633-01_因子設定!$B$14,01_因子設定!$B$15-O633))),-1E+030)</f>
        <v>-1.54282826920333</v>
      </c>
      <c r="R633" s="55" t="n">
        <f aca="false">IF(P633,IF(01_因子設定!$B$13="最大化",K633,IF(01_因子設定!$B$13="最小化",-K633,-ABS(K633-01_因子設定!$B$16))),-1E+030)</f>
        <v>46.4239691091954</v>
      </c>
      <c r="S633" s="55" t="n">
        <f aca="false">Q633+ROW()*0.000000001</f>
        <v>-1.54282763620333</v>
      </c>
      <c r="T633" s="55" t="n">
        <f aca="false">R633+ROW()*0.000000001</f>
        <v>46.4239697421954</v>
      </c>
    </row>
    <row r="634" customFormat="false" ht="15" hidden="false" customHeight="false" outlineLevel="0" collapsed="false">
      <c r="A634" s="0" t="n">
        <v>15</v>
      </c>
      <c r="B634" s="0" t="n">
        <v>14</v>
      </c>
      <c r="C634" s="0" t="n">
        <f aca="false">-1+A634*0.05</f>
        <v>-0.25</v>
      </c>
      <c r="D634" s="0" t="n">
        <f aca="false">-1+B634*0.05</f>
        <v>-0.3</v>
      </c>
      <c r="E634" s="0" t="n">
        <f aca="false">1</f>
        <v>1</v>
      </c>
      <c r="F634" s="0" t="n">
        <f aca="false">C634</f>
        <v>-0.25</v>
      </c>
      <c r="G634" s="0" t="n">
        <f aca="false">D634</f>
        <v>-0.3</v>
      </c>
      <c r="H634" s="0" t="n">
        <f aca="false">C634*D634</f>
        <v>0.075</v>
      </c>
      <c r="I634" s="0" t="n">
        <f aca="false">C634*C634</f>
        <v>0.0625</v>
      </c>
      <c r="J634" s="0" t="n">
        <f aca="false">D634*D634</f>
        <v>0.09</v>
      </c>
      <c r="K634" s="0" t="n">
        <f aca="false">SUMPRODUCT(E634:J634,_XtX!$B$53:$G$53)</f>
        <v>46.5800574712644</v>
      </c>
      <c r="L634" s="0" t="n">
        <f aca="false">SUMPRODUCT(MMULT(E634:J634,_XtX!$B$44:$G$49),E634:J634)</f>
        <v>0.170480352011494</v>
      </c>
      <c r="M634" s="0" t="n">
        <f aca="false">04_回帰ANOVA!$K$19*04_回帰ANOVA!$K$14*SQRT(1+L634)</f>
        <v>1.46608326456019</v>
      </c>
      <c r="N634" s="0" t="n">
        <f aca="false">K634-M634</f>
        <v>45.1139742067042</v>
      </c>
      <c r="O634" s="0" t="n">
        <f aca="false">K634+M634</f>
        <v>48.0461407358246</v>
      </c>
      <c r="P634" s="54" t="b">
        <f aca="false">AND(C634&gt;=01_因子設定!$L$5-0.000000001,C634&lt;=01_因子設定!$M$5+0.000000001,D634&gt;=01_因子設定!$L$6-0.000000001,D634&lt;=01_因子設定!$M$6+0.000000001,IF(01_因子設定!$B$20="Box-Behnken",C634^2+D634^2&lt;=2+0.000000001,TRUE()))</f>
        <v>1</v>
      </c>
      <c r="Q634" s="55" t="n">
        <f aca="false">IF(P634,IF(01_因子設定!$B$13="最大化",N634-01_因子設定!$B$14,IF(01_因子設定!$B$13="最小化",01_因子設定!$B$15-O634,MIN(N634-01_因子設定!$B$14,01_因子設定!$B$15-O634))),-1E+030)</f>
        <v>-1.38602579329582</v>
      </c>
      <c r="R634" s="55" t="n">
        <f aca="false">IF(P634,IF(01_因子設定!$B$13="最大化",K634,IF(01_因子設定!$B$13="最小化",-K634,-ABS(K634-01_因子設定!$B$16))),-1E+030)</f>
        <v>46.5800574712644</v>
      </c>
      <c r="S634" s="55" t="n">
        <f aca="false">Q634+ROW()*0.000000001</f>
        <v>-1.38602515929582</v>
      </c>
      <c r="T634" s="55" t="n">
        <f aca="false">R634+ROW()*0.000000001</f>
        <v>46.5800581052644</v>
      </c>
    </row>
    <row r="635" customFormat="false" ht="15" hidden="false" customHeight="false" outlineLevel="0" collapsed="false">
      <c r="A635" s="0" t="n">
        <v>15</v>
      </c>
      <c r="B635" s="0" t="n">
        <v>15</v>
      </c>
      <c r="C635" s="0" t="n">
        <f aca="false">-1+A635*0.05</f>
        <v>-0.25</v>
      </c>
      <c r="D635" s="0" t="n">
        <f aca="false">-1+B635*0.05</f>
        <v>-0.25</v>
      </c>
      <c r="E635" s="0" t="n">
        <f aca="false">1</f>
        <v>1</v>
      </c>
      <c r="F635" s="0" t="n">
        <f aca="false">C635</f>
        <v>-0.25</v>
      </c>
      <c r="G635" s="0" t="n">
        <f aca="false">D635</f>
        <v>-0.25</v>
      </c>
      <c r="H635" s="0" t="n">
        <f aca="false">C635*D635</f>
        <v>0.0625</v>
      </c>
      <c r="I635" s="0" t="n">
        <f aca="false">C635*C635</f>
        <v>0.0625</v>
      </c>
      <c r="J635" s="0" t="n">
        <f aca="false">D635*D635</f>
        <v>0.0625</v>
      </c>
      <c r="K635" s="0" t="n">
        <f aca="false">SUMPRODUCT(E635:J635,_XtX!$B$53:$G$53)</f>
        <v>46.728430316092</v>
      </c>
      <c r="L635" s="0" t="n">
        <f aca="false">SUMPRODUCT(MMULT(E635:J635,_XtX!$B$44:$G$49),E635:J635)</f>
        <v>0.170112697557471</v>
      </c>
      <c r="M635" s="0" t="n">
        <f aca="false">04_回帰ANOVA!$K$19*04_回帰ANOVA!$K$14*SQRT(1+L635)</f>
        <v>1.46585299398171</v>
      </c>
      <c r="N635" s="0" t="n">
        <f aca="false">K635-M635</f>
        <v>45.2625773221102</v>
      </c>
      <c r="O635" s="0" t="n">
        <f aca="false">K635+M635</f>
        <v>48.1942833100737</v>
      </c>
      <c r="P635" s="54" t="b">
        <f aca="false">AND(C635&gt;=01_因子設定!$L$5-0.000000001,C635&lt;=01_因子設定!$M$5+0.000000001,D635&gt;=01_因子設定!$L$6-0.000000001,D635&lt;=01_因子設定!$M$6+0.000000001,IF(01_因子設定!$B$20="Box-Behnken",C635^2+D635^2&lt;=2+0.000000001,TRUE()))</f>
        <v>1</v>
      </c>
      <c r="Q635" s="55" t="n">
        <f aca="false">IF(P635,IF(01_因子設定!$B$13="最大化",N635-01_因子設定!$B$14,IF(01_因子設定!$B$13="最小化",01_因子設定!$B$15-O635,MIN(N635-01_因子設定!$B$14,01_因子設定!$B$15-O635))),-1E+030)</f>
        <v>-1.23742267788976</v>
      </c>
      <c r="R635" s="55" t="n">
        <f aca="false">IF(P635,IF(01_因子設定!$B$13="最大化",K635,IF(01_因子設定!$B$13="最小化",-K635,-ABS(K635-01_因子設定!$B$16))),-1E+030)</f>
        <v>46.728430316092</v>
      </c>
      <c r="S635" s="55" t="n">
        <f aca="false">Q635+ROW()*0.000000001</f>
        <v>-1.23742204288976</v>
      </c>
      <c r="T635" s="55" t="n">
        <f aca="false">R635+ROW()*0.000000001</f>
        <v>46.728430951092</v>
      </c>
    </row>
    <row r="636" customFormat="false" ht="15" hidden="false" customHeight="false" outlineLevel="0" collapsed="false">
      <c r="A636" s="0" t="n">
        <v>15</v>
      </c>
      <c r="B636" s="0" t="n">
        <v>16</v>
      </c>
      <c r="C636" s="0" t="n">
        <f aca="false">-1+A636*0.05</f>
        <v>-0.25</v>
      </c>
      <c r="D636" s="0" t="n">
        <f aca="false">-1+B636*0.05</f>
        <v>-0.2</v>
      </c>
      <c r="E636" s="0" t="n">
        <f aca="false">1</f>
        <v>1</v>
      </c>
      <c r="F636" s="0" t="n">
        <f aca="false">C636</f>
        <v>-0.25</v>
      </c>
      <c r="G636" s="0" t="n">
        <f aca="false">D636</f>
        <v>-0.2</v>
      </c>
      <c r="H636" s="0" t="n">
        <f aca="false">C636*D636</f>
        <v>0.05</v>
      </c>
      <c r="I636" s="0" t="n">
        <f aca="false">C636*C636</f>
        <v>0.0625</v>
      </c>
      <c r="J636" s="0" t="n">
        <f aca="false">D636*D636</f>
        <v>0.04</v>
      </c>
      <c r="K636" s="0" t="n">
        <f aca="false">SUMPRODUCT(E636:J636,_XtX!$B$53:$G$53)</f>
        <v>46.8690876436782</v>
      </c>
      <c r="L636" s="0" t="n">
        <f aca="false">SUMPRODUCT(MMULT(E636:J636,_XtX!$B$44:$G$49),E636:J636)</f>
        <v>0.170219216954023</v>
      </c>
      <c r="M636" s="0" t="n">
        <f aca="false">04_回帰ANOVA!$K$19*04_回帰ANOVA!$K$14*SQRT(1+L636)</f>
        <v>1.46591971329145</v>
      </c>
      <c r="N636" s="0" t="n">
        <f aca="false">K636-M636</f>
        <v>45.4031679303867</v>
      </c>
      <c r="O636" s="0" t="n">
        <f aca="false">K636+M636</f>
        <v>48.3350073569696</v>
      </c>
      <c r="P636" s="54" t="b">
        <f aca="false">AND(C636&gt;=01_因子設定!$L$5-0.000000001,C636&lt;=01_因子設定!$M$5+0.000000001,D636&gt;=01_因子設定!$L$6-0.000000001,D636&lt;=01_因子設定!$M$6+0.000000001,IF(01_因子設定!$B$20="Box-Behnken",C636^2+D636^2&lt;=2+0.000000001,TRUE()))</f>
        <v>1</v>
      </c>
      <c r="Q636" s="55" t="n">
        <f aca="false">IF(P636,IF(01_因子設定!$B$13="最大化",N636-01_因子設定!$B$14,IF(01_因子設定!$B$13="最小化",01_因子設定!$B$15-O636,MIN(N636-01_因子設定!$B$14,01_因子設定!$B$15-O636))),-1E+030)</f>
        <v>-1.09683206961329</v>
      </c>
      <c r="R636" s="55" t="n">
        <f aca="false">IF(P636,IF(01_因子設定!$B$13="最大化",K636,IF(01_因子設定!$B$13="最小化",-K636,-ABS(K636-01_因子設定!$B$16))),-1E+030)</f>
        <v>46.8690876436782</v>
      </c>
      <c r="S636" s="55" t="n">
        <f aca="false">Q636+ROW()*0.000000001</f>
        <v>-1.09683143361329</v>
      </c>
      <c r="T636" s="55" t="n">
        <f aca="false">R636+ROW()*0.000000001</f>
        <v>46.8690882796782</v>
      </c>
    </row>
    <row r="637" customFormat="false" ht="15" hidden="false" customHeight="false" outlineLevel="0" collapsed="false">
      <c r="A637" s="0" t="n">
        <v>15</v>
      </c>
      <c r="B637" s="0" t="n">
        <v>17</v>
      </c>
      <c r="C637" s="0" t="n">
        <f aca="false">-1+A637*0.05</f>
        <v>-0.25</v>
      </c>
      <c r="D637" s="0" t="n">
        <f aca="false">-1+B637*0.05</f>
        <v>-0.15</v>
      </c>
      <c r="E637" s="0" t="n">
        <f aca="false">1</f>
        <v>1</v>
      </c>
      <c r="F637" s="0" t="n">
        <f aca="false">C637</f>
        <v>-0.25</v>
      </c>
      <c r="G637" s="0" t="n">
        <f aca="false">D637</f>
        <v>-0.15</v>
      </c>
      <c r="H637" s="0" t="n">
        <f aca="false">C637*D637</f>
        <v>0.0375</v>
      </c>
      <c r="I637" s="0" t="n">
        <f aca="false">C637*C637</f>
        <v>0.0625</v>
      </c>
      <c r="J637" s="0" t="n">
        <f aca="false">D637*D637</f>
        <v>0.0225</v>
      </c>
      <c r="K637" s="0" t="n">
        <f aca="false">SUMPRODUCT(E637:J637,_XtX!$B$53:$G$53)</f>
        <v>47.002029454023</v>
      </c>
      <c r="L637" s="0" t="n">
        <f aca="false">SUMPRODUCT(MMULT(E637:J637,_XtX!$B$44:$G$49),E637:J637)</f>
        <v>0.170555513649425</v>
      </c>
      <c r="M637" s="0" t="n">
        <f aca="false">04_回帰ANOVA!$K$19*04_回帰ANOVA!$K$14*SQRT(1+L637)</f>
        <v>1.46613033559833</v>
      </c>
      <c r="N637" s="0" t="n">
        <f aca="false">K637-M637</f>
        <v>45.5358991184247</v>
      </c>
      <c r="O637" s="0" t="n">
        <f aca="false">K637+M637</f>
        <v>48.4681597896213</v>
      </c>
      <c r="P637" s="54" t="b">
        <f aca="false">AND(C637&gt;=01_因子設定!$L$5-0.000000001,C637&lt;=01_因子設定!$M$5+0.000000001,D637&gt;=01_因子設定!$L$6-0.000000001,D637&lt;=01_因子設定!$M$6+0.000000001,IF(01_因子設定!$B$20="Box-Behnken",C637^2+D637^2&lt;=2+0.000000001,TRUE()))</f>
        <v>1</v>
      </c>
      <c r="Q637" s="55" t="n">
        <f aca="false">IF(P637,IF(01_因子設定!$B$13="最大化",N637-01_因子設定!$B$14,IF(01_因子設定!$B$13="最小化",01_因子設定!$B$15-O637,MIN(N637-01_因子設定!$B$14,01_因子設定!$B$15-O637))),-1E+030)</f>
        <v>-0.964100881575341</v>
      </c>
      <c r="R637" s="55" t="n">
        <f aca="false">IF(P637,IF(01_因子設定!$B$13="最大化",K637,IF(01_因子設定!$B$13="最小化",-K637,-ABS(K637-01_因子設定!$B$16))),-1E+030)</f>
        <v>47.002029454023</v>
      </c>
      <c r="S637" s="55" t="n">
        <f aca="false">Q637+ROW()*0.000000001</f>
        <v>-0.964100244575341</v>
      </c>
      <c r="T637" s="55" t="n">
        <f aca="false">R637+ROW()*0.000000001</f>
        <v>47.002030091023</v>
      </c>
    </row>
    <row r="638" customFormat="false" ht="15" hidden="false" customHeight="false" outlineLevel="0" collapsed="false">
      <c r="A638" s="0" t="n">
        <v>15</v>
      </c>
      <c r="B638" s="0" t="n">
        <v>18</v>
      </c>
      <c r="C638" s="0" t="n">
        <f aca="false">-1+A638*0.05</f>
        <v>-0.25</v>
      </c>
      <c r="D638" s="0" t="n">
        <f aca="false">-1+B638*0.05</f>
        <v>-0.1</v>
      </c>
      <c r="E638" s="0" t="n">
        <f aca="false">1</f>
        <v>1</v>
      </c>
      <c r="F638" s="0" t="n">
        <f aca="false">C638</f>
        <v>-0.25</v>
      </c>
      <c r="G638" s="0" t="n">
        <f aca="false">D638</f>
        <v>-0.1</v>
      </c>
      <c r="H638" s="0" t="n">
        <f aca="false">C638*D638</f>
        <v>0.025</v>
      </c>
      <c r="I638" s="0" t="n">
        <f aca="false">C638*C638</f>
        <v>0.0625</v>
      </c>
      <c r="J638" s="0" t="n">
        <f aca="false">D638*D638</f>
        <v>0.01</v>
      </c>
      <c r="K638" s="0" t="n">
        <f aca="false">SUMPRODUCT(E638:J638,_XtX!$B$53:$G$53)</f>
        <v>47.1272557471264</v>
      </c>
      <c r="L638" s="0" t="n">
        <f aca="false">SUMPRODUCT(MMULT(E638:J638,_XtX!$B$44:$G$49),E638:J638)</f>
        <v>0.170931501436782</v>
      </c>
      <c r="M638" s="0" t="n">
        <f aca="false">04_回帰ANOVA!$K$19*04_回帰ANOVA!$K$14*SQRT(1+L638)</f>
        <v>1.46636578057969</v>
      </c>
      <c r="N638" s="0" t="n">
        <f aca="false">K638-M638</f>
        <v>45.6608899665468</v>
      </c>
      <c r="O638" s="0" t="n">
        <f aca="false">K638+M638</f>
        <v>48.5936215277061</v>
      </c>
      <c r="P638" s="54" t="b">
        <f aca="false">AND(C638&gt;=01_因子設定!$L$5-0.000000001,C638&lt;=01_因子設定!$M$5+0.000000001,D638&gt;=01_因子設定!$L$6-0.000000001,D638&lt;=01_因子設定!$M$6+0.000000001,IF(01_因子設定!$B$20="Box-Behnken",C638^2+D638^2&lt;=2+0.000000001,TRUE()))</f>
        <v>1</v>
      </c>
      <c r="Q638" s="55" t="n">
        <f aca="false">IF(P638,IF(01_因子設定!$B$13="最大化",N638-01_因子設定!$B$14,IF(01_因子設定!$B$13="最小化",01_因子設定!$B$15-O638,MIN(N638-01_因子設定!$B$14,01_因子設定!$B$15-O638))),-1E+030)</f>
        <v>-0.839110033453252</v>
      </c>
      <c r="R638" s="55" t="n">
        <f aca="false">IF(P638,IF(01_因子設定!$B$13="最大化",K638,IF(01_因子設定!$B$13="最小化",-K638,-ABS(K638-01_因子設定!$B$16))),-1E+030)</f>
        <v>47.1272557471264</v>
      </c>
      <c r="S638" s="55" t="n">
        <f aca="false">Q638+ROW()*0.000000001</f>
        <v>-0.839109395453252</v>
      </c>
      <c r="T638" s="55" t="n">
        <f aca="false">R638+ROW()*0.000000001</f>
        <v>47.1272563851264</v>
      </c>
    </row>
    <row r="639" customFormat="false" ht="15" hidden="false" customHeight="false" outlineLevel="0" collapsed="false">
      <c r="A639" s="0" t="n">
        <v>15</v>
      </c>
      <c r="B639" s="0" t="n">
        <v>19</v>
      </c>
      <c r="C639" s="0" t="n">
        <f aca="false">-1+A639*0.05</f>
        <v>-0.25</v>
      </c>
      <c r="D639" s="0" t="n">
        <f aca="false">-1+B639*0.05</f>
        <v>-0.0499999999999999</v>
      </c>
      <c r="E639" s="0" t="n">
        <f aca="false">1</f>
        <v>1</v>
      </c>
      <c r="F639" s="0" t="n">
        <f aca="false">C639</f>
        <v>-0.25</v>
      </c>
      <c r="G639" s="0" t="n">
        <f aca="false">D639</f>
        <v>-0.0499999999999999</v>
      </c>
      <c r="H639" s="0" t="n">
        <f aca="false">C639*D639</f>
        <v>0.0125</v>
      </c>
      <c r="I639" s="0" t="n">
        <f aca="false">C639*C639</f>
        <v>0.0625</v>
      </c>
      <c r="J639" s="0" t="n">
        <f aca="false">D639*D639</f>
        <v>0.00249999999999999</v>
      </c>
      <c r="K639" s="0" t="n">
        <f aca="false">SUMPRODUCT(E639:J639,_XtX!$B$53:$G$53)</f>
        <v>47.2447665229885</v>
      </c>
      <c r="L639" s="0" t="n">
        <f aca="false">SUMPRODUCT(MMULT(E639:J639,_XtX!$B$44:$G$49),E639:J639)</f>
        <v>0.171211404454023</v>
      </c>
      <c r="M639" s="0" t="n">
        <f aca="false">04_回帰ANOVA!$K$19*04_回帰ANOVA!$K$14*SQRT(1+L639)</f>
        <v>1.46654103236879</v>
      </c>
      <c r="N639" s="0" t="n">
        <f aca="false">K639-M639</f>
        <v>45.7782254906197</v>
      </c>
      <c r="O639" s="0" t="n">
        <f aca="false">K639+M639</f>
        <v>48.7113075553573</v>
      </c>
      <c r="P639" s="54" t="b">
        <f aca="false">AND(C639&gt;=01_因子設定!$L$5-0.000000001,C639&lt;=01_因子設定!$M$5+0.000000001,D639&gt;=01_因子設定!$L$6-0.000000001,D639&lt;=01_因子設定!$M$6+0.000000001,IF(01_因子設定!$B$20="Box-Behnken",C639^2+D639^2&lt;=2+0.000000001,TRUE()))</f>
        <v>1</v>
      </c>
      <c r="Q639" s="55" t="n">
        <f aca="false">IF(P639,IF(01_因子設定!$B$13="最大化",N639-01_因子設定!$B$14,IF(01_因子設定!$B$13="最小化",01_因子設定!$B$15-O639,MIN(N639-01_因子設定!$B$14,01_因子設定!$B$15-O639))),-1E+030)</f>
        <v>-0.721774509380282</v>
      </c>
      <c r="R639" s="55" t="n">
        <f aca="false">IF(P639,IF(01_因子設定!$B$13="最大化",K639,IF(01_因子設定!$B$13="最小化",-K639,-ABS(K639-01_因子設定!$B$16))),-1E+030)</f>
        <v>47.2447665229885</v>
      </c>
      <c r="S639" s="55" t="n">
        <f aca="false">Q639+ROW()*0.000000001</f>
        <v>-0.721773870380282</v>
      </c>
      <c r="T639" s="55" t="n">
        <f aca="false">R639+ROW()*0.000000001</f>
        <v>47.2447671619885</v>
      </c>
    </row>
    <row r="640" customFormat="false" ht="15" hidden="false" customHeight="false" outlineLevel="0" collapsed="false">
      <c r="A640" s="0" t="n">
        <v>15</v>
      </c>
      <c r="B640" s="0" t="n">
        <v>20</v>
      </c>
      <c r="C640" s="0" t="n">
        <f aca="false">-1+A640*0.05</f>
        <v>-0.25</v>
      </c>
      <c r="D640" s="0" t="n">
        <f aca="false">-1+B640*0.05</f>
        <v>0</v>
      </c>
      <c r="E640" s="0" t="n">
        <f aca="false">1</f>
        <v>1</v>
      </c>
      <c r="F640" s="0" t="n">
        <f aca="false">C640</f>
        <v>-0.25</v>
      </c>
      <c r="G640" s="0" t="n">
        <f aca="false">D640</f>
        <v>0</v>
      </c>
      <c r="H640" s="0" t="n">
        <f aca="false">C640*D640</f>
        <v>-0</v>
      </c>
      <c r="I640" s="0" t="n">
        <f aca="false">C640*C640</f>
        <v>0.0625</v>
      </c>
      <c r="J640" s="0" t="n">
        <f aca="false">D640*D640</f>
        <v>0</v>
      </c>
      <c r="K640" s="0" t="n">
        <f aca="false">SUMPRODUCT(E640:J640,_XtX!$B$53:$G$53)</f>
        <v>47.3545617816092</v>
      </c>
      <c r="L640" s="0" t="n">
        <f aca="false">SUMPRODUCT(MMULT(E640:J640,_XtX!$B$44:$G$49),E640:J640)</f>
        <v>0.171313757183908</v>
      </c>
      <c r="M640" s="0" t="n">
        <f aca="false">04_回帰ANOVA!$K$19*04_回帰ANOVA!$K$14*SQRT(1+L640)</f>
        <v>1.46660511183314</v>
      </c>
      <c r="N640" s="0" t="n">
        <f aca="false">K640-M640</f>
        <v>45.8879566697761</v>
      </c>
      <c r="O640" s="0" t="n">
        <f aca="false">K640+M640</f>
        <v>48.8211668934423</v>
      </c>
      <c r="P640" s="54" t="b">
        <f aca="false">AND(C640&gt;=01_因子設定!$L$5-0.000000001,C640&lt;=01_因子設定!$M$5+0.000000001,D640&gt;=01_因子設定!$L$6-0.000000001,D640&lt;=01_因子設定!$M$6+0.000000001,IF(01_因子設定!$B$20="Box-Behnken",C640^2+D640^2&lt;=2+0.000000001,TRUE()))</f>
        <v>1</v>
      </c>
      <c r="Q640" s="55" t="n">
        <f aca="false">IF(P640,IF(01_因子設定!$B$13="最大化",N640-01_因子設定!$B$14,IF(01_因子設定!$B$13="最小化",01_因子設定!$B$15-O640,MIN(N640-01_因子設定!$B$14,01_因子設定!$B$15-O640))),-1E+030)</f>
        <v>-0.612043330223941</v>
      </c>
      <c r="R640" s="55" t="n">
        <f aca="false">IF(P640,IF(01_因子設定!$B$13="最大化",K640,IF(01_因子設定!$B$13="最小化",-K640,-ABS(K640-01_因子設定!$B$16))),-1E+030)</f>
        <v>47.3545617816092</v>
      </c>
      <c r="S640" s="55" t="n">
        <f aca="false">Q640+ROW()*0.000000001</f>
        <v>-0.612042690223941</v>
      </c>
      <c r="T640" s="55" t="n">
        <f aca="false">R640+ROW()*0.000000001</f>
        <v>47.3545624216092</v>
      </c>
    </row>
    <row r="641" customFormat="false" ht="15" hidden="false" customHeight="false" outlineLevel="0" collapsed="false">
      <c r="A641" s="0" t="n">
        <v>15</v>
      </c>
      <c r="B641" s="0" t="n">
        <v>21</v>
      </c>
      <c r="C641" s="0" t="n">
        <f aca="false">-1+A641*0.05</f>
        <v>-0.25</v>
      </c>
      <c r="D641" s="0" t="n">
        <f aca="false">-1+B641*0.05</f>
        <v>0.05</v>
      </c>
      <c r="E641" s="0" t="n">
        <f aca="false">1</f>
        <v>1</v>
      </c>
      <c r="F641" s="0" t="n">
        <f aca="false">C641</f>
        <v>-0.25</v>
      </c>
      <c r="G641" s="0" t="n">
        <f aca="false">D641</f>
        <v>0.05</v>
      </c>
      <c r="H641" s="0" t="n">
        <f aca="false">C641*D641</f>
        <v>-0.0125</v>
      </c>
      <c r="I641" s="0" t="n">
        <f aca="false">C641*C641</f>
        <v>0.0625</v>
      </c>
      <c r="J641" s="0" t="n">
        <f aca="false">D641*D641</f>
        <v>0.0025</v>
      </c>
      <c r="K641" s="0" t="n">
        <f aca="false">SUMPRODUCT(E641:J641,_XtX!$B$53:$G$53)</f>
        <v>47.4566415229885</v>
      </c>
      <c r="L641" s="0" t="n">
        <f aca="false">SUMPRODUCT(MMULT(E641:J641,_XtX!$B$44:$G$49),E641:J641)</f>
        <v>0.171211404454023</v>
      </c>
      <c r="M641" s="0" t="n">
        <f aca="false">04_回帰ANOVA!$K$19*04_回帰ANOVA!$K$14*SQRT(1+L641)</f>
        <v>1.46654103236879</v>
      </c>
      <c r="N641" s="0" t="n">
        <f aca="false">K641-M641</f>
        <v>45.9901004906197</v>
      </c>
      <c r="O641" s="0" t="n">
        <f aca="false">K641+M641</f>
        <v>48.9231825553573</v>
      </c>
      <c r="P641" s="54" t="b">
        <f aca="false">AND(C641&gt;=01_因子設定!$L$5-0.000000001,C641&lt;=01_因子設定!$M$5+0.000000001,D641&gt;=01_因子設定!$L$6-0.000000001,D641&lt;=01_因子設定!$M$6+0.000000001,IF(01_因子設定!$B$20="Box-Behnken",C641^2+D641^2&lt;=2+0.000000001,TRUE()))</f>
        <v>1</v>
      </c>
      <c r="Q641" s="55" t="n">
        <f aca="false">IF(P641,IF(01_因子設定!$B$13="最大化",N641-01_因子設定!$B$14,IF(01_因子設定!$B$13="最小化",01_因子設定!$B$15-O641,MIN(N641-01_因子設定!$B$14,01_因子設定!$B$15-O641))),-1E+030)</f>
        <v>-0.509899509380283</v>
      </c>
      <c r="R641" s="55" t="n">
        <f aca="false">IF(P641,IF(01_因子設定!$B$13="最大化",K641,IF(01_因子設定!$B$13="最小化",-K641,-ABS(K641-01_因子設定!$B$16))),-1E+030)</f>
        <v>47.4566415229885</v>
      </c>
      <c r="S641" s="55" t="n">
        <f aca="false">Q641+ROW()*0.000000001</f>
        <v>-0.509898868380283</v>
      </c>
      <c r="T641" s="55" t="n">
        <f aca="false">R641+ROW()*0.000000001</f>
        <v>47.4566421639885</v>
      </c>
    </row>
    <row r="642" customFormat="false" ht="15" hidden="false" customHeight="false" outlineLevel="0" collapsed="false">
      <c r="A642" s="0" t="n">
        <v>15</v>
      </c>
      <c r="B642" s="0" t="n">
        <v>22</v>
      </c>
      <c r="C642" s="0" t="n">
        <f aca="false">-1+A642*0.05</f>
        <v>-0.25</v>
      </c>
      <c r="D642" s="0" t="n">
        <f aca="false">-1+B642*0.05</f>
        <v>0.1</v>
      </c>
      <c r="E642" s="0" t="n">
        <f aca="false">1</f>
        <v>1</v>
      </c>
      <c r="F642" s="0" t="n">
        <f aca="false">C642</f>
        <v>-0.25</v>
      </c>
      <c r="G642" s="0" t="n">
        <f aca="false">D642</f>
        <v>0.1</v>
      </c>
      <c r="H642" s="0" t="n">
        <f aca="false">C642*D642</f>
        <v>-0.025</v>
      </c>
      <c r="I642" s="0" t="n">
        <f aca="false">C642*C642</f>
        <v>0.0625</v>
      </c>
      <c r="J642" s="0" t="n">
        <f aca="false">D642*D642</f>
        <v>0.01</v>
      </c>
      <c r="K642" s="0" t="n">
        <f aca="false">SUMPRODUCT(E642:J642,_XtX!$B$53:$G$53)</f>
        <v>47.5510057471264</v>
      </c>
      <c r="L642" s="0" t="n">
        <f aca="false">SUMPRODUCT(MMULT(E642:J642,_XtX!$B$44:$G$49),E642:J642)</f>
        <v>0.170931501436782</v>
      </c>
      <c r="M642" s="0" t="n">
        <f aca="false">04_回帰ANOVA!$K$19*04_回帰ANOVA!$K$14*SQRT(1+L642)</f>
        <v>1.46636578057969</v>
      </c>
      <c r="N642" s="0" t="n">
        <f aca="false">K642-M642</f>
        <v>46.0846399665467</v>
      </c>
      <c r="O642" s="0" t="n">
        <f aca="false">K642+M642</f>
        <v>49.0173715277061</v>
      </c>
      <c r="P642" s="54" t="b">
        <f aca="false">AND(C642&gt;=01_因子設定!$L$5-0.000000001,C642&lt;=01_因子設定!$M$5+0.000000001,D642&gt;=01_因子設定!$L$6-0.000000001,D642&lt;=01_因子設定!$M$6+0.000000001,IF(01_因子設定!$B$20="Box-Behnken",C642^2+D642^2&lt;=2+0.000000001,TRUE()))</f>
        <v>1</v>
      </c>
      <c r="Q642" s="55" t="n">
        <f aca="false">IF(P642,IF(01_因子設定!$B$13="最大化",N642-01_因子設定!$B$14,IF(01_因子設定!$B$13="最小化",01_因子設定!$B$15-O642,MIN(N642-01_因子設定!$B$14,01_因子設定!$B$15-O642))),-1E+030)</f>
        <v>-0.415360033453254</v>
      </c>
      <c r="R642" s="55" t="n">
        <f aca="false">IF(P642,IF(01_因子設定!$B$13="最大化",K642,IF(01_因子設定!$B$13="最小化",-K642,-ABS(K642-01_因子設定!$B$16))),-1E+030)</f>
        <v>47.5510057471264</v>
      </c>
      <c r="S642" s="55" t="n">
        <f aca="false">Q642+ROW()*0.000000001</f>
        <v>-0.415359391453254</v>
      </c>
      <c r="T642" s="55" t="n">
        <f aca="false">R642+ROW()*0.000000001</f>
        <v>47.5510063891264</v>
      </c>
    </row>
    <row r="643" customFormat="false" ht="15" hidden="false" customHeight="false" outlineLevel="0" collapsed="false">
      <c r="A643" s="0" t="n">
        <v>15</v>
      </c>
      <c r="B643" s="0" t="n">
        <v>23</v>
      </c>
      <c r="C643" s="0" t="n">
        <f aca="false">-1+A643*0.05</f>
        <v>-0.25</v>
      </c>
      <c r="D643" s="0" t="n">
        <f aca="false">-1+B643*0.05</f>
        <v>0.15</v>
      </c>
      <c r="E643" s="0" t="n">
        <f aca="false">1</f>
        <v>1</v>
      </c>
      <c r="F643" s="0" t="n">
        <f aca="false">C643</f>
        <v>-0.25</v>
      </c>
      <c r="G643" s="0" t="n">
        <f aca="false">D643</f>
        <v>0.15</v>
      </c>
      <c r="H643" s="0" t="n">
        <f aca="false">C643*D643</f>
        <v>-0.0375</v>
      </c>
      <c r="I643" s="0" t="n">
        <f aca="false">C643*C643</f>
        <v>0.0625</v>
      </c>
      <c r="J643" s="0" t="n">
        <f aca="false">D643*D643</f>
        <v>0.0225</v>
      </c>
      <c r="K643" s="0" t="n">
        <f aca="false">SUMPRODUCT(E643:J643,_XtX!$B$53:$G$53)</f>
        <v>47.637654454023</v>
      </c>
      <c r="L643" s="0" t="n">
        <f aca="false">SUMPRODUCT(MMULT(E643:J643,_XtX!$B$44:$G$49),E643:J643)</f>
        <v>0.170555513649425</v>
      </c>
      <c r="M643" s="0" t="n">
        <f aca="false">04_回帰ANOVA!$K$19*04_回帰ANOVA!$K$14*SQRT(1+L643)</f>
        <v>1.46613033559833</v>
      </c>
      <c r="N643" s="0" t="n">
        <f aca="false">K643-M643</f>
        <v>46.1715241184247</v>
      </c>
      <c r="O643" s="0" t="n">
        <f aca="false">K643+M643</f>
        <v>49.1037847896213</v>
      </c>
      <c r="P643" s="54" t="b">
        <f aca="false">AND(C643&gt;=01_因子設定!$L$5-0.000000001,C643&lt;=01_因子設定!$M$5+0.000000001,D643&gt;=01_因子設定!$L$6-0.000000001,D643&lt;=01_因子設定!$M$6+0.000000001,IF(01_因子設定!$B$20="Box-Behnken",C643^2+D643^2&lt;=2+0.000000001,TRUE()))</f>
        <v>1</v>
      </c>
      <c r="Q643" s="55" t="n">
        <f aca="false">IF(P643,IF(01_因子設定!$B$13="最大化",N643-01_因子設定!$B$14,IF(01_因子設定!$B$13="最小化",01_因子設定!$B$15-O643,MIN(N643-01_因子設定!$B$14,01_因子設定!$B$15-O643))),-1E+030)</f>
        <v>-0.328475881575343</v>
      </c>
      <c r="R643" s="55" t="n">
        <f aca="false">IF(P643,IF(01_因子設定!$B$13="最大化",K643,IF(01_因子設定!$B$13="最小化",-K643,-ABS(K643-01_因子設定!$B$16))),-1E+030)</f>
        <v>47.637654454023</v>
      </c>
      <c r="S643" s="55" t="n">
        <f aca="false">Q643+ROW()*0.000000001</f>
        <v>-0.328475238575343</v>
      </c>
      <c r="T643" s="55" t="n">
        <f aca="false">R643+ROW()*0.000000001</f>
        <v>47.637655097023</v>
      </c>
    </row>
    <row r="644" customFormat="false" ht="15" hidden="false" customHeight="false" outlineLevel="0" collapsed="false">
      <c r="A644" s="0" t="n">
        <v>15</v>
      </c>
      <c r="B644" s="0" t="n">
        <v>24</v>
      </c>
      <c r="C644" s="0" t="n">
        <f aca="false">-1+A644*0.05</f>
        <v>-0.25</v>
      </c>
      <c r="D644" s="0" t="n">
        <f aca="false">-1+B644*0.05</f>
        <v>0.2</v>
      </c>
      <c r="E644" s="0" t="n">
        <f aca="false">1</f>
        <v>1</v>
      </c>
      <c r="F644" s="0" t="n">
        <f aca="false">C644</f>
        <v>-0.25</v>
      </c>
      <c r="G644" s="0" t="n">
        <f aca="false">D644</f>
        <v>0.2</v>
      </c>
      <c r="H644" s="0" t="n">
        <f aca="false">C644*D644</f>
        <v>-0.05</v>
      </c>
      <c r="I644" s="0" t="n">
        <f aca="false">C644*C644</f>
        <v>0.0625</v>
      </c>
      <c r="J644" s="0" t="n">
        <f aca="false">D644*D644</f>
        <v>0.0400000000000001</v>
      </c>
      <c r="K644" s="0" t="n">
        <f aca="false">SUMPRODUCT(E644:J644,_XtX!$B$53:$G$53)</f>
        <v>47.7165876436782</v>
      </c>
      <c r="L644" s="0" t="n">
        <f aca="false">SUMPRODUCT(MMULT(E644:J644,_XtX!$B$44:$G$49),E644:J644)</f>
        <v>0.170219216954023</v>
      </c>
      <c r="M644" s="0" t="n">
        <f aca="false">04_回帰ANOVA!$K$19*04_回帰ANOVA!$K$14*SQRT(1+L644)</f>
        <v>1.46591971329145</v>
      </c>
      <c r="N644" s="0" t="n">
        <f aca="false">K644-M644</f>
        <v>46.2506679303867</v>
      </c>
      <c r="O644" s="0" t="n">
        <f aca="false">K644+M644</f>
        <v>49.1825073569696</v>
      </c>
      <c r="P644" s="54" t="b">
        <f aca="false">AND(C644&gt;=01_因子設定!$L$5-0.000000001,C644&lt;=01_因子設定!$M$5+0.000000001,D644&gt;=01_因子設定!$L$6-0.000000001,D644&lt;=01_因子設定!$M$6+0.000000001,IF(01_因子設定!$B$20="Box-Behnken",C644^2+D644^2&lt;=2+0.000000001,TRUE()))</f>
        <v>1</v>
      </c>
      <c r="Q644" s="55" t="n">
        <f aca="false">IF(P644,IF(01_因子設定!$B$13="最大化",N644-01_因子設定!$B$14,IF(01_因子設定!$B$13="最小化",01_因子設定!$B$15-O644,MIN(N644-01_因子設定!$B$14,01_因子設定!$B$15-O644))),-1E+030)</f>
        <v>-0.249332069613288</v>
      </c>
      <c r="R644" s="55" t="n">
        <f aca="false">IF(P644,IF(01_因子設定!$B$13="最大化",K644,IF(01_因子設定!$B$13="最小化",-K644,-ABS(K644-01_因子設定!$B$16))),-1E+030)</f>
        <v>47.7165876436782</v>
      </c>
      <c r="S644" s="55" t="n">
        <f aca="false">Q644+ROW()*0.000000001</f>
        <v>-0.249331425613288</v>
      </c>
      <c r="T644" s="55" t="n">
        <f aca="false">R644+ROW()*0.000000001</f>
        <v>47.7165882876782</v>
      </c>
    </row>
    <row r="645" customFormat="false" ht="15" hidden="false" customHeight="false" outlineLevel="0" collapsed="false">
      <c r="A645" s="0" t="n">
        <v>15</v>
      </c>
      <c r="B645" s="0" t="n">
        <v>25</v>
      </c>
      <c r="C645" s="0" t="n">
        <f aca="false">-1+A645*0.05</f>
        <v>-0.25</v>
      </c>
      <c r="D645" s="0" t="n">
        <f aca="false">-1+B645*0.05</f>
        <v>0.25</v>
      </c>
      <c r="E645" s="0" t="n">
        <f aca="false">1</f>
        <v>1</v>
      </c>
      <c r="F645" s="0" t="n">
        <f aca="false">C645</f>
        <v>-0.25</v>
      </c>
      <c r="G645" s="0" t="n">
        <f aca="false">D645</f>
        <v>0.25</v>
      </c>
      <c r="H645" s="0" t="n">
        <f aca="false">C645*D645</f>
        <v>-0.0625</v>
      </c>
      <c r="I645" s="0" t="n">
        <f aca="false">C645*C645</f>
        <v>0.0625</v>
      </c>
      <c r="J645" s="0" t="n">
        <f aca="false">D645*D645</f>
        <v>0.0625</v>
      </c>
      <c r="K645" s="0" t="n">
        <f aca="false">SUMPRODUCT(E645:J645,_XtX!$B$53:$G$53)</f>
        <v>47.787805316092</v>
      </c>
      <c r="L645" s="0" t="n">
        <f aca="false">SUMPRODUCT(MMULT(E645:J645,_XtX!$B$44:$G$49),E645:J645)</f>
        <v>0.170112697557471</v>
      </c>
      <c r="M645" s="0" t="n">
        <f aca="false">04_回帰ANOVA!$K$19*04_回帰ANOVA!$K$14*SQRT(1+L645)</f>
        <v>1.46585299398171</v>
      </c>
      <c r="N645" s="0" t="n">
        <f aca="false">K645-M645</f>
        <v>46.3219523221102</v>
      </c>
      <c r="O645" s="0" t="n">
        <f aca="false">K645+M645</f>
        <v>49.2536583100737</v>
      </c>
      <c r="P645" s="54" t="b">
        <f aca="false">AND(C645&gt;=01_因子設定!$L$5-0.000000001,C645&lt;=01_因子設定!$M$5+0.000000001,D645&gt;=01_因子設定!$L$6-0.000000001,D645&lt;=01_因子設定!$M$6+0.000000001,IF(01_因子設定!$B$20="Box-Behnken",C645^2+D645^2&lt;=2+0.000000001,TRUE()))</f>
        <v>1</v>
      </c>
      <c r="Q645" s="55" t="n">
        <f aca="false">IF(P645,IF(01_因子設定!$B$13="最大化",N645-01_因子設定!$B$14,IF(01_因子設定!$B$13="最小化",01_因子設定!$B$15-O645,MIN(N645-01_因子設定!$B$14,01_因子設定!$B$15-O645))),-1E+030)</f>
        <v>-0.178047677889765</v>
      </c>
      <c r="R645" s="55" t="n">
        <f aca="false">IF(P645,IF(01_因子設定!$B$13="最大化",K645,IF(01_因子設定!$B$13="最小化",-K645,-ABS(K645-01_因子設定!$B$16))),-1E+030)</f>
        <v>47.787805316092</v>
      </c>
      <c r="S645" s="55" t="n">
        <f aca="false">Q645+ROW()*0.000000001</f>
        <v>-0.178047032889765</v>
      </c>
      <c r="T645" s="55" t="n">
        <f aca="false">R645+ROW()*0.000000001</f>
        <v>47.787805961092</v>
      </c>
    </row>
    <row r="646" customFormat="false" ht="15" hidden="false" customHeight="false" outlineLevel="0" collapsed="false">
      <c r="A646" s="0" t="n">
        <v>15</v>
      </c>
      <c r="B646" s="0" t="n">
        <v>26</v>
      </c>
      <c r="C646" s="0" t="n">
        <f aca="false">-1+A646*0.05</f>
        <v>-0.25</v>
      </c>
      <c r="D646" s="0" t="n">
        <f aca="false">-1+B646*0.05</f>
        <v>0.3</v>
      </c>
      <c r="E646" s="0" t="n">
        <f aca="false">1</f>
        <v>1</v>
      </c>
      <c r="F646" s="0" t="n">
        <f aca="false">C646</f>
        <v>-0.25</v>
      </c>
      <c r="G646" s="0" t="n">
        <f aca="false">D646</f>
        <v>0.3</v>
      </c>
      <c r="H646" s="0" t="n">
        <f aca="false">C646*D646</f>
        <v>-0.075</v>
      </c>
      <c r="I646" s="0" t="n">
        <f aca="false">C646*C646</f>
        <v>0.0625</v>
      </c>
      <c r="J646" s="0" t="n">
        <f aca="false">D646*D646</f>
        <v>0.09</v>
      </c>
      <c r="K646" s="0" t="n">
        <f aca="false">SUMPRODUCT(E646:J646,_XtX!$B$53:$G$53)</f>
        <v>47.8513074712644</v>
      </c>
      <c r="L646" s="0" t="n">
        <f aca="false">SUMPRODUCT(MMULT(E646:J646,_XtX!$B$44:$G$49),E646:J646)</f>
        <v>0.170480352011494</v>
      </c>
      <c r="M646" s="0" t="n">
        <f aca="false">04_回帰ANOVA!$K$19*04_回帰ANOVA!$K$14*SQRT(1+L646)</f>
        <v>1.46608326456019</v>
      </c>
      <c r="N646" s="0" t="n">
        <f aca="false">K646-M646</f>
        <v>46.3852242067042</v>
      </c>
      <c r="O646" s="0" t="n">
        <f aca="false">K646+M646</f>
        <v>49.3173907358246</v>
      </c>
      <c r="P646" s="54" t="b">
        <f aca="false">AND(C646&gt;=01_因子設定!$L$5-0.000000001,C646&lt;=01_因子設定!$M$5+0.000000001,D646&gt;=01_因子設定!$L$6-0.000000001,D646&lt;=01_因子設定!$M$6+0.000000001,IF(01_因子設定!$B$20="Box-Behnken",C646^2+D646^2&lt;=2+0.000000001,TRUE()))</f>
        <v>1</v>
      </c>
      <c r="Q646" s="55" t="n">
        <f aca="false">IF(P646,IF(01_因子設定!$B$13="最大化",N646-01_因子設定!$B$14,IF(01_因子設定!$B$13="最小化",01_因子設定!$B$15-O646,MIN(N646-01_因子設定!$B$14,01_因子設定!$B$15-O646))),-1E+030)</f>
        <v>-0.114775793295827</v>
      </c>
      <c r="R646" s="55" t="n">
        <f aca="false">IF(P646,IF(01_因子設定!$B$13="最大化",K646,IF(01_因子設定!$B$13="最小化",-K646,-ABS(K646-01_因子設定!$B$16))),-1E+030)</f>
        <v>47.8513074712644</v>
      </c>
      <c r="S646" s="55" t="n">
        <f aca="false">Q646+ROW()*0.000000001</f>
        <v>-0.114775147295827</v>
      </c>
      <c r="T646" s="55" t="n">
        <f aca="false">R646+ROW()*0.000000001</f>
        <v>47.8513081172644</v>
      </c>
    </row>
    <row r="647" customFormat="false" ht="15" hidden="false" customHeight="false" outlineLevel="0" collapsed="false">
      <c r="A647" s="0" t="n">
        <v>15</v>
      </c>
      <c r="B647" s="0" t="n">
        <v>27</v>
      </c>
      <c r="C647" s="0" t="n">
        <f aca="false">-1+A647*0.05</f>
        <v>-0.25</v>
      </c>
      <c r="D647" s="0" t="n">
        <f aca="false">-1+B647*0.05</f>
        <v>0.35</v>
      </c>
      <c r="E647" s="0" t="n">
        <f aca="false">1</f>
        <v>1</v>
      </c>
      <c r="F647" s="0" t="n">
        <f aca="false">C647</f>
        <v>-0.25</v>
      </c>
      <c r="G647" s="0" t="n">
        <f aca="false">D647</f>
        <v>0.35</v>
      </c>
      <c r="H647" s="0" t="n">
        <f aca="false">C647*D647</f>
        <v>-0.0875</v>
      </c>
      <c r="I647" s="0" t="n">
        <f aca="false">C647*C647</f>
        <v>0.0625</v>
      </c>
      <c r="J647" s="0" t="n">
        <f aca="false">D647*D647</f>
        <v>0.1225</v>
      </c>
      <c r="K647" s="0" t="n">
        <f aca="false">SUMPRODUCT(E647:J647,_XtX!$B$53:$G$53)</f>
        <v>47.9070941091954</v>
      </c>
      <c r="L647" s="0" t="n">
        <f aca="false">SUMPRODUCT(MMULT(E647:J647,_XtX!$B$44:$G$49),E647:J647)</f>
        <v>0.171620887212644</v>
      </c>
      <c r="M647" s="0" t="n">
        <f aca="false">04_回帰ANOVA!$K$19*04_回帰ANOVA!$K$14*SQRT(1+L647)</f>
        <v>1.46679737839873</v>
      </c>
      <c r="N647" s="0" t="n">
        <f aca="false">K647-M647</f>
        <v>46.4402967307967</v>
      </c>
      <c r="O647" s="0" t="n">
        <f aca="false">K647+M647</f>
        <v>49.3738914875941</v>
      </c>
      <c r="P647" s="54" t="b">
        <f aca="false">AND(C647&gt;=01_因子設定!$L$5-0.000000001,C647&lt;=01_因子設定!$M$5+0.000000001,D647&gt;=01_因子設定!$L$6-0.000000001,D647&lt;=01_因子設定!$M$6+0.000000001,IF(01_因子設定!$B$20="Box-Behnken",C647^2+D647^2&lt;=2+0.000000001,TRUE()))</f>
        <v>1</v>
      </c>
      <c r="Q647" s="55" t="n">
        <f aca="false">IF(P647,IF(01_因子設定!$B$13="最大化",N647-01_因子設定!$B$14,IF(01_因子設定!$B$13="最小化",01_因子設定!$B$15-O647,MIN(N647-01_因子設定!$B$14,01_因子設定!$B$15-O647))),-1E+030)</f>
        <v>-0.0597032692033324</v>
      </c>
      <c r="R647" s="55" t="n">
        <f aca="false">IF(P647,IF(01_因子設定!$B$13="最大化",K647,IF(01_因子設定!$B$13="最小化",-K647,-ABS(K647-01_因子設定!$B$16))),-1E+030)</f>
        <v>47.9070941091954</v>
      </c>
      <c r="S647" s="55" t="n">
        <f aca="false">Q647+ROW()*0.000000001</f>
        <v>-0.0597026222033324</v>
      </c>
      <c r="T647" s="55" t="n">
        <f aca="false">R647+ROW()*0.000000001</f>
        <v>47.9070947561954</v>
      </c>
    </row>
    <row r="648" customFormat="false" ht="15" hidden="false" customHeight="false" outlineLevel="0" collapsed="false">
      <c r="A648" s="0" t="n">
        <v>15</v>
      </c>
      <c r="B648" s="0" t="n">
        <v>28</v>
      </c>
      <c r="C648" s="0" t="n">
        <f aca="false">-1+A648*0.05</f>
        <v>-0.25</v>
      </c>
      <c r="D648" s="0" t="n">
        <f aca="false">-1+B648*0.05</f>
        <v>0.4</v>
      </c>
      <c r="E648" s="0" t="n">
        <f aca="false">1</f>
        <v>1</v>
      </c>
      <c r="F648" s="0" t="n">
        <f aca="false">C648</f>
        <v>-0.25</v>
      </c>
      <c r="G648" s="0" t="n">
        <f aca="false">D648</f>
        <v>0.4</v>
      </c>
      <c r="H648" s="0" t="n">
        <f aca="false">C648*D648</f>
        <v>-0.1</v>
      </c>
      <c r="I648" s="0" t="n">
        <f aca="false">C648*C648</f>
        <v>0.0625</v>
      </c>
      <c r="J648" s="0" t="n">
        <f aca="false">D648*D648</f>
        <v>0.16</v>
      </c>
      <c r="K648" s="0" t="n">
        <f aca="false">SUMPRODUCT(E648:J648,_XtX!$B$53:$G$53)</f>
        <v>47.9551652298851</v>
      </c>
      <c r="L648" s="0" t="n">
        <f aca="false">SUMPRODUCT(MMULT(E648:J648,_XtX!$B$44:$G$49),E648:J648)</f>
        <v>0.173887320402299</v>
      </c>
      <c r="M648" s="0" t="n">
        <f aca="false">04_回帰ANOVA!$K$19*04_回帰ANOVA!$K$14*SQRT(1+L648)</f>
        <v>1.46821541051817</v>
      </c>
      <c r="N648" s="0" t="n">
        <f aca="false">K648-M648</f>
        <v>46.4869498193669</v>
      </c>
      <c r="O648" s="0" t="n">
        <f aca="false">K648+M648</f>
        <v>49.4233806404032</v>
      </c>
      <c r="P648" s="54" t="b">
        <f aca="false">AND(C648&gt;=01_因子設定!$L$5-0.000000001,C648&lt;=01_因子設定!$M$5+0.000000001,D648&gt;=01_因子設定!$L$6-0.000000001,D648&lt;=01_因子設定!$M$6+0.000000001,IF(01_因子設定!$B$20="Box-Behnken",C648^2+D648^2&lt;=2+0.000000001,TRUE()))</f>
        <v>1</v>
      </c>
      <c r="Q648" s="55" t="n">
        <f aca="false">IF(P648,IF(01_因子設定!$B$13="最大化",N648-01_因子設定!$B$14,IF(01_因子設定!$B$13="最小化",01_因子設定!$B$15-O648,MIN(N648-01_因子設定!$B$14,01_因子設定!$B$15-O648))),-1E+030)</f>
        <v>-0.0130501806331154</v>
      </c>
      <c r="R648" s="55" t="n">
        <f aca="false">IF(P648,IF(01_因子設定!$B$13="最大化",K648,IF(01_因子設定!$B$13="最小化",-K648,-ABS(K648-01_因子設定!$B$16))),-1E+030)</f>
        <v>47.9551652298851</v>
      </c>
      <c r="S648" s="55" t="n">
        <f aca="false">Q648+ROW()*0.000000001</f>
        <v>-0.0130495326331154</v>
      </c>
      <c r="T648" s="55" t="n">
        <f aca="false">R648+ROW()*0.000000001</f>
        <v>47.9551658778851</v>
      </c>
    </row>
    <row r="649" customFormat="false" ht="15" hidden="false" customHeight="false" outlineLevel="0" collapsed="false">
      <c r="A649" s="0" t="n">
        <v>15</v>
      </c>
      <c r="B649" s="0" t="n">
        <v>29</v>
      </c>
      <c r="C649" s="0" t="n">
        <f aca="false">-1+A649*0.05</f>
        <v>-0.25</v>
      </c>
      <c r="D649" s="0" t="n">
        <f aca="false">-1+B649*0.05</f>
        <v>0.45</v>
      </c>
      <c r="E649" s="0" t="n">
        <f aca="false">1</f>
        <v>1</v>
      </c>
      <c r="F649" s="0" t="n">
        <f aca="false">C649</f>
        <v>-0.25</v>
      </c>
      <c r="G649" s="0" t="n">
        <f aca="false">D649</f>
        <v>0.45</v>
      </c>
      <c r="H649" s="0" t="n">
        <f aca="false">C649*D649</f>
        <v>-0.1125</v>
      </c>
      <c r="I649" s="0" t="n">
        <f aca="false">C649*C649</f>
        <v>0.0625</v>
      </c>
      <c r="J649" s="0" t="n">
        <f aca="false">D649*D649</f>
        <v>0.2025</v>
      </c>
      <c r="K649" s="0" t="n">
        <f aca="false">SUMPRODUCT(E649:J649,_XtX!$B$53:$G$53)</f>
        <v>47.9955208333333</v>
      </c>
      <c r="L649" s="0" t="n">
        <f aca="false">SUMPRODUCT(MMULT(E649:J649,_XtX!$B$44:$G$49),E649:J649)</f>
        <v>0.177686979166667</v>
      </c>
      <c r="M649" s="0" t="n">
        <f aca="false">04_回帰ANOVA!$K$19*04_回帰ANOVA!$K$14*SQRT(1+L649)</f>
        <v>1.47058966332106</v>
      </c>
      <c r="N649" s="0" t="n">
        <f aca="false">K649-M649</f>
        <v>46.5249311700123</v>
      </c>
      <c r="O649" s="0" t="n">
        <f aca="false">K649+M649</f>
        <v>49.4661104966544</v>
      </c>
      <c r="P649" s="54" t="b">
        <f aca="false">AND(C649&gt;=01_因子設定!$L$5-0.000000001,C649&lt;=01_因子設定!$M$5+0.000000001,D649&gt;=01_因子設定!$L$6-0.000000001,D649&lt;=01_因子設定!$M$6+0.000000001,IF(01_因子設定!$B$20="Box-Behnken",C649^2+D649^2&lt;=2+0.000000001,TRUE()))</f>
        <v>1</v>
      </c>
      <c r="Q649" s="55" t="n">
        <f aca="false">IF(P649,IF(01_因子設定!$B$13="最大化",N649-01_因子設定!$B$14,IF(01_因子設定!$B$13="最小化",01_因子設定!$B$15-O649,MIN(N649-01_因子設定!$B$14,01_因子設定!$B$15-O649))),-1E+030)</f>
        <v>0.0249311700122661</v>
      </c>
      <c r="R649" s="55" t="n">
        <f aca="false">IF(P649,IF(01_因子設定!$B$13="最大化",K649,IF(01_因子設定!$B$13="最小化",-K649,-ABS(K649-01_因子設定!$B$16))),-1E+030)</f>
        <v>47.9955208333333</v>
      </c>
      <c r="S649" s="55" t="n">
        <f aca="false">Q649+ROW()*0.000000001</f>
        <v>0.0249318190122661</v>
      </c>
      <c r="T649" s="55" t="n">
        <f aca="false">R649+ROW()*0.000000001</f>
        <v>47.9955214823333</v>
      </c>
    </row>
    <row r="650" customFormat="false" ht="15" hidden="false" customHeight="false" outlineLevel="0" collapsed="false">
      <c r="A650" s="0" t="n">
        <v>15</v>
      </c>
      <c r="B650" s="0" t="n">
        <v>30</v>
      </c>
      <c r="C650" s="0" t="n">
        <f aca="false">-1+A650*0.05</f>
        <v>-0.25</v>
      </c>
      <c r="D650" s="0" t="n">
        <f aca="false">-1+B650*0.05</f>
        <v>0.5</v>
      </c>
      <c r="E650" s="0" t="n">
        <f aca="false">1</f>
        <v>1</v>
      </c>
      <c r="F650" s="0" t="n">
        <f aca="false">C650</f>
        <v>-0.25</v>
      </c>
      <c r="G650" s="0" t="n">
        <f aca="false">D650</f>
        <v>0.5</v>
      </c>
      <c r="H650" s="0" t="n">
        <f aca="false">C650*D650</f>
        <v>-0.125</v>
      </c>
      <c r="I650" s="0" t="n">
        <f aca="false">C650*C650</f>
        <v>0.0625</v>
      </c>
      <c r="J650" s="0" t="n">
        <f aca="false">D650*D650</f>
        <v>0.25</v>
      </c>
      <c r="K650" s="0" t="n">
        <f aca="false">SUMPRODUCT(E650:J650,_XtX!$B$53:$G$53)</f>
        <v>48.0281609195402</v>
      </c>
      <c r="L650" s="0" t="n">
        <f aca="false">SUMPRODUCT(MMULT(E650:J650,_XtX!$B$44:$G$49),E650:J650)</f>
        <v>0.183481501436782</v>
      </c>
      <c r="M650" s="0" t="n">
        <f aca="false">04_回帰ANOVA!$K$19*04_回帰ANOVA!$K$14*SQRT(1+L650)</f>
        <v>1.47420306339561</v>
      </c>
      <c r="N650" s="0" t="n">
        <f aca="false">K650-M650</f>
        <v>46.5539578561446</v>
      </c>
      <c r="O650" s="0" t="n">
        <f aca="false">K650+M650</f>
        <v>49.5023639829358</v>
      </c>
      <c r="P650" s="54" t="b">
        <f aca="false">AND(C650&gt;=01_因子設定!$L$5-0.000000001,C650&lt;=01_因子設定!$M$5+0.000000001,D650&gt;=01_因子設定!$L$6-0.000000001,D650&lt;=01_因子設定!$M$6+0.000000001,IF(01_因子設定!$B$20="Box-Behnken",C650^2+D650^2&lt;=2+0.000000001,TRUE()))</f>
        <v>1</v>
      </c>
      <c r="Q650" s="55" t="n">
        <f aca="false">IF(P650,IF(01_因子設定!$B$13="最大化",N650-01_因子設定!$B$14,IF(01_因子設定!$B$13="最小化",01_因子設定!$B$15-O650,MIN(N650-01_因子設定!$B$14,01_因子設定!$B$15-O650))),-1E+030)</f>
        <v>0.0539578561446206</v>
      </c>
      <c r="R650" s="55" t="n">
        <f aca="false">IF(P650,IF(01_因子設定!$B$13="最大化",K650,IF(01_因子設定!$B$13="最小化",-K650,-ABS(K650-01_因子設定!$B$16))),-1E+030)</f>
        <v>48.0281609195402</v>
      </c>
      <c r="S650" s="55" t="n">
        <f aca="false">Q650+ROW()*0.000000001</f>
        <v>0.0539585061446206</v>
      </c>
      <c r="T650" s="55" t="n">
        <f aca="false">R650+ROW()*0.000000001</f>
        <v>48.0281615695402</v>
      </c>
    </row>
    <row r="651" customFormat="false" ht="15" hidden="false" customHeight="false" outlineLevel="0" collapsed="false">
      <c r="A651" s="0" t="n">
        <v>15</v>
      </c>
      <c r="B651" s="0" t="n">
        <v>31</v>
      </c>
      <c r="C651" s="0" t="n">
        <f aca="false">-1+A651*0.05</f>
        <v>-0.25</v>
      </c>
      <c r="D651" s="0" t="n">
        <f aca="false">-1+B651*0.05</f>
        <v>0.55</v>
      </c>
      <c r="E651" s="0" t="n">
        <f aca="false">1</f>
        <v>1</v>
      </c>
      <c r="F651" s="0" t="n">
        <f aca="false">C651</f>
        <v>-0.25</v>
      </c>
      <c r="G651" s="0" t="n">
        <f aca="false">D651</f>
        <v>0.55</v>
      </c>
      <c r="H651" s="0" t="n">
        <f aca="false">C651*D651</f>
        <v>-0.1375</v>
      </c>
      <c r="I651" s="0" t="n">
        <f aca="false">C651*C651</f>
        <v>0.0625</v>
      </c>
      <c r="J651" s="0" t="n">
        <f aca="false">D651*D651</f>
        <v>0.3025</v>
      </c>
      <c r="K651" s="0" t="n">
        <f aca="false">SUMPRODUCT(E651:J651,_XtX!$B$53:$G$53)</f>
        <v>48.0530854885057</v>
      </c>
      <c r="L651" s="0" t="n">
        <f aca="false">SUMPRODUCT(MMULT(E651:J651,_XtX!$B$44:$G$49),E651:J651)</f>
        <v>0.191786835488506</v>
      </c>
      <c r="M651" s="0" t="n">
        <f aca="false">04_回帰ANOVA!$K$19*04_回帰ANOVA!$K$14*SQRT(1+L651)</f>
        <v>1.47936678718445</v>
      </c>
      <c r="N651" s="0" t="n">
        <f aca="false">K651-M651</f>
        <v>46.5737187013213</v>
      </c>
      <c r="O651" s="0" t="n">
        <f aca="false">K651+M651</f>
        <v>49.5324522756902</v>
      </c>
      <c r="P651" s="54" t="b">
        <f aca="false">AND(C651&gt;=01_因子設定!$L$5-0.000000001,C651&lt;=01_因子設定!$M$5+0.000000001,D651&gt;=01_因子設定!$L$6-0.000000001,D651&lt;=01_因子設定!$M$6+0.000000001,IF(01_因子設定!$B$20="Box-Behnken",C651^2+D651^2&lt;=2+0.000000001,TRUE()))</f>
        <v>1</v>
      </c>
      <c r="Q651" s="55" t="n">
        <f aca="false">IF(P651,IF(01_因子設定!$B$13="最大化",N651-01_因子設定!$B$14,IF(01_因子設定!$B$13="最小化",01_因子設定!$B$15-O651,MIN(N651-01_因子設定!$B$14,01_因子設定!$B$15-O651))),-1E+030)</f>
        <v>0.0737187013212974</v>
      </c>
      <c r="R651" s="55" t="n">
        <f aca="false">IF(P651,IF(01_因子設定!$B$13="最大化",K651,IF(01_因子設定!$B$13="最小化",-K651,-ABS(K651-01_因子設定!$B$16))),-1E+030)</f>
        <v>48.0530854885057</v>
      </c>
      <c r="S651" s="55" t="n">
        <f aca="false">Q651+ROW()*0.000000001</f>
        <v>0.0737193523212974</v>
      </c>
      <c r="T651" s="55" t="n">
        <f aca="false">R651+ROW()*0.000000001</f>
        <v>48.0530861395057</v>
      </c>
    </row>
    <row r="652" customFormat="false" ht="15" hidden="false" customHeight="false" outlineLevel="0" collapsed="false">
      <c r="A652" s="0" t="n">
        <v>15</v>
      </c>
      <c r="B652" s="0" t="n">
        <v>32</v>
      </c>
      <c r="C652" s="0" t="n">
        <f aca="false">-1+A652*0.05</f>
        <v>-0.25</v>
      </c>
      <c r="D652" s="0" t="n">
        <f aca="false">-1+B652*0.05</f>
        <v>0.6</v>
      </c>
      <c r="E652" s="0" t="n">
        <f aca="false">1</f>
        <v>1</v>
      </c>
      <c r="F652" s="0" t="n">
        <f aca="false">C652</f>
        <v>-0.25</v>
      </c>
      <c r="G652" s="0" t="n">
        <f aca="false">D652</f>
        <v>0.6</v>
      </c>
      <c r="H652" s="0" t="n">
        <f aca="false">C652*D652</f>
        <v>-0.15</v>
      </c>
      <c r="I652" s="0" t="n">
        <f aca="false">C652*C652</f>
        <v>0.0625</v>
      </c>
      <c r="J652" s="0" t="n">
        <f aca="false">D652*D652</f>
        <v>0.36</v>
      </c>
      <c r="K652" s="0" t="n">
        <f aca="false">SUMPRODUCT(E652:J652,_XtX!$B$53:$G$53)</f>
        <v>48.0702945402299</v>
      </c>
      <c r="L652" s="0" t="n">
        <f aca="false">SUMPRODUCT(MMULT(E652:J652,_XtX!$B$44:$G$49),E652:J652)</f>
        <v>0.203173239942529</v>
      </c>
      <c r="M652" s="0" t="n">
        <f aca="false">04_回帰ANOVA!$K$19*04_回帰ANOVA!$K$14*SQRT(1+L652)</f>
        <v>1.48641696821649</v>
      </c>
      <c r="N652" s="0" t="n">
        <f aca="false">K652-M652</f>
        <v>46.5838775720134</v>
      </c>
      <c r="O652" s="0" t="n">
        <f aca="false">K652+M652</f>
        <v>49.5567115084464</v>
      </c>
      <c r="P652" s="54" t="b">
        <f aca="false">AND(C652&gt;=01_因子設定!$L$5-0.000000001,C652&lt;=01_因子設定!$M$5+0.000000001,D652&gt;=01_因子設定!$L$6-0.000000001,D652&lt;=01_因子設定!$M$6+0.000000001,IF(01_因子設定!$B$20="Box-Behnken",C652^2+D652^2&lt;=2+0.000000001,TRUE()))</f>
        <v>1</v>
      </c>
      <c r="Q652" s="55" t="n">
        <f aca="false">IF(P652,IF(01_因子設定!$B$13="最大化",N652-01_因子設定!$B$14,IF(01_因子設定!$B$13="最小化",01_因子設定!$B$15-O652,MIN(N652-01_因子設定!$B$14,01_因子設定!$B$15-O652))),-1E+030)</f>
        <v>0.0838775720133924</v>
      </c>
      <c r="R652" s="55" t="n">
        <f aca="false">IF(P652,IF(01_因子設定!$B$13="最大化",K652,IF(01_因子設定!$B$13="最小化",-K652,-ABS(K652-01_因子設定!$B$16))),-1E+030)</f>
        <v>48.0702945402299</v>
      </c>
      <c r="S652" s="55" t="n">
        <f aca="false">Q652+ROW()*0.000000001</f>
        <v>0.0838782240133924</v>
      </c>
      <c r="T652" s="55" t="n">
        <f aca="false">R652+ROW()*0.000000001</f>
        <v>48.0702951922299</v>
      </c>
    </row>
    <row r="653" customFormat="false" ht="15" hidden="false" customHeight="false" outlineLevel="0" collapsed="false">
      <c r="A653" s="0" t="n">
        <v>15</v>
      </c>
      <c r="B653" s="0" t="n">
        <v>33</v>
      </c>
      <c r="C653" s="0" t="n">
        <f aca="false">-1+A653*0.05</f>
        <v>-0.25</v>
      </c>
      <c r="D653" s="0" t="n">
        <f aca="false">-1+B653*0.05</f>
        <v>0.65</v>
      </c>
      <c r="E653" s="0" t="n">
        <f aca="false">1</f>
        <v>1</v>
      </c>
      <c r="F653" s="0" t="n">
        <f aca="false">C653</f>
        <v>-0.25</v>
      </c>
      <c r="G653" s="0" t="n">
        <f aca="false">D653</f>
        <v>0.65</v>
      </c>
      <c r="H653" s="0" t="n">
        <f aca="false">C653*D653</f>
        <v>-0.1625</v>
      </c>
      <c r="I653" s="0" t="n">
        <f aca="false">C653*C653</f>
        <v>0.0625</v>
      </c>
      <c r="J653" s="0" t="n">
        <f aca="false">D653*D653</f>
        <v>0.4225</v>
      </c>
      <c r="K653" s="0" t="n">
        <f aca="false">SUMPRODUCT(E653:J653,_XtX!$B$53:$G$53)</f>
        <v>48.0797880747126</v>
      </c>
      <c r="L653" s="0" t="n">
        <f aca="false">SUMPRODUCT(MMULT(E653:J653,_XtX!$B$44:$G$49),E653:J653)</f>
        <v>0.218265283764368</v>
      </c>
      <c r="M653" s="0" t="n">
        <f aca="false">04_回帰ANOVA!$K$19*04_回帰ANOVA!$K$14*SQRT(1+L653)</f>
        <v>1.49571037649821</v>
      </c>
      <c r="N653" s="0" t="n">
        <f aca="false">K653-M653</f>
        <v>46.5840776982144</v>
      </c>
      <c r="O653" s="0" t="n">
        <f aca="false">K653+M653</f>
        <v>49.5754984512109</v>
      </c>
      <c r="P653" s="54" t="b">
        <f aca="false">AND(C653&gt;=01_因子設定!$L$5-0.000000001,C653&lt;=01_因子設定!$M$5+0.000000001,D653&gt;=01_因子設定!$L$6-0.000000001,D653&lt;=01_因子設定!$M$6+0.000000001,IF(01_因子設定!$B$20="Box-Behnken",C653^2+D653^2&lt;=2+0.000000001,TRUE()))</f>
        <v>1</v>
      </c>
      <c r="Q653" s="55" t="n">
        <f aca="false">IF(P653,IF(01_因子設定!$B$13="最大化",N653-01_因子設定!$B$14,IF(01_因子設定!$B$13="最小化",01_因子設定!$B$15-O653,MIN(N653-01_因子設定!$B$14,01_因子設定!$B$15-O653))),-1E+030)</f>
        <v>0.0840776982144291</v>
      </c>
      <c r="R653" s="55" t="n">
        <f aca="false">IF(P653,IF(01_因子設定!$B$13="最大化",K653,IF(01_因子設定!$B$13="最小化",-K653,-ABS(K653-01_因子設定!$B$16))),-1E+030)</f>
        <v>48.0797880747126</v>
      </c>
      <c r="S653" s="55" t="n">
        <f aca="false">Q653+ROW()*0.000000001</f>
        <v>0.0840783512144291</v>
      </c>
      <c r="T653" s="55" t="n">
        <f aca="false">R653+ROW()*0.000000001</f>
        <v>48.0797887277126</v>
      </c>
    </row>
    <row r="654" customFormat="false" ht="15" hidden="false" customHeight="false" outlineLevel="0" collapsed="false">
      <c r="A654" s="0" t="n">
        <v>15</v>
      </c>
      <c r="B654" s="0" t="n">
        <v>34</v>
      </c>
      <c r="C654" s="0" t="n">
        <f aca="false">-1+A654*0.05</f>
        <v>-0.25</v>
      </c>
      <c r="D654" s="0" t="n">
        <f aca="false">-1+B654*0.05</f>
        <v>0.7</v>
      </c>
      <c r="E654" s="0" t="n">
        <f aca="false">1</f>
        <v>1</v>
      </c>
      <c r="F654" s="0" t="n">
        <f aca="false">C654</f>
        <v>-0.25</v>
      </c>
      <c r="G654" s="0" t="n">
        <f aca="false">D654</f>
        <v>0.7</v>
      </c>
      <c r="H654" s="0" t="n">
        <f aca="false">C654*D654</f>
        <v>-0.175</v>
      </c>
      <c r="I654" s="0" t="n">
        <f aca="false">C654*C654</f>
        <v>0.0625</v>
      </c>
      <c r="J654" s="0" t="n">
        <f aca="false">D654*D654</f>
        <v>0.49</v>
      </c>
      <c r="K654" s="0" t="n">
        <f aca="false">SUMPRODUCT(E654:J654,_XtX!$B$53:$G$53)</f>
        <v>48.081566091954</v>
      </c>
      <c r="L654" s="0" t="n">
        <f aca="false">SUMPRODUCT(MMULT(E654:J654,_XtX!$B$44:$G$49),E654:J654)</f>
        <v>0.237741846264368</v>
      </c>
      <c r="M654" s="0" t="n">
        <f aca="false">04_回帰ANOVA!$K$19*04_回帰ANOVA!$K$14*SQRT(1+L654)</f>
        <v>1.50761902524781</v>
      </c>
      <c r="N654" s="0" t="n">
        <f aca="false">K654-M654</f>
        <v>46.5739470667062</v>
      </c>
      <c r="O654" s="0" t="n">
        <f aca="false">K654+M654</f>
        <v>49.5891851172018</v>
      </c>
      <c r="P654" s="54" t="b">
        <f aca="false">AND(C654&gt;=01_因子設定!$L$5-0.000000001,C654&lt;=01_因子設定!$M$5+0.000000001,D654&gt;=01_因子設定!$L$6-0.000000001,D654&lt;=01_因子設定!$M$6+0.000000001,IF(01_因子設定!$B$20="Box-Behnken",C654^2+D654^2&lt;=2+0.000000001,TRUE()))</f>
        <v>1</v>
      </c>
      <c r="Q654" s="55" t="n">
        <f aca="false">IF(P654,IF(01_因子設定!$B$13="最大化",N654-01_因子設定!$B$14,IF(01_因子設定!$B$13="最小化",01_因子設定!$B$15-O654,MIN(N654-01_因子設定!$B$14,01_因子設定!$B$15-O654))),-1E+030)</f>
        <v>0.0739470667062108</v>
      </c>
      <c r="R654" s="55" t="n">
        <f aca="false">IF(P654,IF(01_因子設定!$B$13="最大化",K654,IF(01_因子設定!$B$13="最小化",-K654,-ABS(K654-01_因子設定!$B$16))),-1E+030)</f>
        <v>48.081566091954</v>
      </c>
      <c r="S654" s="55" t="n">
        <f aca="false">Q654+ROW()*0.000000001</f>
        <v>0.0739477207062108</v>
      </c>
      <c r="T654" s="55" t="n">
        <f aca="false">R654+ROW()*0.000000001</f>
        <v>48.081566745954</v>
      </c>
    </row>
    <row r="655" customFormat="false" ht="15" hidden="false" customHeight="false" outlineLevel="0" collapsed="false">
      <c r="A655" s="0" t="n">
        <v>15</v>
      </c>
      <c r="B655" s="0" t="n">
        <v>35</v>
      </c>
      <c r="C655" s="0" t="n">
        <f aca="false">-1+A655*0.05</f>
        <v>-0.25</v>
      </c>
      <c r="D655" s="0" t="n">
        <f aca="false">-1+B655*0.05</f>
        <v>0.75</v>
      </c>
      <c r="E655" s="0" t="n">
        <f aca="false">1</f>
        <v>1</v>
      </c>
      <c r="F655" s="0" t="n">
        <f aca="false">C655</f>
        <v>-0.25</v>
      </c>
      <c r="G655" s="0" t="n">
        <f aca="false">D655</f>
        <v>0.75</v>
      </c>
      <c r="H655" s="0" t="n">
        <f aca="false">C655*D655</f>
        <v>-0.1875</v>
      </c>
      <c r="I655" s="0" t="n">
        <f aca="false">C655*C655</f>
        <v>0.0625</v>
      </c>
      <c r="J655" s="0" t="n">
        <f aca="false">D655*D655</f>
        <v>0.5625</v>
      </c>
      <c r="K655" s="0" t="n">
        <f aca="false">SUMPRODUCT(E655:J655,_XtX!$B$53:$G$53)</f>
        <v>48.075628591954</v>
      </c>
      <c r="L655" s="0" t="n">
        <f aca="false">SUMPRODUCT(MMULT(E655:J655,_XtX!$B$44:$G$49),E655:J655)</f>
        <v>0.262336117097701</v>
      </c>
      <c r="M655" s="0" t="n">
        <f aca="false">04_回帰ANOVA!$K$19*04_回帰ANOVA!$K$14*SQRT(1+L655)</f>
        <v>1.5225237514809</v>
      </c>
      <c r="N655" s="0" t="n">
        <f aca="false">K655-M655</f>
        <v>46.5531048404731</v>
      </c>
      <c r="O655" s="0" t="n">
        <f aca="false">K655+M655</f>
        <v>49.5981523434349</v>
      </c>
      <c r="P655" s="54" t="b">
        <f aca="false">AND(C655&gt;=01_因子設定!$L$5-0.000000001,C655&lt;=01_因子設定!$M$5+0.000000001,D655&gt;=01_因子設定!$L$6-0.000000001,D655&lt;=01_因子設定!$M$6+0.000000001,IF(01_因子設定!$B$20="Box-Behnken",C655^2+D655^2&lt;=2+0.000000001,TRUE()))</f>
        <v>1</v>
      </c>
      <c r="Q655" s="55" t="n">
        <f aca="false">IF(P655,IF(01_因子設定!$B$13="最大化",N655-01_因子設定!$B$14,IF(01_因子設定!$B$13="最小化",01_因子設定!$B$15-O655,MIN(N655-01_因子設定!$B$14,01_因子設定!$B$15-O655))),-1E+030)</f>
        <v>0.053104840473118</v>
      </c>
      <c r="R655" s="55" t="n">
        <f aca="false">IF(P655,IF(01_因子設定!$B$13="最大化",K655,IF(01_因子設定!$B$13="最小化",-K655,-ABS(K655-01_因子設定!$B$16))),-1E+030)</f>
        <v>48.075628591954</v>
      </c>
      <c r="S655" s="55" t="n">
        <f aca="false">Q655+ROW()*0.000000001</f>
        <v>0.053105495473118</v>
      </c>
      <c r="T655" s="55" t="n">
        <f aca="false">R655+ROW()*0.000000001</f>
        <v>48.075629246954</v>
      </c>
    </row>
    <row r="656" customFormat="false" ht="15" hidden="false" customHeight="false" outlineLevel="0" collapsed="false">
      <c r="A656" s="0" t="n">
        <v>15</v>
      </c>
      <c r="B656" s="0" t="n">
        <v>36</v>
      </c>
      <c r="C656" s="0" t="n">
        <f aca="false">-1+A656*0.05</f>
        <v>-0.25</v>
      </c>
      <c r="D656" s="0" t="n">
        <f aca="false">-1+B656*0.05</f>
        <v>0.8</v>
      </c>
      <c r="E656" s="0" t="n">
        <f aca="false">1</f>
        <v>1</v>
      </c>
      <c r="F656" s="0" t="n">
        <f aca="false">C656</f>
        <v>-0.25</v>
      </c>
      <c r="G656" s="0" t="n">
        <f aca="false">D656</f>
        <v>0.8</v>
      </c>
      <c r="H656" s="0" t="n">
        <f aca="false">C656*D656</f>
        <v>-0.2</v>
      </c>
      <c r="I656" s="0" t="n">
        <f aca="false">C656*C656</f>
        <v>0.0625</v>
      </c>
      <c r="J656" s="0" t="n">
        <f aca="false">D656*D656</f>
        <v>0.64</v>
      </c>
      <c r="K656" s="0" t="n">
        <f aca="false">SUMPRODUCT(E656:J656,_XtX!$B$53:$G$53)</f>
        <v>48.0619755747126</v>
      </c>
      <c r="L656" s="0" t="n">
        <f aca="false">SUMPRODUCT(MMULT(E656:J656,_XtX!$B$44:$G$49),E656:J656)</f>
        <v>0.292835596264368</v>
      </c>
      <c r="M656" s="0" t="n">
        <f aca="false">04_回帰ANOVA!$K$19*04_回帰ANOVA!$K$14*SQRT(1+L656)</f>
        <v>1.54080692946421</v>
      </c>
      <c r="N656" s="0" t="n">
        <f aca="false">K656-M656</f>
        <v>46.5211686452484</v>
      </c>
      <c r="O656" s="0" t="n">
        <f aca="false">K656+M656</f>
        <v>49.6027825041769</v>
      </c>
      <c r="P656" s="54" t="b">
        <f aca="false">AND(C656&gt;=01_因子設定!$L$5-0.000000001,C656&lt;=01_因子設定!$M$5+0.000000001,D656&gt;=01_因子設定!$L$6-0.000000001,D656&lt;=01_因子設定!$M$6+0.000000001,IF(01_因子設定!$B$20="Box-Behnken",C656^2+D656^2&lt;=2+0.000000001,TRUE()))</f>
        <v>1</v>
      </c>
      <c r="Q656" s="55" t="n">
        <f aca="false">IF(P656,IF(01_因子設定!$B$13="最大化",N656-01_因子設定!$B$14,IF(01_因子設定!$B$13="最小化",01_因子設定!$B$15-O656,MIN(N656-01_因子設定!$B$14,01_因子設定!$B$15-O656))),-1E+030)</f>
        <v>0.0211686452484301</v>
      </c>
      <c r="R656" s="55" t="n">
        <f aca="false">IF(P656,IF(01_因子設定!$B$13="最大化",K656,IF(01_因子設定!$B$13="最小化",-K656,-ABS(K656-01_因子設定!$B$16))),-1E+030)</f>
        <v>48.0619755747126</v>
      </c>
      <c r="S656" s="55" t="n">
        <f aca="false">Q656+ROW()*0.000000001</f>
        <v>0.0211693012484301</v>
      </c>
      <c r="T656" s="55" t="n">
        <f aca="false">R656+ROW()*0.000000001</f>
        <v>48.0619762307126</v>
      </c>
    </row>
    <row r="657" customFormat="false" ht="15" hidden="false" customHeight="false" outlineLevel="0" collapsed="false">
      <c r="A657" s="0" t="n">
        <v>15</v>
      </c>
      <c r="B657" s="0" t="n">
        <v>37</v>
      </c>
      <c r="C657" s="0" t="n">
        <f aca="false">-1+A657*0.05</f>
        <v>-0.25</v>
      </c>
      <c r="D657" s="0" t="n">
        <f aca="false">-1+B657*0.05</f>
        <v>0.85</v>
      </c>
      <c r="E657" s="0" t="n">
        <f aca="false">1</f>
        <v>1</v>
      </c>
      <c r="F657" s="0" t="n">
        <f aca="false">C657</f>
        <v>-0.25</v>
      </c>
      <c r="G657" s="0" t="n">
        <f aca="false">D657</f>
        <v>0.85</v>
      </c>
      <c r="H657" s="0" t="n">
        <f aca="false">C657*D657</f>
        <v>-0.2125</v>
      </c>
      <c r="I657" s="0" t="n">
        <f aca="false">C657*C657</f>
        <v>0.0625</v>
      </c>
      <c r="J657" s="0" t="n">
        <f aca="false">D657*D657</f>
        <v>0.7225</v>
      </c>
      <c r="K657" s="0" t="n">
        <f aca="false">SUMPRODUCT(E657:J657,_XtX!$B$53:$G$53)</f>
        <v>48.0406070402299</v>
      </c>
      <c r="L657" s="0" t="n">
        <f aca="false">SUMPRODUCT(MMULT(E657:J657,_XtX!$B$44:$G$49),E657:J657)</f>
        <v>0.330082094109195</v>
      </c>
      <c r="M657" s="0" t="n">
        <f aca="false">04_回帰ANOVA!$K$19*04_回帰ANOVA!$K$14*SQRT(1+L657)</f>
        <v>1.56284459741243</v>
      </c>
      <c r="N657" s="0" t="n">
        <f aca="false">K657-M657</f>
        <v>46.4777624428175</v>
      </c>
      <c r="O657" s="0" t="n">
        <f aca="false">K657+M657</f>
        <v>49.6034516376423</v>
      </c>
      <c r="P657" s="54" t="b">
        <f aca="false">AND(C657&gt;=01_因子設定!$L$5-0.000000001,C657&lt;=01_因子設定!$M$5+0.000000001,D657&gt;=01_因子設定!$L$6-0.000000001,D657&lt;=01_因子設定!$M$6+0.000000001,IF(01_因子設定!$B$20="Box-Behnken",C657^2+D657^2&lt;=2+0.000000001,TRUE()))</f>
        <v>1</v>
      </c>
      <c r="Q657" s="55" t="n">
        <f aca="false">IF(P657,IF(01_因子設定!$B$13="最大化",N657-01_因子設定!$B$14,IF(01_因子設定!$B$13="最小化",01_因子設定!$B$15-O657,MIN(N657-01_因子設定!$B$14,01_因子設定!$B$15-O657))),-1E+030)</f>
        <v>-0.0222375571825353</v>
      </c>
      <c r="R657" s="55" t="n">
        <f aca="false">IF(P657,IF(01_因子設定!$B$13="最大化",K657,IF(01_因子設定!$B$13="最小化",-K657,-ABS(K657-01_因子設定!$B$16))),-1E+030)</f>
        <v>48.0406070402299</v>
      </c>
      <c r="S657" s="55" t="n">
        <f aca="false">Q657+ROW()*0.000000001</f>
        <v>-0.0222369001825353</v>
      </c>
      <c r="T657" s="55" t="n">
        <f aca="false">R657+ROW()*0.000000001</f>
        <v>48.0406076972299</v>
      </c>
    </row>
    <row r="658" customFormat="false" ht="15" hidden="false" customHeight="false" outlineLevel="0" collapsed="false">
      <c r="A658" s="0" t="n">
        <v>15</v>
      </c>
      <c r="B658" s="0" t="n">
        <v>38</v>
      </c>
      <c r="C658" s="0" t="n">
        <f aca="false">-1+A658*0.05</f>
        <v>-0.25</v>
      </c>
      <c r="D658" s="0" t="n">
        <f aca="false">-1+B658*0.05</f>
        <v>0.9</v>
      </c>
      <c r="E658" s="0" t="n">
        <f aca="false">1</f>
        <v>1</v>
      </c>
      <c r="F658" s="0" t="n">
        <f aca="false">C658</f>
        <v>-0.25</v>
      </c>
      <c r="G658" s="0" t="n">
        <f aca="false">D658</f>
        <v>0.9</v>
      </c>
      <c r="H658" s="0" t="n">
        <f aca="false">C658*D658</f>
        <v>-0.225</v>
      </c>
      <c r="I658" s="0" t="n">
        <f aca="false">C658*C658</f>
        <v>0.0625</v>
      </c>
      <c r="J658" s="0" t="n">
        <f aca="false">D658*D658</f>
        <v>0.81</v>
      </c>
      <c r="K658" s="0" t="n">
        <f aca="false">SUMPRODUCT(E658:J658,_XtX!$B$53:$G$53)</f>
        <v>48.0115229885057</v>
      </c>
      <c r="L658" s="0" t="n">
        <f aca="false">SUMPRODUCT(MMULT(E658:J658,_XtX!$B$44:$G$49),E658:J658)</f>
        <v>0.374971731321839</v>
      </c>
      <c r="M658" s="0" t="n">
        <f aca="false">04_回帰ANOVA!$K$19*04_回帰ANOVA!$K$14*SQRT(1+L658)</f>
        <v>1.58899838942971</v>
      </c>
      <c r="N658" s="0" t="n">
        <f aca="false">K658-M658</f>
        <v>46.422524599076</v>
      </c>
      <c r="O658" s="0" t="n">
        <f aca="false">K658+M658</f>
        <v>49.6005213779355</v>
      </c>
      <c r="P658" s="54" t="b">
        <f aca="false">AND(C658&gt;=01_因子設定!$L$5-0.000000001,C658&lt;=01_因子設定!$M$5+0.000000001,D658&gt;=01_因子設定!$L$6-0.000000001,D658&lt;=01_因子設定!$M$6+0.000000001,IF(01_因子設定!$B$20="Box-Behnken",C658^2+D658^2&lt;=2+0.000000001,TRUE()))</f>
        <v>1</v>
      </c>
      <c r="Q658" s="55" t="n">
        <f aca="false">IF(P658,IF(01_因子設定!$B$13="最大化",N658-01_因子設定!$B$14,IF(01_因子設定!$B$13="最小化",01_因子設定!$B$15-O658,MIN(N658-01_因子設定!$B$14,01_因子設定!$B$15-O658))),-1E+030)</f>
        <v>-0.0774754009239587</v>
      </c>
      <c r="R658" s="55" t="n">
        <f aca="false">IF(P658,IF(01_因子設定!$B$13="最大化",K658,IF(01_因子設定!$B$13="最小化",-K658,-ABS(K658-01_因子設定!$B$16))),-1E+030)</f>
        <v>48.0115229885057</v>
      </c>
      <c r="S658" s="55" t="n">
        <f aca="false">Q658+ROW()*0.000000001</f>
        <v>-0.0774747429239587</v>
      </c>
      <c r="T658" s="55" t="n">
        <f aca="false">R658+ROW()*0.000000001</f>
        <v>48.0115236465057</v>
      </c>
    </row>
    <row r="659" customFormat="false" ht="15" hidden="false" customHeight="false" outlineLevel="0" collapsed="false">
      <c r="A659" s="0" t="n">
        <v>15</v>
      </c>
      <c r="B659" s="0" t="n">
        <v>39</v>
      </c>
      <c r="C659" s="0" t="n">
        <f aca="false">-1+A659*0.05</f>
        <v>-0.25</v>
      </c>
      <c r="D659" s="0" t="n">
        <f aca="false">-1+B659*0.05</f>
        <v>0.95</v>
      </c>
      <c r="E659" s="0" t="n">
        <f aca="false">1</f>
        <v>1</v>
      </c>
      <c r="F659" s="0" t="n">
        <f aca="false">C659</f>
        <v>-0.25</v>
      </c>
      <c r="G659" s="0" t="n">
        <f aca="false">D659</f>
        <v>0.95</v>
      </c>
      <c r="H659" s="0" t="n">
        <f aca="false">C659*D659</f>
        <v>-0.2375</v>
      </c>
      <c r="I659" s="0" t="n">
        <f aca="false">C659*C659</f>
        <v>0.0625</v>
      </c>
      <c r="J659" s="0" t="n">
        <f aca="false">D659*D659</f>
        <v>0.9025</v>
      </c>
      <c r="K659" s="0" t="n">
        <f aca="false">SUMPRODUCT(E659:J659,_XtX!$B$53:$G$53)</f>
        <v>47.9747234195402</v>
      </c>
      <c r="L659" s="0" t="n">
        <f aca="false">SUMPRODUCT(MMULT(E659:J659,_XtX!$B$44:$G$49),E659:J659)</f>
        <v>0.428454938936782</v>
      </c>
      <c r="M659" s="0" t="n">
        <f aca="false">04_回帰ANOVA!$K$19*04_回帰ANOVA!$K$14*SQRT(1+L659)</f>
        <v>1.6196077446283</v>
      </c>
      <c r="N659" s="0" t="n">
        <f aca="false">K659-M659</f>
        <v>46.3551156749119</v>
      </c>
      <c r="O659" s="0" t="n">
        <f aca="false">K659+M659</f>
        <v>49.5943311641685</v>
      </c>
      <c r="P659" s="54" t="b">
        <f aca="false">AND(C659&gt;=01_因子設定!$L$5-0.000000001,C659&lt;=01_因子設定!$M$5+0.000000001,D659&gt;=01_因子設定!$L$6-0.000000001,D659&lt;=01_因子設定!$M$6+0.000000001,IF(01_因子設定!$B$20="Box-Behnken",C659^2+D659^2&lt;=2+0.000000001,TRUE()))</f>
        <v>1</v>
      </c>
      <c r="Q659" s="55" t="n">
        <f aca="false">IF(P659,IF(01_因子設定!$B$13="最大化",N659-01_因子設定!$B$14,IF(01_因子設定!$B$13="最小化",01_因子設定!$B$15-O659,MIN(N659-01_因子設定!$B$14,01_因子設定!$B$15-O659))),-1E+030)</f>
        <v>-0.144884325088064</v>
      </c>
      <c r="R659" s="55" t="n">
        <f aca="false">IF(P659,IF(01_因子設定!$B$13="最大化",K659,IF(01_因子設定!$B$13="最小化",-K659,-ABS(K659-01_因子設定!$B$16))),-1E+030)</f>
        <v>47.9747234195402</v>
      </c>
      <c r="S659" s="55" t="n">
        <f aca="false">Q659+ROW()*0.000000001</f>
        <v>-0.144883666088064</v>
      </c>
      <c r="T659" s="55" t="n">
        <f aca="false">R659+ROW()*0.000000001</f>
        <v>47.9747240785402</v>
      </c>
    </row>
    <row r="660" customFormat="false" ht="15" hidden="false" customHeight="false" outlineLevel="0" collapsed="false">
      <c r="A660" s="0" t="n">
        <v>15</v>
      </c>
      <c r="B660" s="0" t="n">
        <v>40</v>
      </c>
      <c r="C660" s="0" t="n">
        <f aca="false">-1+A660*0.05</f>
        <v>-0.25</v>
      </c>
      <c r="D660" s="0" t="n">
        <f aca="false">-1+B660*0.05</f>
        <v>1</v>
      </c>
      <c r="E660" s="0" t="n">
        <f aca="false">1</f>
        <v>1</v>
      </c>
      <c r="F660" s="0" t="n">
        <f aca="false">C660</f>
        <v>-0.25</v>
      </c>
      <c r="G660" s="0" t="n">
        <f aca="false">D660</f>
        <v>1</v>
      </c>
      <c r="H660" s="0" t="n">
        <f aca="false">C660*D660</f>
        <v>-0.25</v>
      </c>
      <c r="I660" s="0" t="n">
        <f aca="false">C660*C660</f>
        <v>0.0625</v>
      </c>
      <c r="J660" s="0" t="n">
        <f aca="false">D660*D660</f>
        <v>1</v>
      </c>
      <c r="K660" s="0" t="n">
        <f aca="false">SUMPRODUCT(E660:J660,_XtX!$B$53:$G$53)</f>
        <v>47.9302083333333</v>
      </c>
      <c r="L660" s="0" t="n">
        <f aca="false">SUMPRODUCT(MMULT(E660:J660,_XtX!$B$44:$G$49),E660:J660)</f>
        <v>0.491536458333333</v>
      </c>
      <c r="M660" s="0" t="n">
        <f aca="false">04_回帰ANOVA!$K$19*04_回帰ANOVA!$K$14*SQRT(1+L660)</f>
        <v>1.65498289332813</v>
      </c>
      <c r="N660" s="0" t="n">
        <f aca="false">K660-M660</f>
        <v>46.2752254400052</v>
      </c>
      <c r="O660" s="0" t="n">
        <f aca="false">K660+M660</f>
        <v>49.5851912266615</v>
      </c>
      <c r="P660" s="54" t="b">
        <f aca="false">AND(C660&gt;=01_因子設定!$L$5-0.000000001,C660&lt;=01_因子設定!$M$5+0.000000001,D660&gt;=01_因子設定!$L$6-0.000000001,D660&lt;=01_因子設定!$M$6+0.000000001,IF(01_因子設定!$B$20="Box-Behnken",C660^2+D660^2&lt;=2+0.000000001,TRUE()))</f>
        <v>1</v>
      </c>
      <c r="Q660" s="55" t="n">
        <f aca="false">IF(P660,IF(01_因子設定!$B$13="最大化",N660-01_因子設定!$B$14,IF(01_因子設定!$B$13="最小化",01_因子設定!$B$15-O660,MIN(N660-01_因子設定!$B$14,01_因子設定!$B$15-O660))),-1E+030)</f>
        <v>-0.224774559994792</v>
      </c>
      <c r="R660" s="55" t="n">
        <f aca="false">IF(P660,IF(01_因子設定!$B$13="最大化",K660,IF(01_因子設定!$B$13="最小化",-K660,-ABS(K660-01_因子設定!$B$16))),-1E+030)</f>
        <v>47.9302083333333</v>
      </c>
      <c r="S660" s="55" t="n">
        <f aca="false">Q660+ROW()*0.000000001</f>
        <v>-0.224773899994792</v>
      </c>
      <c r="T660" s="55" t="n">
        <f aca="false">R660+ROW()*0.000000001</f>
        <v>47.9302089933333</v>
      </c>
    </row>
    <row r="661" customFormat="false" ht="15" hidden="false" customHeight="false" outlineLevel="0" collapsed="false">
      <c r="A661" s="0" t="n">
        <v>16</v>
      </c>
      <c r="B661" s="0" t="n">
        <v>0</v>
      </c>
      <c r="C661" s="0" t="n">
        <f aca="false">-1+A661*0.05</f>
        <v>-0.2</v>
      </c>
      <c r="D661" s="0" t="n">
        <f aca="false">-1+B661*0.05</f>
        <v>-1</v>
      </c>
      <c r="E661" s="0" t="n">
        <f aca="false">1</f>
        <v>1</v>
      </c>
      <c r="F661" s="0" t="n">
        <f aca="false">C661</f>
        <v>-0.2</v>
      </c>
      <c r="G661" s="0" t="n">
        <f aca="false">D661</f>
        <v>-1</v>
      </c>
      <c r="H661" s="0" t="n">
        <f aca="false">C661*D661</f>
        <v>0.2</v>
      </c>
      <c r="I661" s="0" t="n">
        <f aca="false">C661*C661</f>
        <v>0.04</v>
      </c>
      <c r="J661" s="0" t="n">
        <f aca="false">D661*D661</f>
        <v>1</v>
      </c>
      <c r="K661" s="0" t="n">
        <f aca="false">SUMPRODUCT(E661:J661,_XtX!$B$53:$G$53)</f>
        <v>43.8340114942529</v>
      </c>
      <c r="L661" s="0" t="n">
        <f aca="false">SUMPRODUCT(MMULT(E661:J661,_XtX!$B$44:$G$49),E661:J661)</f>
        <v>0.492188505747126</v>
      </c>
      <c r="M661" s="0" t="n">
        <f aca="false">04_回帰ANOVA!$K$19*04_回帰ANOVA!$K$14*SQRT(1+L661)</f>
        <v>1.65534460403123</v>
      </c>
      <c r="N661" s="0" t="n">
        <f aca="false">K661-M661</f>
        <v>42.1786668902217</v>
      </c>
      <c r="O661" s="0" t="n">
        <f aca="false">K661+M661</f>
        <v>45.4893560982841</v>
      </c>
      <c r="P661" s="54" t="b">
        <f aca="false">AND(C661&gt;=01_因子設定!$L$5-0.000000001,C661&lt;=01_因子設定!$M$5+0.000000001,D661&gt;=01_因子設定!$L$6-0.000000001,D661&lt;=01_因子設定!$M$6+0.000000001,IF(01_因子設定!$B$20="Box-Behnken",C661^2+D661^2&lt;=2+0.000000001,TRUE()))</f>
        <v>1</v>
      </c>
      <c r="Q661" s="55" t="n">
        <f aca="false">IF(P661,IF(01_因子設定!$B$13="最大化",N661-01_因子設定!$B$14,IF(01_因子設定!$B$13="最小化",01_因子設定!$B$15-O661,MIN(N661-01_因子設定!$B$14,01_因子設定!$B$15-O661))),-1E+030)</f>
        <v>-4.32133310977835</v>
      </c>
      <c r="R661" s="55" t="n">
        <f aca="false">IF(P661,IF(01_因子設定!$B$13="最大化",K661,IF(01_因子設定!$B$13="最小化",-K661,-ABS(K661-01_因子設定!$B$16))),-1E+030)</f>
        <v>43.8340114942529</v>
      </c>
      <c r="S661" s="55" t="n">
        <f aca="false">Q661+ROW()*0.000000001</f>
        <v>-4.32133244877835</v>
      </c>
      <c r="T661" s="55" t="n">
        <f aca="false">R661+ROW()*0.000000001</f>
        <v>43.8340121552529</v>
      </c>
    </row>
    <row r="662" customFormat="false" ht="15" hidden="false" customHeight="false" outlineLevel="0" collapsed="false">
      <c r="A662" s="0" t="n">
        <v>16</v>
      </c>
      <c r="B662" s="0" t="n">
        <v>1</v>
      </c>
      <c r="C662" s="0" t="n">
        <f aca="false">-1+A662*0.05</f>
        <v>-0.2</v>
      </c>
      <c r="D662" s="0" t="n">
        <f aca="false">-1+B662*0.05</f>
        <v>-0.95</v>
      </c>
      <c r="E662" s="0" t="n">
        <f aca="false">1</f>
        <v>1</v>
      </c>
      <c r="F662" s="0" t="n">
        <f aca="false">C662</f>
        <v>-0.2</v>
      </c>
      <c r="G662" s="0" t="n">
        <f aca="false">D662</f>
        <v>-0.95</v>
      </c>
      <c r="H662" s="0" t="n">
        <f aca="false">C662*D662</f>
        <v>0.19</v>
      </c>
      <c r="I662" s="0" t="n">
        <f aca="false">C662*C662</f>
        <v>0.04</v>
      </c>
      <c r="J662" s="0" t="n">
        <f aca="false">D662*D662</f>
        <v>0.9025</v>
      </c>
      <c r="K662" s="0" t="n">
        <f aca="false">SUMPRODUCT(E662:J662,_XtX!$B$53:$G$53)</f>
        <v>44.0917140804598</v>
      </c>
      <c r="L662" s="0" t="n">
        <f aca="false">SUMPRODUCT(MMULT(E662:J662,_XtX!$B$44:$G$49),E662:J662)</f>
        <v>0.429050251436782</v>
      </c>
      <c r="M662" s="0" t="n">
        <f aca="false">04_回帰ANOVA!$K$19*04_回帰ANOVA!$K$14*SQRT(1+L662)</f>
        <v>1.61994519745048</v>
      </c>
      <c r="N662" s="0" t="n">
        <f aca="false">K662-M662</f>
        <v>42.4717688830093</v>
      </c>
      <c r="O662" s="0" t="n">
        <f aca="false">K662+M662</f>
        <v>45.7116592779103</v>
      </c>
      <c r="P662" s="54" t="b">
        <f aca="false">AND(C662&gt;=01_因子設定!$L$5-0.000000001,C662&lt;=01_因子設定!$M$5+0.000000001,D662&gt;=01_因子設定!$L$6-0.000000001,D662&lt;=01_因子設定!$M$6+0.000000001,IF(01_因子設定!$B$20="Box-Behnken",C662^2+D662^2&lt;=2+0.000000001,TRUE()))</f>
        <v>1</v>
      </c>
      <c r="Q662" s="55" t="n">
        <f aca="false">IF(P662,IF(01_因子設定!$B$13="最大化",N662-01_因子設定!$B$14,IF(01_因子設定!$B$13="最小化",01_因子設定!$B$15-O662,MIN(N662-01_因子設定!$B$14,01_因子設定!$B$15-O662))),-1E+030)</f>
        <v>-4.0282311169907</v>
      </c>
      <c r="R662" s="55" t="n">
        <f aca="false">IF(P662,IF(01_因子設定!$B$13="最大化",K662,IF(01_因子設定!$B$13="最小化",-K662,-ABS(K662-01_因子設定!$B$16))),-1E+030)</f>
        <v>44.0917140804598</v>
      </c>
      <c r="S662" s="55" t="n">
        <f aca="false">Q662+ROW()*0.000000001</f>
        <v>-4.0282304549907</v>
      </c>
      <c r="T662" s="55" t="n">
        <f aca="false">R662+ROW()*0.000000001</f>
        <v>44.0917147424598</v>
      </c>
    </row>
    <row r="663" customFormat="false" ht="15" hidden="false" customHeight="false" outlineLevel="0" collapsed="false">
      <c r="A663" s="0" t="n">
        <v>16</v>
      </c>
      <c r="B663" s="0" t="n">
        <v>2</v>
      </c>
      <c r="C663" s="0" t="n">
        <f aca="false">-1+A663*0.05</f>
        <v>-0.2</v>
      </c>
      <c r="D663" s="0" t="n">
        <f aca="false">-1+B663*0.05</f>
        <v>-0.9</v>
      </c>
      <c r="E663" s="0" t="n">
        <f aca="false">1</f>
        <v>1</v>
      </c>
      <c r="F663" s="0" t="n">
        <f aca="false">C663</f>
        <v>-0.2</v>
      </c>
      <c r="G663" s="0" t="n">
        <f aca="false">D663</f>
        <v>-0.9</v>
      </c>
      <c r="H663" s="0" t="n">
        <f aca="false">C663*D663</f>
        <v>0.18</v>
      </c>
      <c r="I663" s="0" t="n">
        <f aca="false">C663*C663</f>
        <v>0.04</v>
      </c>
      <c r="J663" s="0" t="n">
        <f aca="false">D663*D663</f>
        <v>0.81</v>
      </c>
      <c r="K663" s="0" t="n">
        <f aca="false">SUMPRODUCT(E663:J663,_XtX!$B$53:$G$53)</f>
        <v>44.3417011494253</v>
      </c>
      <c r="L663" s="0" t="n">
        <f aca="false">SUMPRODUCT(MMULT(E663:J663,_XtX!$B$44:$G$49),E663:J663)</f>
        <v>0.375513218390805</v>
      </c>
      <c r="M663" s="0" t="n">
        <f aca="false">04_回帰ANOVA!$K$19*04_回帰ANOVA!$K$14*SQRT(1+L663)</f>
        <v>1.58931124581991</v>
      </c>
      <c r="N663" s="0" t="n">
        <f aca="false">K663-M663</f>
        <v>42.7523899036054</v>
      </c>
      <c r="O663" s="0" t="n">
        <f aca="false">K663+M663</f>
        <v>45.9310123952452</v>
      </c>
      <c r="P663" s="54" t="b">
        <f aca="false">AND(C663&gt;=01_因子設定!$L$5-0.000000001,C663&lt;=01_因子設定!$M$5+0.000000001,D663&gt;=01_因子設定!$L$6-0.000000001,D663&lt;=01_因子設定!$M$6+0.000000001,IF(01_因子設定!$B$20="Box-Behnken",C663^2+D663^2&lt;=2+0.000000001,TRUE()))</f>
        <v>1</v>
      </c>
      <c r="Q663" s="55" t="n">
        <f aca="false">IF(P663,IF(01_因子設定!$B$13="最大化",N663-01_因子設定!$B$14,IF(01_因子設定!$B$13="最小化",01_因子設定!$B$15-O663,MIN(N663-01_因子設定!$B$14,01_因子設定!$B$15-O663))),-1E+030)</f>
        <v>-3.74761009639462</v>
      </c>
      <c r="R663" s="55" t="n">
        <f aca="false">IF(P663,IF(01_因子設定!$B$13="最大化",K663,IF(01_因子設定!$B$13="最小化",-K663,-ABS(K663-01_因子設定!$B$16))),-1E+030)</f>
        <v>44.3417011494253</v>
      </c>
      <c r="S663" s="55" t="n">
        <f aca="false">Q663+ROW()*0.000000001</f>
        <v>-3.74760943339462</v>
      </c>
      <c r="T663" s="55" t="n">
        <f aca="false">R663+ROW()*0.000000001</f>
        <v>44.3417018124253</v>
      </c>
    </row>
    <row r="664" customFormat="false" ht="15" hidden="false" customHeight="false" outlineLevel="0" collapsed="false">
      <c r="A664" s="0" t="n">
        <v>16</v>
      </c>
      <c r="B664" s="0" t="n">
        <v>3</v>
      </c>
      <c r="C664" s="0" t="n">
        <f aca="false">-1+A664*0.05</f>
        <v>-0.2</v>
      </c>
      <c r="D664" s="0" t="n">
        <f aca="false">-1+B664*0.05</f>
        <v>-0.85</v>
      </c>
      <c r="E664" s="0" t="n">
        <f aca="false">1</f>
        <v>1</v>
      </c>
      <c r="F664" s="0" t="n">
        <f aca="false">C664</f>
        <v>-0.2</v>
      </c>
      <c r="G664" s="0" t="n">
        <f aca="false">D664</f>
        <v>-0.85</v>
      </c>
      <c r="H664" s="0" t="n">
        <f aca="false">C664*D664</f>
        <v>0.17</v>
      </c>
      <c r="I664" s="0" t="n">
        <f aca="false">C664*C664</f>
        <v>0.04</v>
      </c>
      <c r="J664" s="0" t="n">
        <f aca="false">D664*D664</f>
        <v>0.7225</v>
      </c>
      <c r="K664" s="0" t="n">
        <f aca="false">SUMPRODUCT(E664:J664,_XtX!$B$53:$G$53)</f>
        <v>44.5839727011494</v>
      </c>
      <c r="L664" s="0" t="n">
        <f aca="false">SUMPRODUCT(MMULT(E664:J664,_XtX!$B$44:$G$49),E664:J664)</f>
        <v>0.330572665229885</v>
      </c>
      <c r="M664" s="0" t="n">
        <f aca="false">04_回帰ANOVA!$K$19*04_回帰ANOVA!$K$14*SQRT(1+L664)</f>
        <v>1.56313278103216</v>
      </c>
      <c r="N664" s="0" t="n">
        <f aca="false">K664-M664</f>
        <v>43.0208399201173</v>
      </c>
      <c r="O664" s="0" t="n">
        <f aca="false">K664+M664</f>
        <v>46.1471054821816</v>
      </c>
      <c r="P664" s="54" t="b">
        <f aca="false">AND(C664&gt;=01_因子設定!$L$5-0.000000001,C664&lt;=01_因子設定!$M$5+0.000000001,D664&gt;=01_因子設定!$L$6-0.000000001,D664&lt;=01_因子設定!$M$6+0.000000001,IF(01_因子設定!$B$20="Box-Behnken",C664^2+D664^2&lt;=2+0.000000001,TRUE()))</f>
        <v>1</v>
      </c>
      <c r="Q664" s="55" t="n">
        <f aca="false">IF(P664,IF(01_因子設定!$B$13="最大化",N664-01_因子設定!$B$14,IF(01_因子設定!$B$13="最小化",01_因子設定!$B$15-O664,MIN(N664-01_因子設定!$B$14,01_因子設定!$B$15-O664))),-1E+030)</f>
        <v>-3.47916007988273</v>
      </c>
      <c r="R664" s="55" t="n">
        <f aca="false">IF(P664,IF(01_因子設定!$B$13="最大化",K664,IF(01_因子設定!$B$13="最小化",-K664,-ABS(K664-01_因子設定!$B$16))),-1E+030)</f>
        <v>44.5839727011494</v>
      </c>
      <c r="S664" s="55" t="n">
        <f aca="false">Q664+ROW()*0.000000001</f>
        <v>-3.47915941588273</v>
      </c>
      <c r="T664" s="55" t="n">
        <f aca="false">R664+ROW()*0.000000001</f>
        <v>44.5839733651494</v>
      </c>
    </row>
    <row r="665" customFormat="false" ht="15" hidden="false" customHeight="false" outlineLevel="0" collapsed="false">
      <c r="A665" s="0" t="n">
        <v>16</v>
      </c>
      <c r="B665" s="0" t="n">
        <v>4</v>
      </c>
      <c r="C665" s="0" t="n">
        <f aca="false">-1+A665*0.05</f>
        <v>-0.2</v>
      </c>
      <c r="D665" s="0" t="n">
        <f aca="false">-1+B665*0.05</f>
        <v>-0.8</v>
      </c>
      <c r="E665" s="0" t="n">
        <f aca="false">1</f>
        <v>1</v>
      </c>
      <c r="F665" s="0" t="n">
        <f aca="false">C665</f>
        <v>-0.2</v>
      </c>
      <c r="G665" s="0" t="n">
        <f aca="false">D665</f>
        <v>-0.8</v>
      </c>
      <c r="H665" s="0" t="n">
        <f aca="false">C665*D665</f>
        <v>0.16</v>
      </c>
      <c r="I665" s="0" t="n">
        <f aca="false">C665*C665</f>
        <v>0.04</v>
      </c>
      <c r="J665" s="0" t="n">
        <f aca="false">D665*D665</f>
        <v>0.64</v>
      </c>
      <c r="K665" s="0" t="n">
        <f aca="false">SUMPRODUCT(E665:J665,_XtX!$B$53:$G$53)</f>
        <v>44.8185287356322</v>
      </c>
      <c r="L665" s="0" t="n">
        <f aca="false">SUMPRODUCT(MMULT(E665:J665,_XtX!$B$44:$G$49),E665:J665)</f>
        <v>0.29327816091954</v>
      </c>
      <c r="M665" s="0" t="n">
        <f aca="false">04_回帰ANOVA!$K$19*04_回帰ANOVA!$K$14*SQRT(1+L665)</f>
        <v>1.54107063211196</v>
      </c>
      <c r="N665" s="0" t="n">
        <f aca="false">K665-M665</f>
        <v>43.2774581035202</v>
      </c>
      <c r="O665" s="0" t="n">
        <f aca="false">K665+M665</f>
        <v>46.3595993677441</v>
      </c>
      <c r="P665" s="54" t="b">
        <f aca="false">AND(C665&gt;=01_因子設定!$L$5-0.000000001,C665&lt;=01_因子設定!$M$5+0.000000001,D665&gt;=01_因子設定!$L$6-0.000000001,D665&lt;=01_因子設定!$M$6+0.000000001,IF(01_因子設定!$B$20="Box-Behnken",C665^2+D665^2&lt;=2+0.000000001,TRUE()))</f>
        <v>1</v>
      </c>
      <c r="Q665" s="55" t="n">
        <f aca="false">IF(P665,IF(01_因子設定!$B$13="最大化",N665-01_因子設定!$B$14,IF(01_因子設定!$B$13="最小化",01_因子設定!$B$15-O665,MIN(N665-01_因子設定!$B$14,01_因子設定!$B$15-O665))),-1E+030)</f>
        <v>-3.22254189647978</v>
      </c>
      <c r="R665" s="55" t="n">
        <f aca="false">IF(P665,IF(01_因子設定!$B$13="最大化",K665,IF(01_因子設定!$B$13="最小化",-K665,-ABS(K665-01_因子設定!$B$16))),-1E+030)</f>
        <v>44.8185287356322</v>
      </c>
      <c r="S665" s="55" t="n">
        <f aca="false">Q665+ROW()*0.000000001</f>
        <v>-3.22254123147978</v>
      </c>
      <c r="T665" s="55" t="n">
        <f aca="false">R665+ROW()*0.000000001</f>
        <v>44.8185294006322</v>
      </c>
    </row>
    <row r="666" customFormat="false" ht="15" hidden="false" customHeight="false" outlineLevel="0" collapsed="false">
      <c r="A666" s="0" t="n">
        <v>16</v>
      </c>
      <c r="B666" s="0" t="n">
        <v>5</v>
      </c>
      <c r="C666" s="0" t="n">
        <f aca="false">-1+A666*0.05</f>
        <v>-0.2</v>
      </c>
      <c r="D666" s="0" t="n">
        <f aca="false">-1+B666*0.05</f>
        <v>-0.75</v>
      </c>
      <c r="E666" s="0" t="n">
        <f aca="false">1</f>
        <v>1</v>
      </c>
      <c r="F666" s="0" t="n">
        <f aca="false">C666</f>
        <v>-0.2</v>
      </c>
      <c r="G666" s="0" t="n">
        <f aca="false">D666</f>
        <v>-0.75</v>
      </c>
      <c r="H666" s="0" t="n">
        <f aca="false">C666*D666</f>
        <v>0.15</v>
      </c>
      <c r="I666" s="0" t="n">
        <f aca="false">C666*C666</f>
        <v>0.04</v>
      </c>
      <c r="J666" s="0" t="n">
        <f aca="false">D666*D666</f>
        <v>0.5625</v>
      </c>
      <c r="K666" s="0" t="n">
        <f aca="false">SUMPRODUCT(E666:J666,_XtX!$B$53:$G$53)</f>
        <v>45.0453692528736</v>
      </c>
      <c r="L666" s="0" t="n">
        <f aca="false">SUMPRODUCT(MMULT(E666:J666,_XtX!$B$44:$G$49),E666:J666)</f>
        <v>0.262733584770115</v>
      </c>
      <c r="M666" s="0" t="n">
        <f aca="false">04_回帰ANOVA!$K$19*04_回帰ANOVA!$K$14*SQRT(1+L666)</f>
        <v>1.5227634286696</v>
      </c>
      <c r="N666" s="0" t="n">
        <f aca="false">K666-M666</f>
        <v>43.522605824204</v>
      </c>
      <c r="O666" s="0" t="n">
        <f aca="false">K666+M666</f>
        <v>46.5681326815432</v>
      </c>
      <c r="P666" s="54" t="b">
        <f aca="false">AND(C666&gt;=01_因子設定!$L$5-0.000000001,C666&lt;=01_因子設定!$M$5+0.000000001,D666&gt;=01_因子設定!$L$6-0.000000001,D666&lt;=01_因子設定!$M$6+0.000000001,IF(01_因子設定!$B$20="Box-Behnken",C666^2+D666^2&lt;=2+0.000000001,TRUE()))</f>
        <v>1</v>
      </c>
      <c r="Q666" s="55" t="n">
        <f aca="false">IF(P666,IF(01_因子設定!$B$13="最大化",N666-01_因子設定!$B$14,IF(01_因子設定!$B$13="最小化",01_因子設定!$B$15-O666,MIN(N666-01_因子設定!$B$14,01_因子設定!$B$15-O666))),-1E+030)</f>
        <v>-2.97739417579604</v>
      </c>
      <c r="R666" s="55" t="n">
        <f aca="false">IF(P666,IF(01_因子設定!$B$13="最大化",K666,IF(01_因子設定!$B$13="最小化",-K666,-ABS(K666-01_因子設定!$B$16))),-1E+030)</f>
        <v>45.0453692528736</v>
      </c>
      <c r="S666" s="55" t="n">
        <f aca="false">Q666+ROW()*0.000000001</f>
        <v>-2.97739350979604</v>
      </c>
      <c r="T666" s="55" t="n">
        <f aca="false">R666+ROW()*0.000000001</f>
        <v>45.0453699188736</v>
      </c>
    </row>
    <row r="667" customFormat="false" ht="15" hidden="false" customHeight="false" outlineLevel="0" collapsed="false">
      <c r="A667" s="0" t="n">
        <v>16</v>
      </c>
      <c r="B667" s="0" t="n">
        <v>6</v>
      </c>
      <c r="C667" s="0" t="n">
        <f aca="false">-1+A667*0.05</f>
        <v>-0.2</v>
      </c>
      <c r="D667" s="0" t="n">
        <f aca="false">-1+B667*0.05</f>
        <v>-0.7</v>
      </c>
      <c r="E667" s="0" t="n">
        <f aca="false">1</f>
        <v>1</v>
      </c>
      <c r="F667" s="0" t="n">
        <f aca="false">C667</f>
        <v>-0.2</v>
      </c>
      <c r="G667" s="0" t="n">
        <f aca="false">D667</f>
        <v>-0.7</v>
      </c>
      <c r="H667" s="0" t="n">
        <f aca="false">C667*D667</f>
        <v>0.14</v>
      </c>
      <c r="I667" s="0" t="n">
        <f aca="false">C667*C667</f>
        <v>0.04</v>
      </c>
      <c r="J667" s="0" t="n">
        <f aca="false">D667*D667</f>
        <v>0.49</v>
      </c>
      <c r="K667" s="0" t="n">
        <f aca="false">SUMPRODUCT(E667:J667,_XtX!$B$53:$G$53)</f>
        <v>45.2644942528736</v>
      </c>
      <c r="L667" s="0" t="n">
        <f aca="false">SUMPRODUCT(MMULT(E667:J667,_XtX!$B$44:$G$49),E667:J667)</f>
        <v>0.238097126436782</v>
      </c>
      <c r="M667" s="0" t="n">
        <f aca="false">04_回帰ANOVA!$K$19*04_回帰ANOVA!$K$14*SQRT(1+L667)</f>
        <v>1.50783538244616</v>
      </c>
      <c r="N667" s="0" t="n">
        <f aca="false">K667-M667</f>
        <v>43.7566588704274</v>
      </c>
      <c r="O667" s="0" t="n">
        <f aca="false">K667+M667</f>
        <v>46.7723296353197</v>
      </c>
      <c r="P667" s="54" t="b">
        <f aca="false">AND(C667&gt;=01_因子設定!$L$5-0.000000001,C667&lt;=01_因子設定!$M$5+0.000000001,D667&gt;=01_因子設定!$L$6-0.000000001,D667&lt;=01_因子設定!$M$6+0.000000001,IF(01_因子設定!$B$20="Box-Behnken",C667^2+D667^2&lt;=2+0.000000001,TRUE()))</f>
        <v>1</v>
      </c>
      <c r="Q667" s="55" t="n">
        <f aca="false">IF(P667,IF(01_因子設定!$B$13="最大化",N667-01_因子設定!$B$14,IF(01_因子設定!$B$13="最小化",01_因子設定!$B$15-O667,MIN(N667-01_因子設定!$B$14,01_因子設定!$B$15-O667))),-1E+030)</f>
        <v>-2.7433411295726</v>
      </c>
      <c r="R667" s="55" t="n">
        <f aca="false">IF(P667,IF(01_因子設定!$B$13="最大化",K667,IF(01_因子設定!$B$13="最小化",-K667,-ABS(K667-01_因子設定!$B$16))),-1E+030)</f>
        <v>45.2644942528736</v>
      </c>
      <c r="S667" s="55" t="n">
        <f aca="false">Q667+ROW()*0.000000001</f>
        <v>-2.7433404625726</v>
      </c>
      <c r="T667" s="55" t="n">
        <f aca="false">R667+ROW()*0.000000001</f>
        <v>45.2644949198736</v>
      </c>
    </row>
    <row r="668" customFormat="false" ht="15" hidden="false" customHeight="false" outlineLevel="0" collapsed="false">
      <c r="A668" s="0" t="n">
        <v>16</v>
      </c>
      <c r="B668" s="0" t="n">
        <v>7</v>
      </c>
      <c r="C668" s="0" t="n">
        <f aca="false">-1+A668*0.05</f>
        <v>-0.2</v>
      </c>
      <c r="D668" s="0" t="n">
        <f aca="false">-1+B668*0.05</f>
        <v>-0.65</v>
      </c>
      <c r="E668" s="0" t="n">
        <f aca="false">1</f>
        <v>1</v>
      </c>
      <c r="F668" s="0" t="n">
        <f aca="false">C668</f>
        <v>-0.2</v>
      </c>
      <c r="G668" s="0" t="n">
        <f aca="false">D668</f>
        <v>-0.65</v>
      </c>
      <c r="H668" s="0" t="n">
        <f aca="false">C668*D668</f>
        <v>0.13</v>
      </c>
      <c r="I668" s="0" t="n">
        <f aca="false">C668*C668</f>
        <v>0.04</v>
      </c>
      <c r="J668" s="0" t="n">
        <f aca="false">D668*D668</f>
        <v>0.4225</v>
      </c>
      <c r="K668" s="0" t="n">
        <f aca="false">SUMPRODUCT(E668:J668,_XtX!$B$53:$G$53)</f>
        <v>45.4759037356322</v>
      </c>
      <c r="L668" s="0" t="n">
        <f aca="false">SUMPRODUCT(MMULT(E668:J668,_XtX!$B$44:$G$49),E668:J668)</f>
        <v>0.21858128591954</v>
      </c>
      <c r="M668" s="0" t="n">
        <f aca="false">04_回帰ANOVA!$K$19*04_回帰ANOVA!$K$14*SQRT(1+L668)</f>
        <v>1.49590434782083</v>
      </c>
      <c r="N668" s="0" t="n">
        <f aca="false">K668-M668</f>
        <v>43.9799993878114</v>
      </c>
      <c r="O668" s="0" t="n">
        <f aca="false">K668+M668</f>
        <v>46.971808083453</v>
      </c>
      <c r="P668" s="54" t="b">
        <f aca="false">AND(C668&gt;=01_因子設定!$L$5-0.000000001,C668&lt;=01_因子設定!$M$5+0.000000001,D668&gt;=01_因子設定!$L$6-0.000000001,D668&lt;=01_因子設定!$M$6+0.000000001,IF(01_因子設定!$B$20="Box-Behnken",C668^2+D668^2&lt;=2+0.000000001,TRUE()))</f>
        <v>1</v>
      </c>
      <c r="Q668" s="55" t="n">
        <f aca="false">IF(P668,IF(01_因子設定!$B$13="最大化",N668-01_因子設定!$B$14,IF(01_因子設定!$B$13="最小化",01_因子設定!$B$15-O668,MIN(N668-01_因子設定!$B$14,01_因子設定!$B$15-O668))),-1E+030)</f>
        <v>-2.52000061218865</v>
      </c>
      <c r="R668" s="55" t="n">
        <f aca="false">IF(P668,IF(01_因子設定!$B$13="最大化",K668,IF(01_因子設定!$B$13="最小化",-K668,-ABS(K668-01_因子設定!$B$16))),-1E+030)</f>
        <v>45.4759037356322</v>
      </c>
      <c r="S668" s="55" t="n">
        <f aca="false">Q668+ROW()*0.000000001</f>
        <v>-2.51999994418865</v>
      </c>
      <c r="T668" s="55" t="n">
        <f aca="false">R668+ROW()*0.000000001</f>
        <v>45.4759044036322</v>
      </c>
    </row>
    <row r="669" customFormat="false" ht="15" hidden="false" customHeight="false" outlineLevel="0" collapsed="false">
      <c r="A669" s="0" t="n">
        <v>16</v>
      </c>
      <c r="B669" s="0" t="n">
        <v>8</v>
      </c>
      <c r="C669" s="0" t="n">
        <f aca="false">-1+A669*0.05</f>
        <v>-0.2</v>
      </c>
      <c r="D669" s="0" t="n">
        <f aca="false">-1+B669*0.05</f>
        <v>-0.6</v>
      </c>
      <c r="E669" s="0" t="n">
        <f aca="false">1</f>
        <v>1</v>
      </c>
      <c r="F669" s="0" t="n">
        <f aca="false">C669</f>
        <v>-0.2</v>
      </c>
      <c r="G669" s="0" t="n">
        <f aca="false">D669</f>
        <v>-0.6</v>
      </c>
      <c r="H669" s="0" t="n">
        <f aca="false">C669*D669</f>
        <v>0.12</v>
      </c>
      <c r="I669" s="0" t="n">
        <f aca="false">C669*C669</f>
        <v>0.04</v>
      </c>
      <c r="J669" s="0" t="n">
        <f aca="false">D669*D669</f>
        <v>0.36</v>
      </c>
      <c r="K669" s="0" t="n">
        <f aca="false">SUMPRODUCT(E669:J669,_XtX!$B$53:$G$53)</f>
        <v>45.6795977011494</v>
      </c>
      <c r="L669" s="0" t="n">
        <f aca="false">SUMPRODUCT(MMULT(E669:J669,_XtX!$B$44:$G$49),E669:J669)</f>
        <v>0.203452873563218</v>
      </c>
      <c r="M669" s="0" t="n">
        <f aca="false">04_回帰ANOVA!$K$19*04_回帰ANOVA!$K$14*SQRT(1+L669)</f>
        <v>1.48658968981505</v>
      </c>
      <c r="N669" s="0" t="n">
        <f aca="false">K669-M669</f>
        <v>44.1930080113344</v>
      </c>
      <c r="O669" s="0" t="n">
        <f aca="false">K669+M669</f>
        <v>47.1661873909645</v>
      </c>
      <c r="P669" s="54" t="b">
        <f aca="false">AND(C669&gt;=01_因子設定!$L$5-0.000000001,C669&lt;=01_因子設定!$M$5+0.000000001,D669&gt;=01_因子設定!$L$6-0.000000001,D669&lt;=01_因子設定!$M$6+0.000000001,IF(01_因子設定!$B$20="Box-Behnken",C669^2+D669^2&lt;=2+0.000000001,TRUE()))</f>
        <v>1</v>
      </c>
      <c r="Q669" s="55" t="n">
        <f aca="false">IF(P669,IF(01_因子設定!$B$13="最大化",N669-01_因子設定!$B$14,IF(01_因子設定!$B$13="最小化",01_因子設定!$B$15-O669,MIN(N669-01_因子設定!$B$14,01_因子設定!$B$15-O669))),-1E+030)</f>
        <v>-2.30699198866563</v>
      </c>
      <c r="R669" s="55" t="n">
        <f aca="false">IF(P669,IF(01_因子設定!$B$13="最大化",K669,IF(01_因子設定!$B$13="最小化",-K669,-ABS(K669-01_因子設定!$B$16))),-1E+030)</f>
        <v>45.6795977011494</v>
      </c>
      <c r="S669" s="55" t="n">
        <f aca="false">Q669+ROW()*0.000000001</f>
        <v>-2.30699131966563</v>
      </c>
      <c r="T669" s="55" t="n">
        <f aca="false">R669+ROW()*0.000000001</f>
        <v>45.6795983701494</v>
      </c>
    </row>
    <row r="670" customFormat="false" ht="15" hidden="false" customHeight="false" outlineLevel="0" collapsed="false">
      <c r="A670" s="0" t="n">
        <v>16</v>
      </c>
      <c r="B670" s="0" t="n">
        <v>9</v>
      </c>
      <c r="C670" s="0" t="n">
        <f aca="false">-1+A670*0.05</f>
        <v>-0.2</v>
      </c>
      <c r="D670" s="0" t="n">
        <f aca="false">-1+B670*0.05</f>
        <v>-0.55</v>
      </c>
      <c r="E670" s="0" t="n">
        <f aca="false">1</f>
        <v>1</v>
      </c>
      <c r="F670" s="0" t="n">
        <f aca="false">C670</f>
        <v>-0.2</v>
      </c>
      <c r="G670" s="0" t="n">
        <f aca="false">D670</f>
        <v>-0.55</v>
      </c>
      <c r="H670" s="0" t="n">
        <f aca="false">C670*D670</f>
        <v>0.11</v>
      </c>
      <c r="I670" s="0" t="n">
        <f aca="false">C670*C670</f>
        <v>0.04</v>
      </c>
      <c r="J670" s="0" t="n">
        <f aca="false">D670*D670</f>
        <v>0.3025</v>
      </c>
      <c r="K670" s="0" t="n">
        <f aca="false">SUMPRODUCT(E670:J670,_XtX!$B$53:$G$53)</f>
        <v>45.8755761494253</v>
      </c>
      <c r="L670" s="0" t="n">
        <f aca="false">SUMPRODUCT(MMULT(E670:J670,_XtX!$B$44:$G$49),E670:J670)</f>
        <v>0.192033010057471</v>
      </c>
      <c r="M670" s="0" t="n">
        <f aca="false">04_回帰ANOVA!$K$19*04_回帰ANOVA!$K$14*SQRT(1+L670)</f>
        <v>1.47951956772622</v>
      </c>
      <c r="N670" s="0" t="n">
        <f aca="false">K670-M670</f>
        <v>44.3960565816991</v>
      </c>
      <c r="O670" s="0" t="n">
        <f aca="false">K670+M670</f>
        <v>47.3550957171515</v>
      </c>
      <c r="P670" s="54" t="b">
        <f aca="false">AND(C670&gt;=01_因子設定!$L$5-0.000000001,C670&lt;=01_因子設定!$M$5+0.000000001,D670&gt;=01_因子設定!$L$6-0.000000001,D670&lt;=01_因子設定!$M$6+0.000000001,IF(01_因子設定!$B$20="Box-Behnken",C670^2+D670^2&lt;=2+0.000000001,TRUE()))</f>
        <v>1</v>
      </c>
      <c r="Q670" s="55" t="n">
        <f aca="false">IF(P670,IF(01_因子設定!$B$13="最大化",N670-01_因子設定!$B$14,IF(01_因子設定!$B$13="最小化",01_因子設定!$B$15-O670,MIN(N670-01_因子設定!$B$14,01_因子設定!$B$15-O670))),-1E+030)</f>
        <v>-2.10394341830094</v>
      </c>
      <c r="R670" s="55" t="n">
        <f aca="false">IF(P670,IF(01_因子設定!$B$13="最大化",K670,IF(01_因子設定!$B$13="最小化",-K670,-ABS(K670-01_因子設定!$B$16))),-1E+030)</f>
        <v>45.8755761494253</v>
      </c>
      <c r="S670" s="55" t="n">
        <f aca="false">Q670+ROW()*0.000000001</f>
        <v>-2.10394274830094</v>
      </c>
      <c r="T670" s="55" t="n">
        <f aca="false">R670+ROW()*0.000000001</f>
        <v>45.8755768194253</v>
      </c>
    </row>
    <row r="671" customFormat="false" ht="15" hidden="false" customHeight="false" outlineLevel="0" collapsed="false">
      <c r="A671" s="0" t="n">
        <v>16</v>
      </c>
      <c r="B671" s="0" t="n">
        <v>10</v>
      </c>
      <c r="C671" s="0" t="n">
        <f aca="false">-1+A671*0.05</f>
        <v>-0.2</v>
      </c>
      <c r="D671" s="0" t="n">
        <f aca="false">-1+B671*0.05</f>
        <v>-0.5</v>
      </c>
      <c r="E671" s="0" t="n">
        <f aca="false">1</f>
        <v>1</v>
      </c>
      <c r="F671" s="0" t="n">
        <f aca="false">C671</f>
        <v>-0.2</v>
      </c>
      <c r="G671" s="0" t="n">
        <f aca="false">D671</f>
        <v>-0.5</v>
      </c>
      <c r="H671" s="0" t="n">
        <f aca="false">C671*D671</f>
        <v>0.1</v>
      </c>
      <c r="I671" s="0" t="n">
        <f aca="false">C671*C671</f>
        <v>0.04</v>
      </c>
      <c r="J671" s="0" t="n">
        <f aca="false">D671*D671</f>
        <v>0.25</v>
      </c>
      <c r="K671" s="0" t="n">
        <f aca="false">SUMPRODUCT(E671:J671,_XtX!$B$53:$G$53)</f>
        <v>46.0638390804598</v>
      </c>
      <c r="L671" s="0" t="n">
        <f aca="false">SUMPRODUCT(MMULT(E671:J671,_XtX!$B$44:$G$49),E671:J671)</f>
        <v>0.183697126436782</v>
      </c>
      <c r="M671" s="0" t="n">
        <f aca="false">04_回帰ANOVA!$K$19*04_回帰ANOVA!$K$14*SQRT(1+L671)</f>
        <v>1.4743373538588</v>
      </c>
      <c r="N671" s="0" t="n">
        <f aca="false">K671-M671</f>
        <v>44.589501726601</v>
      </c>
      <c r="O671" s="0" t="n">
        <f aca="false">K671+M671</f>
        <v>47.5381764343186</v>
      </c>
      <c r="P671" s="54" t="b">
        <f aca="false">AND(C671&gt;=01_因子設定!$L$5-0.000000001,C671&lt;=01_因子設定!$M$5+0.000000001,D671&gt;=01_因子設定!$L$6-0.000000001,D671&lt;=01_因子設定!$M$6+0.000000001,IF(01_因子設定!$B$20="Box-Behnken",C671^2+D671^2&lt;=2+0.000000001,TRUE()))</f>
        <v>1</v>
      </c>
      <c r="Q671" s="55" t="n">
        <f aca="false">IF(P671,IF(01_因子設定!$B$13="最大化",N671-01_因子設定!$B$14,IF(01_因子設定!$B$13="最小化",01_因子設定!$B$15-O671,MIN(N671-01_因子設定!$B$14,01_因子設定!$B$15-O671))),-1E+030)</f>
        <v>-1.91049827339903</v>
      </c>
      <c r="R671" s="55" t="n">
        <f aca="false">IF(P671,IF(01_因子設定!$B$13="最大化",K671,IF(01_因子設定!$B$13="最小化",-K671,-ABS(K671-01_因子設定!$B$16))),-1E+030)</f>
        <v>46.0638390804598</v>
      </c>
      <c r="S671" s="55" t="n">
        <f aca="false">Q671+ROW()*0.000000001</f>
        <v>-1.91049760239903</v>
      </c>
      <c r="T671" s="55" t="n">
        <f aca="false">R671+ROW()*0.000000001</f>
        <v>46.0638397514598</v>
      </c>
    </row>
    <row r="672" customFormat="false" ht="15" hidden="false" customHeight="false" outlineLevel="0" collapsed="false">
      <c r="A672" s="0" t="n">
        <v>16</v>
      </c>
      <c r="B672" s="0" t="n">
        <v>11</v>
      </c>
      <c r="C672" s="0" t="n">
        <f aca="false">-1+A672*0.05</f>
        <v>-0.2</v>
      </c>
      <c r="D672" s="0" t="n">
        <f aca="false">-1+B672*0.05</f>
        <v>-0.45</v>
      </c>
      <c r="E672" s="0" t="n">
        <f aca="false">1</f>
        <v>1</v>
      </c>
      <c r="F672" s="0" t="n">
        <f aca="false">C672</f>
        <v>-0.2</v>
      </c>
      <c r="G672" s="0" t="n">
        <f aca="false">D672</f>
        <v>-0.45</v>
      </c>
      <c r="H672" s="0" t="n">
        <f aca="false">C672*D672</f>
        <v>0.09</v>
      </c>
      <c r="I672" s="0" t="n">
        <f aca="false">C672*C672</f>
        <v>0.04</v>
      </c>
      <c r="J672" s="0" t="n">
        <f aca="false">D672*D672</f>
        <v>0.2025</v>
      </c>
      <c r="K672" s="0" t="n">
        <f aca="false">SUMPRODUCT(E672:J672,_XtX!$B$53:$G$53)</f>
        <v>46.2443864942529</v>
      </c>
      <c r="L672" s="0" t="n">
        <f aca="false">SUMPRODUCT(MMULT(E672:J672,_XtX!$B$44:$G$49),E672:J672)</f>
        <v>0.17787496408046</v>
      </c>
      <c r="M672" s="0" t="n">
        <f aca="false">04_回帰ANOVA!$K$19*04_回帰ANOVA!$K$14*SQRT(1+L672)</f>
        <v>1.47070702797102</v>
      </c>
      <c r="N672" s="0" t="n">
        <f aca="false">K672-M672</f>
        <v>44.7736794662819</v>
      </c>
      <c r="O672" s="0" t="n">
        <f aca="false">K672+M672</f>
        <v>47.7150935222239</v>
      </c>
      <c r="P672" s="54" t="b">
        <f aca="false">AND(C672&gt;=01_因子設定!$L$5-0.000000001,C672&lt;=01_因子設定!$M$5+0.000000001,D672&gt;=01_因子設定!$L$6-0.000000001,D672&lt;=01_因子設定!$M$6+0.000000001,IF(01_因子設定!$B$20="Box-Behnken",C672^2+D672^2&lt;=2+0.000000001,TRUE()))</f>
        <v>1</v>
      </c>
      <c r="Q672" s="55" t="n">
        <f aca="false">IF(P672,IF(01_因子設定!$B$13="最大化",N672-01_因子設定!$B$14,IF(01_因子設定!$B$13="最小化",01_因子設定!$B$15-O672,MIN(N672-01_因子設定!$B$14,01_因子設定!$B$15-O672))),-1E+030)</f>
        <v>-1.72632053371814</v>
      </c>
      <c r="R672" s="55" t="n">
        <f aca="false">IF(P672,IF(01_因子設定!$B$13="最大化",K672,IF(01_因子設定!$B$13="最小化",-K672,-ABS(K672-01_因子設定!$B$16))),-1E+030)</f>
        <v>46.2443864942529</v>
      </c>
      <c r="S672" s="55" t="n">
        <f aca="false">Q672+ROW()*0.000000001</f>
        <v>-1.72631986171814</v>
      </c>
      <c r="T672" s="55" t="n">
        <f aca="false">R672+ROW()*0.000000001</f>
        <v>46.2443871662529</v>
      </c>
    </row>
    <row r="673" customFormat="false" ht="15" hidden="false" customHeight="false" outlineLevel="0" collapsed="false">
      <c r="A673" s="0" t="n">
        <v>16</v>
      </c>
      <c r="B673" s="0" t="n">
        <v>12</v>
      </c>
      <c r="C673" s="0" t="n">
        <f aca="false">-1+A673*0.05</f>
        <v>-0.2</v>
      </c>
      <c r="D673" s="0" t="n">
        <f aca="false">-1+B673*0.05</f>
        <v>-0.4</v>
      </c>
      <c r="E673" s="0" t="n">
        <f aca="false">1</f>
        <v>1</v>
      </c>
      <c r="F673" s="0" t="n">
        <f aca="false">C673</f>
        <v>-0.2</v>
      </c>
      <c r="G673" s="0" t="n">
        <f aca="false">D673</f>
        <v>-0.4</v>
      </c>
      <c r="H673" s="0" t="n">
        <f aca="false">C673*D673</f>
        <v>0.08</v>
      </c>
      <c r="I673" s="0" t="n">
        <f aca="false">C673*C673</f>
        <v>0.04</v>
      </c>
      <c r="J673" s="0" t="n">
        <f aca="false">D673*D673</f>
        <v>0.16</v>
      </c>
      <c r="K673" s="0" t="n">
        <f aca="false">SUMPRODUCT(E673:J673,_XtX!$B$53:$G$53)</f>
        <v>46.4172183908046</v>
      </c>
      <c r="L673" s="0" t="n">
        <f aca="false">SUMPRODUCT(MMULT(E673:J673,_XtX!$B$44:$G$49),E673:J673)</f>
        <v>0.174050574712644</v>
      </c>
      <c r="M673" s="0" t="n">
        <f aca="false">04_回帰ANOVA!$K$19*04_回帰ANOVA!$K$14*SQRT(1+L673)</f>
        <v>1.46831750045351</v>
      </c>
      <c r="N673" s="0" t="n">
        <f aca="false">K673-M673</f>
        <v>44.9489008903511</v>
      </c>
      <c r="O673" s="0" t="n">
        <f aca="false">K673+M673</f>
        <v>47.8855358912581</v>
      </c>
      <c r="P673" s="54" t="b">
        <f aca="false">AND(C673&gt;=01_因子設定!$L$5-0.000000001,C673&lt;=01_因子設定!$M$5+0.000000001,D673&gt;=01_因子設定!$L$6-0.000000001,D673&lt;=01_因子設定!$M$6+0.000000001,IF(01_因子設定!$B$20="Box-Behnken",C673^2+D673^2&lt;=2+0.000000001,TRUE()))</f>
        <v>1</v>
      </c>
      <c r="Q673" s="55" t="n">
        <f aca="false">IF(P673,IF(01_因子設定!$B$13="最大化",N673-01_因子設定!$B$14,IF(01_因子設定!$B$13="最小化",01_因子設定!$B$15-O673,MIN(N673-01_因子設定!$B$14,01_因子設定!$B$15-O673))),-1E+030)</f>
        <v>-1.55109910964891</v>
      </c>
      <c r="R673" s="55" t="n">
        <f aca="false">IF(P673,IF(01_因子設定!$B$13="最大化",K673,IF(01_因子設定!$B$13="最小化",-K673,-ABS(K673-01_因子設定!$B$16))),-1E+030)</f>
        <v>46.4172183908046</v>
      </c>
      <c r="S673" s="55" t="n">
        <f aca="false">Q673+ROW()*0.000000001</f>
        <v>-1.55109843664891</v>
      </c>
      <c r="T673" s="55" t="n">
        <f aca="false">R673+ROW()*0.000000001</f>
        <v>46.4172190638046</v>
      </c>
    </row>
    <row r="674" customFormat="false" ht="15" hidden="false" customHeight="false" outlineLevel="0" collapsed="false">
      <c r="A674" s="0" t="n">
        <v>16</v>
      </c>
      <c r="B674" s="0" t="n">
        <v>13</v>
      </c>
      <c r="C674" s="0" t="n">
        <f aca="false">-1+A674*0.05</f>
        <v>-0.2</v>
      </c>
      <c r="D674" s="0" t="n">
        <f aca="false">-1+B674*0.05</f>
        <v>-0.35</v>
      </c>
      <c r="E674" s="0" t="n">
        <f aca="false">1</f>
        <v>1</v>
      </c>
      <c r="F674" s="0" t="n">
        <f aca="false">C674</f>
        <v>-0.2</v>
      </c>
      <c r="G674" s="0" t="n">
        <f aca="false">D674</f>
        <v>-0.35</v>
      </c>
      <c r="H674" s="0" t="n">
        <f aca="false">C674*D674</f>
        <v>0.07</v>
      </c>
      <c r="I674" s="0" t="n">
        <f aca="false">C674*C674</f>
        <v>0.04</v>
      </c>
      <c r="J674" s="0" t="n">
        <f aca="false">D674*D674</f>
        <v>0.1225</v>
      </c>
      <c r="K674" s="0" t="n">
        <f aca="false">SUMPRODUCT(E674:J674,_XtX!$B$53:$G$53)</f>
        <v>46.5823347701149</v>
      </c>
      <c r="L674" s="0" t="n">
        <f aca="false">SUMPRODUCT(MMULT(E674:J674,_XtX!$B$44:$G$49),E674:J674)</f>
        <v>0.171762320402299</v>
      </c>
      <c r="M674" s="0" t="n">
        <f aca="false">04_回帰ANOVA!$K$19*04_回帰ANOVA!$K$14*SQRT(1+L674)</f>
        <v>1.46688590855968</v>
      </c>
      <c r="N674" s="0" t="n">
        <f aca="false">K674-M674</f>
        <v>45.1154488615553</v>
      </c>
      <c r="O674" s="0" t="n">
        <f aca="false">K674+M674</f>
        <v>48.0492206786746</v>
      </c>
      <c r="P674" s="54" t="b">
        <f aca="false">AND(C674&gt;=01_因子設定!$L$5-0.000000001,C674&lt;=01_因子設定!$M$5+0.000000001,D674&gt;=01_因子設定!$L$6-0.000000001,D674&lt;=01_因子設定!$M$6+0.000000001,IF(01_因子設定!$B$20="Box-Behnken",C674^2+D674^2&lt;=2+0.000000001,TRUE()))</f>
        <v>1</v>
      </c>
      <c r="Q674" s="55" t="n">
        <f aca="false">IF(P674,IF(01_因子設定!$B$13="最大化",N674-01_因子設定!$B$14,IF(01_因子設定!$B$13="最小化",01_因子設定!$B$15-O674,MIN(N674-01_因子設定!$B$14,01_因子設定!$B$15-O674))),-1E+030)</f>
        <v>-1.38455113844474</v>
      </c>
      <c r="R674" s="55" t="n">
        <f aca="false">IF(P674,IF(01_因子設定!$B$13="最大化",K674,IF(01_因子設定!$B$13="最小化",-K674,-ABS(K674-01_因子設定!$B$16))),-1E+030)</f>
        <v>46.5823347701149</v>
      </c>
      <c r="S674" s="55" t="n">
        <f aca="false">Q674+ROW()*0.000000001</f>
        <v>-1.38455046444474</v>
      </c>
      <c r="T674" s="55" t="n">
        <f aca="false">R674+ROW()*0.000000001</f>
        <v>46.5823354441149</v>
      </c>
    </row>
    <row r="675" customFormat="false" ht="15" hidden="false" customHeight="false" outlineLevel="0" collapsed="false">
      <c r="A675" s="0" t="n">
        <v>16</v>
      </c>
      <c r="B675" s="0" t="n">
        <v>14</v>
      </c>
      <c r="C675" s="0" t="n">
        <f aca="false">-1+A675*0.05</f>
        <v>-0.2</v>
      </c>
      <c r="D675" s="0" t="n">
        <f aca="false">-1+B675*0.05</f>
        <v>-0.3</v>
      </c>
      <c r="E675" s="0" t="n">
        <f aca="false">1</f>
        <v>1</v>
      </c>
      <c r="F675" s="0" t="n">
        <f aca="false">C675</f>
        <v>-0.2</v>
      </c>
      <c r="G675" s="0" t="n">
        <f aca="false">D675</f>
        <v>-0.3</v>
      </c>
      <c r="H675" s="0" t="n">
        <f aca="false">C675*D675</f>
        <v>0.06</v>
      </c>
      <c r="I675" s="0" t="n">
        <f aca="false">C675*C675</f>
        <v>0.04</v>
      </c>
      <c r="J675" s="0" t="n">
        <f aca="false">D675*D675</f>
        <v>0.09</v>
      </c>
      <c r="K675" s="0" t="n">
        <f aca="false">SUMPRODUCT(E675:J675,_XtX!$B$53:$G$53)</f>
        <v>46.7397356321839</v>
      </c>
      <c r="L675" s="0" t="n">
        <f aca="false">SUMPRODUCT(MMULT(E675:J675,_XtX!$B$44:$G$49),E675:J675)</f>
        <v>0.170602873563218</v>
      </c>
      <c r="M675" s="0" t="n">
        <f aca="false">04_回帰ANOVA!$K$19*04_回帰ANOVA!$K$14*SQRT(1+L675)</f>
        <v>1.46615999463764</v>
      </c>
      <c r="N675" s="0" t="n">
        <f aca="false">K675-M675</f>
        <v>45.2735756375463</v>
      </c>
      <c r="O675" s="0" t="n">
        <f aca="false">K675+M675</f>
        <v>48.2058956268215</v>
      </c>
      <c r="P675" s="54" t="b">
        <f aca="false">AND(C675&gt;=01_因子設定!$L$5-0.000000001,C675&lt;=01_因子設定!$M$5+0.000000001,D675&gt;=01_因子設定!$L$6-0.000000001,D675&lt;=01_因子設定!$M$6+0.000000001,IF(01_因子設定!$B$20="Box-Behnken",C675^2+D675^2&lt;=2+0.000000001,TRUE()))</f>
        <v>1</v>
      </c>
      <c r="Q675" s="55" t="n">
        <f aca="false">IF(P675,IF(01_因子設定!$B$13="最大化",N675-01_因子設定!$B$14,IF(01_因子設定!$B$13="最小化",01_因子設定!$B$15-O675,MIN(N675-01_因子設定!$B$14,01_因子設定!$B$15-O675))),-1E+030)</f>
        <v>-1.22642436245373</v>
      </c>
      <c r="R675" s="55" t="n">
        <f aca="false">IF(P675,IF(01_因子設定!$B$13="最大化",K675,IF(01_因子設定!$B$13="最小化",-K675,-ABS(K675-01_因子設定!$B$16))),-1E+030)</f>
        <v>46.7397356321839</v>
      </c>
      <c r="S675" s="55" t="n">
        <f aca="false">Q675+ROW()*0.000000001</f>
        <v>-1.22642368745373</v>
      </c>
      <c r="T675" s="55" t="n">
        <f aca="false">R675+ROW()*0.000000001</f>
        <v>46.7397363071839</v>
      </c>
    </row>
    <row r="676" customFormat="false" ht="15" hidden="false" customHeight="false" outlineLevel="0" collapsed="false">
      <c r="A676" s="0" t="n">
        <v>16</v>
      </c>
      <c r="B676" s="0" t="n">
        <v>15</v>
      </c>
      <c r="C676" s="0" t="n">
        <f aca="false">-1+A676*0.05</f>
        <v>-0.2</v>
      </c>
      <c r="D676" s="0" t="n">
        <f aca="false">-1+B676*0.05</f>
        <v>-0.25</v>
      </c>
      <c r="E676" s="0" t="n">
        <f aca="false">1</f>
        <v>1</v>
      </c>
      <c r="F676" s="0" t="n">
        <f aca="false">C676</f>
        <v>-0.2</v>
      </c>
      <c r="G676" s="0" t="n">
        <f aca="false">D676</f>
        <v>-0.25</v>
      </c>
      <c r="H676" s="0" t="n">
        <f aca="false">C676*D676</f>
        <v>0.05</v>
      </c>
      <c r="I676" s="0" t="n">
        <f aca="false">C676*C676</f>
        <v>0.04</v>
      </c>
      <c r="J676" s="0" t="n">
        <f aca="false">D676*D676</f>
        <v>0.0625</v>
      </c>
      <c r="K676" s="0" t="n">
        <f aca="false">SUMPRODUCT(E676:J676,_XtX!$B$53:$G$53)</f>
        <v>46.8894209770115</v>
      </c>
      <c r="L676" s="0" t="n">
        <f aca="false">SUMPRODUCT(MMULT(E676:J676,_XtX!$B$44:$G$49),E676:J676)</f>
        <v>0.170219216954023</v>
      </c>
      <c r="M676" s="0" t="n">
        <f aca="false">04_回帰ANOVA!$K$19*04_回帰ANOVA!$K$14*SQRT(1+L676)</f>
        <v>1.46591971329145</v>
      </c>
      <c r="N676" s="0" t="n">
        <f aca="false">K676-M676</f>
        <v>45.42350126372</v>
      </c>
      <c r="O676" s="0" t="n">
        <f aca="false">K676+M676</f>
        <v>48.3553406903029</v>
      </c>
      <c r="P676" s="54" t="b">
        <f aca="false">AND(C676&gt;=01_因子設定!$L$5-0.000000001,C676&lt;=01_因子設定!$M$5+0.000000001,D676&gt;=01_因子設定!$L$6-0.000000001,D676&lt;=01_因子設定!$M$6+0.000000001,IF(01_因子設定!$B$20="Box-Behnken",C676^2+D676^2&lt;=2+0.000000001,TRUE()))</f>
        <v>1</v>
      </c>
      <c r="Q676" s="55" t="n">
        <f aca="false">IF(P676,IF(01_因子設定!$B$13="最大化",N676-01_因子設定!$B$14,IF(01_因子設定!$B$13="最小化",01_因子設定!$B$15-O676,MIN(N676-01_因子設定!$B$14,01_因子設定!$B$15-O676))),-1E+030)</f>
        <v>-1.07649873627996</v>
      </c>
      <c r="R676" s="55" t="n">
        <f aca="false">IF(P676,IF(01_因子設定!$B$13="最大化",K676,IF(01_因子設定!$B$13="最小化",-K676,-ABS(K676-01_因子設定!$B$16))),-1E+030)</f>
        <v>46.8894209770115</v>
      </c>
      <c r="S676" s="55" t="n">
        <f aca="false">Q676+ROW()*0.000000001</f>
        <v>-1.07649806027996</v>
      </c>
      <c r="T676" s="55" t="n">
        <f aca="false">R676+ROW()*0.000000001</f>
        <v>46.8894216530115</v>
      </c>
    </row>
    <row r="677" customFormat="false" ht="15" hidden="false" customHeight="false" outlineLevel="0" collapsed="false">
      <c r="A677" s="0" t="n">
        <v>16</v>
      </c>
      <c r="B677" s="0" t="n">
        <v>16</v>
      </c>
      <c r="C677" s="0" t="n">
        <f aca="false">-1+A677*0.05</f>
        <v>-0.2</v>
      </c>
      <c r="D677" s="0" t="n">
        <f aca="false">-1+B677*0.05</f>
        <v>-0.2</v>
      </c>
      <c r="E677" s="0" t="n">
        <f aca="false">1</f>
        <v>1</v>
      </c>
      <c r="F677" s="0" t="n">
        <f aca="false">C677</f>
        <v>-0.2</v>
      </c>
      <c r="G677" s="0" t="n">
        <f aca="false">D677</f>
        <v>-0.2</v>
      </c>
      <c r="H677" s="0" t="n">
        <f aca="false">C677*D677</f>
        <v>0.04</v>
      </c>
      <c r="I677" s="0" t="n">
        <f aca="false">C677*C677</f>
        <v>0.04</v>
      </c>
      <c r="J677" s="0" t="n">
        <f aca="false">D677*D677</f>
        <v>0.04</v>
      </c>
      <c r="K677" s="0" t="n">
        <f aca="false">SUMPRODUCT(E677:J677,_XtX!$B$53:$G$53)</f>
        <v>47.0313908045977</v>
      </c>
      <c r="L677" s="0" t="n">
        <f aca="false">SUMPRODUCT(MMULT(E677:J677,_XtX!$B$44:$G$49),E677:J677)</f>
        <v>0.170312643678161</v>
      </c>
      <c r="M677" s="0" t="n">
        <f aca="false">04_回帰ANOVA!$K$19*04_回帰ANOVA!$K$14*SQRT(1+L677)</f>
        <v>1.46597822939734</v>
      </c>
      <c r="N677" s="0" t="n">
        <f aca="false">K677-M677</f>
        <v>45.5654125752004</v>
      </c>
      <c r="O677" s="0" t="n">
        <f aca="false">K677+M677</f>
        <v>48.497369033995</v>
      </c>
      <c r="P677" s="54" t="b">
        <f aca="false">AND(C677&gt;=01_因子設定!$L$5-0.000000001,C677&lt;=01_因子設定!$M$5+0.000000001,D677&gt;=01_因子設定!$L$6-0.000000001,D677&lt;=01_因子設定!$M$6+0.000000001,IF(01_因子設定!$B$20="Box-Behnken",C677^2+D677^2&lt;=2+0.000000001,TRUE()))</f>
        <v>1</v>
      </c>
      <c r="Q677" s="55" t="n">
        <f aca="false">IF(P677,IF(01_因子設定!$B$13="最大化",N677-01_因子設定!$B$14,IF(01_因子設定!$B$13="最小化",01_因子設定!$B$15-O677,MIN(N677-01_因子設定!$B$14,01_因子設定!$B$15-O677))),-1E+030)</f>
        <v>-0.934587424799638</v>
      </c>
      <c r="R677" s="55" t="n">
        <f aca="false">IF(P677,IF(01_因子設定!$B$13="最大化",K677,IF(01_因子設定!$B$13="最小化",-K677,-ABS(K677-01_因子設定!$B$16))),-1E+030)</f>
        <v>47.0313908045977</v>
      </c>
      <c r="S677" s="55" t="n">
        <f aca="false">Q677+ROW()*0.000000001</f>
        <v>-0.934586747799638</v>
      </c>
      <c r="T677" s="55" t="n">
        <f aca="false">R677+ROW()*0.000000001</f>
        <v>47.0313914815977</v>
      </c>
    </row>
    <row r="678" customFormat="false" ht="15" hidden="false" customHeight="false" outlineLevel="0" collapsed="false">
      <c r="A678" s="0" t="n">
        <v>16</v>
      </c>
      <c r="B678" s="0" t="n">
        <v>17</v>
      </c>
      <c r="C678" s="0" t="n">
        <f aca="false">-1+A678*0.05</f>
        <v>-0.2</v>
      </c>
      <c r="D678" s="0" t="n">
        <f aca="false">-1+B678*0.05</f>
        <v>-0.15</v>
      </c>
      <c r="E678" s="0" t="n">
        <f aca="false">1</f>
        <v>1</v>
      </c>
      <c r="F678" s="0" t="n">
        <f aca="false">C678</f>
        <v>-0.2</v>
      </c>
      <c r="G678" s="0" t="n">
        <f aca="false">D678</f>
        <v>-0.15</v>
      </c>
      <c r="H678" s="0" t="n">
        <f aca="false">C678*D678</f>
        <v>0.03</v>
      </c>
      <c r="I678" s="0" t="n">
        <f aca="false">C678*C678</f>
        <v>0.04</v>
      </c>
      <c r="J678" s="0" t="n">
        <f aca="false">D678*D678</f>
        <v>0.0225</v>
      </c>
      <c r="K678" s="0" t="n">
        <f aca="false">SUMPRODUCT(E678:J678,_XtX!$B$53:$G$53)</f>
        <v>47.1656451149425</v>
      </c>
      <c r="L678" s="0" t="n">
        <f aca="false">SUMPRODUCT(MMULT(E678:J678,_XtX!$B$44:$G$49),E678:J678)</f>
        <v>0.170638757183908</v>
      </c>
      <c r="M678" s="0" t="n">
        <f aca="false">04_回帰ANOVA!$K$19*04_回帰ANOVA!$K$14*SQRT(1+L678)</f>
        <v>1.46618246627474</v>
      </c>
      <c r="N678" s="0" t="n">
        <f aca="false">K678-M678</f>
        <v>45.6994626486678</v>
      </c>
      <c r="O678" s="0" t="n">
        <f aca="false">K678+M678</f>
        <v>48.6318275812173</v>
      </c>
      <c r="P678" s="54" t="b">
        <f aca="false">AND(C678&gt;=01_因子設定!$L$5-0.000000001,C678&lt;=01_因子設定!$M$5+0.000000001,D678&gt;=01_因子設定!$L$6-0.000000001,D678&lt;=01_因子設定!$M$6+0.000000001,IF(01_因子設定!$B$20="Box-Behnken",C678^2+D678^2&lt;=2+0.000000001,TRUE()))</f>
        <v>1</v>
      </c>
      <c r="Q678" s="55" t="n">
        <f aca="false">IF(P678,IF(01_因子設定!$B$13="最大化",N678-01_因子設定!$B$14,IF(01_因子設定!$B$13="最小化",01_因子設定!$B$15-O678,MIN(N678-01_因子設定!$B$14,01_因子設定!$B$15-O678))),-1E+030)</f>
        <v>-0.80053735133221</v>
      </c>
      <c r="R678" s="55" t="n">
        <f aca="false">IF(P678,IF(01_因子設定!$B$13="最大化",K678,IF(01_因子設定!$B$13="最小化",-K678,-ABS(K678-01_因子設定!$B$16))),-1E+030)</f>
        <v>47.1656451149425</v>
      </c>
      <c r="S678" s="55" t="n">
        <f aca="false">Q678+ROW()*0.000000001</f>
        <v>-0.80053667333221</v>
      </c>
      <c r="T678" s="55" t="n">
        <f aca="false">R678+ROW()*0.000000001</f>
        <v>47.1656457929425</v>
      </c>
    </row>
    <row r="679" customFormat="false" ht="15" hidden="false" customHeight="false" outlineLevel="0" collapsed="false">
      <c r="A679" s="0" t="n">
        <v>16</v>
      </c>
      <c r="B679" s="0" t="n">
        <v>18</v>
      </c>
      <c r="C679" s="0" t="n">
        <f aca="false">-1+A679*0.05</f>
        <v>-0.2</v>
      </c>
      <c r="D679" s="0" t="n">
        <f aca="false">-1+B679*0.05</f>
        <v>-0.1</v>
      </c>
      <c r="E679" s="0" t="n">
        <f aca="false">1</f>
        <v>1</v>
      </c>
      <c r="F679" s="0" t="n">
        <f aca="false">C679</f>
        <v>-0.2</v>
      </c>
      <c r="G679" s="0" t="n">
        <f aca="false">D679</f>
        <v>-0.1</v>
      </c>
      <c r="H679" s="0" t="n">
        <f aca="false">C679*D679</f>
        <v>0.02</v>
      </c>
      <c r="I679" s="0" t="n">
        <f aca="false">C679*C679</f>
        <v>0.04</v>
      </c>
      <c r="J679" s="0" t="n">
        <f aca="false">D679*D679</f>
        <v>0.01</v>
      </c>
      <c r="K679" s="0" t="n">
        <f aca="false">SUMPRODUCT(E679:J679,_XtX!$B$53:$G$53)</f>
        <v>47.292183908046</v>
      </c>
      <c r="L679" s="0" t="n">
        <f aca="false">SUMPRODUCT(MMULT(E679:J679,_XtX!$B$44:$G$49),E679:J679)</f>
        <v>0.171007471264368</v>
      </c>
      <c r="M679" s="0" t="n">
        <f aca="false">04_回帰ANOVA!$K$19*04_回帰ANOVA!$K$14*SQRT(1+L679)</f>
        <v>1.46641334858369</v>
      </c>
      <c r="N679" s="0" t="n">
        <f aca="false">K679-M679</f>
        <v>45.8257705594623</v>
      </c>
      <c r="O679" s="0" t="n">
        <f aca="false">K679+M679</f>
        <v>48.7585972566297</v>
      </c>
      <c r="P679" s="54" t="b">
        <f aca="false">AND(C679&gt;=01_因子設定!$L$5-0.000000001,C679&lt;=01_因子設定!$M$5+0.000000001,D679&gt;=01_因子設定!$L$6-0.000000001,D679&lt;=01_因子設定!$M$6+0.000000001,IF(01_因子設定!$B$20="Box-Behnken",C679^2+D679^2&lt;=2+0.000000001,TRUE()))</f>
        <v>1</v>
      </c>
      <c r="Q679" s="55" t="n">
        <f aca="false">IF(P679,IF(01_因子設定!$B$13="最大化",N679-01_因子設定!$B$14,IF(01_因子設定!$B$13="最小化",01_因子設定!$B$15-O679,MIN(N679-01_因子設定!$B$14,01_因子設定!$B$15-O679))),-1E+030)</f>
        <v>-0.674229440537715</v>
      </c>
      <c r="R679" s="55" t="n">
        <f aca="false">IF(P679,IF(01_因子設定!$B$13="最大化",K679,IF(01_因子設定!$B$13="最小化",-K679,-ABS(K679-01_因子設定!$B$16))),-1E+030)</f>
        <v>47.292183908046</v>
      </c>
      <c r="S679" s="55" t="n">
        <f aca="false">Q679+ROW()*0.000000001</f>
        <v>-0.674228761537715</v>
      </c>
      <c r="T679" s="55" t="n">
        <f aca="false">R679+ROW()*0.000000001</f>
        <v>47.292184587046</v>
      </c>
    </row>
    <row r="680" customFormat="false" ht="15" hidden="false" customHeight="false" outlineLevel="0" collapsed="false">
      <c r="A680" s="0" t="n">
        <v>16</v>
      </c>
      <c r="B680" s="0" t="n">
        <v>19</v>
      </c>
      <c r="C680" s="0" t="n">
        <f aca="false">-1+A680*0.05</f>
        <v>-0.2</v>
      </c>
      <c r="D680" s="0" t="n">
        <f aca="false">-1+B680*0.05</f>
        <v>-0.0499999999999999</v>
      </c>
      <c r="E680" s="0" t="n">
        <f aca="false">1</f>
        <v>1</v>
      </c>
      <c r="F680" s="0" t="n">
        <f aca="false">C680</f>
        <v>-0.2</v>
      </c>
      <c r="G680" s="0" t="n">
        <f aca="false">D680</f>
        <v>-0.0499999999999999</v>
      </c>
      <c r="H680" s="0" t="n">
        <f aca="false">C680*D680</f>
        <v>0.00999999999999999</v>
      </c>
      <c r="I680" s="0" t="n">
        <f aca="false">C680*C680</f>
        <v>0.04</v>
      </c>
      <c r="J680" s="0" t="n">
        <f aca="false">D680*D680</f>
        <v>0.00249999999999999</v>
      </c>
      <c r="K680" s="0" t="n">
        <f aca="false">SUMPRODUCT(E680:J680,_XtX!$B$53:$G$53)</f>
        <v>47.411007183908</v>
      </c>
      <c r="L680" s="0" t="n">
        <f aca="false">SUMPRODUCT(MMULT(E680:J680,_XtX!$B$44:$G$49),E680:J680)</f>
        <v>0.171283010057471</v>
      </c>
      <c r="M680" s="0" t="n">
        <f aca="false">04_回帰ANOVA!$K$19*04_回帰ANOVA!$K$14*SQRT(1+L680)</f>
        <v>1.46658586242687</v>
      </c>
      <c r="N680" s="0" t="n">
        <f aca="false">K680-M680</f>
        <v>45.9444213214812</v>
      </c>
      <c r="O680" s="0" t="n">
        <f aca="false">K680+M680</f>
        <v>48.8775930463349</v>
      </c>
      <c r="P680" s="54" t="b">
        <f aca="false">AND(C680&gt;=01_因子設定!$L$5-0.000000001,C680&lt;=01_因子設定!$M$5+0.000000001,D680&gt;=01_因子設定!$L$6-0.000000001,D680&lt;=01_因子設定!$M$6+0.000000001,IF(01_因子設定!$B$20="Box-Behnken",C680^2+D680^2&lt;=2+0.000000001,TRUE()))</f>
        <v>1</v>
      </c>
      <c r="Q680" s="55" t="n">
        <f aca="false">IF(P680,IF(01_因子設定!$B$13="最大化",N680-01_因子設定!$B$14,IF(01_因子設定!$B$13="最小化",01_因子設定!$B$15-O680,MIN(N680-01_因子設定!$B$14,01_因子設定!$B$15-O680))),-1E+030)</f>
        <v>-0.555578678518835</v>
      </c>
      <c r="R680" s="55" t="n">
        <f aca="false">IF(P680,IF(01_因子設定!$B$13="最大化",K680,IF(01_因子設定!$B$13="最小化",-K680,-ABS(K680-01_因子設定!$B$16))),-1E+030)</f>
        <v>47.411007183908</v>
      </c>
      <c r="S680" s="55" t="n">
        <f aca="false">Q680+ROW()*0.000000001</f>
        <v>-0.555577998518835</v>
      </c>
      <c r="T680" s="55" t="n">
        <f aca="false">R680+ROW()*0.000000001</f>
        <v>47.411007863908</v>
      </c>
    </row>
    <row r="681" customFormat="false" ht="15" hidden="false" customHeight="false" outlineLevel="0" collapsed="false">
      <c r="A681" s="0" t="n">
        <v>16</v>
      </c>
      <c r="B681" s="0" t="n">
        <v>20</v>
      </c>
      <c r="C681" s="0" t="n">
        <f aca="false">-1+A681*0.05</f>
        <v>-0.2</v>
      </c>
      <c r="D681" s="0" t="n">
        <f aca="false">-1+B681*0.05</f>
        <v>0</v>
      </c>
      <c r="E681" s="0" t="n">
        <f aca="false">1</f>
        <v>1</v>
      </c>
      <c r="F681" s="0" t="n">
        <f aca="false">C681</f>
        <v>-0.2</v>
      </c>
      <c r="G681" s="0" t="n">
        <f aca="false">D681</f>
        <v>0</v>
      </c>
      <c r="H681" s="0" t="n">
        <f aca="false">C681*D681</f>
        <v>-0</v>
      </c>
      <c r="I681" s="0" t="n">
        <f aca="false">C681*C681</f>
        <v>0.04</v>
      </c>
      <c r="J681" s="0" t="n">
        <f aca="false">D681*D681</f>
        <v>0</v>
      </c>
      <c r="K681" s="0" t="n">
        <f aca="false">SUMPRODUCT(E681:J681,_XtX!$B$53:$G$53)</f>
        <v>47.5221149425287</v>
      </c>
      <c r="L681" s="0" t="n">
        <f aca="false">SUMPRODUCT(MMULT(E681:J681,_XtX!$B$44:$G$49),E681:J681)</f>
        <v>0.171383908045977</v>
      </c>
      <c r="M681" s="0" t="n">
        <f aca="false">04_回帰ANOVA!$K$19*04_回帰ANOVA!$K$14*SQRT(1+L681)</f>
        <v>1.4666490292173</v>
      </c>
      <c r="N681" s="0" t="n">
        <f aca="false">K681-M681</f>
        <v>46.0554659133114</v>
      </c>
      <c r="O681" s="0" t="n">
        <f aca="false">K681+M681</f>
        <v>48.988763971746</v>
      </c>
      <c r="P681" s="54" t="b">
        <f aca="false">AND(C681&gt;=01_因子設定!$L$5-0.000000001,C681&lt;=01_因子設定!$M$5+0.000000001,D681&gt;=01_因子設定!$L$6-0.000000001,D681&lt;=01_因子設定!$M$6+0.000000001,IF(01_因子設定!$B$20="Box-Behnken",C681^2+D681^2&lt;=2+0.000000001,TRUE()))</f>
        <v>1</v>
      </c>
      <c r="Q681" s="55" t="n">
        <f aca="false">IF(P681,IF(01_因子設定!$B$13="最大化",N681-01_因子設定!$B$14,IF(01_因子設定!$B$13="最小化",01_因子設定!$B$15-O681,MIN(N681-01_因子設定!$B$14,01_因子設定!$B$15-O681))),-1E+030)</f>
        <v>-0.44453408668857</v>
      </c>
      <c r="R681" s="55" t="n">
        <f aca="false">IF(P681,IF(01_因子設定!$B$13="最大化",K681,IF(01_因子設定!$B$13="最小化",-K681,-ABS(K681-01_因子設定!$B$16))),-1E+030)</f>
        <v>47.5221149425287</v>
      </c>
      <c r="S681" s="55" t="n">
        <f aca="false">Q681+ROW()*0.000000001</f>
        <v>-0.44453340568857</v>
      </c>
      <c r="T681" s="55" t="n">
        <f aca="false">R681+ROW()*0.000000001</f>
        <v>47.5221156235287</v>
      </c>
    </row>
    <row r="682" customFormat="false" ht="15" hidden="false" customHeight="false" outlineLevel="0" collapsed="false">
      <c r="A682" s="0" t="n">
        <v>16</v>
      </c>
      <c r="B682" s="0" t="n">
        <v>21</v>
      </c>
      <c r="C682" s="0" t="n">
        <f aca="false">-1+A682*0.05</f>
        <v>-0.2</v>
      </c>
      <c r="D682" s="0" t="n">
        <f aca="false">-1+B682*0.05</f>
        <v>0.05</v>
      </c>
      <c r="E682" s="0" t="n">
        <f aca="false">1</f>
        <v>1</v>
      </c>
      <c r="F682" s="0" t="n">
        <f aca="false">C682</f>
        <v>-0.2</v>
      </c>
      <c r="G682" s="0" t="n">
        <f aca="false">D682</f>
        <v>0.05</v>
      </c>
      <c r="H682" s="0" t="n">
        <f aca="false">C682*D682</f>
        <v>-0.01</v>
      </c>
      <c r="I682" s="0" t="n">
        <f aca="false">C682*C682</f>
        <v>0.04</v>
      </c>
      <c r="J682" s="0" t="n">
        <f aca="false">D682*D682</f>
        <v>0.0025</v>
      </c>
      <c r="K682" s="0" t="n">
        <f aca="false">SUMPRODUCT(E682:J682,_XtX!$B$53:$G$53)</f>
        <v>47.625507183908</v>
      </c>
      <c r="L682" s="0" t="n">
        <f aca="false">SUMPRODUCT(MMULT(E682:J682,_XtX!$B$44:$G$49),E682:J682)</f>
        <v>0.171283010057471</v>
      </c>
      <c r="M682" s="0" t="n">
        <f aca="false">04_回帰ANOVA!$K$19*04_回帰ANOVA!$K$14*SQRT(1+L682)</f>
        <v>1.46658586242687</v>
      </c>
      <c r="N682" s="0" t="n">
        <f aca="false">K682-M682</f>
        <v>46.1589213214812</v>
      </c>
      <c r="O682" s="0" t="n">
        <f aca="false">K682+M682</f>
        <v>49.0920930463349</v>
      </c>
      <c r="P682" s="54" t="b">
        <f aca="false">AND(C682&gt;=01_因子設定!$L$5-0.000000001,C682&lt;=01_因子設定!$M$5+0.000000001,D682&gt;=01_因子設定!$L$6-0.000000001,D682&lt;=01_因子設定!$M$6+0.000000001,IF(01_因子設定!$B$20="Box-Behnken",C682^2+D682^2&lt;=2+0.000000001,TRUE()))</f>
        <v>1</v>
      </c>
      <c r="Q682" s="55" t="n">
        <f aca="false">IF(P682,IF(01_因子設定!$B$13="最大化",N682-01_因子設定!$B$14,IF(01_因子設定!$B$13="最小化",01_因子設定!$B$15-O682,MIN(N682-01_因子設定!$B$14,01_因子設定!$B$15-O682))),-1E+030)</f>
        <v>-0.341078678518834</v>
      </c>
      <c r="R682" s="55" t="n">
        <f aca="false">IF(P682,IF(01_因子設定!$B$13="最大化",K682,IF(01_因子設定!$B$13="最小化",-K682,-ABS(K682-01_因子設定!$B$16))),-1E+030)</f>
        <v>47.625507183908</v>
      </c>
      <c r="S682" s="55" t="n">
        <f aca="false">Q682+ROW()*0.000000001</f>
        <v>-0.341077996518834</v>
      </c>
      <c r="T682" s="55" t="n">
        <f aca="false">R682+ROW()*0.000000001</f>
        <v>47.625507865908</v>
      </c>
    </row>
    <row r="683" customFormat="false" ht="15" hidden="false" customHeight="false" outlineLevel="0" collapsed="false">
      <c r="A683" s="0" t="n">
        <v>16</v>
      </c>
      <c r="B683" s="0" t="n">
        <v>22</v>
      </c>
      <c r="C683" s="0" t="n">
        <f aca="false">-1+A683*0.05</f>
        <v>-0.2</v>
      </c>
      <c r="D683" s="0" t="n">
        <f aca="false">-1+B683*0.05</f>
        <v>0.1</v>
      </c>
      <c r="E683" s="0" t="n">
        <f aca="false">1</f>
        <v>1</v>
      </c>
      <c r="F683" s="0" t="n">
        <f aca="false">C683</f>
        <v>-0.2</v>
      </c>
      <c r="G683" s="0" t="n">
        <f aca="false">D683</f>
        <v>0.1</v>
      </c>
      <c r="H683" s="0" t="n">
        <f aca="false">C683*D683</f>
        <v>-0.02</v>
      </c>
      <c r="I683" s="0" t="n">
        <f aca="false">C683*C683</f>
        <v>0.04</v>
      </c>
      <c r="J683" s="0" t="n">
        <f aca="false">D683*D683</f>
        <v>0.01</v>
      </c>
      <c r="K683" s="0" t="n">
        <f aca="false">SUMPRODUCT(E683:J683,_XtX!$B$53:$G$53)</f>
        <v>47.721183908046</v>
      </c>
      <c r="L683" s="0" t="n">
        <f aca="false">SUMPRODUCT(MMULT(E683:J683,_XtX!$B$44:$G$49),E683:J683)</f>
        <v>0.171007471264368</v>
      </c>
      <c r="M683" s="0" t="n">
        <f aca="false">04_回帰ANOVA!$K$19*04_回帰ANOVA!$K$14*SQRT(1+L683)</f>
        <v>1.46641334858369</v>
      </c>
      <c r="N683" s="0" t="n">
        <f aca="false">K683-M683</f>
        <v>46.2547705594623</v>
      </c>
      <c r="O683" s="0" t="n">
        <f aca="false">K683+M683</f>
        <v>49.1875972566297</v>
      </c>
      <c r="P683" s="54" t="b">
        <f aca="false">AND(C683&gt;=01_因子設定!$L$5-0.000000001,C683&lt;=01_因子設定!$M$5+0.000000001,D683&gt;=01_因子設定!$L$6-0.000000001,D683&lt;=01_因子設定!$M$6+0.000000001,IF(01_因子設定!$B$20="Box-Behnken",C683^2+D683^2&lt;=2+0.000000001,TRUE()))</f>
        <v>1</v>
      </c>
      <c r="Q683" s="55" t="n">
        <f aca="false">IF(P683,IF(01_因子設定!$B$13="最大化",N683-01_因子設定!$B$14,IF(01_因子設定!$B$13="最小化",01_因子設定!$B$15-O683,MIN(N683-01_因子設定!$B$14,01_因子設定!$B$15-O683))),-1E+030)</f>
        <v>-0.24522944053772</v>
      </c>
      <c r="R683" s="55" t="n">
        <f aca="false">IF(P683,IF(01_因子設定!$B$13="最大化",K683,IF(01_因子設定!$B$13="最小化",-K683,-ABS(K683-01_因子設定!$B$16))),-1E+030)</f>
        <v>47.721183908046</v>
      </c>
      <c r="S683" s="55" t="n">
        <f aca="false">Q683+ROW()*0.000000001</f>
        <v>-0.24522875753772</v>
      </c>
      <c r="T683" s="55" t="n">
        <f aca="false">R683+ROW()*0.000000001</f>
        <v>47.721184591046</v>
      </c>
    </row>
    <row r="684" customFormat="false" ht="15" hidden="false" customHeight="false" outlineLevel="0" collapsed="false">
      <c r="A684" s="0" t="n">
        <v>16</v>
      </c>
      <c r="B684" s="0" t="n">
        <v>23</v>
      </c>
      <c r="C684" s="0" t="n">
        <f aca="false">-1+A684*0.05</f>
        <v>-0.2</v>
      </c>
      <c r="D684" s="0" t="n">
        <f aca="false">-1+B684*0.05</f>
        <v>0.15</v>
      </c>
      <c r="E684" s="0" t="n">
        <f aca="false">1</f>
        <v>1</v>
      </c>
      <c r="F684" s="0" t="n">
        <f aca="false">C684</f>
        <v>-0.2</v>
      </c>
      <c r="G684" s="0" t="n">
        <f aca="false">D684</f>
        <v>0.15</v>
      </c>
      <c r="H684" s="0" t="n">
        <f aca="false">C684*D684</f>
        <v>-0.03</v>
      </c>
      <c r="I684" s="0" t="n">
        <f aca="false">C684*C684</f>
        <v>0.04</v>
      </c>
      <c r="J684" s="0" t="n">
        <f aca="false">D684*D684</f>
        <v>0.0225</v>
      </c>
      <c r="K684" s="0" t="n">
        <f aca="false">SUMPRODUCT(E684:J684,_XtX!$B$53:$G$53)</f>
        <v>47.8091451149425</v>
      </c>
      <c r="L684" s="0" t="n">
        <f aca="false">SUMPRODUCT(MMULT(E684:J684,_XtX!$B$44:$G$49),E684:J684)</f>
        <v>0.170638757183908</v>
      </c>
      <c r="M684" s="0" t="n">
        <f aca="false">04_回帰ANOVA!$K$19*04_回帰ANOVA!$K$14*SQRT(1+L684)</f>
        <v>1.46618246627474</v>
      </c>
      <c r="N684" s="0" t="n">
        <f aca="false">K684-M684</f>
        <v>46.3429626486678</v>
      </c>
      <c r="O684" s="0" t="n">
        <f aca="false">K684+M684</f>
        <v>49.2753275812173</v>
      </c>
      <c r="P684" s="54" t="b">
        <f aca="false">AND(C684&gt;=01_因子設定!$L$5-0.000000001,C684&lt;=01_因子設定!$M$5+0.000000001,D684&gt;=01_因子設定!$L$6-0.000000001,D684&lt;=01_因子設定!$M$6+0.000000001,IF(01_因子設定!$B$20="Box-Behnken",C684^2+D684^2&lt;=2+0.000000001,TRUE()))</f>
        <v>1</v>
      </c>
      <c r="Q684" s="55" t="n">
        <f aca="false">IF(P684,IF(01_因子設定!$B$13="最大化",N684-01_因子設定!$B$14,IF(01_因子設定!$B$13="最小化",01_因子設定!$B$15-O684,MIN(N684-01_因子設定!$B$14,01_因子設定!$B$15-O684))),-1E+030)</f>
        <v>-0.157037351332214</v>
      </c>
      <c r="R684" s="55" t="n">
        <f aca="false">IF(P684,IF(01_因子設定!$B$13="最大化",K684,IF(01_因子設定!$B$13="最小化",-K684,-ABS(K684-01_因子設定!$B$16))),-1E+030)</f>
        <v>47.8091451149425</v>
      </c>
      <c r="S684" s="55" t="n">
        <f aca="false">Q684+ROW()*0.000000001</f>
        <v>-0.157036667332214</v>
      </c>
      <c r="T684" s="55" t="n">
        <f aca="false">R684+ROW()*0.000000001</f>
        <v>47.8091457989425</v>
      </c>
    </row>
    <row r="685" customFormat="false" ht="15" hidden="false" customHeight="false" outlineLevel="0" collapsed="false">
      <c r="A685" s="0" t="n">
        <v>16</v>
      </c>
      <c r="B685" s="0" t="n">
        <v>24</v>
      </c>
      <c r="C685" s="0" t="n">
        <f aca="false">-1+A685*0.05</f>
        <v>-0.2</v>
      </c>
      <c r="D685" s="0" t="n">
        <f aca="false">-1+B685*0.05</f>
        <v>0.2</v>
      </c>
      <c r="E685" s="0" t="n">
        <f aca="false">1</f>
        <v>1</v>
      </c>
      <c r="F685" s="0" t="n">
        <f aca="false">C685</f>
        <v>-0.2</v>
      </c>
      <c r="G685" s="0" t="n">
        <f aca="false">D685</f>
        <v>0.2</v>
      </c>
      <c r="H685" s="0" t="n">
        <f aca="false">C685*D685</f>
        <v>-0.04</v>
      </c>
      <c r="I685" s="0" t="n">
        <f aca="false">C685*C685</f>
        <v>0.04</v>
      </c>
      <c r="J685" s="0" t="n">
        <f aca="false">D685*D685</f>
        <v>0.0400000000000001</v>
      </c>
      <c r="K685" s="0" t="n">
        <f aca="false">SUMPRODUCT(E685:J685,_XtX!$B$53:$G$53)</f>
        <v>47.8893908045977</v>
      </c>
      <c r="L685" s="0" t="n">
        <f aca="false">SUMPRODUCT(MMULT(E685:J685,_XtX!$B$44:$G$49),E685:J685)</f>
        <v>0.170312643678161</v>
      </c>
      <c r="M685" s="0" t="n">
        <f aca="false">04_回帰ANOVA!$K$19*04_回帰ANOVA!$K$14*SQRT(1+L685)</f>
        <v>1.46597822939734</v>
      </c>
      <c r="N685" s="0" t="n">
        <f aca="false">K685-M685</f>
        <v>46.4234125752004</v>
      </c>
      <c r="O685" s="0" t="n">
        <f aca="false">K685+M685</f>
        <v>49.355369033995</v>
      </c>
      <c r="P685" s="54" t="b">
        <f aca="false">AND(C685&gt;=01_因子設定!$L$5-0.000000001,C685&lt;=01_因子設定!$M$5+0.000000001,D685&gt;=01_因子設定!$L$6-0.000000001,D685&lt;=01_因子設定!$M$6+0.000000001,IF(01_因子設定!$B$20="Box-Behnken",C685^2+D685^2&lt;=2+0.000000001,TRUE()))</f>
        <v>1</v>
      </c>
      <c r="Q685" s="55" t="n">
        <f aca="false">IF(P685,IF(01_因子設定!$B$13="最大化",N685-01_因子設定!$B$14,IF(01_因子設定!$B$13="最小化",01_因子設定!$B$15-O685,MIN(N685-01_因子設定!$B$14,01_因子設定!$B$15-O685))),-1E+030)</f>
        <v>-0.0765874247996408</v>
      </c>
      <c r="R685" s="55" t="n">
        <f aca="false">IF(P685,IF(01_因子設定!$B$13="最大化",K685,IF(01_因子設定!$B$13="最小化",-K685,-ABS(K685-01_因子設定!$B$16))),-1E+030)</f>
        <v>47.8893908045977</v>
      </c>
      <c r="S685" s="55" t="n">
        <f aca="false">Q685+ROW()*0.000000001</f>
        <v>-0.0765867397996408</v>
      </c>
      <c r="T685" s="55" t="n">
        <f aca="false">R685+ROW()*0.000000001</f>
        <v>47.8893914895977</v>
      </c>
    </row>
    <row r="686" customFormat="false" ht="15" hidden="false" customHeight="false" outlineLevel="0" collapsed="false">
      <c r="A686" s="0" t="n">
        <v>16</v>
      </c>
      <c r="B686" s="0" t="n">
        <v>25</v>
      </c>
      <c r="C686" s="0" t="n">
        <f aca="false">-1+A686*0.05</f>
        <v>-0.2</v>
      </c>
      <c r="D686" s="0" t="n">
        <f aca="false">-1+B686*0.05</f>
        <v>0.25</v>
      </c>
      <c r="E686" s="0" t="n">
        <f aca="false">1</f>
        <v>1</v>
      </c>
      <c r="F686" s="0" t="n">
        <f aca="false">C686</f>
        <v>-0.2</v>
      </c>
      <c r="G686" s="0" t="n">
        <f aca="false">D686</f>
        <v>0.25</v>
      </c>
      <c r="H686" s="0" t="n">
        <f aca="false">C686*D686</f>
        <v>-0.05</v>
      </c>
      <c r="I686" s="0" t="n">
        <f aca="false">C686*C686</f>
        <v>0.04</v>
      </c>
      <c r="J686" s="0" t="n">
        <f aca="false">D686*D686</f>
        <v>0.0625</v>
      </c>
      <c r="K686" s="0" t="n">
        <f aca="false">SUMPRODUCT(E686:J686,_XtX!$B$53:$G$53)</f>
        <v>47.9619209770115</v>
      </c>
      <c r="L686" s="0" t="n">
        <f aca="false">SUMPRODUCT(MMULT(E686:J686,_XtX!$B$44:$G$49),E686:J686)</f>
        <v>0.170219216954023</v>
      </c>
      <c r="M686" s="0" t="n">
        <f aca="false">04_回帰ANOVA!$K$19*04_回帰ANOVA!$K$14*SQRT(1+L686)</f>
        <v>1.46591971329145</v>
      </c>
      <c r="N686" s="0" t="n">
        <f aca="false">K686-M686</f>
        <v>46.49600126372</v>
      </c>
      <c r="O686" s="0" t="n">
        <f aca="false">K686+M686</f>
        <v>49.4278406903029</v>
      </c>
      <c r="P686" s="54" t="b">
        <f aca="false">AND(C686&gt;=01_因子設定!$L$5-0.000000001,C686&lt;=01_因子設定!$M$5+0.000000001,D686&gt;=01_因子設定!$L$6-0.000000001,D686&lt;=01_因子設定!$M$6+0.000000001,IF(01_因子設定!$B$20="Box-Behnken",C686^2+D686^2&lt;=2+0.000000001,TRUE()))</f>
        <v>1</v>
      </c>
      <c r="Q686" s="55" t="n">
        <f aca="false">IF(P686,IF(01_因子設定!$B$13="最大化",N686-01_因子設定!$B$14,IF(01_因子設定!$B$13="最小化",01_因子設定!$B$15-O686,MIN(N686-01_因子設定!$B$14,01_因子設定!$B$15-O686))),-1E+030)</f>
        <v>-0.00399873627995362</v>
      </c>
      <c r="R686" s="55" t="n">
        <f aca="false">IF(P686,IF(01_因子設定!$B$13="最大化",K686,IF(01_因子設定!$B$13="最小化",-K686,-ABS(K686-01_因子設定!$B$16))),-1E+030)</f>
        <v>47.9619209770115</v>
      </c>
      <c r="S686" s="55" t="n">
        <f aca="false">Q686+ROW()*0.000000001</f>
        <v>-0.00399805027995362</v>
      </c>
      <c r="T686" s="55" t="n">
        <f aca="false">R686+ROW()*0.000000001</f>
        <v>47.9619216630115</v>
      </c>
    </row>
    <row r="687" customFormat="false" ht="15" hidden="false" customHeight="false" outlineLevel="0" collapsed="false">
      <c r="A687" s="0" t="n">
        <v>16</v>
      </c>
      <c r="B687" s="0" t="n">
        <v>26</v>
      </c>
      <c r="C687" s="0" t="n">
        <f aca="false">-1+A687*0.05</f>
        <v>-0.2</v>
      </c>
      <c r="D687" s="0" t="n">
        <f aca="false">-1+B687*0.05</f>
        <v>0.3</v>
      </c>
      <c r="E687" s="0" t="n">
        <f aca="false">1</f>
        <v>1</v>
      </c>
      <c r="F687" s="0" t="n">
        <f aca="false">C687</f>
        <v>-0.2</v>
      </c>
      <c r="G687" s="0" t="n">
        <f aca="false">D687</f>
        <v>0.3</v>
      </c>
      <c r="H687" s="0" t="n">
        <f aca="false">C687*D687</f>
        <v>-0.06</v>
      </c>
      <c r="I687" s="0" t="n">
        <f aca="false">C687*C687</f>
        <v>0.04</v>
      </c>
      <c r="J687" s="0" t="n">
        <f aca="false">D687*D687</f>
        <v>0.09</v>
      </c>
      <c r="K687" s="0" t="n">
        <f aca="false">SUMPRODUCT(E687:J687,_XtX!$B$53:$G$53)</f>
        <v>48.0267356321839</v>
      </c>
      <c r="L687" s="0" t="n">
        <f aca="false">SUMPRODUCT(MMULT(E687:J687,_XtX!$B$44:$G$49),E687:J687)</f>
        <v>0.170602873563218</v>
      </c>
      <c r="M687" s="0" t="n">
        <f aca="false">04_回帰ANOVA!$K$19*04_回帰ANOVA!$K$14*SQRT(1+L687)</f>
        <v>1.46615999463764</v>
      </c>
      <c r="N687" s="0" t="n">
        <f aca="false">K687-M687</f>
        <v>46.5605756375463</v>
      </c>
      <c r="O687" s="0" t="n">
        <f aca="false">K687+M687</f>
        <v>49.4928956268215</v>
      </c>
      <c r="P687" s="54" t="b">
        <f aca="false">AND(C687&gt;=01_因子設定!$L$5-0.000000001,C687&lt;=01_因子設定!$M$5+0.000000001,D687&gt;=01_因子設定!$L$6-0.000000001,D687&lt;=01_因子設定!$M$6+0.000000001,IF(01_因子設定!$B$20="Box-Behnken",C687^2+D687^2&lt;=2+0.000000001,TRUE()))</f>
        <v>1</v>
      </c>
      <c r="Q687" s="55" t="n">
        <f aca="false">IF(P687,IF(01_因子設定!$B$13="最大化",N687-01_因子設定!$B$14,IF(01_因子設定!$B$13="最小化",01_因子設定!$B$15-O687,MIN(N687-01_因子設定!$B$14,01_因子設定!$B$15-O687))),-1E+030)</f>
        <v>0.0605756375462718</v>
      </c>
      <c r="R687" s="55" t="n">
        <f aca="false">IF(P687,IF(01_因子設定!$B$13="最大化",K687,IF(01_因子設定!$B$13="最小化",-K687,-ABS(K687-01_因子設定!$B$16))),-1E+030)</f>
        <v>48.0267356321839</v>
      </c>
      <c r="S687" s="55" t="n">
        <f aca="false">Q687+ROW()*0.000000001</f>
        <v>0.0605763245462718</v>
      </c>
      <c r="T687" s="55" t="n">
        <f aca="false">R687+ROW()*0.000000001</f>
        <v>48.0267363191839</v>
      </c>
    </row>
    <row r="688" customFormat="false" ht="15" hidden="false" customHeight="false" outlineLevel="0" collapsed="false">
      <c r="A688" s="0" t="n">
        <v>16</v>
      </c>
      <c r="B688" s="0" t="n">
        <v>27</v>
      </c>
      <c r="C688" s="0" t="n">
        <f aca="false">-1+A688*0.05</f>
        <v>-0.2</v>
      </c>
      <c r="D688" s="0" t="n">
        <f aca="false">-1+B688*0.05</f>
        <v>0.35</v>
      </c>
      <c r="E688" s="0" t="n">
        <f aca="false">1</f>
        <v>1</v>
      </c>
      <c r="F688" s="0" t="n">
        <f aca="false">C688</f>
        <v>-0.2</v>
      </c>
      <c r="G688" s="0" t="n">
        <f aca="false">D688</f>
        <v>0.35</v>
      </c>
      <c r="H688" s="0" t="n">
        <f aca="false">C688*D688</f>
        <v>-0.07</v>
      </c>
      <c r="I688" s="0" t="n">
        <f aca="false">C688*C688</f>
        <v>0.04</v>
      </c>
      <c r="J688" s="0" t="n">
        <f aca="false">D688*D688</f>
        <v>0.1225</v>
      </c>
      <c r="K688" s="0" t="n">
        <f aca="false">SUMPRODUCT(E688:J688,_XtX!$B$53:$G$53)</f>
        <v>48.0838347701149</v>
      </c>
      <c r="L688" s="0" t="n">
        <f aca="false">SUMPRODUCT(MMULT(E688:J688,_XtX!$B$44:$G$49),E688:J688)</f>
        <v>0.171762320402299</v>
      </c>
      <c r="M688" s="0" t="n">
        <f aca="false">04_回帰ANOVA!$K$19*04_回帰ANOVA!$K$14*SQRT(1+L688)</f>
        <v>1.46688590855968</v>
      </c>
      <c r="N688" s="0" t="n">
        <f aca="false">K688-M688</f>
        <v>46.6169488615553</v>
      </c>
      <c r="O688" s="0" t="n">
        <f aca="false">K688+M688</f>
        <v>49.5507206786746</v>
      </c>
      <c r="P688" s="54" t="b">
        <f aca="false">AND(C688&gt;=01_因子設定!$L$5-0.000000001,C688&lt;=01_因子設定!$M$5+0.000000001,D688&gt;=01_因子設定!$L$6-0.000000001,D688&lt;=01_因子設定!$M$6+0.000000001,IF(01_因子設定!$B$20="Box-Behnken",C688^2+D688^2&lt;=2+0.000000001,TRUE()))</f>
        <v>1</v>
      </c>
      <c r="Q688" s="55" t="n">
        <f aca="false">IF(P688,IF(01_因子設定!$B$13="最大化",N688-01_因子設定!$B$14,IF(01_因子設定!$B$13="最小化",01_因子設定!$B$15-O688,MIN(N688-01_因子設定!$B$14,01_因子設定!$B$15-O688))),-1E+030)</f>
        <v>0.116948861555258</v>
      </c>
      <c r="R688" s="55" t="n">
        <f aca="false">IF(P688,IF(01_因子設定!$B$13="最大化",K688,IF(01_因子設定!$B$13="最小化",-K688,-ABS(K688-01_因子設定!$B$16))),-1E+030)</f>
        <v>48.0838347701149</v>
      </c>
      <c r="S688" s="55" t="n">
        <f aca="false">Q688+ROW()*0.000000001</f>
        <v>0.116949549555258</v>
      </c>
      <c r="T688" s="55" t="n">
        <f aca="false">R688+ROW()*0.000000001</f>
        <v>48.0838354581149</v>
      </c>
    </row>
    <row r="689" customFormat="false" ht="15" hidden="false" customHeight="false" outlineLevel="0" collapsed="false">
      <c r="A689" s="0" t="n">
        <v>16</v>
      </c>
      <c r="B689" s="0" t="n">
        <v>28</v>
      </c>
      <c r="C689" s="0" t="n">
        <f aca="false">-1+A689*0.05</f>
        <v>-0.2</v>
      </c>
      <c r="D689" s="0" t="n">
        <f aca="false">-1+B689*0.05</f>
        <v>0.4</v>
      </c>
      <c r="E689" s="0" t="n">
        <f aca="false">1</f>
        <v>1</v>
      </c>
      <c r="F689" s="0" t="n">
        <f aca="false">C689</f>
        <v>-0.2</v>
      </c>
      <c r="G689" s="0" t="n">
        <f aca="false">D689</f>
        <v>0.4</v>
      </c>
      <c r="H689" s="0" t="n">
        <f aca="false">C689*D689</f>
        <v>-0.08</v>
      </c>
      <c r="I689" s="0" t="n">
        <f aca="false">C689*C689</f>
        <v>0.04</v>
      </c>
      <c r="J689" s="0" t="n">
        <f aca="false">D689*D689</f>
        <v>0.16</v>
      </c>
      <c r="K689" s="0" t="n">
        <f aca="false">SUMPRODUCT(E689:J689,_XtX!$B$53:$G$53)</f>
        <v>48.1332183908046</v>
      </c>
      <c r="L689" s="0" t="n">
        <f aca="false">SUMPRODUCT(MMULT(E689:J689,_XtX!$B$44:$G$49),E689:J689)</f>
        <v>0.174050574712644</v>
      </c>
      <c r="M689" s="0" t="n">
        <f aca="false">04_回帰ANOVA!$K$19*04_回帰ANOVA!$K$14*SQRT(1+L689)</f>
        <v>1.46831750045351</v>
      </c>
      <c r="N689" s="0" t="n">
        <f aca="false">K689-M689</f>
        <v>46.6649008903511</v>
      </c>
      <c r="O689" s="0" t="n">
        <f aca="false">K689+M689</f>
        <v>49.6015358912581</v>
      </c>
      <c r="P689" s="54" t="b">
        <f aca="false">AND(C689&gt;=01_因子設定!$L$5-0.000000001,C689&lt;=01_因子設定!$M$5+0.000000001,D689&gt;=01_因子設定!$L$6-0.000000001,D689&lt;=01_因子設定!$M$6+0.000000001,IF(01_因子設定!$B$20="Box-Behnken",C689^2+D689^2&lt;=2+0.000000001,TRUE()))</f>
        <v>1</v>
      </c>
      <c r="Q689" s="55" t="n">
        <f aca="false">IF(P689,IF(01_因子設定!$B$13="最大化",N689-01_因子設定!$B$14,IF(01_因子設定!$B$13="最小化",01_因子設定!$B$15-O689,MIN(N689-01_因子設定!$B$14,01_因子設定!$B$15-O689))),-1E+030)</f>
        <v>0.164900890351085</v>
      </c>
      <c r="R689" s="55" t="n">
        <f aca="false">IF(P689,IF(01_因子設定!$B$13="最大化",K689,IF(01_因子設定!$B$13="最小化",-K689,-ABS(K689-01_因子設定!$B$16))),-1E+030)</f>
        <v>48.1332183908046</v>
      </c>
      <c r="S689" s="55" t="n">
        <f aca="false">Q689+ROW()*0.000000001</f>
        <v>0.164901579351085</v>
      </c>
      <c r="T689" s="55" t="n">
        <f aca="false">R689+ROW()*0.000000001</f>
        <v>48.1332190798046</v>
      </c>
    </row>
    <row r="690" customFormat="false" ht="15" hidden="false" customHeight="false" outlineLevel="0" collapsed="false">
      <c r="A690" s="0" t="n">
        <v>16</v>
      </c>
      <c r="B690" s="0" t="n">
        <v>29</v>
      </c>
      <c r="C690" s="0" t="n">
        <f aca="false">-1+A690*0.05</f>
        <v>-0.2</v>
      </c>
      <c r="D690" s="0" t="n">
        <f aca="false">-1+B690*0.05</f>
        <v>0.45</v>
      </c>
      <c r="E690" s="0" t="n">
        <f aca="false">1</f>
        <v>1</v>
      </c>
      <c r="F690" s="0" t="n">
        <f aca="false">C690</f>
        <v>-0.2</v>
      </c>
      <c r="G690" s="0" t="n">
        <f aca="false">D690</f>
        <v>0.45</v>
      </c>
      <c r="H690" s="0" t="n">
        <f aca="false">C690*D690</f>
        <v>-0.09</v>
      </c>
      <c r="I690" s="0" t="n">
        <f aca="false">C690*C690</f>
        <v>0.04</v>
      </c>
      <c r="J690" s="0" t="n">
        <f aca="false">D690*D690</f>
        <v>0.2025</v>
      </c>
      <c r="K690" s="0" t="n">
        <f aca="false">SUMPRODUCT(E690:J690,_XtX!$B$53:$G$53)</f>
        <v>48.1748864942529</v>
      </c>
      <c r="L690" s="0" t="n">
        <f aca="false">SUMPRODUCT(MMULT(E690:J690,_XtX!$B$44:$G$49),E690:J690)</f>
        <v>0.17787496408046</v>
      </c>
      <c r="M690" s="0" t="n">
        <f aca="false">04_回帰ANOVA!$K$19*04_回帰ANOVA!$K$14*SQRT(1+L690)</f>
        <v>1.47070702797102</v>
      </c>
      <c r="N690" s="0" t="n">
        <f aca="false">K690-M690</f>
        <v>46.7041794662819</v>
      </c>
      <c r="O690" s="0" t="n">
        <f aca="false">K690+M690</f>
        <v>49.6455935222239</v>
      </c>
      <c r="P690" s="54" t="b">
        <f aca="false">AND(C690&gt;=01_因子設定!$L$5-0.000000001,C690&lt;=01_因子設定!$M$5+0.000000001,D690&gt;=01_因子設定!$L$6-0.000000001,D690&lt;=01_因子設定!$M$6+0.000000001,IF(01_因子設定!$B$20="Box-Behnken",C690^2+D690^2&lt;=2+0.000000001,TRUE()))</f>
        <v>1</v>
      </c>
      <c r="Q690" s="55" t="n">
        <f aca="false">IF(P690,IF(01_因子設定!$B$13="最大化",N690-01_因子設定!$B$14,IF(01_因子設定!$B$13="最小化",01_因子設定!$B$15-O690,MIN(N690-01_因子設定!$B$14,01_因子設定!$B$15-O690))),-1E+030)</f>
        <v>0.204179466281857</v>
      </c>
      <c r="R690" s="55" t="n">
        <f aca="false">IF(P690,IF(01_因子設定!$B$13="最大化",K690,IF(01_因子設定!$B$13="最小化",-K690,-ABS(K690-01_因子設定!$B$16))),-1E+030)</f>
        <v>48.1748864942529</v>
      </c>
      <c r="S690" s="55" t="n">
        <f aca="false">Q690+ROW()*0.000000001</f>
        <v>0.204180156281857</v>
      </c>
      <c r="T690" s="55" t="n">
        <f aca="false">R690+ROW()*0.000000001</f>
        <v>48.1748871842529</v>
      </c>
    </row>
    <row r="691" customFormat="false" ht="15" hidden="false" customHeight="false" outlineLevel="0" collapsed="false">
      <c r="A691" s="0" t="n">
        <v>16</v>
      </c>
      <c r="B691" s="0" t="n">
        <v>30</v>
      </c>
      <c r="C691" s="0" t="n">
        <f aca="false">-1+A691*0.05</f>
        <v>-0.2</v>
      </c>
      <c r="D691" s="0" t="n">
        <f aca="false">-1+B691*0.05</f>
        <v>0.5</v>
      </c>
      <c r="E691" s="0" t="n">
        <f aca="false">1</f>
        <v>1</v>
      </c>
      <c r="F691" s="0" t="n">
        <f aca="false">C691</f>
        <v>-0.2</v>
      </c>
      <c r="G691" s="0" t="n">
        <f aca="false">D691</f>
        <v>0.5</v>
      </c>
      <c r="H691" s="0" t="n">
        <f aca="false">C691*D691</f>
        <v>-0.1</v>
      </c>
      <c r="I691" s="0" t="n">
        <f aca="false">C691*C691</f>
        <v>0.04</v>
      </c>
      <c r="J691" s="0" t="n">
        <f aca="false">D691*D691</f>
        <v>0.25</v>
      </c>
      <c r="K691" s="0" t="n">
        <f aca="false">SUMPRODUCT(E691:J691,_XtX!$B$53:$G$53)</f>
        <v>48.2088390804598</v>
      </c>
      <c r="L691" s="0" t="n">
        <f aca="false">SUMPRODUCT(MMULT(E691:J691,_XtX!$B$44:$G$49),E691:J691)</f>
        <v>0.183697126436782</v>
      </c>
      <c r="M691" s="0" t="n">
        <f aca="false">04_回帰ANOVA!$K$19*04_回帰ANOVA!$K$14*SQRT(1+L691)</f>
        <v>1.4743373538588</v>
      </c>
      <c r="N691" s="0" t="n">
        <f aca="false">K691-M691</f>
        <v>46.734501726601</v>
      </c>
      <c r="O691" s="0" t="n">
        <f aca="false">K691+M691</f>
        <v>49.6831764343186</v>
      </c>
      <c r="P691" s="54" t="b">
        <f aca="false">AND(C691&gt;=01_因子設定!$L$5-0.000000001,C691&lt;=01_因子設定!$M$5+0.000000001,D691&gt;=01_因子設定!$L$6-0.000000001,D691&lt;=01_因子設定!$M$6+0.000000001,IF(01_因子設定!$B$20="Box-Behnken",C691^2+D691^2&lt;=2+0.000000001,TRUE()))</f>
        <v>1</v>
      </c>
      <c r="Q691" s="55" t="n">
        <f aca="false">IF(P691,IF(01_因子設定!$B$13="最大化",N691-01_因子設定!$B$14,IF(01_因子設定!$B$13="最小化",01_因子設定!$B$15-O691,MIN(N691-01_因子設定!$B$14,01_因子設定!$B$15-O691))),-1E+030)</f>
        <v>0.234501726600968</v>
      </c>
      <c r="R691" s="55" t="n">
        <f aca="false">IF(P691,IF(01_因子設定!$B$13="最大化",K691,IF(01_因子設定!$B$13="最小化",-K691,-ABS(K691-01_因子設定!$B$16))),-1E+030)</f>
        <v>48.2088390804598</v>
      </c>
      <c r="S691" s="55" t="n">
        <f aca="false">Q691+ROW()*0.000000001</f>
        <v>0.234502417600968</v>
      </c>
      <c r="T691" s="55" t="n">
        <f aca="false">R691+ROW()*0.000000001</f>
        <v>48.2088397714598</v>
      </c>
    </row>
    <row r="692" customFormat="false" ht="15" hidden="false" customHeight="false" outlineLevel="0" collapsed="false">
      <c r="A692" s="0" t="n">
        <v>16</v>
      </c>
      <c r="B692" s="0" t="n">
        <v>31</v>
      </c>
      <c r="C692" s="0" t="n">
        <f aca="false">-1+A692*0.05</f>
        <v>-0.2</v>
      </c>
      <c r="D692" s="0" t="n">
        <f aca="false">-1+B692*0.05</f>
        <v>0.55</v>
      </c>
      <c r="E692" s="0" t="n">
        <f aca="false">1</f>
        <v>1</v>
      </c>
      <c r="F692" s="0" t="n">
        <f aca="false">C692</f>
        <v>-0.2</v>
      </c>
      <c r="G692" s="0" t="n">
        <f aca="false">D692</f>
        <v>0.55</v>
      </c>
      <c r="H692" s="0" t="n">
        <f aca="false">C692*D692</f>
        <v>-0.11</v>
      </c>
      <c r="I692" s="0" t="n">
        <f aca="false">C692*C692</f>
        <v>0.04</v>
      </c>
      <c r="J692" s="0" t="n">
        <f aca="false">D692*D692</f>
        <v>0.3025</v>
      </c>
      <c r="K692" s="0" t="n">
        <f aca="false">SUMPRODUCT(E692:J692,_XtX!$B$53:$G$53)</f>
        <v>48.2350761494253</v>
      </c>
      <c r="L692" s="0" t="n">
        <f aca="false">SUMPRODUCT(MMULT(E692:J692,_XtX!$B$44:$G$49),E692:J692)</f>
        <v>0.192033010057471</v>
      </c>
      <c r="M692" s="0" t="n">
        <f aca="false">04_回帰ANOVA!$K$19*04_回帰ANOVA!$K$14*SQRT(1+L692)</f>
        <v>1.47951956772622</v>
      </c>
      <c r="N692" s="0" t="n">
        <f aca="false">K692-M692</f>
        <v>46.7555565816991</v>
      </c>
      <c r="O692" s="0" t="n">
        <f aca="false">K692+M692</f>
        <v>49.7145957171515</v>
      </c>
      <c r="P692" s="54" t="b">
        <f aca="false">AND(C692&gt;=01_因子設定!$L$5-0.000000001,C692&lt;=01_因子設定!$M$5+0.000000001,D692&gt;=01_因子設定!$L$6-0.000000001,D692&lt;=01_因子設定!$M$6+0.000000001,IF(01_因子設定!$B$20="Box-Behnken",C692^2+D692^2&lt;=2+0.000000001,TRUE()))</f>
        <v>1</v>
      </c>
      <c r="Q692" s="55" t="n">
        <f aca="false">IF(P692,IF(01_因子設定!$B$13="最大化",N692-01_因子設定!$B$14,IF(01_因子設定!$B$13="最小化",01_因子設定!$B$15-O692,MIN(N692-01_因子設定!$B$14,01_因子設定!$B$15-O692))),-1E+030)</f>
        <v>0.255556581699061</v>
      </c>
      <c r="R692" s="55" t="n">
        <f aca="false">IF(P692,IF(01_因子設定!$B$13="最大化",K692,IF(01_因子設定!$B$13="最小化",-K692,-ABS(K692-01_因子設定!$B$16))),-1E+030)</f>
        <v>48.2350761494253</v>
      </c>
      <c r="S692" s="55" t="n">
        <f aca="false">Q692+ROW()*0.000000001</f>
        <v>0.255557273699061</v>
      </c>
      <c r="T692" s="55" t="n">
        <f aca="false">R692+ROW()*0.000000001</f>
        <v>48.2350768414253</v>
      </c>
    </row>
    <row r="693" customFormat="false" ht="15" hidden="false" customHeight="false" outlineLevel="0" collapsed="false">
      <c r="A693" s="0" t="n">
        <v>16</v>
      </c>
      <c r="B693" s="0" t="n">
        <v>32</v>
      </c>
      <c r="C693" s="0" t="n">
        <f aca="false">-1+A693*0.05</f>
        <v>-0.2</v>
      </c>
      <c r="D693" s="0" t="n">
        <f aca="false">-1+B693*0.05</f>
        <v>0.6</v>
      </c>
      <c r="E693" s="0" t="n">
        <f aca="false">1</f>
        <v>1</v>
      </c>
      <c r="F693" s="0" t="n">
        <f aca="false">C693</f>
        <v>-0.2</v>
      </c>
      <c r="G693" s="0" t="n">
        <f aca="false">D693</f>
        <v>0.6</v>
      </c>
      <c r="H693" s="0" t="n">
        <f aca="false">C693*D693</f>
        <v>-0.12</v>
      </c>
      <c r="I693" s="0" t="n">
        <f aca="false">C693*C693</f>
        <v>0.04</v>
      </c>
      <c r="J693" s="0" t="n">
        <f aca="false">D693*D693</f>
        <v>0.36</v>
      </c>
      <c r="K693" s="0" t="n">
        <f aca="false">SUMPRODUCT(E693:J693,_XtX!$B$53:$G$53)</f>
        <v>48.2535977011494</v>
      </c>
      <c r="L693" s="0" t="n">
        <f aca="false">SUMPRODUCT(MMULT(E693:J693,_XtX!$B$44:$G$49),E693:J693)</f>
        <v>0.203452873563218</v>
      </c>
      <c r="M693" s="0" t="n">
        <f aca="false">04_回帰ANOVA!$K$19*04_回帰ANOVA!$K$14*SQRT(1+L693)</f>
        <v>1.48658968981505</v>
      </c>
      <c r="N693" s="0" t="n">
        <f aca="false">K693-M693</f>
        <v>46.7670080113344</v>
      </c>
      <c r="O693" s="0" t="n">
        <f aca="false">K693+M693</f>
        <v>49.7401873909645</v>
      </c>
      <c r="P693" s="54" t="b">
        <f aca="false">AND(C693&gt;=01_因子設定!$L$5-0.000000001,C693&lt;=01_因子設定!$M$5+0.000000001,D693&gt;=01_因子設定!$L$6-0.000000001,D693&lt;=01_因子設定!$M$6+0.000000001,IF(01_因子設定!$B$20="Box-Behnken",C693^2+D693^2&lt;=2+0.000000001,TRUE()))</f>
        <v>1</v>
      </c>
      <c r="Q693" s="55" t="n">
        <f aca="false">IF(P693,IF(01_因子設定!$B$13="最大化",N693-01_因子設定!$B$14,IF(01_因子設定!$B$13="最小化",01_因子設定!$B$15-O693,MIN(N693-01_因子設定!$B$14,01_因子設定!$B$15-O693))),-1E+030)</f>
        <v>0.267008011334369</v>
      </c>
      <c r="R693" s="55" t="n">
        <f aca="false">IF(P693,IF(01_因子設定!$B$13="最大化",K693,IF(01_因子設定!$B$13="最小化",-K693,-ABS(K693-01_因子設定!$B$16))),-1E+030)</f>
        <v>48.2535977011494</v>
      </c>
      <c r="S693" s="55" t="n">
        <f aca="false">Q693+ROW()*0.000000001</f>
        <v>0.267008704334369</v>
      </c>
      <c r="T693" s="55" t="n">
        <f aca="false">R693+ROW()*0.000000001</f>
        <v>48.2535983941494</v>
      </c>
    </row>
    <row r="694" customFormat="false" ht="15" hidden="false" customHeight="false" outlineLevel="0" collapsed="false">
      <c r="A694" s="0" t="n">
        <v>16</v>
      </c>
      <c r="B694" s="0" t="n">
        <v>33</v>
      </c>
      <c r="C694" s="0" t="n">
        <f aca="false">-1+A694*0.05</f>
        <v>-0.2</v>
      </c>
      <c r="D694" s="0" t="n">
        <f aca="false">-1+B694*0.05</f>
        <v>0.65</v>
      </c>
      <c r="E694" s="0" t="n">
        <f aca="false">1</f>
        <v>1</v>
      </c>
      <c r="F694" s="0" t="n">
        <f aca="false">C694</f>
        <v>-0.2</v>
      </c>
      <c r="G694" s="0" t="n">
        <f aca="false">D694</f>
        <v>0.65</v>
      </c>
      <c r="H694" s="0" t="n">
        <f aca="false">C694*D694</f>
        <v>-0.13</v>
      </c>
      <c r="I694" s="0" t="n">
        <f aca="false">C694*C694</f>
        <v>0.04</v>
      </c>
      <c r="J694" s="0" t="n">
        <f aca="false">D694*D694</f>
        <v>0.4225</v>
      </c>
      <c r="K694" s="0" t="n">
        <f aca="false">SUMPRODUCT(E694:J694,_XtX!$B$53:$G$53)</f>
        <v>48.2644037356322</v>
      </c>
      <c r="L694" s="0" t="n">
        <f aca="false">SUMPRODUCT(MMULT(E694:J694,_XtX!$B$44:$G$49),E694:J694)</f>
        <v>0.21858128591954</v>
      </c>
      <c r="M694" s="0" t="n">
        <f aca="false">04_回帰ANOVA!$K$19*04_回帰ANOVA!$K$14*SQRT(1+L694)</f>
        <v>1.49590434782083</v>
      </c>
      <c r="N694" s="0" t="n">
        <f aca="false">K694-M694</f>
        <v>46.7684993878114</v>
      </c>
      <c r="O694" s="0" t="n">
        <f aca="false">K694+M694</f>
        <v>49.760308083453</v>
      </c>
      <c r="P694" s="54" t="b">
        <f aca="false">AND(C694&gt;=01_因子設定!$L$5-0.000000001,C694&lt;=01_因子設定!$M$5+0.000000001,D694&gt;=01_因子設定!$L$6-0.000000001,D694&lt;=01_因子設定!$M$6+0.000000001,IF(01_因子設定!$B$20="Box-Behnken",C694^2+D694^2&lt;=2+0.000000001,TRUE()))</f>
        <v>1</v>
      </c>
      <c r="Q694" s="55" t="n">
        <f aca="false">IF(P694,IF(01_因子設定!$B$13="最大化",N694-01_因子設定!$B$14,IF(01_因子設定!$B$13="最小化",01_因子設定!$B$15-O694,MIN(N694-01_因子設定!$B$14,01_因子設定!$B$15-O694))),-1E+030)</f>
        <v>0.268499387811353</v>
      </c>
      <c r="R694" s="55" t="n">
        <f aca="false">IF(P694,IF(01_因子設定!$B$13="最大化",K694,IF(01_因子設定!$B$13="最小化",-K694,-ABS(K694-01_因子設定!$B$16))),-1E+030)</f>
        <v>48.2644037356322</v>
      </c>
      <c r="S694" s="55" t="n">
        <f aca="false">Q694+ROW()*0.000000001</f>
        <v>0.268500081811353</v>
      </c>
      <c r="T694" s="55" t="n">
        <f aca="false">R694+ROW()*0.000000001</f>
        <v>48.2644044296322</v>
      </c>
    </row>
    <row r="695" customFormat="false" ht="15" hidden="false" customHeight="false" outlineLevel="0" collapsed="false">
      <c r="A695" s="0" t="n">
        <v>16</v>
      </c>
      <c r="B695" s="0" t="n">
        <v>34</v>
      </c>
      <c r="C695" s="0" t="n">
        <f aca="false">-1+A695*0.05</f>
        <v>-0.2</v>
      </c>
      <c r="D695" s="0" t="n">
        <f aca="false">-1+B695*0.05</f>
        <v>0.7</v>
      </c>
      <c r="E695" s="0" t="n">
        <f aca="false">1</f>
        <v>1</v>
      </c>
      <c r="F695" s="0" t="n">
        <f aca="false">C695</f>
        <v>-0.2</v>
      </c>
      <c r="G695" s="0" t="n">
        <f aca="false">D695</f>
        <v>0.7</v>
      </c>
      <c r="H695" s="0" t="n">
        <f aca="false">C695*D695</f>
        <v>-0.14</v>
      </c>
      <c r="I695" s="0" t="n">
        <f aca="false">C695*C695</f>
        <v>0.04</v>
      </c>
      <c r="J695" s="0" t="n">
        <f aca="false">D695*D695</f>
        <v>0.49</v>
      </c>
      <c r="K695" s="0" t="n">
        <f aca="false">SUMPRODUCT(E695:J695,_XtX!$B$53:$G$53)</f>
        <v>48.2674942528736</v>
      </c>
      <c r="L695" s="0" t="n">
        <f aca="false">SUMPRODUCT(MMULT(E695:J695,_XtX!$B$44:$G$49),E695:J695)</f>
        <v>0.238097126436782</v>
      </c>
      <c r="M695" s="0" t="n">
        <f aca="false">04_回帰ANOVA!$K$19*04_回帰ANOVA!$K$14*SQRT(1+L695)</f>
        <v>1.50783538244616</v>
      </c>
      <c r="N695" s="0" t="n">
        <f aca="false">K695-M695</f>
        <v>46.7596588704274</v>
      </c>
      <c r="O695" s="0" t="n">
        <f aca="false">K695+M695</f>
        <v>49.7753296353197</v>
      </c>
      <c r="P695" s="54" t="b">
        <f aca="false">AND(C695&gt;=01_因子設定!$L$5-0.000000001,C695&lt;=01_因子設定!$M$5+0.000000001,D695&gt;=01_因子設定!$L$6-0.000000001,D695&lt;=01_因子設定!$M$6+0.000000001,IF(01_因子設定!$B$20="Box-Behnken",C695^2+D695^2&lt;=2+0.000000001,TRUE()))</f>
        <v>1</v>
      </c>
      <c r="Q695" s="55" t="n">
        <f aca="false">IF(P695,IF(01_因子設定!$B$13="最大化",N695-01_因子設定!$B$14,IF(01_因子設定!$B$13="最小化",01_因子設定!$B$15-O695,MIN(N695-01_因子設定!$B$14,01_因子設定!$B$15-O695))),-1E+030)</f>
        <v>0.259658870427401</v>
      </c>
      <c r="R695" s="55" t="n">
        <f aca="false">IF(P695,IF(01_因子設定!$B$13="最大化",K695,IF(01_因子設定!$B$13="最小化",-K695,-ABS(K695-01_因子設定!$B$16))),-1E+030)</f>
        <v>48.2674942528736</v>
      </c>
      <c r="S695" s="55" t="n">
        <f aca="false">Q695+ROW()*0.000000001</f>
        <v>0.259659565427401</v>
      </c>
      <c r="T695" s="55" t="n">
        <f aca="false">R695+ROW()*0.000000001</f>
        <v>48.2674949478736</v>
      </c>
    </row>
    <row r="696" customFormat="false" ht="15" hidden="false" customHeight="false" outlineLevel="0" collapsed="false">
      <c r="A696" s="0" t="n">
        <v>16</v>
      </c>
      <c r="B696" s="0" t="n">
        <v>35</v>
      </c>
      <c r="C696" s="0" t="n">
        <f aca="false">-1+A696*0.05</f>
        <v>-0.2</v>
      </c>
      <c r="D696" s="0" t="n">
        <f aca="false">-1+B696*0.05</f>
        <v>0.75</v>
      </c>
      <c r="E696" s="0" t="n">
        <f aca="false">1</f>
        <v>1</v>
      </c>
      <c r="F696" s="0" t="n">
        <f aca="false">C696</f>
        <v>-0.2</v>
      </c>
      <c r="G696" s="0" t="n">
        <f aca="false">D696</f>
        <v>0.75</v>
      </c>
      <c r="H696" s="0" t="n">
        <f aca="false">C696*D696</f>
        <v>-0.15</v>
      </c>
      <c r="I696" s="0" t="n">
        <f aca="false">C696*C696</f>
        <v>0.04</v>
      </c>
      <c r="J696" s="0" t="n">
        <f aca="false">D696*D696</f>
        <v>0.5625</v>
      </c>
      <c r="K696" s="0" t="n">
        <f aca="false">SUMPRODUCT(E696:J696,_XtX!$B$53:$G$53)</f>
        <v>48.2628692528736</v>
      </c>
      <c r="L696" s="0" t="n">
        <f aca="false">SUMPRODUCT(MMULT(E696:J696,_XtX!$B$44:$G$49),E696:J696)</f>
        <v>0.262733584770115</v>
      </c>
      <c r="M696" s="0" t="n">
        <f aca="false">04_回帰ANOVA!$K$19*04_回帰ANOVA!$K$14*SQRT(1+L696)</f>
        <v>1.5227634286696</v>
      </c>
      <c r="N696" s="0" t="n">
        <f aca="false">K696-M696</f>
        <v>46.740105824204</v>
      </c>
      <c r="O696" s="0" t="n">
        <f aca="false">K696+M696</f>
        <v>49.7856326815432</v>
      </c>
      <c r="P696" s="54" t="b">
        <f aca="false">AND(C696&gt;=01_因子設定!$L$5-0.000000001,C696&lt;=01_因子設定!$M$5+0.000000001,D696&gt;=01_因子設定!$L$6-0.000000001,D696&lt;=01_因子設定!$M$6+0.000000001,IF(01_因子設定!$B$20="Box-Behnken",C696^2+D696^2&lt;=2+0.000000001,TRUE()))</f>
        <v>1</v>
      </c>
      <c r="Q696" s="55" t="n">
        <f aca="false">IF(P696,IF(01_因子設定!$B$13="最大化",N696-01_因子設定!$B$14,IF(01_因子設定!$B$13="最小化",01_因子設定!$B$15-O696,MIN(N696-01_因子設定!$B$14,01_因子設定!$B$15-O696))),-1E+030)</f>
        <v>0.240105824203965</v>
      </c>
      <c r="R696" s="55" t="n">
        <f aca="false">IF(P696,IF(01_因子設定!$B$13="最大化",K696,IF(01_因子設定!$B$13="最小化",-K696,-ABS(K696-01_因子設定!$B$16))),-1E+030)</f>
        <v>48.2628692528736</v>
      </c>
      <c r="S696" s="55" t="n">
        <f aca="false">Q696+ROW()*0.000000001</f>
        <v>0.240106520203965</v>
      </c>
      <c r="T696" s="55" t="n">
        <f aca="false">R696+ROW()*0.000000001</f>
        <v>48.2628699488736</v>
      </c>
    </row>
    <row r="697" customFormat="false" ht="15" hidden="false" customHeight="false" outlineLevel="0" collapsed="false">
      <c r="A697" s="0" t="n">
        <v>16</v>
      </c>
      <c r="B697" s="0" t="n">
        <v>36</v>
      </c>
      <c r="C697" s="0" t="n">
        <f aca="false">-1+A697*0.05</f>
        <v>-0.2</v>
      </c>
      <c r="D697" s="0" t="n">
        <f aca="false">-1+B697*0.05</f>
        <v>0.8</v>
      </c>
      <c r="E697" s="0" t="n">
        <f aca="false">1</f>
        <v>1</v>
      </c>
      <c r="F697" s="0" t="n">
        <f aca="false">C697</f>
        <v>-0.2</v>
      </c>
      <c r="G697" s="0" t="n">
        <f aca="false">D697</f>
        <v>0.8</v>
      </c>
      <c r="H697" s="0" t="n">
        <f aca="false">C697*D697</f>
        <v>-0.16</v>
      </c>
      <c r="I697" s="0" t="n">
        <f aca="false">C697*C697</f>
        <v>0.04</v>
      </c>
      <c r="J697" s="0" t="n">
        <f aca="false">D697*D697</f>
        <v>0.64</v>
      </c>
      <c r="K697" s="0" t="n">
        <f aca="false">SUMPRODUCT(E697:J697,_XtX!$B$53:$G$53)</f>
        <v>48.2505287356322</v>
      </c>
      <c r="L697" s="0" t="n">
        <f aca="false">SUMPRODUCT(MMULT(E697:J697,_XtX!$B$44:$G$49),E697:J697)</f>
        <v>0.29327816091954</v>
      </c>
      <c r="M697" s="0" t="n">
        <f aca="false">04_回帰ANOVA!$K$19*04_回帰ANOVA!$K$14*SQRT(1+L697)</f>
        <v>1.54107063211196</v>
      </c>
      <c r="N697" s="0" t="n">
        <f aca="false">K697-M697</f>
        <v>46.7094581035202</v>
      </c>
      <c r="O697" s="0" t="n">
        <f aca="false">K697+M697</f>
        <v>49.7915993677441</v>
      </c>
      <c r="P697" s="54" t="b">
        <f aca="false">AND(C697&gt;=01_因子設定!$L$5-0.000000001,C697&lt;=01_因子設定!$M$5+0.000000001,D697&gt;=01_因子設定!$L$6-0.000000001,D697&lt;=01_因子設定!$M$6+0.000000001,IF(01_因子設定!$B$20="Box-Behnken",C697^2+D697^2&lt;=2+0.000000001,TRUE()))</f>
        <v>1</v>
      </c>
      <c r="Q697" s="55" t="n">
        <f aca="false">IF(P697,IF(01_因子設定!$B$13="最大化",N697-01_因子設定!$B$14,IF(01_因子設定!$B$13="最小化",01_因子設定!$B$15-O697,MIN(N697-01_因子設定!$B$14,01_因子設定!$B$15-O697))),-1E+030)</f>
        <v>0.20945810352022</v>
      </c>
      <c r="R697" s="55" t="n">
        <f aca="false">IF(P697,IF(01_因子設定!$B$13="最大化",K697,IF(01_因子設定!$B$13="最小化",-K697,-ABS(K697-01_因子設定!$B$16))),-1E+030)</f>
        <v>48.2505287356322</v>
      </c>
      <c r="S697" s="55" t="n">
        <f aca="false">Q697+ROW()*0.000000001</f>
        <v>0.20945880052022</v>
      </c>
      <c r="T697" s="55" t="n">
        <f aca="false">R697+ROW()*0.000000001</f>
        <v>48.2505294326322</v>
      </c>
    </row>
    <row r="698" customFormat="false" ht="15" hidden="false" customHeight="false" outlineLevel="0" collapsed="false">
      <c r="A698" s="0" t="n">
        <v>16</v>
      </c>
      <c r="B698" s="0" t="n">
        <v>37</v>
      </c>
      <c r="C698" s="0" t="n">
        <f aca="false">-1+A698*0.05</f>
        <v>-0.2</v>
      </c>
      <c r="D698" s="0" t="n">
        <f aca="false">-1+B698*0.05</f>
        <v>0.85</v>
      </c>
      <c r="E698" s="0" t="n">
        <f aca="false">1</f>
        <v>1</v>
      </c>
      <c r="F698" s="0" t="n">
        <f aca="false">C698</f>
        <v>-0.2</v>
      </c>
      <c r="G698" s="0" t="n">
        <f aca="false">D698</f>
        <v>0.85</v>
      </c>
      <c r="H698" s="0" t="n">
        <f aca="false">C698*D698</f>
        <v>-0.17</v>
      </c>
      <c r="I698" s="0" t="n">
        <f aca="false">C698*C698</f>
        <v>0.04</v>
      </c>
      <c r="J698" s="0" t="n">
        <f aca="false">D698*D698</f>
        <v>0.7225</v>
      </c>
      <c r="K698" s="0" t="n">
        <f aca="false">SUMPRODUCT(E698:J698,_XtX!$B$53:$G$53)</f>
        <v>48.2304727011494</v>
      </c>
      <c r="L698" s="0" t="n">
        <f aca="false">SUMPRODUCT(MMULT(E698:J698,_XtX!$B$44:$G$49),E698:J698)</f>
        <v>0.330572665229885</v>
      </c>
      <c r="M698" s="0" t="n">
        <f aca="false">04_回帰ANOVA!$K$19*04_回帰ANOVA!$K$14*SQRT(1+L698)</f>
        <v>1.56313278103216</v>
      </c>
      <c r="N698" s="0" t="n">
        <f aca="false">K698-M698</f>
        <v>46.6673399201173</v>
      </c>
      <c r="O698" s="0" t="n">
        <f aca="false">K698+M698</f>
        <v>49.7936054821816</v>
      </c>
      <c r="P698" s="54" t="b">
        <f aca="false">AND(C698&gt;=01_因子設定!$L$5-0.000000001,C698&lt;=01_因子設定!$M$5+0.000000001,D698&gt;=01_因子設定!$L$6-0.000000001,D698&lt;=01_因子設定!$M$6+0.000000001,IF(01_因子設定!$B$20="Box-Behnken",C698^2+D698^2&lt;=2+0.000000001,TRUE()))</f>
        <v>1</v>
      </c>
      <c r="Q698" s="55" t="n">
        <f aca="false">IF(P698,IF(01_因子設定!$B$13="最大化",N698-01_因子設定!$B$14,IF(01_因子設定!$B$13="最小化",01_因子設定!$B$15-O698,MIN(N698-01_因子設定!$B$14,01_因子設定!$B$15-O698))),-1E+030)</f>
        <v>0.167339920117264</v>
      </c>
      <c r="R698" s="55" t="n">
        <f aca="false">IF(P698,IF(01_因子設定!$B$13="最大化",K698,IF(01_因子設定!$B$13="最小化",-K698,-ABS(K698-01_因子設定!$B$16))),-1E+030)</f>
        <v>48.2304727011494</v>
      </c>
      <c r="S698" s="55" t="n">
        <f aca="false">Q698+ROW()*0.000000001</f>
        <v>0.167340618117264</v>
      </c>
      <c r="T698" s="55" t="n">
        <f aca="false">R698+ROW()*0.000000001</f>
        <v>48.2304733991494</v>
      </c>
    </row>
    <row r="699" customFormat="false" ht="15" hidden="false" customHeight="false" outlineLevel="0" collapsed="false">
      <c r="A699" s="0" t="n">
        <v>16</v>
      </c>
      <c r="B699" s="0" t="n">
        <v>38</v>
      </c>
      <c r="C699" s="0" t="n">
        <f aca="false">-1+A699*0.05</f>
        <v>-0.2</v>
      </c>
      <c r="D699" s="0" t="n">
        <f aca="false">-1+B699*0.05</f>
        <v>0.9</v>
      </c>
      <c r="E699" s="0" t="n">
        <f aca="false">1</f>
        <v>1</v>
      </c>
      <c r="F699" s="0" t="n">
        <f aca="false">C699</f>
        <v>-0.2</v>
      </c>
      <c r="G699" s="0" t="n">
        <f aca="false">D699</f>
        <v>0.9</v>
      </c>
      <c r="H699" s="0" t="n">
        <f aca="false">C699*D699</f>
        <v>-0.18</v>
      </c>
      <c r="I699" s="0" t="n">
        <f aca="false">C699*C699</f>
        <v>0.04</v>
      </c>
      <c r="J699" s="0" t="n">
        <f aca="false">D699*D699</f>
        <v>0.81</v>
      </c>
      <c r="K699" s="0" t="n">
        <f aca="false">SUMPRODUCT(E699:J699,_XtX!$B$53:$G$53)</f>
        <v>48.2027011494253</v>
      </c>
      <c r="L699" s="0" t="n">
        <f aca="false">SUMPRODUCT(MMULT(E699:J699,_XtX!$B$44:$G$49),E699:J699)</f>
        <v>0.375513218390805</v>
      </c>
      <c r="M699" s="0" t="n">
        <f aca="false">04_回帰ANOVA!$K$19*04_回帰ANOVA!$K$14*SQRT(1+L699)</f>
        <v>1.58931124581991</v>
      </c>
      <c r="N699" s="0" t="n">
        <f aca="false">K699-M699</f>
        <v>46.6133899036054</v>
      </c>
      <c r="O699" s="0" t="n">
        <f aca="false">K699+M699</f>
        <v>49.7920123952452</v>
      </c>
      <c r="P699" s="54" t="b">
        <f aca="false">AND(C699&gt;=01_因子設定!$L$5-0.000000001,C699&lt;=01_因子設定!$M$5+0.000000001,D699&gt;=01_因子設定!$L$6-0.000000001,D699&lt;=01_因子設定!$M$6+0.000000001,IF(01_因子設定!$B$20="Box-Behnken",C699^2+D699^2&lt;=2+0.000000001,TRUE()))</f>
        <v>1</v>
      </c>
      <c r="Q699" s="55" t="n">
        <f aca="false">IF(P699,IF(01_因子設定!$B$13="最大化",N699-01_因子設定!$B$14,IF(01_因子設定!$B$13="最小化",01_因子設定!$B$15-O699,MIN(N699-01_因子設定!$B$14,01_因子設定!$B$15-O699))),-1E+030)</f>
        <v>0.11338990360538</v>
      </c>
      <c r="R699" s="55" t="n">
        <f aca="false">IF(P699,IF(01_因子設定!$B$13="最大化",K699,IF(01_因子設定!$B$13="最小化",-K699,-ABS(K699-01_因子設定!$B$16))),-1E+030)</f>
        <v>48.2027011494253</v>
      </c>
      <c r="S699" s="55" t="n">
        <f aca="false">Q699+ROW()*0.000000001</f>
        <v>0.11339060260538</v>
      </c>
      <c r="T699" s="55" t="n">
        <f aca="false">R699+ROW()*0.000000001</f>
        <v>48.2027018484253</v>
      </c>
    </row>
    <row r="700" customFormat="false" ht="15" hidden="false" customHeight="false" outlineLevel="0" collapsed="false">
      <c r="A700" s="0" t="n">
        <v>16</v>
      </c>
      <c r="B700" s="0" t="n">
        <v>39</v>
      </c>
      <c r="C700" s="0" t="n">
        <f aca="false">-1+A700*0.05</f>
        <v>-0.2</v>
      </c>
      <c r="D700" s="0" t="n">
        <f aca="false">-1+B700*0.05</f>
        <v>0.95</v>
      </c>
      <c r="E700" s="0" t="n">
        <f aca="false">1</f>
        <v>1</v>
      </c>
      <c r="F700" s="0" t="n">
        <f aca="false">C700</f>
        <v>-0.2</v>
      </c>
      <c r="G700" s="0" t="n">
        <f aca="false">D700</f>
        <v>0.95</v>
      </c>
      <c r="H700" s="0" t="n">
        <f aca="false">C700*D700</f>
        <v>-0.19</v>
      </c>
      <c r="I700" s="0" t="n">
        <f aca="false">C700*C700</f>
        <v>0.04</v>
      </c>
      <c r="J700" s="0" t="n">
        <f aca="false">D700*D700</f>
        <v>0.9025</v>
      </c>
      <c r="K700" s="0" t="n">
        <f aca="false">SUMPRODUCT(E700:J700,_XtX!$B$53:$G$53)</f>
        <v>48.1672140804598</v>
      </c>
      <c r="L700" s="0" t="n">
        <f aca="false">SUMPRODUCT(MMULT(E700:J700,_XtX!$B$44:$G$49),E700:J700)</f>
        <v>0.429050251436782</v>
      </c>
      <c r="M700" s="0" t="n">
        <f aca="false">04_回帰ANOVA!$K$19*04_回帰ANOVA!$K$14*SQRT(1+L700)</f>
        <v>1.61994519745048</v>
      </c>
      <c r="N700" s="0" t="n">
        <f aca="false">K700-M700</f>
        <v>46.5472688830093</v>
      </c>
      <c r="O700" s="0" t="n">
        <f aca="false">K700+M700</f>
        <v>49.7871592779103</v>
      </c>
      <c r="P700" s="54" t="b">
        <f aca="false">AND(C700&gt;=01_因子設定!$L$5-0.000000001,C700&lt;=01_因子設定!$M$5+0.000000001,D700&gt;=01_因子設定!$L$6-0.000000001,D700&lt;=01_因子設定!$M$6+0.000000001,IF(01_因子設定!$B$20="Box-Behnken",C700^2+D700^2&lt;=2+0.000000001,TRUE()))</f>
        <v>1</v>
      </c>
      <c r="Q700" s="55" t="n">
        <f aca="false">IF(P700,IF(01_因子設定!$B$13="最大化",N700-01_因子設定!$B$14,IF(01_因子設定!$B$13="最小化",01_因子設定!$B$15-O700,MIN(N700-01_因子設定!$B$14,01_因子設定!$B$15-O700))),-1E+030)</f>
        <v>0.0472688830092949</v>
      </c>
      <c r="R700" s="55" t="n">
        <f aca="false">IF(P700,IF(01_因子設定!$B$13="最大化",K700,IF(01_因子設定!$B$13="最小化",-K700,-ABS(K700-01_因子設定!$B$16))),-1E+030)</f>
        <v>48.1672140804598</v>
      </c>
      <c r="S700" s="55" t="n">
        <f aca="false">Q700+ROW()*0.000000001</f>
        <v>0.0472695830092949</v>
      </c>
      <c r="T700" s="55" t="n">
        <f aca="false">R700+ROW()*0.000000001</f>
        <v>48.1672147804598</v>
      </c>
    </row>
    <row r="701" customFormat="false" ht="15" hidden="false" customHeight="false" outlineLevel="0" collapsed="false">
      <c r="A701" s="0" t="n">
        <v>16</v>
      </c>
      <c r="B701" s="0" t="n">
        <v>40</v>
      </c>
      <c r="C701" s="0" t="n">
        <f aca="false">-1+A701*0.05</f>
        <v>-0.2</v>
      </c>
      <c r="D701" s="0" t="n">
        <f aca="false">-1+B701*0.05</f>
        <v>1</v>
      </c>
      <c r="E701" s="0" t="n">
        <f aca="false">1</f>
        <v>1</v>
      </c>
      <c r="F701" s="0" t="n">
        <f aca="false">C701</f>
        <v>-0.2</v>
      </c>
      <c r="G701" s="0" t="n">
        <f aca="false">D701</f>
        <v>1</v>
      </c>
      <c r="H701" s="0" t="n">
        <f aca="false">C701*D701</f>
        <v>-0.2</v>
      </c>
      <c r="I701" s="0" t="n">
        <f aca="false">C701*C701</f>
        <v>0.04</v>
      </c>
      <c r="J701" s="0" t="n">
        <f aca="false">D701*D701</f>
        <v>1</v>
      </c>
      <c r="K701" s="0" t="n">
        <f aca="false">SUMPRODUCT(E701:J701,_XtX!$B$53:$G$53)</f>
        <v>48.1240114942529</v>
      </c>
      <c r="L701" s="0" t="n">
        <f aca="false">SUMPRODUCT(MMULT(E701:J701,_XtX!$B$44:$G$49),E701:J701)</f>
        <v>0.492188505747126</v>
      </c>
      <c r="M701" s="0" t="n">
        <f aca="false">04_回帰ANOVA!$K$19*04_回帰ANOVA!$K$14*SQRT(1+L701)</f>
        <v>1.65534460403123</v>
      </c>
      <c r="N701" s="0" t="n">
        <f aca="false">K701-M701</f>
        <v>46.4686668902217</v>
      </c>
      <c r="O701" s="0" t="n">
        <f aca="false">K701+M701</f>
        <v>49.7793560982841</v>
      </c>
      <c r="P701" s="54" t="b">
        <f aca="false">AND(C701&gt;=01_因子設定!$L$5-0.000000001,C701&lt;=01_因子設定!$M$5+0.000000001,D701&gt;=01_因子設定!$L$6-0.000000001,D701&lt;=01_因子設定!$M$6+0.000000001,IF(01_因子設定!$B$20="Box-Behnken",C701^2+D701^2&lt;=2+0.000000001,TRUE()))</f>
        <v>1</v>
      </c>
      <c r="Q701" s="55" t="n">
        <f aca="false">IF(P701,IF(01_因子設定!$B$13="最大化",N701-01_因子設定!$B$14,IF(01_因子設定!$B$13="最小化",01_因子設定!$B$15-O701,MIN(N701-01_因子設定!$B$14,01_因子設定!$B$15-O701))),-1E+030)</f>
        <v>-0.0313331097783518</v>
      </c>
      <c r="R701" s="55" t="n">
        <f aca="false">IF(P701,IF(01_因子設定!$B$13="最大化",K701,IF(01_因子設定!$B$13="最小化",-K701,-ABS(K701-01_因子設定!$B$16))),-1E+030)</f>
        <v>48.1240114942529</v>
      </c>
      <c r="S701" s="55" t="n">
        <f aca="false">Q701+ROW()*0.000000001</f>
        <v>-0.0313324087783518</v>
      </c>
      <c r="T701" s="55" t="n">
        <f aca="false">R701+ROW()*0.000000001</f>
        <v>48.1240121952529</v>
      </c>
    </row>
    <row r="702" customFormat="false" ht="15" hidden="false" customHeight="false" outlineLevel="0" collapsed="false">
      <c r="A702" s="0" t="n">
        <v>17</v>
      </c>
      <c r="B702" s="0" t="n">
        <v>0</v>
      </c>
      <c r="C702" s="0" t="n">
        <f aca="false">-1+A702*0.05</f>
        <v>-0.15</v>
      </c>
      <c r="D702" s="0" t="n">
        <f aca="false">-1+B702*0.05</f>
        <v>-1</v>
      </c>
      <c r="E702" s="0" t="n">
        <f aca="false">1</f>
        <v>1</v>
      </c>
      <c r="F702" s="0" t="n">
        <f aca="false">C702</f>
        <v>-0.15</v>
      </c>
      <c r="G702" s="0" t="n">
        <f aca="false">D702</f>
        <v>-1</v>
      </c>
      <c r="H702" s="0" t="n">
        <f aca="false">C702*D702</f>
        <v>0.15</v>
      </c>
      <c r="I702" s="0" t="n">
        <f aca="false">C702*C702</f>
        <v>0.0225</v>
      </c>
      <c r="J702" s="0" t="n">
        <f aca="false">D702*D702</f>
        <v>1</v>
      </c>
      <c r="K702" s="0" t="n">
        <f aca="false">SUMPRODUCT(E702:J702,_XtX!$B$53:$G$53)</f>
        <v>43.961599137931</v>
      </c>
      <c r="L702" s="0" t="n">
        <f aca="false">SUMPRODUCT(MMULT(E702:J702,_XtX!$B$44:$G$49),E702:J702)</f>
        <v>0.492949102011494</v>
      </c>
      <c r="M702" s="0" t="n">
        <f aca="false">04_回帰ANOVA!$K$19*04_回帰ANOVA!$K$14*SQRT(1+L702)</f>
        <v>1.65576643026763</v>
      </c>
      <c r="N702" s="0" t="n">
        <f aca="false">K702-M702</f>
        <v>42.3058327076634</v>
      </c>
      <c r="O702" s="0" t="n">
        <f aca="false">K702+M702</f>
        <v>45.6173655681987</v>
      </c>
      <c r="P702" s="54" t="b">
        <f aca="false">AND(C702&gt;=01_因子設定!$L$5-0.000000001,C702&lt;=01_因子設定!$M$5+0.000000001,D702&gt;=01_因子設定!$L$6-0.000000001,D702&lt;=01_因子設定!$M$6+0.000000001,IF(01_因子設定!$B$20="Box-Behnken",C702^2+D702^2&lt;=2+0.000000001,TRUE()))</f>
        <v>1</v>
      </c>
      <c r="Q702" s="55" t="n">
        <f aca="false">IF(P702,IF(01_因子設定!$B$13="最大化",N702-01_因子設定!$B$14,IF(01_因子設定!$B$13="最小化",01_因子設定!$B$15-O702,MIN(N702-01_因子設定!$B$14,01_因子設定!$B$15-O702))),-1E+030)</f>
        <v>-4.19416729233659</v>
      </c>
      <c r="R702" s="55" t="n">
        <f aca="false">IF(P702,IF(01_因子設定!$B$13="最大化",K702,IF(01_因子設定!$B$13="最小化",-K702,-ABS(K702-01_因子設定!$B$16))),-1E+030)</f>
        <v>43.961599137931</v>
      </c>
      <c r="S702" s="55" t="n">
        <f aca="false">Q702+ROW()*0.000000001</f>
        <v>-4.19416659033659</v>
      </c>
      <c r="T702" s="55" t="n">
        <f aca="false">R702+ROW()*0.000000001</f>
        <v>43.961599839931</v>
      </c>
    </row>
    <row r="703" customFormat="false" ht="15" hidden="false" customHeight="false" outlineLevel="0" collapsed="false">
      <c r="A703" s="0" t="n">
        <v>17</v>
      </c>
      <c r="B703" s="0" t="n">
        <v>1</v>
      </c>
      <c r="C703" s="0" t="n">
        <f aca="false">-1+A703*0.05</f>
        <v>-0.15</v>
      </c>
      <c r="D703" s="0" t="n">
        <f aca="false">-1+B703*0.05</f>
        <v>-0.95</v>
      </c>
      <c r="E703" s="0" t="n">
        <f aca="false">1</f>
        <v>1</v>
      </c>
      <c r="F703" s="0" t="n">
        <f aca="false">C703</f>
        <v>-0.15</v>
      </c>
      <c r="G703" s="0" t="n">
        <f aca="false">D703</f>
        <v>-0.95</v>
      </c>
      <c r="H703" s="0" t="n">
        <f aca="false">C703*D703</f>
        <v>0.1425</v>
      </c>
      <c r="I703" s="0" t="n">
        <f aca="false">C703*C703</f>
        <v>0.0225</v>
      </c>
      <c r="J703" s="0" t="n">
        <f aca="false">D703*D703</f>
        <v>0.9025</v>
      </c>
      <c r="K703" s="0" t="n">
        <f aca="false">SUMPRODUCT(E703:J703,_XtX!$B$53:$G$53)</f>
        <v>44.2206142241379</v>
      </c>
      <c r="L703" s="0" t="n">
        <f aca="false">SUMPRODUCT(MMULT(E703:J703,_XtX!$B$44:$G$49),E703:J703)</f>
        <v>0.429766720545977</v>
      </c>
      <c r="M703" s="0" t="n">
        <f aca="false">04_回帰ANOVA!$K$19*04_回帰ANOVA!$K$14*SQRT(1+L703)</f>
        <v>1.62035123469551</v>
      </c>
      <c r="N703" s="0" t="n">
        <f aca="false">K703-M703</f>
        <v>42.6002629894424</v>
      </c>
      <c r="O703" s="0" t="n">
        <f aca="false">K703+M703</f>
        <v>45.8409654588334</v>
      </c>
      <c r="P703" s="54" t="b">
        <f aca="false">AND(C703&gt;=01_因子設定!$L$5-0.000000001,C703&lt;=01_因子設定!$M$5+0.000000001,D703&gt;=01_因子設定!$L$6-0.000000001,D703&lt;=01_因子設定!$M$6+0.000000001,IF(01_因子設定!$B$20="Box-Behnken",C703^2+D703^2&lt;=2+0.000000001,TRUE()))</f>
        <v>1</v>
      </c>
      <c r="Q703" s="55" t="n">
        <f aca="false">IF(P703,IF(01_因子設定!$B$13="最大化",N703-01_因子設定!$B$14,IF(01_因子設定!$B$13="最小化",01_因子設定!$B$15-O703,MIN(N703-01_因子設定!$B$14,01_因子設定!$B$15-O703))),-1E+030)</f>
        <v>-3.89973701055758</v>
      </c>
      <c r="R703" s="55" t="n">
        <f aca="false">IF(P703,IF(01_因子設定!$B$13="最大化",K703,IF(01_因子設定!$B$13="最小化",-K703,-ABS(K703-01_因子設定!$B$16))),-1E+030)</f>
        <v>44.2206142241379</v>
      </c>
      <c r="S703" s="55" t="n">
        <f aca="false">Q703+ROW()*0.000000001</f>
        <v>-3.89973630755758</v>
      </c>
      <c r="T703" s="55" t="n">
        <f aca="false">R703+ROW()*0.000000001</f>
        <v>44.2206149271379</v>
      </c>
    </row>
    <row r="704" customFormat="false" ht="15" hidden="false" customHeight="false" outlineLevel="0" collapsed="false">
      <c r="A704" s="0" t="n">
        <v>17</v>
      </c>
      <c r="B704" s="0" t="n">
        <v>2</v>
      </c>
      <c r="C704" s="0" t="n">
        <f aca="false">-1+A704*0.05</f>
        <v>-0.15</v>
      </c>
      <c r="D704" s="0" t="n">
        <f aca="false">-1+B704*0.05</f>
        <v>-0.9</v>
      </c>
      <c r="E704" s="0" t="n">
        <f aca="false">1</f>
        <v>1</v>
      </c>
      <c r="F704" s="0" t="n">
        <f aca="false">C704</f>
        <v>-0.15</v>
      </c>
      <c r="G704" s="0" t="n">
        <f aca="false">D704</f>
        <v>-0.9</v>
      </c>
      <c r="H704" s="0" t="n">
        <f aca="false">C704*D704</f>
        <v>0.135</v>
      </c>
      <c r="I704" s="0" t="n">
        <f aca="false">C704*C704</f>
        <v>0.0225</v>
      </c>
      <c r="J704" s="0" t="n">
        <f aca="false">D704*D704</f>
        <v>0.81</v>
      </c>
      <c r="K704" s="0" t="n">
        <f aca="false">SUMPRODUCT(E704:J704,_XtX!$B$53:$G$53)</f>
        <v>44.4719137931035</v>
      </c>
      <c r="L704" s="0" t="n">
        <f aca="false">SUMPRODUCT(MMULT(E704:J704,_XtX!$B$44:$G$49),E704:J704)</f>
        <v>0.376187823275862</v>
      </c>
      <c r="M704" s="0" t="n">
        <f aca="false">04_回帰ANOVA!$K$19*04_回帰ANOVA!$K$14*SQRT(1+L704)</f>
        <v>1.58970092790052</v>
      </c>
      <c r="N704" s="0" t="n">
        <f aca="false">K704-M704</f>
        <v>42.8822128652029</v>
      </c>
      <c r="O704" s="0" t="n">
        <f aca="false">K704+M704</f>
        <v>46.061614721004</v>
      </c>
      <c r="P704" s="54" t="b">
        <f aca="false">AND(C704&gt;=01_因子設定!$L$5-0.000000001,C704&lt;=01_因子設定!$M$5+0.000000001,D704&gt;=01_因子設定!$L$6-0.000000001,D704&lt;=01_因子設定!$M$6+0.000000001,IF(01_因子設定!$B$20="Box-Behnken",C704^2+D704^2&lt;=2+0.000000001,TRUE()))</f>
        <v>1</v>
      </c>
      <c r="Q704" s="55" t="n">
        <f aca="false">IF(P704,IF(01_因子設定!$B$13="最大化",N704-01_因子設定!$B$14,IF(01_因子設定!$B$13="最小化",01_因子設定!$B$15-O704,MIN(N704-01_因子設定!$B$14,01_因子設定!$B$15-O704))),-1E+030)</f>
        <v>-3.61778713479706</v>
      </c>
      <c r="R704" s="55" t="n">
        <f aca="false">IF(P704,IF(01_因子設定!$B$13="最大化",K704,IF(01_因子設定!$B$13="最小化",-K704,-ABS(K704-01_因子設定!$B$16))),-1E+030)</f>
        <v>44.4719137931035</v>
      </c>
      <c r="S704" s="55" t="n">
        <f aca="false">Q704+ROW()*0.000000001</f>
        <v>-3.61778643079706</v>
      </c>
      <c r="T704" s="55" t="n">
        <f aca="false">R704+ROW()*0.000000001</f>
        <v>44.4719144971035</v>
      </c>
    </row>
    <row r="705" customFormat="false" ht="15" hidden="false" customHeight="false" outlineLevel="0" collapsed="false">
      <c r="A705" s="0" t="n">
        <v>17</v>
      </c>
      <c r="B705" s="0" t="n">
        <v>3</v>
      </c>
      <c r="C705" s="0" t="n">
        <f aca="false">-1+A705*0.05</f>
        <v>-0.15</v>
      </c>
      <c r="D705" s="0" t="n">
        <f aca="false">-1+B705*0.05</f>
        <v>-0.85</v>
      </c>
      <c r="E705" s="0" t="n">
        <f aca="false">1</f>
        <v>1</v>
      </c>
      <c r="F705" s="0" t="n">
        <f aca="false">C705</f>
        <v>-0.15</v>
      </c>
      <c r="G705" s="0" t="n">
        <f aca="false">D705</f>
        <v>-0.85</v>
      </c>
      <c r="H705" s="0" t="n">
        <f aca="false">C705*D705</f>
        <v>0.1275</v>
      </c>
      <c r="I705" s="0" t="n">
        <f aca="false">C705*C705</f>
        <v>0.0225</v>
      </c>
      <c r="J705" s="0" t="n">
        <f aca="false">D705*D705</f>
        <v>0.7225</v>
      </c>
      <c r="K705" s="0" t="n">
        <f aca="false">SUMPRODUCT(E705:J705,_XtX!$B$53:$G$53)</f>
        <v>44.7154978448276</v>
      </c>
      <c r="L705" s="0" t="n">
        <f aca="false">SUMPRODUCT(MMULT(E705:J705,_XtX!$B$44:$G$49),E705:J705)</f>
        <v>0.331207668821839</v>
      </c>
      <c r="M705" s="0" t="n">
        <f aca="false">04_回帰ANOVA!$K$19*04_回帰ANOVA!$K$14*SQRT(1+L705)</f>
        <v>1.56350573192697</v>
      </c>
      <c r="N705" s="0" t="n">
        <f aca="false">K705-M705</f>
        <v>43.1519921129006</v>
      </c>
      <c r="O705" s="0" t="n">
        <f aca="false">K705+M705</f>
        <v>46.2790035767546</v>
      </c>
      <c r="P705" s="54" t="b">
        <f aca="false">AND(C705&gt;=01_因子設定!$L$5-0.000000001,C705&lt;=01_因子設定!$M$5+0.000000001,D705&gt;=01_因子設定!$L$6-0.000000001,D705&lt;=01_因子設定!$M$6+0.000000001,IF(01_因子設定!$B$20="Box-Behnken",C705^2+D705^2&lt;=2+0.000000001,TRUE()))</f>
        <v>1</v>
      </c>
      <c r="Q705" s="55" t="n">
        <f aca="false">IF(P705,IF(01_因子設定!$B$13="最大化",N705-01_因子設定!$B$14,IF(01_因子設定!$B$13="最小化",01_因子設定!$B$15-O705,MIN(N705-01_因子設定!$B$14,01_因子設定!$B$15-O705))),-1E+030)</f>
        <v>-3.34800788709938</v>
      </c>
      <c r="R705" s="55" t="n">
        <f aca="false">IF(P705,IF(01_因子設定!$B$13="最大化",K705,IF(01_因子設定!$B$13="最小化",-K705,-ABS(K705-01_因子設定!$B$16))),-1E+030)</f>
        <v>44.7154978448276</v>
      </c>
      <c r="S705" s="55" t="n">
        <f aca="false">Q705+ROW()*0.000000001</f>
        <v>-3.34800718209938</v>
      </c>
      <c r="T705" s="55" t="n">
        <f aca="false">R705+ROW()*0.000000001</f>
        <v>44.7154985498276</v>
      </c>
    </row>
    <row r="706" customFormat="false" ht="15" hidden="false" customHeight="false" outlineLevel="0" collapsed="false">
      <c r="A706" s="0" t="n">
        <v>17</v>
      </c>
      <c r="B706" s="0" t="n">
        <v>4</v>
      </c>
      <c r="C706" s="0" t="n">
        <f aca="false">-1+A706*0.05</f>
        <v>-0.15</v>
      </c>
      <c r="D706" s="0" t="n">
        <f aca="false">-1+B706*0.05</f>
        <v>-0.8</v>
      </c>
      <c r="E706" s="0" t="n">
        <f aca="false">1</f>
        <v>1</v>
      </c>
      <c r="F706" s="0" t="n">
        <f aca="false">C706</f>
        <v>-0.15</v>
      </c>
      <c r="G706" s="0" t="n">
        <f aca="false">D706</f>
        <v>-0.8</v>
      </c>
      <c r="H706" s="0" t="n">
        <f aca="false">C706*D706</f>
        <v>0.12</v>
      </c>
      <c r="I706" s="0" t="n">
        <f aca="false">C706*C706</f>
        <v>0.0225</v>
      </c>
      <c r="J706" s="0" t="n">
        <f aca="false">D706*D706</f>
        <v>0.64</v>
      </c>
      <c r="K706" s="0" t="n">
        <f aca="false">SUMPRODUCT(E706:J706,_XtX!$B$53:$G$53)</f>
        <v>44.9513663793103</v>
      </c>
      <c r="L706" s="0" t="n">
        <f aca="false">SUMPRODUCT(MMULT(E706:J706,_XtX!$B$44:$G$49),E706:J706)</f>
        <v>0.293875826149425</v>
      </c>
      <c r="M706" s="0" t="n">
        <f aca="false">04_回帰ANOVA!$K$19*04_回帰ANOVA!$K$14*SQRT(1+L706)</f>
        <v>1.54142668001218</v>
      </c>
      <c r="N706" s="0" t="n">
        <f aca="false">K706-M706</f>
        <v>43.4099396992982</v>
      </c>
      <c r="O706" s="0" t="n">
        <f aca="false">K706+M706</f>
        <v>46.4927930593225</v>
      </c>
      <c r="P706" s="54" t="b">
        <f aca="false">AND(C706&gt;=01_因子設定!$L$5-0.000000001,C706&lt;=01_因子設定!$M$5+0.000000001,D706&gt;=01_因子設定!$L$6-0.000000001,D706&lt;=01_因子設定!$M$6+0.000000001,IF(01_因子設定!$B$20="Box-Behnken",C706^2+D706^2&lt;=2+0.000000001,TRUE()))</f>
        <v>1</v>
      </c>
      <c r="Q706" s="55" t="n">
        <f aca="false">IF(P706,IF(01_因子設定!$B$13="最大化",N706-01_因子設定!$B$14,IF(01_因子設定!$B$13="最小化",01_因子設定!$B$15-O706,MIN(N706-01_因子設定!$B$14,01_因子設定!$B$15-O706))),-1E+030)</f>
        <v>-3.09006030070183</v>
      </c>
      <c r="R706" s="55" t="n">
        <f aca="false">IF(P706,IF(01_因子設定!$B$13="最大化",K706,IF(01_因子設定!$B$13="最小化",-K706,-ABS(K706-01_因子設定!$B$16))),-1E+030)</f>
        <v>44.9513663793103</v>
      </c>
      <c r="S706" s="55" t="n">
        <f aca="false">Q706+ROW()*0.000000001</f>
        <v>-3.09005959470183</v>
      </c>
      <c r="T706" s="55" t="n">
        <f aca="false">R706+ROW()*0.000000001</f>
        <v>44.9513670853103</v>
      </c>
    </row>
    <row r="707" customFormat="false" ht="15" hidden="false" customHeight="false" outlineLevel="0" collapsed="false">
      <c r="A707" s="0" t="n">
        <v>17</v>
      </c>
      <c r="B707" s="0" t="n">
        <v>5</v>
      </c>
      <c r="C707" s="0" t="n">
        <f aca="false">-1+A707*0.05</f>
        <v>-0.15</v>
      </c>
      <c r="D707" s="0" t="n">
        <f aca="false">-1+B707*0.05</f>
        <v>-0.75</v>
      </c>
      <c r="E707" s="0" t="n">
        <f aca="false">1</f>
        <v>1</v>
      </c>
      <c r="F707" s="0" t="n">
        <f aca="false">C707</f>
        <v>-0.15</v>
      </c>
      <c r="G707" s="0" t="n">
        <f aca="false">D707</f>
        <v>-0.75</v>
      </c>
      <c r="H707" s="0" t="n">
        <f aca="false">C707*D707</f>
        <v>0.1125</v>
      </c>
      <c r="I707" s="0" t="n">
        <f aca="false">C707*C707</f>
        <v>0.0225</v>
      </c>
      <c r="J707" s="0" t="n">
        <f aca="false">D707*D707</f>
        <v>0.5625</v>
      </c>
      <c r="K707" s="0" t="n">
        <f aca="false">SUMPRODUCT(E707:J707,_XtX!$B$53:$G$53)</f>
        <v>45.1795193965517</v>
      </c>
      <c r="L707" s="0" t="n">
        <f aca="false">SUMPRODUCT(MMULT(E707:J707,_XtX!$B$44:$G$49),E707:J707)</f>
        <v>0.263296174568966</v>
      </c>
      <c r="M707" s="0" t="n">
        <f aca="false">04_回帰ANOVA!$K$19*04_回帰ANOVA!$K$14*SQRT(1+L707)</f>
        <v>1.52310261176472</v>
      </c>
      <c r="N707" s="0" t="n">
        <f aca="false">K707-M707</f>
        <v>43.656416784787</v>
      </c>
      <c r="O707" s="0" t="n">
        <f aca="false">K707+M707</f>
        <v>46.7026220083164</v>
      </c>
      <c r="P707" s="54" t="b">
        <f aca="false">AND(C707&gt;=01_因子設定!$L$5-0.000000001,C707&lt;=01_因子設定!$M$5+0.000000001,D707&gt;=01_因子設定!$L$6-0.000000001,D707&lt;=01_因子設定!$M$6+0.000000001,IF(01_因子設定!$B$20="Box-Behnken",C707^2+D707^2&lt;=2+0.000000001,TRUE()))</f>
        <v>1</v>
      </c>
      <c r="Q707" s="55" t="n">
        <f aca="false">IF(P707,IF(01_因子設定!$B$13="最大化",N707-01_因子設定!$B$14,IF(01_因子設定!$B$13="最小化",01_因子設定!$B$15-O707,MIN(N707-01_因子設定!$B$14,01_因子設定!$B$15-O707))),-1E+030)</f>
        <v>-2.84358321521299</v>
      </c>
      <c r="R707" s="55" t="n">
        <f aca="false">IF(P707,IF(01_因子設定!$B$13="最大化",K707,IF(01_因子設定!$B$13="最小化",-K707,-ABS(K707-01_因子設定!$B$16))),-1E+030)</f>
        <v>45.1795193965517</v>
      </c>
      <c r="S707" s="55" t="n">
        <f aca="false">Q707+ROW()*0.000000001</f>
        <v>-2.843582508213</v>
      </c>
      <c r="T707" s="55" t="n">
        <f aca="false">R707+ROW()*0.000000001</f>
        <v>45.1795201035517</v>
      </c>
    </row>
    <row r="708" customFormat="false" ht="15" hidden="false" customHeight="false" outlineLevel="0" collapsed="false">
      <c r="A708" s="0" t="n">
        <v>17</v>
      </c>
      <c r="B708" s="0" t="n">
        <v>6</v>
      </c>
      <c r="C708" s="0" t="n">
        <f aca="false">-1+A708*0.05</f>
        <v>-0.15</v>
      </c>
      <c r="D708" s="0" t="n">
        <f aca="false">-1+B708*0.05</f>
        <v>-0.7</v>
      </c>
      <c r="E708" s="0" t="n">
        <f aca="false">1</f>
        <v>1</v>
      </c>
      <c r="F708" s="0" t="n">
        <f aca="false">C708</f>
        <v>-0.15</v>
      </c>
      <c r="G708" s="0" t="n">
        <f aca="false">D708</f>
        <v>-0.7</v>
      </c>
      <c r="H708" s="0" t="n">
        <f aca="false">C708*D708</f>
        <v>0.105</v>
      </c>
      <c r="I708" s="0" t="n">
        <f aca="false">C708*C708</f>
        <v>0.0225</v>
      </c>
      <c r="J708" s="0" t="n">
        <f aca="false">D708*D708</f>
        <v>0.49</v>
      </c>
      <c r="K708" s="0" t="n">
        <f aca="false">SUMPRODUCT(E708:J708,_XtX!$B$53:$G$53)</f>
        <v>45.3999568965517</v>
      </c>
      <c r="L708" s="0" t="n">
        <f aca="false">SUMPRODUCT(MMULT(E708:J708,_XtX!$B$44:$G$49),E708:J708)</f>
        <v>0.238626903735632</v>
      </c>
      <c r="M708" s="0" t="n">
        <f aca="false">04_回帰ANOVA!$K$19*04_回帰ANOVA!$K$14*SQRT(1+L708)</f>
        <v>1.50815794660713</v>
      </c>
      <c r="N708" s="0" t="n">
        <f aca="false">K708-M708</f>
        <v>43.8917989499446</v>
      </c>
      <c r="O708" s="0" t="n">
        <f aca="false">K708+M708</f>
        <v>46.9081148431589</v>
      </c>
      <c r="P708" s="54" t="b">
        <f aca="false">AND(C708&gt;=01_因子設定!$L$5-0.000000001,C708&lt;=01_因子設定!$M$5+0.000000001,D708&gt;=01_因子設定!$L$6-0.000000001,D708&lt;=01_因子設定!$M$6+0.000000001,IF(01_因子設定!$B$20="Box-Behnken",C708^2+D708^2&lt;=2+0.000000001,TRUE()))</f>
        <v>1</v>
      </c>
      <c r="Q708" s="55" t="n">
        <f aca="false">IF(P708,IF(01_因子設定!$B$13="最大化",N708-01_因子設定!$B$14,IF(01_因子設定!$B$13="最小化",01_因子設定!$B$15-O708,MIN(N708-01_因子設定!$B$14,01_因子設定!$B$15-O708))),-1E+030)</f>
        <v>-2.6082010500554</v>
      </c>
      <c r="R708" s="55" t="n">
        <f aca="false">IF(P708,IF(01_因子設定!$B$13="最大化",K708,IF(01_因子設定!$B$13="最小化",-K708,-ABS(K708-01_因子設定!$B$16))),-1E+030)</f>
        <v>45.3999568965517</v>
      </c>
      <c r="S708" s="55" t="n">
        <f aca="false">Q708+ROW()*0.000000001</f>
        <v>-2.6082003420554</v>
      </c>
      <c r="T708" s="55" t="n">
        <f aca="false">R708+ROW()*0.000000001</f>
        <v>45.3999576045517</v>
      </c>
    </row>
    <row r="709" customFormat="false" ht="15" hidden="false" customHeight="false" outlineLevel="0" collapsed="false">
      <c r="A709" s="0" t="n">
        <v>17</v>
      </c>
      <c r="B709" s="0" t="n">
        <v>7</v>
      </c>
      <c r="C709" s="0" t="n">
        <f aca="false">-1+A709*0.05</f>
        <v>-0.15</v>
      </c>
      <c r="D709" s="0" t="n">
        <f aca="false">-1+B709*0.05</f>
        <v>-0.65</v>
      </c>
      <c r="E709" s="0" t="n">
        <f aca="false">1</f>
        <v>1</v>
      </c>
      <c r="F709" s="0" t="n">
        <f aca="false">C709</f>
        <v>-0.15</v>
      </c>
      <c r="G709" s="0" t="n">
        <f aca="false">D709</f>
        <v>-0.65</v>
      </c>
      <c r="H709" s="0" t="n">
        <f aca="false">C709*D709</f>
        <v>0.0974999999999999</v>
      </c>
      <c r="I709" s="0" t="n">
        <f aca="false">C709*C709</f>
        <v>0.0225</v>
      </c>
      <c r="J709" s="0" t="n">
        <f aca="false">D709*D709</f>
        <v>0.4225</v>
      </c>
      <c r="K709" s="0" t="n">
        <f aca="false">SUMPRODUCT(E709:J709,_XtX!$B$53:$G$53)</f>
        <v>45.6126788793103</v>
      </c>
      <c r="L709" s="0" t="n">
        <f aca="false">SUMPRODUCT(MMULT(E709:J709,_XtX!$B$44:$G$49),E709:J709)</f>
        <v>0.219080513649425</v>
      </c>
      <c r="M709" s="0" t="n">
        <f aca="false">04_回帰ANOVA!$K$19*04_回帰ANOVA!$K$14*SQRT(1+L709)</f>
        <v>1.49621073709053</v>
      </c>
      <c r="N709" s="0" t="n">
        <f aca="false">K709-M709</f>
        <v>44.1164681422198</v>
      </c>
      <c r="O709" s="0" t="n">
        <f aca="false">K709+M709</f>
        <v>47.1088896164009</v>
      </c>
      <c r="P709" s="54" t="b">
        <f aca="false">AND(C709&gt;=01_因子設定!$L$5-0.000000001,C709&lt;=01_因子設定!$M$5+0.000000001,D709&gt;=01_因子設定!$L$6-0.000000001,D709&lt;=01_因子設定!$M$6+0.000000001,IF(01_因子設定!$B$20="Box-Behnken",C709^2+D709^2&lt;=2+0.000000001,TRUE()))</f>
        <v>1</v>
      </c>
      <c r="Q709" s="55" t="n">
        <f aca="false">IF(P709,IF(01_因子設定!$B$13="最大化",N709-01_因子設定!$B$14,IF(01_因子設定!$B$13="最小化",01_因子設定!$B$15-O709,MIN(N709-01_因子設定!$B$14,01_因子設定!$B$15-O709))),-1E+030)</f>
        <v>-2.38353185778018</v>
      </c>
      <c r="R709" s="55" t="n">
        <f aca="false">IF(P709,IF(01_因子設定!$B$13="最大化",K709,IF(01_因子設定!$B$13="最小化",-K709,-ABS(K709-01_因子設定!$B$16))),-1E+030)</f>
        <v>45.6126788793103</v>
      </c>
      <c r="S709" s="55" t="n">
        <f aca="false">Q709+ROW()*0.000000001</f>
        <v>-2.38353114878018</v>
      </c>
      <c r="T709" s="55" t="n">
        <f aca="false">R709+ROW()*0.000000001</f>
        <v>45.6126795883103</v>
      </c>
    </row>
    <row r="710" customFormat="false" ht="15" hidden="false" customHeight="false" outlineLevel="0" collapsed="false">
      <c r="A710" s="0" t="n">
        <v>17</v>
      </c>
      <c r="B710" s="0" t="n">
        <v>8</v>
      </c>
      <c r="C710" s="0" t="n">
        <f aca="false">-1+A710*0.05</f>
        <v>-0.15</v>
      </c>
      <c r="D710" s="0" t="n">
        <f aca="false">-1+B710*0.05</f>
        <v>-0.6</v>
      </c>
      <c r="E710" s="0" t="n">
        <f aca="false">1</f>
        <v>1</v>
      </c>
      <c r="F710" s="0" t="n">
        <f aca="false">C710</f>
        <v>-0.15</v>
      </c>
      <c r="G710" s="0" t="n">
        <f aca="false">D710</f>
        <v>-0.6</v>
      </c>
      <c r="H710" s="0" t="n">
        <f aca="false">C710*D710</f>
        <v>0.0899999999999999</v>
      </c>
      <c r="I710" s="0" t="n">
        <f aca="false">C710*C710</f>
        <v>0.0225</v>
      </c>
      <c r="J710" s="0" t="n">
        <f aca="false">D710*D710</f>
        <v>0.36</v>
      </c>
      <c r="K710" s="0" t="n">
        <f aca="false">SUMPRODUCT(E710:J710,_XtX!$B$53:$G$53)</f>
        <v>45.8176853448276</v>
      </c>
      <c r="L710" s="0" t="n">
        <f aca="false">SUMPRODUCT(MMULT(E710:J710,_XtX!$B$44:$G$49),E710:J710)</f>
        <v>0.203923814655172</v>
      </c>
      <c r="M710" s="0" t="n">
        <f aca="false">04_回帰ANOVA!$K$19*04_回帰ANOVA!$K$14*SQRT(1+L710)</f>
        <v>1.48688053115555</v>
      </c>
      <c r="N710" s="0" t="n">
        <f aca="false">K710-M710</f>
        <v>44.330804813672</v>
      </c>
      <c r="O710" s="0" t="n">
        <f aca="false">K710+M710</f>
        <v>47.3045658759831</v>
      </c>
      <c r="P710" s="54" t="b">
        <f aca="false">AND(C710&gt;=01_因子設定!$L$5-0.000000001,C710&lt;=01_因子設定!$M$5+0.000000001,D710&gt;=01_因子設定!$L$6-0.000000001,D710&lt;=01_因子設定!$M$6+0.000000001,IF(01_因子設定!$B$20="Box-Behnken",C710^2+D710^2&lt;=2+0.000000001,TRUE()))</f>
        <v>1</v>
      </c>
      <c r="Q710" s="55" t="n">
        <f aca="false">IF(P710,IF(01_因子設定!$B$13="最大化",N710-01_因子設定!$B$14,IF(01_因子設定!$B$13="最小化",01_因子設定!$B$15-O710,MIN(N710-01_因子設定!$B$14,01_因子設定!$B$15-O710))),-1E+030)</f>
        <v>-2.16919518632796</v>
      </c>
      <c r="R710" s="55" t="n">
        <f aca="false">IF(P710,IF(01_因子設定!$B$13="最大化",K710,IF(01_因子設定!$B$13="最小化",-K710,-ABS(K710-01_因子設定!$B$16))),-1E+030)</f>
        <v>45.8176853448276</v>
      </c>
      <c r="S710" s="55" t="n">
        <f aca="false">Q710+ROW()*0.000000001</f>
        <v>-2.16919447632796</v>
      </c>
      <c r="T710" s="55" t="n">
        <f aca="false">R710+ROW()*0.000000001</f>
        <v>45.8176860548276</v>
      </c>
    </row>
    <row r="711" customFormat="false" ht="15" hidden="false" customHeight="false" outlineLevel="0" collapsed="false">
      <c r="A711" s="0" t="n">
        <v>17</v>
      </c>
      <c r="B711" s="0" t="n">
        <v>9</v>
      </c>
      <c r="C711" s="0" t="n">
        <f aca="false">-1+A711*0.05</f>
        <v>-0.15</v>
      </c>
      <c r="D711" s="0" t="n">
        <f aca="false">-1+B711*0.05</f>
        <v>-0.55</v>
      </c>
      <c r="E711" s="0" t="n">
        <f aca="false">1</f>
        <v>1</v>
      </c>
      <c r="F711" s="0" t="n">
        <f aca="false">C711</f>
        <v>-0.15</v>
      </c>
      <c r="G711" s="0" t="n">
        <f aca="false">D711</f>
        <v>-0.55</v>
      </c>
      <c r="H711" s="0" t="n">
        <f aca="false">C711*D711</f>
        <v>0.0825</v>
      </c>
      <c r="I711" s="0" t="n">
        <f aca="false">C711*C711</f>
        <v>0.0225</v>
      </c>
      <c r="J711" s="0" t="n">
        <f aca="false">D711*D711</f>
        <v>0.3025</v>
      </c>
      <c r="K711" s="0" t="n">
        <f aca="false">SUMPRODUCT(E711:J711,_XtX!$B$53:$G$53)</f>
        <v>46.0149762931035</v>
      </c>
      <c r="L711" s="0" t="n">
        <f aca="false">SUMPRODUCT(MMULT(E711:J711,_XtX!$B$44:$G$49),E711:J711)</f>
        <v>0.192477927442529</v>
      </c>
      <c r="M711" s="0" t="n">
        <f aca="false">04_回帰ANOVA!$K$19*04_回帰ANOVA!$K$14*SQRT(1+L711)</f>
        <v>1.47979565176085</v>
      </c>
      <c r="N711" s="0" t="n">
        <f aca="false">K711-M711</f>
        <v>44.5351806413426</v>
      </c>
      <c r="O711" s="0" t="n">
        <f aca="false">K711+M711</f>
        <v>47.4947719448643</v>
      </c>
      <c r="P711" s="54" t="b">
        <f aca="false">AND(C711&gt;=01_因子設定!$L$5-0.000000001,C711&lt;=01_因子設定!$M$5+0.000000001,D711&gt;=01_因子設定!$L$6-0.000000001,D711&lt;=01_因子設定!$M$6+0.000000001,IF(01_因子設定!$B$20="Box-Behnken",C711^2+D711^2&lt;=2+0.000000001,TRUE()))</f>
        <v>1</v>
      </c>
      <c r="Q711" s="55" t="n">
        <f aca="false">IF(P711,IF(01_因子設定!$B$13="最大化",N711-01_因子設定!$B$14,IF(01_因子設定!$B$13="最小化",01_因子設定!$B$15-O711,MIN(N711-01_因子設定!$B$14,01_因子設定!$B$15-O711))),-1E+030)</f>
        <v>-1.96481935865739</v>
      </c>
      <c r="R711" s="55" t="n">
        <f aca="false">IF(P711,IF(01_因子設定!$B$13="最大化",K711,IF(01_因子設定!$B$13="最小化",-K711,-ABS(K711-01_因子設定!$B$16))),-1E+030)</f>
        <v>46.0149762931035</v>
      </c>
      <c r="S711" s="55" t="n">
        <f aca="false">Q711+ROW()*0.000000001</f>
        <v>-1.96481864765739</v>
      </c>
      <c r="T711" s="55" t="n">
        <f aca="false">R711+ROW()*0.000000001</f>
        <v>46.0149770041035</v>
      </c>
    </row>
    <row r="712" customFormat="false" ht="15" hidden="false" customHeight="false" outlineLevel="0" collapsed="false">
      <c r="A712" s="0" t="n">
        <v>17</v>
      </c>
      <c r="B712" s="0" t="n">
        <v>10</v>
      </c>
      <c r="C712" s="0" t="n">
        <f aca="false">-1+A712*0.05</f>
        <v>-0.15</v>
      </c>
      <c r="D712" s="0" t="n">
        <f aca="false">-1+B712*0.05</f>
        <v>-0.5</v>
      </c>
      <c r="E712" s="0" t="n">
        <f aca="false">1</f>
        <v>1</v>
      </c>
      <c r="F712" s="0" t="n">
        <f aca="false">C712</f>
        <v>-0.15</v>
      </c>
      <c r="G712" s="0" t="n">
        <f aca="false">D712</f>
        <v>-0.5</v>
      </c>
      <c r="H712" s="0" t="n">
        <f aca="false">C712*D712</f>
        <v>0.075</v>
      </c>
      <c r="I712" s="0" t="n">
        <f aca="false">C712*C712</f>
        <v>0.0225</v>
      </c>
      <c r="J712" s="0" t="n">
        <f aca="false">D712*D712</f>
        <v>0.25</v>
      </c>
      <c r="K712" s="0" t="n">
        <f aca="false">SUMPRODUCT(E712:J712,_XtX!$B$53:$G$53)</f>
        <v>46.2045517241379</v>
      </c>
      <c r="L712" s="0" t="n">
        <f aca="false">SUMPRODUCT(MMULT(E712:J712,_XtX!$B$44:$G$49),E712:J712)</f>
        <v>0.184118283045977</v>
      </c>
      <c r="M712" s="0" t="n">
        <f aca="false">04_回帰ANOVA!$K$19*04_回帰ANOVA!$K$14*SQRT(1+L712)</f>
        <v>1.47459961338687</v>
      </c>
      <c r="N712" s="0" t="n">
        <f aca="false">K712-M712</f>
        <v>44.7299521107511</v>
      </c>
      <c r="O712" s="0" t="n">
        <f aca="false">K712+M712</f>
        <v>47.6791513375248</v>
      </c>
      <c r="P712" s="54" t="b">
        <f aca="false">AND(C712&gt;=01_因子設定!$L$5-0.000000001,C712&lt;=01_因子設定!$M$5+0.000000001,D712&gt;=01_因子設定!$L$6-0.000000001,D712&lt;=01_因子設定!$M$6+0.000000001,IF(01_因子設定!$B$20="Box-Behnken",C712^2+D712^2&lt;=2+0.000000001,TRUE()))</f>
        <v>1</v>
      </c>
      <c r="Q712" s="55" t="n">
        <f aca="false">IF(P712,IF(01_因子設定!$B$13="最大化",N712-01_因子設定!$B$14,IF(01_因子設定!$B$13="最小化",01_因子設定!$B$15-O712,MIN(N712-01_因子設定!$B$14,01_因子設定!$B$15-O712))),-1E+030)</f>
        <v>-1.77004788924894</v>
      </c>
      <c r="R712" s="55" t="n">
        <f aca="false">IF(P712,IF(01_因子設定!$B$13="最大化",K712,IF(01_因子設定!$B$13="最小化",-K712,-ABS(K712-01_因子設定!$B$16))),-1E+030)</f>
        <v>46.2045517241379</v>
      </c>
      <c r="S712" s="55" t="n">
        <f aca="false">Q712+ROW()*0.000000001</f>
        <v>-1.77004717724894</v>
      </c>
      <c r="T712" s="55" t="n">
        <f aca="false">R712+ROW()*0.000000001</f>
        <v>46.2045524361379</v>
      </c>
    </row>
    <row r="713" customFormat="false" ht="15" hidden="false" customHeight="false" outlineLevel="0" collapsed="false">
      <c r="A713" s="0" t="n">
        <v>17</v>
      </c>
      <c r="B713" s="0" t="n">
        <v>11</v>
      </c>
      <c r="C713" s="0" t="n">
        <f aca="false">-1+A713*0.05</f>
        <v>-0.15</v>
      </c>
      <c r="D713" s="0" t="n">
        <f aca="false">-1+B713*0.05</f>
        <v>-0.45</v>
      </c>
      <c r="E713" s="0" t="n">
        <f aca="false">1</f>
        <v>1</v>
      </c>
      <c r="F713" s="0" t="n">
        <f aca="false">C713</f>
        <v>-0.15</v>
      </c>
      <c r="G713" s="0" t="n">
        <f aca="false">D713</f>
        <v>-0.45</v>
      </c>
      <c r="H713" s="0" t="n">
        <f aca="false">C713*D713</f>
        <v>0.0675</v>
      </c>
      <c r="I713" s="0" t="n">
        <f aca="false">C713*C713</f>
        <v>0.0225</v>
      </c>
      <c r="J713" s="0" t="n">
        <f aca="false">D713*D713</f>
        <v>0.2025</v>
      </c>
      <c r="K713" s="0" t="n">
        <f aca="false">SUMPRODUCT(E713:J713,_XtX!$B$53:$G$53)</f>
        <v>46.386411637931</v>
      </c>
      <c r="L713" s="0" t="n">
        <f aca="false">SUMPRODUCT(MMULT(E713:J713,_XtX!$B$44:$G$49),E713:J713)</f>
        <v>0.178274622844828</v>
      </c>
      <c r="M713" s="0" t="n">
        <f aca="false">04_回帰ANOVA!$K$19*04_回帰ANOVA!$K$14*SQRT(1+L713)</f>
        <v>1.47095651587113</v>
      </c>
      <c r="N713" s="0" t="n">
        <f aca="false">K713-M713</f>
        <v>44.9154551220599</v>
      </c>
      <c r="O713" s="0" t="n">
        <f aca="false">K713+M713</f>
        <v>47.8573681538022</v>
      </c>
      <c r="P713" s="54" t="b">
        <f aca="false">AND(C713&gt;=01_因子設定!$L$5-0.000000001,C713&lt;=01_因子設定!$M$5+0.000000001,D713&gt;=01_因子設定!$L$6-0.000000001,D713&lt;=01_因子設定!$M$6+0.000000001,IF(01_因子設定!$B$20="Box-Behnken",C713^2+D713^2&lt;=2+0.000000001,TRUE()))</f>
        <v>1</v>
      </c>
      <c r="Q713" s="55" t="n">
        <f aca="false">IF(P713,IF(01_因子設定!$B$13="最大化",N713-01_因子設定!$B$14,IF(01_因子設定!$B$13="最小化",01_因子設定!$B$15-O713,MIN(N713-01_因子設定!$B$14,01_因子設定!$B$15-O713))),-1E+030)</f>
        <v>-1.5845448779401</v>
      </c>
      <c r="R713" s="55" t="n">
        <f aca="false">IF(P713,IF(01_因子設定!$B$13="最大化",K713,IF(01_因子設定!$B$13="最小化",-K713,-ABS(K713-01_因子設定!$B$16))),-1E+030)</f>
        <v>46.386411637931</v>
      </c>
      <c r="S713" s="55" t="n">
        <f aca="false">Q713+ROW()*0.000000001</f>
        <v>-1.5845441649401</v>
      </c>
      <c r="T713" s="55" t="n">
        <f aca="false">R713+ROW()*0.000000001</f>
        <v>46.386412350931</v>
      </c>
    </row>
    <row r="714" customFormat="false" ht="15" hidden="false" customHeight="false" outlineLevel="0" collapsed="false">
      <c r="A714" s="0" t="n">
        <v>17</v>
      </c>
      <c r="B714" s="0" t="n">
        <v>12</v>
      </c>
      <c r="C714" s="0" t="n">
        <f aca="false">-1+A714*0.05</f>
        <v>-0.15</v>
      </c>
      <c r="D714" s="0" t="n">
        <f aca="false">-1+B714*0.05</f>
        <v>-0.4</v>
      </c>
      <c r="E714" s="0" t="n">
        <f aca="false">1</f>
        <v>1</v>
      </c>
      <c r="F714" s="0" t="n">
        <f aca="false">C714</f>
        <v>-0.15</v>
      </c>
      <c r="G714" s="0" t="n">
        <f aca="false">D714</f>
        <v>-0.4</v>
      </c>
      <c r="H714" s="0" t="n">
        <f aca="false">C714*D714</f>
        <v>0.06</v>
      </c>
      <c r="I714" s="0" t="n">
        <f aca="false">C714*C714</f>
        <v>0.0225</v>
      </c>
      <c r="J714" s="0" t="n">
        <f aca="false">D714*D714</f>
        <v>0.16</v>
      </c>
      <c r="K714" s="0" t="n">
        <f aca="false">SUMPRODUCT(E714:J714,_XtX!$B$53:$G$53)</f>
        <v>46.5605560344828</v>
      </c>
      <c r="L714" s="0" t="n">
        <f aca="false">SUMPRODUCT(MMULT(E714:J714,_XtX!$B$44:$G$49),E714:J714)</f>
        <v>0.174430998563218</v>
      </c>
      <c r="M714" s="0" t="n">
        <f aca="false">04_回帰ANOVA!$K$19*04_回帰ANOVA!$K$14*SQRT(1+L714)</f>
        <v>1.46855536829659</v>
      </c>
      <c r="N714" s="0" t="n">
        <f aca="false">K714-M714</f>
        <v>45.0920006661862</v>
      </c>
      <c r="O714" s="0" t="n">
        <f aca="false">K714+M714</f>
        <v>48.0291114027794</v>
      </c>
      <c r="P714" s="54" t="b">
        <f aca="false">AND(C714&gt;=01_因子設定!$L$5-0.000000001,C714&lt;=01_因子設定!$M$5+0.000000001,D714&gt;=01_因子設定!$L$6-0.000000001,D714&lt;=01_因子設定!$M$6+0.000000001,IF(01_因子設定!$B$20="Box-Behnken",C714^2+D714^2&lt;=2+0.000000001,TRUE()))</f>
        <v>1</v>
      </c>
      <c r="Q714" s="55" t="n">
        <f aca="false">IF(P714,IF(01_因子設定!$B$13="最大化",N714-01_因子設定!$B$14,IF(01_因子設定!$B$13="最小化",01_因子設定!$B$15-O714,MIN(N714-01_因子設定!$B$14,01_因子設定!$B$15-O714))),-1E+030)</f>
        <v>-1.40799933381383</v>
      </c>
      <c r="R714" s="55" t="n">
        <f aca="false">IF(P714,IF(01_因子設定!$B$13="最大化",K714,IF(01_因子設定!$B$13="最小化",-K714,-ABS(K714-01_因子設定!$B$16))),-1E+030)</f>
        <v>46.5605560344828</v>
      </c>
      <c r="S714" s="55" t="n">
        <f aca="false">Q714+ROW()*0.000000001</f>
        <v>-1.40799861981383</v>
      </c>
      <c r="T714" s="55" t="n">
        <f aca="false">R714+ROW()*0.000000001</f>
        <v>46.5605567484828</v>
      </c>
    </row>
    <row r="715" customFormat="false" ht="15" hidden="false" customHeight="false" outlineLevel="0" collapsed="false">
      <c r="A715" s="0" t="n">
        <v>17</v>
      </c>
      <c r="B715" s="0" t="n">
        <v>13</v>
      </c>
      <c r="C715" s="0" t="n">
        <f aca="false">-1+A715*0.05</f>
        <v>-0.15</v>
      </c>
      <c r="D715" s="0" t="n">
        <f aca="false">-1+B715*0.05</f>
        <v>-0.35</v>
      </c>
      <c r="E715" s="0" t="n">
        <f aca="false">1</f>
        <v>1</v>
      </c>
      <c r="F715" s="0" t="n">
        <f aca="false">C715</f>
        <v>-0.15</v>
      </c>
      <c r="G715" s="0" t="n">
        <f aca="false">D715</f>
        <v>-0.35</v>
      </c>
      <c r="H715" s="0" t="n">
        <f aca="false">C715*D715</f>
        <v>0.0525</v>
      </c>
      <c r="I715" s="0" t="n">
        <f aca="false">C715*C715</f>
        <v>0.0225</v>
      </c>
      <c r="J715" s="0" t="n">
        <f aca="false">D715*D715</f>
        <v>0.1225</v>
      </c>
      <c r="K715" s="0" t="n">
        <f aca="false">SUMPRODUCT(E715:J715,_XtX!$B$53:$G$53)</f>
        <v>46.7269849137931</v>
      </c>
      <c r="L715" s="0" t="n">
        <f aca="false">SUMPRODUCT(MMULT(E715:J715,_XtX!$B$44:$G$49),E715:J715)</f>
        <v>0.172125772270115</v>
      </c>
      <c r="M715" s="0" t="n">
        <f aca="false">04_回帰ANOVA!$K$19*04_回帰ANOVA!$K$14*SQRT(1+L715)</f>
        <v>1.46711338689661</v>
      </c>
      <c r="N715" s="0" t="n">
        <f aca="false">K715-M715</f>
        <v>45.2598715268965</v>
      </c>
      <c r="O715" s="0" t="n">
        <f aca="false">K715+M715</f>
        <v>48.1940983006897</v>
      </c>
      <c r="P715" s="54" t="b">
        <f aca="false">AND(C715&gt;=01_因子設定!$L$5-0.000000001,C715&lt;=01_因子設定!$M$5+0.000000001,D715&gt;=01_因子設定!$L$6-0.000000001,D715&lt;=01_因子設定!$M$6+0.000000001,IF(01_因子設定!$B$20="Box-Behnken",C715^2+D715^2&lt;=2+0.000000001,TRUE()))</f>
        <v>1</v>
      </c>
      <c r="Q715" s="55" t="n">
        <f aca="false">IF(P715,IF(01_因子設定!$B$13="最大化",N715-01_因子設定!$B$14,IF(01_因子設定!$B$13="最小化",01_因子設定!$B$15-O715,MIN(N715-01_因子設定!$B$14,01_因子設定!$B$15-O715))),-1E+030)</f>
        <v>-1.2401284731035</v>
      </c>
      <c r="R715" s="55" t="n">
        <f aca="false">IF(P715,IF(01_因子設定!$B$13="最大化",K715,IF(01_因子設定!$B$13="最小化",-K715,-ABS(K715-01_因子設定!$B$16))),-1E+030)</f>
        <v>46.7269849137931</v>
      </c>
      <c r="S715" s="55" t="n">
        <f aca="false">Q715+ROW()*0.000000001</f>
        <v>-1.2401277581035</v>
      </c>
      <c r="T715" s="55" t="n">
        <f aca="false">R715+ROW()*0.000000001</f>
        <v>46.7269856287931</v>
      </c>
    </row>
    <row r="716" customFormat="false" ht="15" hidden="false" customHeight="false" outlineLevel="0" collapsed="false">
      <c r="A716" s="0" t="n">
        <v>17</v>
      </c>
      <c r="B716" s="0" t="n">
        <v>14</v>
      </c>
      <c r="C716" s="0" t="n">
        <f aca="false">-1+A716*0.05</f>
        <v>-0.15</v>
      </c>
      <c r="D716" s="0" t="n">
        <f aca="false">-1+B716*0.05</f>
        <v>-0.3</v>
      </c>
      <c r="E716" s="0" t="n">
        <f aca="false">1</f>
        <v>1</v>
      </c>
      <c r="F716" s="0" t="n">
        <f aca="false">C716</f>
        <v>-0.15</v>
      </c>
      <c r="G716" s="0" t="n">
        <f aca="false">D716</f>
        <v>-0.3</v>
      </c>
      <c r="H716" s="0" t="n">
        <f aca="false">C716*D716</f>
        <v>0.045</v>
      </c>
      <c r="I716" s="0" t="n">
        <f aca="false">C716*C716</f>
        <v>0.0225</v>
      </c>
      <c r="J716" s="0" t="n">
        <f aca="false">D716*D716</f>
        <v>0.09</v>
      </c>
      <c r="K716" s="0" t="n">
        <f aca="false">SUMPRODUCT(E716:J716,_XtX!$B$53:$G$53)</f>
        <v>46.8856982758621</v>
      </c>
      <c r="L716" s="0" t="n">
        <f aca="false">SUMPRODUCT(MMULT(E716:J716,_XtX!$B$44:$G$49),E716:J716)</f>
        <v>0.17095161637931</v>
      </c>
      <c r="M716" s="0" t="n">
        <f aca="false">04_回帰ANOVA!$K$19*04_回帰ANOVA!$K$14*SQRT(1+L716)</f>
        <v>1.46637837556782</v>
      </c>
      <c r="N716" s="0" t="n">
        <f aca="false">K716-M716</f>
        <v>45.4193199002943</v>
      </c>
      <c r="O716" s="0" t="n">
        <f aca="false">K716+M716</f>
        <v>48.3520766514299</v>
      </c>
      <c r="P716" s="54" t="b">
        <f aca="false">AND(C716&gt;=01_因子設定!$L$5-0.000000001,C716&lt;=01_因子設定!$M$5+0.000000001,D716&gt;=01_因子設定!$L$6-0.000000001,D716&lt;=01_因子設定!$M$6+0.000000001,IF(01_因子設定!$B$20="Box-Behnken",C716^2+D716^2&lt;=2+0.000000001,TRUE()))</f>
        <v>1</v>
      </c>
      <c r="Q716" s="55" t="n">
        <f aca="false">IF(P716,IF(01_因子設定!$B$13="最大化",N716-01_因子設定!$B$14,IF(01_因子設定!$B$13="最小化",01_因子設定!$B$15-O716,MIN(N716-01_因子設定!$B$14,01_因子設定!$B$15-O716))),-1E+030)</f>
        <v>-1.08068009970575</v>
      </c>
      <c r="R716" s="55" t="n">
        <f aca="false">IF(P716,IF(01_因子設定!$B$13="最大化",K716,IF(01_因子設定!$B$13="最小化",-K716,-ABS(K716-01_因子設定!$B$16))),-1E+030)</f>
        <v>46.8856982758621</v>
      </c>
      <c r="S716" s="55" t="n">
        <f aca="false">Q716+ROW()*0.000000001</f>
        <v>-1.08067938370575</v>
      </c>
      <c r="T716" s="55" t="n">
        <f aca="false">R716+ROW()*0.000000001</f>
        <v>46.8856989918621</v>
      </c>
    </row>
    <row r="717" customFormat="false" ht="15" hidden="false" customHeight="false" outlineLevel="0" collapsed="false">
      <c r="A717" s="0" t="n">
        <v>17</v>
      </c>
      <c r="B717" s="0" t="n">
        <v>15</v>
      </c>
      <c r="C717" s="0" t="n">
        <f aca="false">-1+A717*0.05</f>
        <v>-0.15</v>
      </c>
      <c r="D717" s="0" t="n">
        <f aca="false">-1+B717*0.05</f>
        <v>-0.25</v>
      </c>
      <c r="E717" s="0" t="n">
        <f aca="false">1</f>
        <v>1</v>
      </c>
      <c r="F717" s="0" t="n">
        <f aca="false">C717</f>
        <v>-0.15</v>
      </c>
      <c r="G717" s="0" t="n">
        <f aca="false">D717</f>
        <v>-0.25</v>
      </c>
      <c r="H717" s="0" t="n">
        <f aca="false">C717*D717</f>
        <v>0.0375</v>
      </c>
      <c r="I717" s="0" t="n">
        <f aca="false">C717*C717</f>
        <v>0.0225</v>
      </c>
      <c r="J717" s="0" t="n">
        <f aca="false">D717*D717</f>
        <v>0.0625</v>
      </c>
      <c r="K717" s="0" t="n">
        <f aca="false">SUMPRODUCT(E717:J717,_XtX!$B$53:$G$53)</f>
        <v>47.0366961206897</v>
      </c>
      <c r="L717" s="0" t="n">
        <f aca="false">SUMPRODUCT(MMULT(E717:J717,_XtX!$B$44:$G$49),E717:J717)</f>
        <v>0.170555513649425</v>
      </c>
      <c r="M717" s="0" t="n">
        <f aca="false">04_回帰ANOVA!$K$19*04_回帰ANOVA!$K$14*SQRT(1+L717)</f>
        <v>1.46613033559833</v>
      </c>
      <c r="N717" s="0" t="n">
        <f aca="false">K717-M717</f>
        <v>45.5705657850913</v>
      </c>
      <c r="O717" s="0" t="n">
        <f aca="false">K717+M717</f>
        <v>48.502826456288</v>
      </c>
      <c r="P717" s="54" t="b">
        <f aca="false">AND(C717&gt;=01_因子設定!$L$5-0.000000001,C717&lt;=01_因子設定!$M$5+0.000000001,D717&gt;=01_因子設定!$L$6-0.000000001,D717&lt;=01_因子設定!$M$6+0.000000001,IF(01_因子設定!$B$20="Box-Behnken",C717^2+D717^2&lt;=2+0.000000001,TRUE()))</f>
        <v>1</v>
      </c>
      <c r="Q717" s="55" t="n">
        <f aca="false">IF(P717,IF(01_因子設定!$B$13="最大化",N717-01_因子設定!$B$14,IF(01_因子設定!$B$13="最小化",01_因子設定!$B$15-O717,MIN(N717-01_因子設定!$B$14,01_因子設定!$B$15-O717))),-1E+030)</f>
        <v>-0.929434214908675</v>
      </c>
      <c r="R717" s="55" t="n">
        <f aca="false">IF(P717,IF(01_因子設定!$B$13="最大化",K717,IF(01_因子設定!$B$13="最小化",-K717,-ABS(K717-01_因子設定!$B$16))),-1E+030)</f>
        <v>47.0366961206897</v>
      </c>
      <c r="S717" s="55" t="n">
        <f aca="false">Q717+ROW()*0.000000001</f>
        <v>-0.929433497908675</v>
      </c>
      <c r="T717" s="55" t="n">
        <f aca="false">R717+ROW()*0.000000001</f>
        <v>47.0366968376897</v>
      </c>
    </row>
    <row r="718" customFormat="false" ht="15" hidden="false" customHeight="false" outlineLevel="0" collapsed="false">
      <c r="A718" s="0" t="n">
        <v>17</v>
      </c>
      <c r="B718" s="0" t="n">
        <v>16</v>
      </c>
      <c r="C718" s="0" t="n">
        <f aca="false">-1+A718*0.05</f>
        <v>-0.15</v>
      </c>
      <c r="D718" s="0" t="n">
        <f aca="false">-1+B718*0.05</f>
        <v>-0.2</v>
      </c>
      <c r="E718" s="0" t="n">
        <f aca="false">1</f>
        <v>1</v>
      </c>
      <c r="F718" s="0" t="n">
        <f aca="false">C718</f>
        <v>-0.15</v>
      </c>
      <c r="G718" s="0" t="n">
        <f aca="false">D718</f>
        <v>-0.2</v>
      </c>
      <c r="H718" s="0" t="n">
        <f aca="false">C718*D718</f>
        <v>0.03</v>
      </c>
      <c r="I718" s="0" t="n">
        <f aca="false">C718*C718</f>
        <v>0.0225</v>
      </c>
      <c r="J718" s="0" t="n">
        <f aca="false">D718*D718</f>
        <v>0.04</v>
      </c>
      <c r="K718" s="0" t="n">
        <f aca="false">SUMPRODUCT(E718:J718,_XtX!$B$53:$G$53)</f>
        <v>47.1799784482759</v>
      </c>
      <c r="L718" s="0" t="n">
        <f aca="false">SUMPRODUCT(MMULT(E718:J718,_XtX!$B$44:$G$49),E718:J718)</f>
        <v>0.170638757183908</v>
      </c>
      <c r="M718" s="0" t="n">
        <f aca="false">04_回帰ANOVA!$K$19*04_回帰ANOVA!$K$14*SQRT(1+L718)</f>
        <v>1.46618246627474</v>
      </c>
      <c r="N718" s="0" t="n">
        <f aca="false">K718-M718</f>
        <v>45.7137959820011</v>
      </c>
      <c r="O718" s="0" t="n">
        <f aca="false">K718+M718</f>
        <v>48.6461609145506</v>
      </c>
      <c r="P718" s="54" t="b">
        <f aca="false">AND(C718&gt;=01_因子設定!$L$5-0.000000001,C718&lt;=01_因子設定!$M$5+0.000000001,D718&gt;=01_因子設定!$L$6-0.000000001,D718&lt;=01_因子設定!$M$6+0.000000001,IF(01_因子設定!$B$20="Box-Behnken",C718^2+D718^2&lt;=2+0.000000001,TRUE()))</f>
        <v>1</v>
      </c>
      <c r="Q718" s="55" t="n">
        <f aca="false">IF(P718,IF(01_因子設定!$B$13="最大化",N718-01_因子設定!$B$14,IF(01_因子設定!$B$13="最小化",01_因子設定!$B$15-O718,MIN(N718-01_因子設定!$B$14,01_因子設定!$B$15-O718))),-1E+030)</f>
        <v>-0.786204017998877</v>
      </c>
      <c r="R718" s="55" t="n">
        <f aca="false">IF(P718,IF(01_因子設定!$B$13="最大化",K718,IF(01_因子設定!$B$13="最小化",-K718,-ABS(K718-01_因子設定!$B$16))),-1E+030)</f>
        <v>47.1799784482759</v>
      </c>
      <c r="S718" s="55" t="n">
        <f aca="false">Q718+ROW()*0.000000001</f>
        <v>-0.786203299998877</v>
      </c>
      <c r="T718" s="55" t="n">
        <f aca="false">R718+ROW()*0.000000001</f>
        <v>47.1799791662759</v>
      </c>
    </row>
    <row r="719" customFormat="false" ht="15" hidden="false" customHeight="false" outlineLevel="0" collapsed="false">
      <c r="A719" s="0" t="n">
        <v>17</v>
      </c>
      <c r="B719" s="0" t="n">
        <v>17</v>
      </c>
      <c r="C719" s="0" t="n">
        <f aca="false">-1+A719*0.05</f>
        <v>-0.15</v>
      </c>
      <c r="D719" s="0" t="n">
        <f aca="false">-1+B719*0.05</f>
        <v>-0.15</v>
      </c>
      <c r="E719" s="0" t="n">
        <f aca="false">1</f>
        <v>1</v>
      </c>
      <c r="F719" s="0" t="n">
        <f aca="false">C719</f>
        <v>-0.15</v>
      </c>
      <c r="G719" s="0" t="n">
        <f aca="false">D719</f>
        <v>-0.15</v>
      </c>
      <c r="H719" s="0" t="n">
        <f aca="false">C719*D719</f>
        <v>0.0225</v>
      </c>
      <c r="I719" s="0" t="n">
        <f aca="false">C719*C719</f>
        <v>0.0225</v>
      </c>
      <c r="J719" s="0" t="n">
        <f aca="false">D719*D719</f>
        <v>0.0225</v>
      </c>
      <c r="K719" s="0" t="n">
        <f aca="false">SUMPRODUCT(E719:J719,_XtX!$B$53:$G$53)</f>
        <v>47.3155452586207</v>
      </c>
      <c r="L719" s="0" t="n">
        <f aca="false">SUMPRODUCT(MMULT(E719:J719,_XtX!$B$44:$G$49),E719:J719)</f>
        <v>0.170956950431034</v>
      </c>
      <c r="M719" s="0" t="n">
        <f aca="false">04_回帰ANOVA!$K$19*04_回帰ANOVA!$K$14*SQRT(1+L719)</f>
        <v>1.46638171547064</v>
      </c>
      <c r="N719" s="0" t="n">
        <f aca="false">K719-M719</f>
        <v>45.8491635431501</v>
      </c>
      <c r="O719" s="0" t="n">
        <f aca="false">K719+M719</f>
        <v>48.7819269740913</v>
      </c>
      <c r="P719" s="54" t="b">
        <f aca="false">AND(C719&gt;=01_因子設定!$L$5-0.000000001,C719&lt;=01_因子設定!$M$5+0.000000001,D719&gt;=01_因子設定!$L$6-0.000000001,D719&lt;=01_因子設定!$M$6+0.000000001,IF(01_因子設定!$B$20="Box-Behnken",C719^2+D719^2&lt;=2+0.000000001,TRUE()))</f>
        <v>1</v>
      </c>
      <c r="Q719" s="55" t="n">
        <f aca="false">IF(P719,IF(01_因子設定!$B$13="最大化",N719-01_因子設定!$B$14,IF(01_因子設定!$B$13="最小化",01_因子設定!$B$15-O719,MIN(N719-01_因子設定!$B$14,01_因子設定!$B$15-O719))),-1E+030)</f>
        <v>-0.650836456849945</v>
      </c>
      <c r="R719" s="55" t="n">
        <f aca="false">IF(P719,IF(01_因子設定!$B$13="最大化",K719,IF(01_因子設定!$B$13="最小化",-K719,-ABS(K719-01_因子設定!$B$16))),-1E+030)</f>
        <v>47.3155452586207</v>
      </c>
      <c r="S719" s="55" t="n">
        <f aca="false">Q719+ROW()*0.000000001</f>
        <v>-0.650835737849945</v>
      </c>
      <c r="T719" s="55" t="n">
        <f aca="false">R719+ROW()*0.000000001</f>
        <v>47.3155459776207</v>
      </c>
    </row>
    <row r="720" customFormat="false" ht="15" hidden="false" customHeight="false" outlineLevel="0" collapsed="false">
      <c r="A720" s="0" t="n">
        <v>17</v>
      </c>
      <c r="B720" s="0" t="n">
        <v>18</v>
      </c>
      <c r="C720" s="0" t="n">
        <f aca="false">-1+A720*0.05</f>
        <v>-0.15</v>
      </c>
      <c r="D720" s="0" t="n">
        <f aca="false">-1+B720*0.05</f>
        <v>-0.1</v>
      </c>
      <c r="E720" s="0" t="n">
        <f aca="false">1</f>
        <v>1</v>
      </c>
      <c r="F720" s="0" t="n">
        <f aca="false">C720</f>
        <v>-0.15</v>
      </c>
      <c r="G720" s="0" t="n">
        <f aca="false">D720</f>
        <v>-0.1</v>
      </c>
      <c r="H720" s="0" t="n">
        <f aca="false">C720*D720</f>
        <v>0.015</v>
      </c>
      <c r="I720" s="0" t="n">
        <f aca="false">C720*C720</f>
        <v>0.0225</v>
      </c>
      <c r="J720" s="0" t="n">
        <f aca="false">D720*D720</f>
        <v>0.01</v>
      </c>
      <c r="K720" s="0" t="n">
        <f aca="false">SUMPRODUCT(E720:J720,_XtX!$B$53:$G$53)</f>
        <v>47.4433965517241</v>
      </c>
      <c r="L720" s="0" t="n">
        <f aca="false">SUMPRODUCT(MMULT(E720:J720,_XtX!$B$44:$G$49),E720:J720)</f>
        <v>0.171320007183908</v>
      </c>
      <c r="M720" s="0" t="n">
        <f aca="false">04_回帰ANOVA!$K$19*04_回帰ANOVA!$K$14*SQRT(1+L720)</f>
        <v>1.46660902464884</v>
      </c>
      <c r="N720" s="0" t="n">
        <f aca="false">K720-M720</f>
        <v>45.9767875270753</v>
      </c>
      <c r="O720" s="0" t="n">
        <f aca="false">K720+M720</f>
        <v>48.910005576373</v>
      </c>
      <c r="P720" s="54" t="b">
        <f aca="false">AND(C720&gt;=01_因子設定!$L$5-0.000000001,C720&lt;=01_因子設定!$M$5+0.000000001,D720&gt;=01_因子設定!$L$6-0.000000001,D720&lt;=01_因子設定!$M$6+0.000000001,IF(01_因子設定!$B$20="Box-Behnken",C720^2+D720^2&lt;=2+0.000000001,TRUE()))</f>
        <v>1</v>
      </c>
      <c r="Q720" s="55" t="n">
        <f aca="false">IF(P720,IF(01_因子設定!$B$13="最大化",N720-01_因子設定!$B$14,IF(01_因子設定!$B$13="最小化",01_因子設定!$B$15-O720,MIN(N720-01_因子設定!$B$14,01_因子設定!$B$15-O720))),-1E+030)</f>
        <v>-0.523212472924705</v>
      </c>
      <c r="R720" s="55" t="n">
        <f aca="false">IF(P720,IF(01_因子設定!$B$13="最大化",K720,IF(01_因子設定!$B$13="最小化",-K720,-ABS(K720-01_因子設定!$B$16))),-1E+030)</f>
        <v>47.4433965517241</v>
      </c>
      <c r="S720" s="55" t="n">
        <f aca="false">Q720+ROW()*0.000000001</f>
        <v>-0.523211752924705</v>
      </c>
      <c r="T720" s="55" t="n">
        <f aca="false">R720+ROW()*0.000000001</f>
        <v>47.4433972717241</v>
      </c>
    </row>
    <row r="721" customFormat="false" ht="15" hidden="false" customHeight="false" outlineLevel="0" collapsed="false">
      <c r="A721" s="0" t="n">
        <v>17</v>
      </c>
      <c r="B721" s="0" t="n">
        <v>19</v>
      </c>
      <c r="C721" s="0" t="n">
        <f aca="false">-1+A721*0.05</f>
        <v>-0.15</v>
      </c>
      <c r="D721" s="0" t="n">
        <f aca="false">-1+B721*0.05</f>
        <v>-0.0499999999999999</v>
      </c>
      <c r="E721" s="0" t="n">
        <f aca="false">1</f>
        <v>1</v>
      </c>
      <c r="F721" s="0" t="n">
        <f aca="false">C721</f>
        <v>-0.15</v>
      </c>
      <c r="G721" s="0" t="n">
        <f aca="false">D721</f>
        <v>-0.0499999999999999</v>
      </c>
      <c r="H721" s="0" t="n">
        <f aca="false">C721*D721</f>
        <v>0.00749999999999999</v>
      </c>
      <c r="I721" s="0" t="n">
        <f aca="false">C721*C721</f>
        <v>0.0225</v>
      </c>
      <c r="J721" s="0" t="n">
        <f aca="false">D721*D721</f>
        <v>0.00249999999999999</v>
      </c>
      <c r="K721" s="0" t="n">
        <f aca="false">SUMPRODUCT(E721:J721,_XtX!$B$53:$G$53)</f>
        <v>47.5635323275862</v>
      </c>
      <c r="L721" s="0" t="n">
        <f aca="false">SUMPRODUCT(MMULT(E721:J721,_XtX!$B$44:$G$49),E721:J721)</f>
        <v>0.17159215158046</v>
      </c>
      <c r="M721" s="0" t="n">
        <f aca="false">04_回帰ANOVA!$K$19*04_回帰ANOVA!$K$14*SQRT(1+L721)</f>
        <v>1.4667793906653</v>
      </c>
      <c r="N721" s="0" t="n">
        <f aca="false">K721-M721</f>
        <v>46.0967529369209</v>
      </c>
      <c r="O721" s="0" t="n">
        <f aca="false">K721+M721</f>
        <v>49.0303117182515</v>
      </c>
      <c r="P721" s="54" t="b">
        <f aca="false">AND(C721&gt;=01_因子設定!$L$5-0.000000001,C721&lt;=01_因子設定!$M$5+0.000000001,D721&gt;=01_因子設定!$L$6-0.000000001,D721&lt;=01_因子設定!$M$6+0.000000001,IF(01_因子設定!$B$20="Box-Behnken",C721^2+D721^2&lt;=2+0.000000001,TRUE()))</f>
        <v>1</v>
      </c>
      <c r="Q721" s="55" t="n">
        <f aca="false">IF(P721,IF(01_因子設定!$B$13="最大化",N721-01_因子設定!$B$14,IF(01_因子設定!$B$13="最小化",01_因子設定!$B$15-O721,MIN(N721-01_因子設定!$B$14,01_因子設定!$B$15-O721))),-1E+030)</f>
        <v>-0.4032470630791</v>
      </c>
      <c r="R721" s="55" t="n">
        <f aca="false">IF(P721,IF(01_因子設定!$B$13="最大化",K721,IF(01_因子設定!$B$13="最小化",-K721,-ABS(K721-01_因子設定!$B$16))),-1E+030)</f>
        <v>47.5635323275862</v>
      </c>
      <c r="S721" s="55" t="n">
        <f aca="false">Q721+ROW()*0.000000001</f>
        <v>-0.4032463420791</v>
      </c>
      <c r="T721" s="55" t="n">
        <f aca="false">R721+ROW()*0.000000001</f>
        <v>47.5635330485862</v>
      </c>
    </row>
    <row r="722" customFormat="false" ht="15" hidden="false" customHeight="false" outlineLevel="0" collapsed="false">
      <c r="A722" s="0" t="n">
        <v>17</v>
      </c>
      <c r="B722" s="0" t="n">
        <v>20</v>
      </c>
      <c r="C722" s="0" t="n">
        <f aca="false">-1+A722*0.05</f>
        <v>-0.15</v>
      </c>
      <c r="D722" s="0" t="n">
        <f aca="false">-1+B722*0.05</f>
        <v>0</v>
      </c>
      <c r="E722" s="0" t="n">
        <f aca="false">1</f>
        <v>1</v>
      </c>
      <c r="F722" s="0" t="n">
        <f aca="false">C722</f>
        <v>-0.15</v>
      </c>
      <c r="G722" s="0" t="n">
        <f aca="false">D722</f>
        <v>0</v>
      </c>
      <c r="H722" s="0" t="n">
        <f aca="false">C722*D722</f>
        <v>-0</v>
      </c>
      <c r="I722" s="0" t="n">
        <f aca="false">C722*C722</f>
        <v>0.0225</v>
      </c>
      <c r="J722" s="0" t="n">
        <f aca="false">D722*D722</f>
        <v>0</v>
      </c>
      <c r="K722" s="0" t="n">
        <f aca="false">SUMPRODUCT(E722:J722,_XtX!$B$53:$G$53)</f>
        <v>47.6759525862069</v>
      </c>
      <c r="L722" s="0" t="n">
        <f aca="false">SUMPRODUCT(MMULT(E722:J722,_XtX!$B$44:$G$49),E722:J722)</f>
        <v>0.171691918103448</v>
      </c>
      <c r="M722" s="0" t="n">
        <f aca="false">04_回帰ANOVA!$K$19*04_回帰ANOVA!$K$14*SQRT(1+L722)</f>
        <v>1.46684184088078</v>
      </c>
      <c r="N722" s="0" t="n">
        <f aca="false">K722-M722</f>
        <v>46.2091107453261</v>
      </c>
      <c r="O722" s="0" t="n">
        <f aca="false">K722+M722</f>
        <v>49.1427944270877</v>
      </c>
      <c r="P722" s="54" t="b">
        <f aca="false">AND(C722&gt;=01_因子設定!$L$5-0.000000001,C722&lt;=01_因子設定!$M$5+0.000000001,D722&gt;=01_因子設定!$L$6-0.000000001,D722&lt;=01_因子設定!$M$6+0.000000001,IF(01_因子設定!$B$20="Box-Behnken",C722^2+D722^2&lt;=2+0.000000001,TRUE()))</f>
        <v>1</v>
      </c>
      <c r="Q722" s="55" t="n">
        <f aca="false">IF(P722,IF(01_因子設定!$B$13="最大化",N722-01_因子設定!$B$14,IF(01_因子設定!$B$13="最小化",01_因子設定!$B$15-O722,MIN(N722-01_因子設定!$B$14,01_因子設定!$B$15-O722))),-1E+030)</f>
        <v>-0.290889254673886</v>
      </c>
      <c r="R722" s="55" t="n">
        <f aca="false">IF(P722,IF(01_因子設定!$B$13="最大化",K722,IF(01_因子設定!$B$13="最小化",-K722,-ABS(K722-01_因子設定!$B$16))),-1E+030)</f>
        <v>47.6759525862069</v>
      </c>
      <c r="S722" s="55" t="n">
        <f aca="false">Q722+ROW()*0.000000001</f>
        <v>-0.290888532673886</v>
      </c>
      <c r="T722" s="55" t="n">
        <f aca="false">R722+ROW()*0.000000001</f>
        <v>47.6759533082069</v>
      </c>
    </row>
    <row r="723" customFormat="false" ht="15" hidden="false" customHeight="false" outlineLevel="0" collapsed="false">
      <c r="A723" s="0" t="n">
        <v>17</v>
      </c>
      <c r="B723" s="0" t="n">
        <v>21</v>
      </c>
      <c r="C723" s="0" t="n">
        <f aca="false">-1+A723*0.05</f>
        <v>-0.15</v>
      </c>
      <c r="D723" s="0" t="n">
        <f aca="false">-1+B723*0.05</f>
        <v>0.05</v>
      </c>
      <c r="E723" s="0" t="n">
        <f aca="false">1</f>
        <v>1</v>
      </c>
      <c r="F723" s="0" t="n">
        <f aca="false">C723</f>
        <v>-0.15</v>
      </c>
      <c r="G723" s="0" t="n">
        <f aca="false">D723</f>
        <v>0.05</v>
      </c>
      <c r="H723" s="0" t="n">
        <f aca="false">C723*D723</f>
        <v>-0.0075</v>
      </c>
      <c r="I723" s="0" t="n">
        <f aca="false">C723*C723</f>
        <v>0.0225</v>
      </c>
      <c r="J723" s="0" t="n">
        <f aca="false">D723*D723</f>
        <v>0.0025</v>
      </c>
      <c r="K723" s="0" t="n">
        <f aca="false">SUMPRODUCT(E723:J723,_XtX!$B$53:$G$53)</f>
        <v>47.7806573275862</v>
      </c>
      <c r="L723" s="0" t="n">
        <f aca="false">SUMPRODUCT(MMULT(E723:J723,_XtX!$B$44:$G$49),E723:J723)</f>
        <v>0.17159215158046</v>
      </c>
      <c r="M723" s="0" t="n">
        <f aca="false">04_回帰ANOVA!$K$19*04_回帰ANOVA!$K$14*SQRT(1+L723)</f>
        <v>1.4667793906653</v>
      </c>
      <c r="N723" s="0" t="n">
        <f aca="false">K723-M723</f>
        <v>46.3138779369209</v>
      </c>
      <c r="O723" s="0" t="n">
        <f aca="false">K723+M723</f>
        <v>49.2474367182515</v>
      </c>
      <c r="P723" s="54" t="b">
        <f aca="false">AND(C723&gt;=01_因子設定!$L$5-0.000000001,C723&lt;=01_因子設定!$M$5+0.000000001,D723&gt;=01_因子設定!$L$6-0.000000001,D723&lt;=01_因子設定!$M$6+0.000000001,IF(01_因子設定!$B$20="Box-Behnken",C723^2+D723^2&lt;=2+0.000000001,TRUE()))</f>
        <v>1</v>
      </c>
      <c r="Q723" s="55" t="n">
        <f aca="false">IF(P723,IF(01_因子設定!$B$13="最大化",N723-01_因子設定!$B$14,IF(01_因子設定!$B$13="最小化",01_因子設定!$B$15-O723,MIN(N723-01_因子設定!$B$14,01_因子設定!$B$15-O723))),-1E+030)</f>
        <v>-0.186122063079097</v>
      </c>
      <c r="R723" s="55" t="n">
        <f aca="false">IF(P723,IF(01_因子設定!$B$13="最大化",K723,IF(01_因子設定!$B$13="最小化",-K723,-ABS(K723-01_因子設定!$B$16))),-1E+030)</f>
        <v>47.7806573275862</v>
      </c>
      <c r="S723" s="55" t="n">
        <f aca="false">Q723+ROW()*0.000000001</f>
        <v>-0.186121340079097</v>
      </c>
      <c r="T723" s="55" t="n">
        <f aca="false">R723+ROW()*0.000000001</f>
        <v>47.7806580505862</v>
      </c>
    </row>
    <row r="724" customFormat="false" ht="15" hidden="false" customHeight="false" outlineLevel="0" collapsed="false">
      <c r="A724" s="0" t="n">
        <v>17</v>
      </c>
      <c r="B724" s="0" t="n">
        <v>22</v>
      </c>
      <c r="C724" s="0" t="n">
        <f aca="false">-1+A724*0.05</f>
        <v>-0.15</v>
      </c>
      <c r="D724" s="0" t="n">
        <f aca="false">-1+B724*0.05</f>
        <v>0.1</v>
      </c>
      <c r="E724" s="0" t="n">
        <f aca="false">1</f>
        <v>1</v>
      </c>
      <c r="F724" s="0" t="n">
        <f aca="false">C724</f>
        <v>-0.15</v>
      </c>
      <c r="G724" s="0" t="n">
        <f aca="false">D724</f>
        <v>0.1</v>
      </c>
      <c r="H724" s="0" t="n">
        <f aca="false">C724*D724</f>
        <v>-0.015</v>
      </c>
      <c r="I724" s="0" t="n">
        <f aca="false">C724*C724</f>
        <v>0.0225</v>
      </c>
      <c r="J724" s="0" t="n">
        <f aca="false">D724*D724</f>
        <v>0.01</v>
      </c>
      <c r="K724" s="0" t="n">
        <f aca="false">SUMPRODUCT(E724:J724,_XtX!$B$53:$G$53)</f>
        <v>47.8776465517241</v>
      </c>
      <c r="L724" s="0" t="n">
        <f aca="false">SUMPRODUCT(MMULT(E724:J724,_XtX!$B$44:$G$49),E724:J724)</f>
        <v>0.171320007183908</v>
      </c>
      <c r="M724" s="0" t="n">
        <f aca="false">04_回帰ANOVA!$K$19*04_回帰ANOVA!$K$14*SQRT(1+L724)</f>
        <v>1.46660902464884</v>
      </c>
      <c r="N724" s="0" t="n">
        <f aca="false">K724-M724</f>
        <v>46.4110375270753</v>
      </c>
      <c r="O724" s="0" t="n">
        <f aca="false">K724+M724</f>
        <v>49.344255576373</v>
      </c>
      <c r="P724" s="54" t="b">
        <f aca="false">AND(C724&gt;=01_因子設定!$L$5-0.000000001,C724&lt;=01_因子設定!$M$5+0.000000001,D724&gt;=01_因子設定!$L$6-0.000000001,D724&lt;=01_因子設定!$M$6+0.000000001,IF(01_因子設定!$B$20="Box-Behnken",C724^2+D724^2&lt;=2+0.000000001,TRUE()))</f>
        <v>1</v>
      </c>
      <c r="Q724" s="55" t="n">
        <f aca="false">IF(P724,IF(01_因子設定!$B$13="最大化",N724-01_因子設定!$B$14,IF(01_因子設定!$B$13="最小化",01_因子設定!$B$15-O724,MIN(N724-01_因子設定!$B$14,01_因子設定!$B$15-O724))),-1E+030)</f>
        <v>-0.0889624729247061</v>
      </c>
      <c r="R724" s="55" t="n">
        <f aca="false">IF(P724,IF(01_因子設定!$B$13="最大化",K724,IF(01_因子設定!$B$13="最小化",-K724,-ABS(K724-01_因子設定!$B$16))),-1E+030)</f>
        <v>47.8776465517241</v>
      </c>
      <c r="S724" s="55" t="n">
        <f aca="false">Q724+ROW()*0.000000001</f>
        <v>-0.0889617489247061</v>
      </c>
      <c r="T724" s="55" t="n">
        <f aca="false">R724+ROW()*0.000000001</f>
        <v>47.8776472757241</v>
      </c>
    </row>
    <row r="725" customFormat="false" ht="15" hidden="false" customHeight="false" outlineLevel="0" collapsed="false">
      <c r="A725" s="0" t="n">
        <v>17</v>
      </c>
      <c r="B725" s="0" t="n">
        <v>23</v>
      </c>
      <c r="C725" s="0" t="n">
        <f aca="false">-1+A725*0.05</f>
        <v>-0.15</v>
      </c>
      <c r="D725" s="0" t="n">
        <f aca="false">-1+B725*0.05</f>
        <v>0.15</v>
      </c>
      <c r="E725" s="0" t="n">
        <f aca="false">1</f>
        <v>1</v>
      </c>
      <c r="F725" s="0" t="n">
        <f aca="false">C725</f>
        <v>-0.15</v>
      </c>
      <c r="G725" s="0" t="n">
        <f aca="false">D725</f>
        <v>0.15</v>
      </c>
      <c r="H725" s="0" t="n">
        <f aca="false">C725*D725</f>
        <v>-0.0225</v>
      </c>
      <c r="I725" s="0" t="n">
        <f aca="false">C725*C725</f>
        <v>0.0225</v>
      </c>
      <c r="J725" s="0" t="n">
        <f aca="false">D725*D725</f>
        <v>0.0225</v>
      </c>
      <c r="K725" s="0" t="n">
        <f aca="false">SUMPRODUCT(E725:J725,_XtX!$B$53:$G$53)</f>
        <v>47.9669202586207</v>
      </c>
      <c r="L725" s="0" t="n">
        <f aca="false">SUMPRODUCT(MMULT(E725:J725,_XtX!$B$44:$G$49),E725:J725)</f>
        <v>0.170956950431034</v>
      </c>
      <c r="M725" s="0" t="n">
        <f aca="false">04_回帰ANOVA!$K$19*04_回帰ANOVA!$K$14*SQRT(1+L725)</f>
        <v>1.46638171547064</v>
      </c>
      <c r="N725" s="0" t="n">
        <f aca="false">K725-M725</f>
        <v>46.5005385431501</v>
      </c>
      <c r="O725" s="0" t="n">
        <f aca="false">K725+M725</f>
        <v>49.4333019740913</v>
      </c>
      <c r="P725" s="54" t="b">
        <f aca="false">AND(C725&gt;=01_因子設定!$L$5-0.000000001,C725&lt;=01_因子設定!$M$5+0.000000001,D725&gt;=01_因子設定!$L$6-0.000000001,D725&lt;=01_因子設定!$M$6+0.000000001,IF(01_因子設定!$B$20="Box-Behnken",C725^2+D725^2&lt;=2+0.000000001,TRUE()))</f>
        <v>1</v>
      </c>
      <c r="Q725" s="55" t="n">
        <f aca="false">IF(P725,IF(01_因子設定!$B$13="最大化",N725-01_因子設定!$B$14,IF(01_因子設定!$B$13="最小化",01_因子設定!$B$15-O725,MIN(N725-01_因子設定!$B$14,01_因子設定!$B$15-O725))),-1E+030)</f>
        <v>0.00053854315005708</v>
      </c>
      <c r="R725" s="55" t="n">
        <f aca="false">IF(P725,IF(01_因子設定!$B$13="最大化",K725,IF(01_因子設定!$B$13="最小化",-K725,-ABS(K725-01_因子設定!$B$16))),-1E+030)</f>
        <v>47.9669202586207</v>
      </c>
      <c r="S725" s="55" t="n">
        <f aca="false">Q725+ROW()*0.000000001</f>
        <v>0.00053926815005708</v>
      </c>
      <c r="T725" s="55" t="n">
        <f aca="false">R725+ROW()*0.000000001</f>
        <v>47.9669209836207</v>
      </c>
    </row>
    <row r="726" customFormat="false" ht="15" hidden="false" customHeight="false" outlineLevel="0" collapsed="false">
      <c r="A726" s="0" t="n">
        <v>17</v>
      </c>
      <c r="B726" s="0" t="n">
        <v>24</v>
      </c>
      <c r="C726" s="0" t="n">
        <f aca="false">-1+A726*0.05</f>
        <v>-0.15</v>
      </c>
      <c r="D726" s="0" t="n">
        <f aca="false">-1+B726*0.05</f>
        <v>0.2</v>
      </c>
      <c r="E726" s="0" t="n">
        <f aca="false">1</f>
        <v>1</v>
      </c>
      <c r="F726" s="0" t="n">
        <f aca="false">C726</f>
        <v>-0.15</v>
      </c>
      <c r="G726" s="0" t="n">
        <f aca="false">D726</f>
        <v>0.2</v>
      </c>
      <c r="H726" s="0" t="n">
        <f aca="false">C726*D726</f>
        <v>-0.03</v>
      </c>
      <c r="I726" s="0" t="n">
        <f aca="false">C726*C726</f>
        <v>0.0225</v>
      </c>
      <c r="J726" s="0" t="n">
        <f aca="false">D726*D726</f>
        <v>0.0400000000000001</v>
      </c>
      <c r="K726" s="0" t="n">
        <f aca="false">SUMPRODUCT(E726:J726,_XtX!$B$53:$G$53)</f>
        <v>48.0484784482759</v>
      </c>
      <c r="L726" s="0" t="n">
        <f aca="false">SUMPRODUCT(MMULT(E726:J726,_XtX!$B$44:$G$49),E726:J726)</f>
        <v>0.170638757183908</v>
      </c>
      <c r="M726" s="0" t="n">
        <f aca="false">04_回帰ANOVA!$K$19*04_回帰ANOVA!$K$14*SQRT(1+L726)</f>
        <v>1.46618246627474</v>
      </c>
      <c r="N726" s="0" t="n">
        <f aca="false">K726-M726</f>
        <v>46.5822959820011</v>
      </c>
      <c r="O726" s="0" t="n">
        <f aca="false">K726+M726</f>
        <v>49.5146609145506</v>
      </c>
      <c r="P726" s="54" t="b">
        <f aca="false">AND(C726&gt;=01_因子設定!$L$5-0.000000001,C726&lt;=01_因子設定!$M$5+0.000000001,D726&gt;=01_因子設定!$L$6-0.000000001,D726&lt;=01_因子設定!$M$6+0.000000001,IF(01_因子設定!$B$20="Box-Behnken",C726^2+D726^2&lt;=2+0.000000001,TRUE()))</f>
        <v>1</v>
      </c>
      <c r="Q726" s="55" t="n">
        <f aca="false">IF(P726,IF(01_因子設定!$B$13="最大化",N726-01_因子設定!$B$14,IF(01_因子設定!$B$13="最小化",01_因子設定!$B$15-O726,MIN(N726-01_因子設定!$B$14,01_因子設定!$B$15-O726))),-1E+030)</f>
        <v>0.0822959820011207</v>
      </c>
      <c r="R726" s="55" t="n">
        <f aca="false">IF(P726,IF(01_因子設定!$B$13="最大化",K726,IF(01_因子設定!$B$13="最小化",-K726,-ABS(K726-01_因子設定!$B$16))),-1E+030)</f>
        <v>48.0484784482759</v>
      </c>
      <c r="S726" s="55" t="n">
        <f aca="false">Q726+ROW()*0.000000001</f>
        <v>0.0822967080011207</v>
      </c>
      <c r="T726" s="55" t="n">
        <f aca="false">R726+ROW()*0.000000001</f>
        <v>48.0484791742759</v>
      </c>
    </row>
    <row r="727" customFormat="false" ht="15" hidden="false" customHeight="false" outlineLevel="0" collapsed="false">
      <c r="A727" s="0" t="n">
        <v>17</v>
      </c>
      <c r="B727" s="0" t="n">
        <v>25</v>
      </c>
      <c r="C727" s="0" t="n">
        <f aca="false">-1+A727*0.05</f>
        <v>-0.15</v>
      </c>
      <c r="D727" s="0" t="n">
        <f aca="false">-1+B727*0.05</f>
        <v>0.25</v>
      </c>
      <c r="E727" s="0" t="n">
        <f aca="false">1</f>
        <v>1</v>
      </c>
      <c r="F727" s="0" t="n">
        <f aca="false">C727</f>
        <v>-0.15</v>
      </c>
      <c r="G727" s="0" t="n">
        <f aca="false">D727</f>
        <v>0.25</v>
      </c>
      <c r="H727" s="0" t="n">
        <f aca="false">C727*D727</f>
        <v>-0.0375</v>
      </c>
      <c r="I727" s="0" t="n">
        <f aca="false">C727*C727</f>
        <v>0.0225</v>
      </c>
      <c r="J727" s="0" t="n">
        <f aca="false">D727*D727</f>
        <v>0.0625</v>
      </c>
      <c r="K727" s="0" t="n">
        <f aca="false">SUMPRODUCT(E727:J727,_XtX!$B$53:$G$53)</f>
        <v>48.1223211206897</v>
      </c>
      <c r="L727" s="0" t="n">
        <f aca="false">SUMPRODUCT(MMULT(E727:J727,_XtX!$B$44:$G$49),E727:J727)</f>
        <v>0.170555513649425</v>
      </c>
      <c r="M727" s="0" t="n">
        <f aca="false">04_回帰ANOVA!$K$19*04_回帰ANOVA!$K$14*SQRT(1+L727)</f>
        <v>1.46613033559833</v>
      </c>
      <c r="N727" s="0" t="n">
        <f aca="false">K727-M727</f>
        <v>46.6561907850913</v>
      </c>
      <c r="O727" s="0" t="n">
        <f aca="false">K727+M727</f>
        <v>49.588451456288</v>
      </c>
      <c r="P727" s="54" t="b">
        <f aca="false">AND(C727&gt;=01_因子設定!$L$5-0.000000001,C727&lt;=01_因子設定!$M$5+0.000000001,D727&gt;=01_因子設定!$L$6-0.000000001,D727&lt;=01_因子設定!$M$6+0.000000001,IF(01_因子設定!$B$20="Box-Behnken",C727^2+D727^2&lt;=2+0.000000001,TRUE()))</f>
        <v>1</v>
      </c>
      <c r="Q727" s="55" t="n">
        <f aca="false">IF(P727,IF(01_因子設定!$B$13="最大化",N727-01_因子設定!$B$14,IF(01_因子設定!$B$13="最小化",01_因子設定!$B$15-O727,MIN(N727-01_因子設定!$B$14,01_因子設定!$B$15-O727))),-1E+030)</f>
        <v>0.156190785091326</v>
      </c>
      <c r="R727" s="55" t="n">
        <f aca="false">IF(P727,IF(01_因子設定!$B$13="最大化",K727,IF(01_因子設定!$B$13="最小化",-K727,-ABS(K727-01_因子設定!$B$16))),-1E+030)</f>
        <v>48.1223211206897</v>
      </c>
      <c r="S727" s="55" t="n">
        <f aca="false">Q727+ROW()*0.000000001</f>
        <v>0.156191512091326</v>
      </c>
      <c r="T727" s="55" t="n">
        <f aca="false">R727+ROW()*0.000000001</f>
        <v>48.1223218476897</v>
      </c>
    </row>
    <row r="728" customFormat="false" ht="15" hidden="false" customHeight="false" outlineLevel="0" collapsed="false">
      <c r="A728" s="0" t="n">
        <v>17</v>
      </c>
      <c r="B728" s="0" t="n">
        <v>26</v>
      </c>
      <c r="C728" s="0" t="n">
        <f aca="false">-1+A728*0.05</f>
        <v>-0.15</v>
      </c>
      <c r="D728" s="0" t="n">
        <f aca="false">-1+B728*0.05</f>
        <v>0.3</v>
      </c>
      <c r="E728" s="0" t="n">
        <f aca="false">1</f>
        <v>1</v>
      </c>
      <c r="F728" s="0" t="n">
        <f aca="false">C728</f>
        <v>-0.15</v>
      </c>
      <c r="G728" s="0" t="n">
        <f aca="false">D728</f>
        <v>0.3</v>
      </c>
      <c r="H728" s="0" t="n">
        <f aca="false">C728*D728</f>
        <v>-0.045</v>
      </c>
      <c r="I728" s="0" t="n">
        <f aca="false">C728*C728</f>
        <v>0.0225</v>
      </c>
      <c r="J728" s="0" t="n">
        <f aca="false">D728*D728</f>
        <v>0.09</v>
      </c>
      <c r="K728" s="0" t="n">
        <f aca="false">SUMPRODUCT(E728:J728,_XtX!$B$53:$G$53)</f>
        <v>48.1884482758621</v>
      </c>
      <c r="L728" s="0" t="n">
        <f aca="false">SUMPRODUCT(MMULT(E728:J728,_XtX!$B$44:$G$49),E728:J728)</f>
        <v>0.17095161637931</v>
      </c>
      <c r="M728" s="0" t="n">
        <f aca="false">04_回帰ANOVA!$K$19*04_回帰ANOVA!$K$14*SQRT(1+L728)</f>
        <v>1.46637837556782</v>
      </c>
      <c r="N728" s="0" t="n">
        <f aca="false">K728-M728</f>
        <v>46.7220699002942</v>
      </c>
      <c r="O728" s="0" t="n">
        <f aca="false">K728+M728</f>
        <v>49.6548266514299</v>
      </c>
      <c r="P728" s="54" t="b">
        <f aca="false">AND(C728&gt;=01_因子設定!$L$5-0.000000001,C728&lt;=01_因子設定!$M$5+0.000000001,D728&gt;=01_因子設定!$L$6-0.000000001,D728&lt;=01_因子設定!$M$6+0.000000001,IF(01_因子設定!$B$20="Box-Behnken",C728^2+D728^2&lt;=2+0.000000001,TRUE()))</f>
        <v>1</v>
      </c>
      <c r="Q728" s="55" t="n">
        <f aca="false">IF(P728,IF(01_因子設定!$B$13="最大化",N728-01_因子設定!$B$14,IF(01_因子設定!$B$13="最小化",01_因子設定!$B$15-O728,MIN(N728-01_因子設定!$B$14,01_因子設定!$B$15-O728))),-1E+030)</f>
        <v>0.222069900294244</v>
      </c>
      <c r="R728" s="55" t="n">
        <f aca="false">IF(P728,IF(01_因子設定!$B$13="最大化",K728,IF(01_因子設定!$B$13="最小化",-K728,-ABS(K728-01_因子設定!$B$16))),-1E+030)</f>
        <v>48.1884482758621</v>
      </c>
      <c r="S728" s="55" t="n">
        <f aca="false">Q728+ROW()*0.000000001</f>
        <v>0.222070628294244</v>
      </c>
      <c r="T728" s="55" t="n">
        <f aca="false">R728+ROW()*0.000000001</f>
        <v>48.1884490038621</v>
      </c>
    </row>
    <row r="729" customFormat="false" ht="15" hidden="false" customHeight="false" outlineLevel="0" collapsed="false">
      <c r="A729" s="0" t="n">
        <v>17</v>
      </c>
      <c r="B729" s="0" t="n">
        <v>27</v>
      </c>
      <c r="C729" s="0" t="n">
        <f aca="false">-1+A729*0.05</f>
        <v>-0.15</v>
      </c>
      <c r="D729" s="0" t="n">
        <f aca="false">-1+B729*0.05</f>
        <v>0.35</v>
      </c>
      <c r="E729" s="0" t="n">
        <f aca="false">1</f>
        <v>1</v>
      </c>
      <c r="F729" s="0" t="n">
        <f aca="false">C729</f>
        <v>-0.15</v>
      </c>
      <c r="G729" s="0" t="n">
        <f aca="false">D729</f>
        <v>0.35</v>
      </c>
      <c r="H729" s="0" t="n">
        <f aca="false">C729*D729</f>
        <v>-0.0525</v>
      </c>
      <c r="I729" s="0" t="n">
        <f aca="false">C729*C729</f>
        <v>0.0225</v>
      </c>
      <c r="J729" s="0" t="n">
        <f aca="false">D729*D729</f>
        <v>0.1225</v>
      </c>
      <c r="K729" s="0" t="n">
        <f aca="false">SUMPRODUCT(E729:J729,_XtX!$B$53:$G$53)</f>
        <v>48.2468599137931</v>
      </c>
      <c r="L729" s="0" t="n">
        <f aca="false">SUMPRODUCT(MMULT(E729:J729,_XtX!$B$44:$G$49),E729:J729)</f>
        <v>0.172125772270115</v>
      </c>
      <c r="M729" s="0" t="n">
        <f aca="false">04_回帰ANOVA!$K$19*04_回帰ANOVA!$K$14*SQRT(1+L729)</f>
        <v>1.46711338689661</v>
      </c>
      <c r="N729" s="0" t="n">
        <f aca="false">K729-M729</f>
        <v>46.7797465268965</v>
      </c>
      <c r="O729" s="0" t="n">
        <f aca="false">K729+M729</f>
        <v>49.7139733006897</v>
      </c>
      <c r="P729" s="54" t="b">
        <f aca="false">AND(C729&gt;=01_因子設定!$L$5-0.000000001,C729&lt;=01_因子設定!$M$5+0.000000001,D729&gt;=01_因子設定!$L$6-0.000000001,D729&lt;=01_因子設定!$M$6+0.000000001,IF(01_因子設定!$B$20="Box-Behnken",C729^2+D729^2&lt;=2+0.000000001,TRUE()))</f>
        <v>1</v>
      </c>
      <c r="Q729" s="55" t="n">
        <f aca="false">IF(P729,IF(01_因子設定!$B$13="最大化",N729-01_因子設定!$B$14,IF(01_因子設定!$B$13="最小化",01_因子設定!$B$15-O729,MIN(N729-01_因子設定!$B$14,01_因子設定!$B$15-O729))),-1E+030)</f>
        <v>0.279746526896496</v>
      </c>
      <c r="R729" s="55" t="n">
        <f aca="false">IF(P729,IF(01_因子設定!$B$13="最大化",K729,IF(01_因子設定!$B$13="最小化",-K729,-ABS(K729-01_因子設定!$B$16))),-1E+030)</f>
        <v>48.2468599137931</v>
      </c>
      <c r="S729" s="55" t="n">
        <f aca="false">Q729+ROW()*0.000000001</f>
        <v>0.279747255896496</v>
      </c>
      <c r="T729" s="55" t="n">
        <f aca="false">R729+ROW()*0.000000001</f>
        <v>48.2468606427931</v>
      </c>
    </row>
    <row r="730" customFormat="false" ht="15" hidden="false" customHeight="false" outlineLevel="0" collapsed="false">
      <c r="A730" s="0" t="n">
        <v>17</v>
      </c>
      <c r="B730" s="0" t="n">
        <v>28</v>
      </c>
      <c r="C730" s="0" t="n">
        <f aca="false">-1+A730*0.05</f>
        <v>-0.15</v>
      </c>
      <c r="D730" s="0" t="n">
        <f aca="false">-1+B730*0.05</f>
        <v>0.4</v>
      </c>
      <c r="E730" s="0" t="n">
        <f aca="false">1</f>
        <v>1</v>
      </c>
      <c r="F730" s="0" t="n">
        <f aca="false">C730</f>
        <v>-0.15</v>
      </c>
      <c r="G730" s="0" t="n">
        <f aca="false">D730</f>
        <v>0.4</v>
      </c>
      <c r="H730" s="0" t="n">
        <f aca="false">C730*D730</f>
        <v>-0.06</v>
      </c>
      <c r="I730" s="0" t="n">
        <f aca="false">C730*C730</f>
        <v>0.0225</v>
      </c>
      <c r="J730" s="0" t="n">
        <f aca="false">D730*D730</f>
        <v>0.16</v>
      </c>
      <c r="K730" s="0" t="n">
        <f aca="false">SUMPRODUCT(E730:J730,_XtX!$B$53:$G$53)</f>
        <v>48.2975560344828</v>
      </c>
      <c r="L730" s="0" t="n">
        <f aca="false">SUMPRODUCT(MMULT(E730:J730,_XtX!$B$44:$G$49),E730:J730)</f>
        <v>0.174430998563218</v>
      </c>
      <c r="M730" s="0" t="n">
        <f aca="false">04_回帰ANOVA!$K$19*04_回帰ANOVA!$K$14*SQRT(1+L730)</f>
        <v>1.46855536829659</v>
      </c>
      <c r="N730" s="0" t="n">
        <f aca="false">K730-M730</f>
        <v>46.8290006661862</v>
      </c>
      <c r="O730" s="0" t="n">
        <f aca="false">K730+M730</f>
        <v>49.7661114027794</v>
      </c>
      <c r="P730" s="54" t="b">
        <f aca="false">AND(C730&gt;=01_因子設定!$L$5-0.000000001,C730&lt;=01_因子設定!$M$5+0.000000001,D730&gt;=01_因子設定!$L$6-0.000000001,D730&lt;=01_因子設定!$M$6+0.000000001,IF(01_因子設定!$B$20="Box-Behnken",C730^2+D730^2&lt;=2+0.000000001,TRUE()))</f>
        <v>1</v>
      </c>
      <c r="Q730" s="55" t="n">
        <f aca="false">IF(P730,IF(01_因子設定!$B$13="最大化",N730-01_因子設定!$B$14,IF(01_因子設定!$B$13="最小化",01_因子設定!$B$15-O730,MIN(N730-01_因子設定!$B$14,01_因子設定!$B$15-O730))),-1E+030)</f>
        <v>0.329000666186168</v>
      </c>
      <c r="R730" s="55" t="n">
        <f aca="false">IF(P730,IF(01_因子設定!$B$13="最大化",K730,IF(01_因子設定!$B$13="最小化",-K730,-ABS(K730-01_因子設定!$B$16))),-1E+030)</f>
        <v>48.2975560344828</v>
      </c>
      <c r="S730" s="55" t="n">
        <f aca="false">Q730+ROW()*0.000000001</f>
        <v>0.329001396186168</v>
      </c>
      <c r="T730" s="55" t="n">
        <f aca="false">R730+ROW()*0.000000001</f>
        <v>48.2975567644828</v>
      </c>
    </row>
    <row r="731" customFormat="false" ht="15" hidden="false" customHeight="false" outlineLevel="0" collapsed="false">
      <c r="A731" s="0" t="n">
        <v>17</v>
      </c>
      <c r="B731" s="0" t="n">
        <v>29</v>
      </c>
      <c r="C731" s="0" t="n">
        <f aca="false">-1+A731*0.05</f>
        <v>-0.15</v>
      </c>
      <c r="D731" s="0" t="n">
        <f aca="false">-1+B731*0.05</f>
        <v>0.45</v>
      </c>
      <c r="E731" s="0" t="n">
        <f aca="false">1</f>
        <v>1</v>
      </c>
      <c r="F731" s="0" t="n">
        <f aca="false">C731</f>
        <v>-0.15</v>
      </c>
      <c r="G731" s="0" t="n">
        <f aca="false">D731</f>
        <v>0.45</v>
      </c>
      <c r="H731" s="0" t="n">
        <f aca="false">C731*D731</f>
        <v>-0.0675</v>
      </c>
      <c r="I731" s="0" t="n">
        <f aca="false">C731*C731</f>
        <v>0.0225</v>
      </c>
      <c r="J731" s="0" t="n">
        <f aca="false">D731*D731</f>
        <v>0.2025</v>
      </c>
      <c r="K731" s="0" t="n">
        <f aca="false">SUMPRODUCT(E731:J731,_XtX!$B$53:$G$53)</f>
        <v>48.340536637931</v>
      </c>
      <c r="L731" s="0" t="n">
        <f aca="false">SUMPRODUCT(MMULT(E731:J731,_XtX!$B$44:$G$49),E731:J731)</f>
        <v>0.178274622844828</v>
      </c>
      <c r="M731" s="0" t="n">
        <f aca="false">04_回帰ANOVA!$K$19*04_回帰ANOVA!$K$14*SQRT(1+L731)</f>
        <v>1.47095651587113</v>
      </c>
      <c r="N731" s="0" t="n">
        <f aca="false">K731-M731</f>
        <v>46.8695801220599</v>
      </c>
      <c r="O731" s="0" t="n">
        <f aca="false">K731+M731</f>
        <v>49.8114931538022</v>
      </c>
      <c r="P731" s="54" t="b">
        <f aca="false">AND(C731&gt;=01_因子設定!$L$5-0.000000001,C731&lt;=01_因子設定!$M$5+0.000000001,D731&gt;=01_因子設定!$L$6-0.000000001,D731&lt;=01_因子設定!$M$6+0.000000001,IF(01_因子設定!$B$20="Box-Behnken",C731^2+D731^2&lt;=2+0.000000001,TRUE()))</f>
        <v>1</v>
      </c>
      <c r="Q731" s="55" t="n">
        <f aca="false">IF(P731,IF(01_因子設定!$B$13="最大化",N731-01_因子設定!$B$14,IF(01_因子設定!$B$13="最小化",01_因子設定!$B$15-O731,MIN(N731-01_因子設定!$B$14,01_因子設定!$B$15-O731))),-1E+030)</f>
        <v>0.369580122059901</v>
      </c>
      <c r="R731" s="55" t="n">
        <f aca="false">IF(P731,IF(01_因子設定!$B$13="最大化",K731,IF(01_因子設定!$B$13="最小化",-K731,-ABS(K731-01_因子設定!$B$16))),-1E+030)</f>
        <v>48.340536637931</v>
      </c>
      <c r="S731" s="55" t="n">
        <f aca="false">Q731+ROW()*0.000000001</f>
        <v>0.369580853059901</v>
      </c>
      <c r="T731" s="55" t="n">
        <f aca="false">R731+ROW()*0.000000001</f>
        <v>48.340537368931</v>
      </c>
    </row>
    <row r="732" customFormat="false" ht="15" hidden="false" customHeight="false" outlineLevel="0" collapsed="false">
      <c r="A732" s="0" t="n">
        <v>17</v>
      </c>
      <c r="B732" s="0" t="n">
        <v>30</v>
      </c>
      <c r="C732" s="0" t="n">
        <f aca="false">-1+A732*0.05</f>
        <v>-0.15</v>
      </c>
      <c r="D732" s="0" t="n">
        <f aca="false">-1+B732*0.05</f>
        <v>0.5</v>
      </c>
      <c r="E732" s="0" t="n">
        <f aca="false">1</f>
        <v>1</v>
      </c>
      <c r="F732" s="0" t="n">
        <f aca="false">C732</f>
        <v>-0.15</v>
      </c>
      <c r="G732" s="0" t="n">
        <f aca="false">D732</f>
        <v>0.5</v>
      </c>
      <c r="H732" s="0" t="n">
        <f aca="false">C732*D732</f>
        <v>-0.075</v>
      </c>
      <c r="I732" s="0" t="n">
        <f aca="false">C732*C732</f>
        <v>0.0225</v>
      </c>
      <c r="J732" s="0" t="n">
        <f aca="false">D732*D732</f>
        <v>0.25</v>
      </c>
      <c r="K732" s="0" t="n">
        <f aca="false">SUMPRODUCT(E732:J732,_XtX!$B$53:$G$53)</f>
        <v>48.3758017241379</v>
      </c>
      <c r="L732" s="0" t="n">
        <f aca="false">SUMPRODUCT(MMULT(E732:J732,_XtX!$B$44:$G$49),E732:J732)</f>
        <v>0.184118283045977</v>
      </c>
      <c r="M732" s="0" t="n">
        <f aca="false">04_回帰ANOVA!$K$19*04_回帰ANOVA!$K$14*SQRT(1+L732)</f>
        <v>1.47459961338687</v>
      </c>
      <c r="N732" s="0" t="n">
        <f aca="false">K732-M732</f>
        <v>46.9012021107511</v>
      </c>
      <c r="O732" s="0" t="n">
        <f aca="false">K732+M732</f>
        <v>49.8504013375248</v>
      </c>
      <c r="P732" s="54" t="b">
        <f aca="false">AND(C732&gt;=01_因子設定!$L$5-0.000000001,C732&lt;=01_因子設定!$M$5+0.000000001,D732&gt;=01_因子設定!$L$6-0.000000001,D732&lt;=01_因子設定!$M$6+0.000000001,IF(01_因子設定!$B$20="Box-Behnken",C732^2+D732^2&lt;=2+0.000000001,TRUE()))</f>
        <v>1</v>
      </c>
      <c r="Q732" s="55" t="n">
        <f aca="false">IF(P732,IF(01_因子設定!$B$13="最大化",N732-01_因子設定!$B$14,IF(01_因子設定!$B$13="最小化",01_因子設定!$B$15-O732,MIN(N732-01_因子設定!$B$14,01_因子設定!$B$15-O732))),-1E+030)</f>
        <v>0.401202110751065</v>
      </c>
      <c r="R732" s="55" t="n">
        <f aca="false">IF(P732,IF(01_因子設定!$B$13="最大化",K732,IF(01_因子設定!$B$13="最小化",-K732,-ABS(K732-01_因子設定!$B$16))),-1E+030)</f>
        <v>48.3758017241379</v>
      </c>
      <c r="S732" s="55" t="n">
        <f aca="false">Q732+ROW()*0.000000001</f>
        <v>0.401202842751065</v>
      </c>
      <c r="T732" s="55" t="n">
        <f aca="false">R732+ROW()*0.000000001</f>
        <v>48.3758024561379</v>
      </c>
    </row>
    <row r="733" customFormat="false" ht="15" hidden="false" customHeight="false" outlineLevel="0" collapsed="false">
      <c r="A733" s="0" t="n">
        <v>17</v>
      </c>
      <c r="B733" s="0" t="n">
        <v>31</v>
      </c>
      <c r="C733" s="0" t="n">
        <f aca="false">-1+A733*0.05</f>
        <v>-0.15</v>
      </c>
      <c r="D733" s="0" t="n">
        <f aca="false">-1+B733*0.05</f>
        <v>0.55</v>
      </c>
      <c r="E733" s="0" t="n">
        <f aca="false">1</f>
        <v>1</v>
      </c>
      <c r="F733" s="0" t="n">
        <f aca="false">C733</f>
        <v>-0.15</v>
      </c>
      <c r="G733" s="0" t="n">
        <f aca="false">D733</f>
        <v>0.55</v>
      </c>
      <c r="H733" s="0" t="n">
        <f aca="false">C733*D733</f>
        <v>-0.0825</v>
      </c>
      <c r="I733" s="0" t="n">
        <f aca="false">C733*C733</f>
        <v>0.0225</v>
      </c>
      <c r="J733" s="0" t="n">
        <f aca="false">D733*D733</f>
        <v>0.3025</v>
      </c>
      <c r="K733" s="0" t="n">
        <f aca="false">SUMPRODUCT(E733:J733,_XtX!$B$53:$G$53)</f>
        <v>48.4033512931035</v>
      </c>
      <c r="L733" s="0" t="n">
        <f aca="false">SUMPRODUCT(MMULT(E733:J733,_XtX!$B$44:$G$49),E733:J733)</f>
        <v>0.192477927442529</v>
      </c>
      <c r="M733" s="0" t="n">
        <f aca="false">04_回帰ANOVA!$K$19*04_回帰ANOVA!$K$14*SQRT(1+L733)</f>
        <v>1.47979565176085</v>
      </c>
      <c r="N733" s="0" t="n">
        <f aca="false">K733-M733</f>
        <v>46.9235556413426</v>
      </c>
      <c r="O733" s="0" t="n">
        <f aca="false">K733+M733</f>
        <v>49.8831469448643</v>
      </c>
      <c r="P733" s="54" t="b">
        <f aca="false">AND(C733&gt;=01_因子設定!$L$5-0.000000001,C733&lt;=01_因子設定!$M$5+0.000000001,D733&gt;=01_因子設定!$L$6-0.000000001,D733&lt;=01_因子設定!$M$6+0.000000001,IF(01_因子設定!$B$20="Box-Behnken",C733^2+D733^2&lt;=2+0.000000001,TRUE()))</f>
        <v>1</v>
      </c>
      <c r="Q733" s="55" t="n">
        <f aca="false">IF(P733,IF(01_因子設定!$B$13="最大化",N733-01_因子設定!$B$14,IF(01_因子設定!$B$13="最小化",01_因子設定!$B$15-O733,MIN(N733-01_因子設定!$B$14,01_因子設定!$B$15-O733))),-1E+030)</f>
        <v>0.423555641342603</v>
      </c>
      <c r="R733" s="55" t="n">
        <f aca="false">IF(P733,IF(01_因子設定!$B$13="最大化",K733,IF(01_因子設定!$B$13="最小化",-K733,-ABS(K733-01_因子設定!$B$16))),-1E+030)</f>
        <v>48.4033512931035</v>
      </c>
      <c r="S733" s="55" t="n">
        <f aca="false">Q733+ROW()*0.000000001</f>
        <v>0.423556374342602</v>
      </c>
      <c r="T733" s="55" t="n">
        <f aca="false">R733+ROW()*0.000000001</f>
        <v>48.4033520261035</v>
      </c>
    </row>
    <row r="734" customFormat="false" ht="15" hidden="false" customHeight="false" outlineLevel="0" collapsed="false">
      <c r="A734" s="0" t="n">
        <v>17</v>
      </c>
      <c r="B734" s="0" t="n">
        <v>32</v>
      </c>
      <c r="C734" s="0" t="n">
        <f aca="false">-1+A734*0.05</f>
        <v>-0.15</v>
      </c>
      <c r="D734" s="0" t="n">
        <f aca="false">-1+B734*0.05</f>
        <v>0.6</v>
      </c>
      <c r="E734" s="0" t="n">
        <f aca="false">1</f>
        <v>1</v>
      </c>
      <c r="F734" s="0" t="n">
        <f aca="false">C734</f>
        <v>-0.15</v>
      </c>
      <c r="G734" s="0" t="n">
        <f aca="false">D734</f>
        <v>0.6</v>
      </c>
      <c r="H734" s="0" t="n">
        <f aca="false">C734*D734</f>
        <v>-0.09</v>
      </c>
      <c r="I734" s="0" t="n">
        <f aca="false">C734*C734</f>
        <v>0.0225</v>
      </c>
      <c r="J734" s="0" t="n">
        <f aca="false">D734*D734</f>
        <v>0.36</v>
      </c>
      <c r="K734" s="0" t="n">
        <f aca="false">SUMPRODUCT(E734:J734,_XtX!$B$53:$G$53)</f>
        <v>48.4231853448276</v>
      </c>
      <c r="L734" s="0" t="n">
        <f aca="false">SUMPRODUCT(MMULT(E734:J734,_XtX!$B$44:$G$49),E734:J734)</f>
        <v>0.203923814655172</v>
      </c>
      <c r="M734" s="0" t="n">
        <f aca="false">04_回帰ANOVA!$K$19*04_回帰ANOVA!$K$14*SQRT(1+L734)</f>
        <v>1.48688053115555</v>
      </c>
      <c r="N734" s="0" t="n">
        <f aca="false">K734-M734</f>
        <v>46.936304813672</v>
      </c>
      <c r="O734" s="0" t="n">
        <f aca="false">K734+M734</f>
        <v>49.9100658759831</v>
      </c>
      <c r="P734" s="54" t="b">
        <f aca="false">AND(C734&gt;=01_因子設定!$L$5-0.000000001,C734&lt;=01_因子設定!$M$5+0.000000001,D734&gt;=01_因子設定!$L$6-0.000000001,D734&lt;=01_因子設定!$M$6+0.000000001,IF(01_因子設定!$B$20="Box-Behnken",C734^2+D734^2&lt;=2+0.000000001,TRUE()))</f>
        <v>1</v>
      </c>
      <c r="Q734" s="55" t="n">
        <f aca="false">IF(P734,IF(01_因子設定!$B$13="最大化",N734-01_因子設定!$B$14,IF(01_因子設定!$B$13="最小化",01_因子設定!$B$15-O734,MIN(N734-01_因子設定!$B$14,01_因子設定!$B$15-O734))),-1E+030)</f>
        <v>0.436304813672038</v>
      </c>
      <c r="R734" s="55" t="n">
        <f aca="false">IF(P734,IF(01_因子設定!$B$13="最大化",K734,IF(01_因子設定!$B$13="最小化",-K734,-ABS(K734-01_因子設定!$B$16))),-1E+030)</f>
        <v>48.4231853448276</v>
      </c>
      <c r="S734" s="55" t="n">
        <f aca="false">Q734+ROW()*0.000000001</f>
        <v>0.436305547672038</v>
      </c>
      <c r="T734" s="55" t="n">
        <f aca="false">R734+ROW()*0.000000001</f>
        <v>48.4231860788276</v>
      </c>
    </row>
    <row r="735" customFormat="false" ht="15" hidden="false" customHeight="false" outlineLevel="0" collapsed="false">
      <c r="A735" s="0" t="n">
        <v>17</v>
      </c>
      <c r="B735" s="0" t="n">
        <v>33</v>
      </c>
      <c r="C735" s="0" t="n">
        <f aca="false">-1+A735*0.05</f>
        <v>-0.15</v>
      </c>
      <c r="D735" s="0" t="n">
        <f aca="false">-1+B735*0.05</f>
        <v>0.65</v>
      </c>
      <c r="E735" s="0" t="n">
        <f aca="false">1</f>
        <v>1</v>
      </c>
      <c r="F735" s="0" t="n">
        <f aca="false">C735</f>
        <v>-0.15</v>
      </c>
      <c r="G735" s="0" t="n">
        <f aca="false">D735</f>
        <v>0.65</v>
      </c>
      <c r="H735" s="0" t="n">
        <f aca="false">C735*D735</f>
        <v>-0.0975</v>
      </c>
      <c r="I735" s="0" t="n">
        <f aca="false">C735*C735</f>
        <v>0.0225</v>
      </c>
      <c r="J735" s="0" t="n">
        <f aca="false">D735*D735</f>
        <v>0.4225</v>
      </c>
      <c r="K735" s="0" t="n">
        <f aca="false">SUMPRODUCT(E735:J735,_XtX!$B$53:$G$53)</f>
        <v>48.4353038793104</v>
      </c>
      <c r="L735" s="0" t="n">
        <f aca="false">SUMPRODUCT(MMULT(E735:J735,_XtX!$B$44:$G$49),E735:J735)</f>
        <v>0.219080513649425</v>
      </c>
      <c r="M735" s="0" t="n">
        <f aca="false">04_回帰ANOVA!$K$19*04_回帰ANOVA!$K$14*SQRT(1+L735)</f>
        <v>1.49621073709053</v>
      </c>
      <c r="N735" s="0" t="n">
        <f aca="false">K735-M735</f>
        <v>46.9390931422198</v>
      </c>
      <c r="O735" s="0" t="n">
        <f aca="false">K735+M735</f>
        <v>49.9315146164009</v>
      </c>
      <c r="P735" s="54" t="b">
        <f aca="false">AND(C735&gt;=01_因子設定!$L$5-0.000000001,C735&lt;=01_因子設定!$M$5+0.000000001,D735&gt;=01_因子設定!$L$6-0.000000001,D735&lt;=01_因子設定!$M$6+0.000000001,IF(01_因子設定!$B$20="Box-Behnken",C735^2+D735^2&lt;=2+0.000000001,TRUE()))</f>
        <v>1</v>
      </c>
      <c r="Q735" s="55" t="n">
        <f aca="false">IF(P735,IF(01_因子設定!$B$13="最大化",N735-01_因子設定!$B$14,IF(01_因子設定!$B$13="最小化",01_因子設定!$B$15-O735,MIN(N735-01_因子設定!$B$14,01_因子設定!$B$15-O735))),-1E+030)</f>
        <v>0.439093142219818</v>
      </c>
      <c r="R735" s="55" t="n">
        <f aca="false">IF(P735,IF(01_因子設定!$B$13="最大化",K735,IF(01_因子設定!$B$13="最小化",-K735,-ABS(K735-01_因子設定!$B$16))),-1E+030)</f>
        <v>48.4353038793104</v>
      </c>
      <c r="S735" s="55" t="n">
        <f aca="false">Q735+ROW()*0.000000001</f>
        <v>0.439093877219818</v>
      </c>
      <c r="T735" s="55" t="n">
        <f aca="false">R735+ROW()*0.000000001</f>
        <v>48.4353046143104</v>
      </c>
    </row>
    <row r="736" customFormat="false" ht="15" hidden="false" customHeight="false" outlineLevel="0" collapsed="false">
      <c r="A736" s="0" t="n">
        <v>17</v>
      </c>
      <c r="B736" s="0" t="n">
        <v>34</v>
      </c>
      <c r="C736" s="0" t="n">
        <f aca="false">-1+A736*0.05</f>
        <v>-0.15</v>
      </c>
      <c r="D736" s="0" t="n">
        <f aca="false">-1+B736*0.05</f>
        <v>0.7</v>
      </c>
      <c r="E736" s="0" t="n">
        <f aca="false">1</f>
        <v>1</v>
      </c>
      <c r="F736" s="0" t="n">
        <f aca="false">C736</f>
        <v>-0.15</v>
      </c>
      <c r="G736" s="0" t="n">
        <f aca="false">D736</f>
        <v>0.7</v>
      </c>
      <c r="H736" s="0" t="n">
        <f aca="false">C736*D736</f>
        <v>-0.105</v>
      </c>
      <c r="I736" s="0" t="n">
        <f aca="false">C736*C736</f>
        <v>0.0225</v>
      </c>
      <c r="J736" s="0" t="n">
        <f aca="false">D736*D736</f>
        <v>0.49</v>
      </c>
      <c r="K736" s="0" t="n">
        <f aca="false">SUMPRODUCT(E736:J736,_XtX!$B$53:$G$53)</f>
        <v>48.4397068965517</v>
      </c>
      <c r="L736" s="0" t="n">
        <f aca="false">SUMPRODUCT(MMULT(E736:J736,_XtX!$B$44:$G$49),E736:J736)</f>
        <v>0.238626903735632</v>
      </c>
      <c r="M736" s="0" t="n">
        <f aca="false">04_回帰ANOVA!$K$19*04_回帰ANOVA!$K$14*SQRT(1+L736)</f>
        <v>1.50815794660713</v>
      </c>
      <c r="N736" s="0" t="n">
        <f aca="false">K736-M736</f>
        <v>46.9315489499446</v>
      </c>
      <c r="O736" s="0" t="n">
        <f aca="false">K736+M736</f>
        <v>49.9478648431589</v>
      </c>
      <c r="P736" s="54" t="b">
        <f aca="false">AND(C736&gt;=01_因子設定!$L$5-0.000000001,C736&lt;=01_因子設定!$M$5+0.000000001,D736&gt;=01_因子設定!$L$6-0.000000001,D736&lt;=01_因子設定!$M$6+0.000000001,IF(01_因子設定!$B$20="Box-Behnken",C736^2+D736^2&lt;=2+0.000000001,TRUE()))</f>
        <v>1</v>
      </c>
      <c r="Q736" s="55" t="n">
        <f aca="false">IF(P736,IF(01_因子設定!$B$13="最大化",N736-01_因子設定!$B$14,IF(01_因子設定!$B$13="最小化",01_因子設定!$B$15-O736,MIN(N736-01_因子設定!$B$14,01_因子設定!$B$15-O736))),-1E+030)</f>
        <v>0.431548949944599</v>
      </c>
      <c r="R736" s="55" t="n">
        <f aca="false">IF(P736,IF(01_因子設定!$B$13="最大化",K736,IF(01_因子設定!$B$13="最小化",-K736,-ABS(K736-01_因子設定!$B$16))),-1E+030)</f>
        <v>48.4397068965517</v>
      </c>
      <c r="S736" s="55" t="n">
        <f aca="false">Q736+ROW()*0.000000001</f>
        <v>0.431549685944599</v>
      </c>
      <c r="T736" s="55" t="n">
        <f aca="false">R736+ROW()*0.000000001</f>
        <v>48.4397076325517</v>
      </c>
    </row>
    <row r="737" customFormat="false" ht="15" hidden="false" customHeight="false" outlineLevel="0" collapsed="false">
      <c r="A737" s="0" t="n">
        <v>17</v>
      </c>
      <c r="B737" s="0" t="n">
        <v>35</v>
      </c>
      <c r="C737" s="0" t="n">
        <f aca="false">-1+A737*0.05</f>
        <v>-0.15</v>
      </c>
      <c r="D737" s="0" t="n">
        <f aca="false">-1+B737*0.05</f>
        <v>0.75</v>
      </c>
      <c r="E737" s="0" t="n">
        <f aca="false">1</f>
        <v>1</v>
      </c>
      <c r="F737" s="0" t="n">
        <f aca="false">C737</f>
        <v>-0.15</v>
      </c>
      <c r="G737" s="0" t="n">
        <f aca="false">D737</f>
        <v>0.75</v>
      </c>
      <c r="H737" s="0" t="n">
        <f aca="false">C737*D737</f>
        <v>-0.1125</v>
      </c>
      <c r="I737" s="0" t="n">
        <f aca="false">C737*C737</f>
        <v>0.0225</v>
      </c>
      <c r="J737" s="0" t="n">
        <f aca="false">D737*D737</f>
        <v>0.5625</v>
      </c>
      <c r="K737" s="0" t="n">
        <f aca="false">SUMPRODUCT(E737:J737,_XtX!$B$53:$G$53)</f>
        <v>48.4363943965517</v>
      </c>
      <c r="L737" s="0" t="n">
        <f aca="false">SUMPRODUCT(MMULT(E737:J737,_XtX!$B$44:$G$49),E737:J737)</f>
        <v>0.263296174568966</v>
      </c>
      <c r="M737" s="0" t="n">
        <f aca="false">04_回帰ANOVA!$K$19*04_回帰ANOVA!$K$14*SQRT(1+L737)</f>
        <v>1.52310261176472</v>
      </c>
      <c r="N737" s="0" t="n">
        <f aca="false">K737-M737</f>
        <v>46.913291784787</v>
      </c>
      <c r="O737" s="0" t="n">
        <f aca="false">K737+M737</f>
        <v>49.9594970083165</v>
      </c>
      <c r="P737" s="54" t="b">
        <f aca="false">AND(C737&gt;=01_因子設定!$L$5-0.000000001,C737&lt;=01_因子設定!$M$5+0.000000001,D737&gt;=01_因子設定!$L$6-0.000000001,D737&lt;=01_因子設定!$M$6+0.000000001,IF(01_因子設定!$B$20="Box-Behnken",C737^2+D737^2&lt;=2+0.000000001,TRUE()))</f>
        <v>1</v>
      </c>
      <c r="Q737" s="55" t="n">
        <f aca="false">IF(P737,IF(01_因子設定!$B$13="最大化",N737-01_因子設定!$B$14,IF(01_因子設定!$B$13="最小化",01_因子設定!$B$15-O737,MIN(N737-01_因子設定!$B$14,01_因子設定!$B$15-O737))),-1E+030)</f>
        <v>0.413291784787006</v>
      </c>
      <c r="R737" s="55" t="n">
        <f aca="false">IF(P737,IF(01_因子設定!$B$13="最大化",K737,IF(01_因子設定!$B$13="最小化",-K737,-ABS(K737-01_因子設定!$B$16))),-1E+030)</f>
        <v>48.4363943965517</v>
      </c>
      <c r="S737" s="55" t="n">
        <f aca="false">Q737+ROW()*0.000000001</f>
        <v>0.413292521787006</v>
      </c>
      <c r="T737" s="55" t="n">
        <f aca="false">R737+ROW()*0.000000001</f>
        <v>48.4363951335517</v>
      </c>
    </row>
    <row r="738" customFormat="false" ht="15" hidden="false" customHeight="false" outlineLevel="0" collapsed="false">
      <c r="A738" s="0" t="n">
        <v>17</v>
      </c>
      <c r="B738" s="0" t="n">
        <v>36</v>
      </c>
      <c r="C738" s="0" t="n">
        <f aca="false">-1+A738*0.05</f>
        <v>-0.15</v>
      </c>
      <c r="D738" s="0" t="n">
        <f aca="false">-1+B738*0.05</f>
        <v>0.8</v>
      </c>
      <c r="E738" s="0" t="n">
        <f aca="false">1</f>
        <v>1</v>
      </c>
      <c r="F738" s="0" t="n">
        <f aca="false">C738</f>
        <v>-0.15</v>
      </c>
      <c r="G738" s="0" t="n">
        <f aca="false">D738</f>
        <v>0.8</v>
      </c>
      <c r="H738" s="0" t="n">
        <f aca="false">C738*D738</f>
        <v>-0.12</v>
      </c>
      <c r="I738" s="0" t="n">
        <f aca="false">C738*C738</f>
        <v>0.0225</v>
      </c>
      <c r="J738" s="0" t="n">
        <f aca="false">D738*D738</f>
        <v>0.64</v>
      </c>
      <c r="K738" s="0" t="n">
        <f aca="false">SUMPRODUCT(E738:J738,_XtX!$B$53:$G$53)</f>
        <v>48.4253663793104</v>
      </c>
      <c r="L738" s="0" t="n">
        <f aca="false">SUMPRODUCT(MMULT(E738:J738,_XtX!$B$44:$G$49),E738:J738)</f>
        <v>0.293875826149425</v>
      </c>
      <c r="M738" s="0" t="n">
        <f aca="false">04_回帰ANOVA!$K$19*04_回帰ANOVA!$K$14*SQRT(1+L738)</f>
        <v>1.54142668001218</v>
      </c>
      <c r="N738" s="0" t="n">
        <f aca="false">K738-M738</f>
        <v>46.8839396992982</v>
      </c>
      <c r="O738" s="0" t="n">
        <f aca="false">K738+M738</f>
        <v>49.9667930593225</v>
      </c>
      <c r="P738" s="54" t="b">
        <f aca="false">AND(C738&gt;=01_因子設定!$L$5-0.000000001,C738&lt;=01_因子設定!$M$5+0.000000001,D738&gt;=01_因子設定!$L$6-0.000000001,D738&lt;=01_因子設定!$M$6+0.000000001,IF(01_因子設定!$B$20="Box-Behnken",C738^2+D738^2&lt;=2+0.000000001,TRUE()))</f>
        <v>1</v>
      </c>
      <c r="Q738" s="55" t="n">
        <f aca="false">IF(P738,IF(01_因子設定!$B$13="最大化",N738-01_因子設定!$B$14,IF(01_因子設定!$B$13="最小化",01_因子設定!$B$15-O738,MIN(N738-01_因子設定!$B$14,01_因子設定!$B$15-O738))),-1E+030)</f>
        <v>0.383939699298175</v>
      </c>
      <c r="R738" s="55" t="n">
        <f aca="false">IF(P738,IF(01_因子設定!$B$13="最大化",K738,IF(01_因子設定!$B$13="最小化",-K738,-ABS(K738-01_因子設定!$B$16))),-1E+030)</f>
        <v>48.4253663793104</v>
      </c>
      <c r="S738" s="55" t="n">
        <f aca="false">Q738+ROW()*0.000000001</f>
        <v>0.383940437298175</v>
      </c>
      <c r="T738" s="55" t="n">
        <f aca="false">R738+ROW()*0.000000001</f>
        <v>48.4253671173103</v>
      </c>
    </row>
    <row r="739" customFormat="false" ht="15" hidden="false" customHeight="false" outlineLevel="0" collapsed="false">
      <c r="A739" s="0" t="n">
        <v>17</v>
      </c>
      <c r="B739" s="0" t="n">
        <v>37</v>
      </c>
      <c r="C739" s="0" t="n">
        <f aca="false">-1+A739*0.05</f>
        <v>-0.15</v>
      </c>
      <c r="D739" s="0" t="n">
        <f aca="false">-1+B739*0.05</f>
        <v>0.85</v>
      </c>
      <c r="E739" s="0" t="n">
        <f aca="false">1</f>
        <v>1</v>
      </c>
      <c r="F739" s="0" t="n">
        <f aca="false">C739</f>
        <v>-0.15</v>
      </c>
      <c r="G739" s="0" t="n">
        <f aca="false">D739</f>
        <v>0.85</v>
      </c>
      <c r="H739" s="0" t="n">
        <f aca="false">C739*D739</f>
        <v>-0.1275</v>
      </c>
      <c r="I739" s="0" t="n">
        <f aca="false">C739*C739</f>
        <v>0.0225</v>
      </c>
      <c r="J739" s="0" t="n">
        <f aca="false">D739*D739</f>
        <v>0.7225</v>
      </c>
      <c r="K739" s="0" t="n">
        <f aca="false">SUMPRODUCT(E739:J739,_XtX!$B$53:$G$53)</f>
        <v>48.4066228448276</v>
      </c>
      <c r="L739" s="0" t="n">
        <f aca="false">SUMPRODUCT(MMULT(E739:J739,_XtX!$B$44:$G$49),E739:J739)</f>
        <v>0.331207668821839</v>
      </c>
      <c r="M739" s="0" t="n">
        <f aca="false">04_回帰ANOVA!$K$19*04_回帰ANOVA!$K$14*SQRT(1+L739)</f>
        <v>1.56350573192697</v>
      </c>
      <c r="N739" s="0" t="n">
        <f aca="false">K739-M739</f>
        <v>46.8431171129006</v>
      </c>
      <c r="O739" s="0" t="n">
        <f aca="false">K739+M739</f>
        <v>49.9701285767546</v>
      </c>
      <c r="P739" s="54" t="b">
        <f aca="false">AND(C739&gt;=01_因子設定!$L$5-0.000000001,C739&lt;=01_因子設定!$M$5+0.000000001,D739&gt;=01_因子設定!$L$6-0.000000001,D739&lt;=01_因子設定!$M$6+0.000000001,IF(01_因子設定!$B$20="Box-Behnken",C739^2+D739^2&lt;=2+0.000000001,TRUE()))</f>
        <v>1</v>
      </c>
      <c r="Q739" s="55" t="n">
        <f aca="false">IF(P739,IF(01_因子設定!$B$13="最大化",N739-01_因子設定!$B$14,IF(01_因子設定!$B$13="最小化",01_因子設定!$B$15-O739,MIN(N739-01_因子設定!$B$14,01_因子設定!$B$15-O739))),-1E+030)</f>
        <v>0.343117112900622</v>
      </c>
      <c r="R739" s="55" t="n">
        <f aca="false">IF(P739,IF(01_因子設定!$B$13="最大化",K739,IF(01_因子設定!$B$13="最小化",-K739,-ABS(K739-01_因子設定!$B$16))),-1E+030)</f>
        <v>48.4066228448276</v>
      </c>
      <c r="S739" s="55" t="n">
        <f aca="false">Q739+ROW()*0.000000001</f>
        <v>0.343117851900622</v>
      </c>
      <c r="T739" s="55" t="n">
        <f aca="false">R739+ROW()*0.000000001</f>
        <v>48.4066235838276</v>
      </c>
    </row>
    <row r="740" customFormat="false" ht="15" hidden="false" customHeight="false" outlineLevel="0" collapsed="false">
      <c r="A740" s="0" t="n">
        <v>17</v>
      </c>
      <c r="B740" s="0" t="n">
        <v>38</v>
      </c>
      <c r="C740" s="0" t="n">
        <f aca="false">-1+A740*0.05</f>
        <v>-0.15</v>
      </c>
      <c r="D740" s="0" t="n">
        <f aca="false">-1+B740*0.05</f>
        <v>0.9</v>
      </c>
      <c r="E740" s="0" t="n">
        <f aca="false">1</f>
        <v>1</v>
      </c>
      <c r="F740" s="0" t="n">
        <f aca="false">C740</f>
        <v>-0.15</v>
      </c>
      <c r="G740" s="0" t="n">
        <f aca="false">D740</f>
        <v>0.9</v>
      </c>
      <c r="H740" s="0" t="n">
        <f aca="false">C740*D740</f>
        <v>-0.135</v>
      </c>
      <c r="I740" s="0" t="n">
        <f aca="false">C740*C740</f>
        <v>0.0225</v>
      </c>
      <c r="J740" s="0" t="n">
        <f aca="false">D740*D740</f>
        <v>0.81</v>
      </c>
      <c r="K740" s="0" t="n">
        <f aca="false">SUMPRODUCT(E740:J740,_XtX!$B$53:$G$53)</f>
        <v>48.3801637931035</v>
      </c>
      <c r="L740" s="0" t="n">
        <f aca="false">SUMPRODUCT(MMULT(E740:J740,_XtX!$B$44:$G$49),E740:J740)</f>
        <v>0.376187823275862</v>
      </c>
      <c r="M740" s="0" t="n">
        <f aca="false">04_回帰ANOVA!$K$19*04_回帰ANOVA!$K$14*SQRT(1+L740)</f>
        <v>1.58970092790052</v>
      </c>
      <c r="N740" s="0" t="n">
        <f aca="false">K740-M740</f>
        <v>46.7904628652029</v>
      </c>
      <c r="O740" s="0" t="n">
        <f aca="false">K740+M740</f>
        <v>49.969864721004</v>
      </c>
      <c r="P740" s="54" t="b">
        <f aca="false">AND(C740&gt;=01_因子設定!$L$5-0.000000001,C740&lt;=01_因子設定!$M$5+0.000000001,D740&gt;=01_因子設定!$L$6-0.000000001,D740&lt;=01_因子設定!$M$6+0.000000001,IF(01_因子設定!$B$20="Box-Behnken",C740^2+D740^2&lt;=2+0.000000001,TRUE()))</f>
        <v>1</v>
      </c>
      <c r="Q740" s="55" t="n">
        <f aca="false">IF(P740,IF(01_因子設定!$B$13="最大化",N740-01_因子設定!$B$14,IF(01_因子設定!$B$13="最小化",01_因子設定!$B$15-O740,MIN(N740-01_因子設定!$B$14,01_因子設定!$B$15-O740))),-1E+030)</f>
        <v>0.290462865202933</v>
      </c>
      <c r="R740" s="55" t="n">
        <f aca="false">IF(P740,IF(01_因子設定!$B$13="最大化",K740,IF(01_因子設定!$B$13="最小化",-K740,-ABS(K740-01_因子設定!$B$16))),-1E+030)</f>
        <v>48.3801637931035</v>
      </c>
      <c r="S740" s="55" t="n">
        <f aca="false">Q740+ROW()*0.000000001</f>
        <v>0.290463605202933</v>
      </c>
      <c r="T740" s="55" t="n">
        <f aca="false">R740+ROW()*0.000000001</f>
        <v>48.3801645331034</v>
      </c>
    </row>
    <row r="741" customFormat="false" ht="15" hidden="false" customHeight="false" outlineLevel="0" collapsed="false">
      <c r="A741" s="0" t="n">
        <v>17</v>
      </c>
      <c r="B741" s="0" t="n">
        <v>39</v>
      </c>
      <c r="C741" s="0" t="n">
        <f aca="false">-1+A741*0.05</f>
        <v>-0.15</v>
      </c>
      <c r="D741" s="0" t="n">
        <f aca="false">-1+B741*0.05</f>
        <v>0.95</v>
      </c>
      <c r="E741" s="0" t="n">
        <f aca="false">1</f>
        <v>1</v>
      </c>
      <c r="F741" s="0" t="n">
        <f aca="false">C741</f>
        <v>-0.15</v>
      </c>
      <c r="G741" s="0" t="n">
        <f aca="false">D741</f>
        <v>0.95</v>
      </c>
      <c r="H741" s="0" t="n">
        <f aca="false">C741*D741</f>
        <v>-0.1425</v>
      </c>
      <c r="I741" s="0" t="n">
        <f aca="false">C741*C741</f>
        <v>0.0225</v>
      </c>
      <c r="J741" s="0" t="n">
        <f aca="false">D741*D741</f>
        <v>0.9025</v>
      </c>
      <c r="K741" s="0" t="n">
        <f aca="false">SUMPRODUCT(E741:J741,_XtX!$B$53:$G$53)</f>
        <v>48.3459892241379</v>
      </c>
      <c r="L741" s="0" t="n">
        <f aca="false">SUMPRODUCT(MMULT(E741:J741,_XtX!$B$44:$G$49),E741:J741)</f>
        <v>0.429766720545977</v>
      </c>
      <c r="M741" s="0" t="n">
        <f aca="false">04_回帰ANOVA!$K$19*04_回帰ANOVA!$K$14*SQRT(1+L741)</f>
        <v>1.62035123469551</v>
      </c>
      <c r="N741" s="0" t="n">
        <f aca="false">K741-M741</f>
        <v>46.7256379894424</v>
      </c>
      <c r="O741" s="0" t="n">
        <f aca="false">K741+M741</f>
        <v>49.9663404588334</v>
      </c>
      <c r="P741" s="54" t="b">
        <f aca="false">AND(C741&gt;=01_因子設定!$L$5-0.000000001,C741&lt;=01_因子設定!$M$5+0.000000001,D741&gt;=01_因子設定!$L$6-0.000000001,D741&lt;=01_因子設定!$M$6+0.000000001,IF(01_因子設定!$B$20="Box-Behnken",C741^2+D741^2&lt;=2+0.000000001,TRUE()))</f>
        <v>1</v>
      </c>
      <c r="Q741" s="55" t="n">
        <f aca="false">IF(P741,IF(01_因子設定!$B$13="最大化",N741-01_因子設定!$B$14,IF(01_因子設定!$B$13="最小化",01_因子設定!$B$15-O741,MIN(N741-01_因子設定!$B$14,01_因子設定!$B$15-O741))),-1E+030)</f>
        <v>0.225637989442419</v>
      </c>
      <c r="R741" s="55" t="n">
        <f aca="false">IF(P741,IF(01_因子設定!$B$13="最大化",K741,IF(01_因子設定!$B$13="最小化",-K741,-ABS(K741-01_因子設定!$B$16))),-1E+030)</f>
        <v>48.3459892241379</v>
      </c>
      <c r="S741" s="55" t="n">
        <f aca="false">Q741+ROW()*0.000000001</f>
        <v>0.225638730442419</v>
      </c>
      <c r="T741" s="55" t="n">
        <f aca="false">R741+ROW()*0.000000001</f>
        <v>48.3459899651379</v>
      </c>
    </row>
    <row r="742" customFormat="false" ht="15" hidden="false" customHeight="false" outlineLevel="0" collapsed="false">
      <c r="A742" s="0" t="n">
        <v>17</v>
      </c>
      <c r="B742" s="0" t="n">
        <v>40</v>
      </c>
      <c r="C742" s="0" t="n">
        <f aca="false">-1+A742*0.05</f>
        <v>-0.15</v>
      </c>
      <c r="D742" s="0" t="n">
        <f aca="false">-1+B742*0.05</f>
        <v>1</v>
      </c>
      <c r="E742" s="0" t="n">
        <f aca="false">1</f>
        <v>1</v>
      </c>
      <c r="F742" s="0" t="n">
        <f aca="false">C742</f>
        <v>-0.15</v>
      </c>
      <c r="G742" s="0" t="n">
        <f aca="false">D742</f>
        <v>1</v>
      </c>
      <c r="H742" s="0" t="n">
        <f aca="false">C742*D742</f>
        <v>-0.15</v>
      </c>
      <c r="I742" s="0" t="n">
        <f aca="false">C742*C742</f>
        <v>0.0225</v>
      </c>
      <c r="J742" s="0" t="n">
        <f aca="false">D742*D742</f>
        <v>1</v>
      </c>
      <c r="K742" s="0" t="n">
        <f aca="false">SUMPRODUCT(E742:J742,_XtX!$B$53:$G$53)</f>
        <v>48.304099137931</v>
      </c>
      <c r="L742" s="0" t="n">
        <f aca="false">SUMPRODUCT(MMULT(E742:J742,_XtX!$B$44:$G$49),E742:J742)</f>
        <v>0.492949102011494</v>
      </c>
      <c r="M742" s="0" t="n">
        <f aca="false">04_回帰ANOVA!$K$19*04_回帰ANOVA!$K$14*SQRT(1+L742)</f>
        <v>1.65576643026763</v>
      </c>
      <c r="N742" s="0" t="n">
        <f aca="false">K742-M742</f>
        <v>46.6483327076634</v>
      </c>
      <c r="O742" s="0" t="n">
        <f aca="false">K742+M742</f>
        <v>49.9598655681987</v>
      </c>
      <c r="P742" s="54" t="b">
        <f aca="false">AND(C742&gt;=01_因子設定!$L$5-0.000000001,C742&lt;=01_因子設定!$M$5+0.000000001,D742&gt;=01_因子設定!$L$6-0.000000001,D742&lt;=01_因子設定!$M$6+0.000000001,IF(01_因子設定!$B$20="Box-Behnken",C742^2+D742^2&lt;=2+0.000000001,TRUE()))</f>
        <v>1</v>
      </c>
      <c r="Q742" s="55" t="n">
        <f aca="false">IF(P742,IF(01_因子設定!$B$13="最大化",N742-01_因子設定!$B$14,IF(01_因子設定!$B$13="最小化",01_因子設定!$B$15-O742,MIN(N742-01_因子設定!$B$14,01_因子設定!$B$15-O742))),-1E+030)</f>
        <v>0.1483327076634</v>
      </c>
      <c r="R742" s="55" t="n">
        <f aca="false">IF(P742,IF(01_因子設定!$B$13="最大化",K742,IF(01_因子設定!$B$13="最小化",-K742,-ABS(K742-01_因子設定!$B$16))),-1E+030)</f>
        <v>48.304099137931</v>
      </c>
      <c r="S742" s="55" t="n">
        <f aca="false">Q742+ROW()*0.000000001</f>
        <v>0.1483334496634</v>
      </c>
      <c r="T742" s="55" t="n">
        <f aca="false">R742+ROW()*0.000000001</f>
        <v>48.304099879931</v>
      </c>
    </row>
    <row r="743" customFormat="false" ht="15" hidden="false" customHeight="false" outlineLevel="0" collapsed="false">
      <c r="A743" s="0" t="n">
        <v>18</v>
      </c>
      <c r="B743" s="0" t="n">
        <v>0</v>
      </c>
      <c r="C743" s="0" t="n">
        <f aca="false">-1+A743*0.05</f>
        <v>-0.1</v>
      </c>
      <c r="D743" s="0" t="n">
        <f aca="false">-1+B743*0.05</f>
        <v>-1</v>
      </c>
      <c r="E743" s="0" t="n">
        <f aca="false">1</f>
        <v>1</v>
      </c>
      <c r="F743" s="0" t="n">
        <f aca="false">C743</f>
        <v>-0.1</v>
      </c>
      <c r="G743" s="0" t="n">
        <f aca="false">D743</f>
        <v>-1</v>
      </c>
      <c r="H743" s="0" t="n">
        <f aca="false">C743*D743</f>
        <v>0.1</v>
      </c>
      <c r="I743" s="0" t="n">
        <f aca="false">C743*C743</f>
        <v>0.01</v>
      </c>
      <c r="J743" s="0" t="n">
        <f aca="false">D743*D743</f>
        <v>1</v>
      </c>
      <c r="K743" s="0" t="n">
        <f aca="false">SUMPRODUCT(E743:J743,_XtX!$B$53:$G$53)</f>
        <v>44.0754712643678</v>
      </c>
      <c r="L743" s="0" t="n">
        <f aca="false">SUMPRODUCT(MMULT(E743:J743,_XtX!$B$44:$G$49),E743:J743)</f>
        <v>0.49362816091954</v>
      </c>
      <c r="M743" s="0" t="n">
        <f aca="false">04_回帰ANOVA!$K$19*04_回帰ANOVA!$K$14*SQRT(1+L743)</f>
        <v>1.65614294515325</v>
      </c>
      <c r="N743" s="0" t="n">
        <f aca="false">K743-M743</f>
        <v>42.4193283192146</v>
      </c>
      <c r="O743" s="0" t="n">
        <f aca="false">K743+M743</f>
        <v>45.7316142095211</v>
      </c>
      <c r="P743" s="54" t="b">
        <f aca="false">AND(C743&gt;=01_因子設定!$L$5-0.000000001,C743&lt;=01_因子設定!$M$5+0.000000001,D743&gt;=01_因子設定!$L$6-0.000000001,D743&lt;=01_因子設定!$M$6+0.000000001,IF(01_因子設定!$B$20="Box-Behnken",C743^2+D743^2&lt;=2+0.000000001,TRUE()))</f>
        <v>1</v>
      </c>
      <c r="Q743" s="55" t="n">
        <f aca="false">IF(P743,IF(01_因子設定!$B$13="最大化",N743-01_因子設定!$B$14,IF(01_因子設定!$B$13="最小化",01_因子設定!$B$15-O743,MIN(N743-01_因子設定!$B$14,01_因子設定!$B$15-O743))),-1E+030)</f>
        <v>-4.08067168078543</v>
      </c>
      <c r="R743" s="55" t="n">
        <f aca="false">IF(P743,IF(01_因子設定!$B$13="最大化",K743,IF(01_因子設定!$B$13="最小化",-K743,-ABS(K743-01_因子設定!$B$16))),-1E+030)</f>
        <v>44.0754712643678</v>
      </c>
      <c r="S743" s="55" t="n">
        <f aca="false">Q743+ROW()*0.000000001</f>
        <v>-4.08067093778543</v>
      </c>
      <c r="T743" s="55" t="n">
        <f aca="false">R743+ROW()*0.000000001</f>
        <v>44.0754720073678</v>
      </c>
    </row>
    <row r="744" customFormat="false" ht="15" hidden="false" customHeight="false" outlineLevel="0" collapsed="false">
      <c r="A744" s="0" t="n">
        <v>18</v>
      </c>
      <c r="B744" s="0" t="n">
        <v>1</v>
      </c>
      <c r="C744" s="0" t="n">
        <f aca="false">-1+A744*0.05</f>
        <v>-0.1</v>
      </c>
      <c r="D744" s="0" t="n">
        <f aca="false">-1+B744*0.05</f>
        <v>-0.95</v>
      </c>
      <c r="E744" s="0" t="n">
        <f aca="false">1</f>
        <v>1</v>
      </c>
      <c r="F744" s="0" t="n">
        <f aca="false">C744</f>
        <v>-0.1</v>
      </c>
      <c r="G744" s="0" t="n">
        <f aca="false">D744</f>
        <v>-0.95</v>
      </c>
      <c r="H744" s="0" t="n">
        <f aca="false">C744*D744</f>
        <v>0.095</v>
      </c>
      <c r="I744" s="0" t="n">
        <f aca="false">C744*C744</f>
        <v>0.01</v>
      </c>
      <c r="J744" s="0" t="n">
        <f aca="false">D744*D744</f>
        <v>0.9025</v>
      </c>
      <c r="K744" s="0" t="n">
        <f aca="false">SUMPRODUCT(E744:J744,_XtX!$B$53:$G$53)</f>
        <v>44.3357988505747</v>
      </c>
      <c r="L744" s="0" t="n">
        <f aca="false">SUMPRODUCT(MMULT(E744:J744,_XtX!$B$44:$G$49),E744:J744)</f>
        <v>0.430414260057471</v>
      </c>
      <c r="M744" s="0" t="n">
        <f aca="false">04_回帰ANOVA!$K$19*04_回帰ANOVA!$K$14*SQRT(1+L744)</f>
        <v>1.62071812065626</v>
      </c>
      <c r="N744" s="0" t="n">
        <f aca="false">K744-M744</f>
        <v>42.7150807299185</v>
      </c>
      <c r="O744" s="0" t="n">
        <f aca="false">K744+M744</f>
        <v>45.956516971231</v>
      </c>
      <c r="P744" s="54" t="b">
        <f aca="false">AND(C744&gt;=01_因子設定!$L$5-0.000000001,C744&lt;=01_因子設定!$M$5+0.000000001,D744&gt;=01_因子設定!$L$6-0.000000001,D744&lt;=01_因子設定!$M$6+0.000000001,IF(01_因子設定!$B$20="Box-Behnken",C744^2+D744^2&lt;=2+0.000000001,TRUE()))</f>
        <v>1</v>
      </c>
      <c r="Q744" s="55" t="n">
        <f aca="false">IF(P744,IF(01_因子設定!$B$13="最大化",N744-01_因子設定!$B$14,IF(01_因子設定!$B$13="最小化",01_因子設定!$B$15-O744,MIN(N744-01_因子設定!$B$14,01_因子設定!$B$15-O744))),-1E+030)</f>
        <v>-3.78491927008154</v>
      </c>
      <c r="R744" s="55" t="n">
        <f aca="false">IF(P744,IF(01_因子設定!$B$13="最大化",K744,IF(01_因子設定!$B$13="最小化",-K744,-ABS(K744-01_因子設定!$B$16))),-1E+030)</f>
        <v>44.3357988505747</v>
      </c>
      <c r="S744" s="55" t="n">
        <f aca="false">Q744+ROW()*0.000000001</f>
        <v>-3.78491852608154</v>
      </c>
      <c r="T744" s="55" t="n">
        <f aca="false">R744+ROW()*0.000000001</f>
        <v>44.3357995945747</v>
      </c>
    </row>
    <row r="745" customFormat="false" ht="15" hidden="false" customHeight="false" outlineLevel="0" collapsed="false">
      <c r="A745" s="0" t="n">
        <v>18</v>
      </c>
      <c r="B745" s="0" t="n">
        <v>2</v>
      </c>
      <c r="C745" s="0" t="n">
        <f aca="false">-1+A745*0.05</f>
        <v>-0.1</v>
      </c>
      <c r="D745" s="0" t="n">
        <f aca="false">-1+B745*0.05</f>
        <v>-0.9</v>
      </c>
      <c r="E745" s="0" t="n">
        <f aca="false">1</f>
        <v>1</v>
      </c>
      <c r="F745" s="0" t="n">
        <f aca="false">C745</f>
        <v>-0.1</v>
      </c>
      <c r="G745" s="0" t="n">
        <f aca="false">D745</f>
        <v>-0.9</v>
      </c>
      <c r="H745" s="0" t="n">
        <f aca="false">C745*D745</f>
        <v>0.09</v>
      </c>
      <c r="I745" s="0" t="n">
        <f aca="false">C745*C745</f>
        <v>0.01</v>
      </c>
      <c r="J745" s="0" t="n">
        <f aca="false">D745*D745</f>
        <v>0.81</v>
      </c>
      <c r="K745" s="0" t="n">
        <f aca="false">SUMPRODUCT(E745:J745,_XtX!$B$53:$G$53)</f>
        <v>44.5884109195402</v>
      </c>
      <c r="L745" s="0" t="n">
        <f aca="false">SUMPRODUCT(MMULT(E745:J745,_XtX!$B$44:$G$49),E745:J745)</f>
        <v>0.376805459770115</v>
      </c>
      <c r="M745" s="0" t="n">
        <f aca="false">04_回帰ANOVA!$K$19*04_回帰ANOVA!$K$14*SQRT(1+L745)</f>
        <v>1.59005761873556</v>
      </c>
      <c r="N745" s="0" t="n">
        <f aca="false">K745-M745</f>
        <v>42.9983533008047</v>
      </c>
      <c r="O745" s="0" t="n">
        <f aca="false">K745+M745</f>
        <v>46.1784685382758</v>
      </c>
      <c r="P745" s="54" t="b">
        <f aca="false">AND(C745&gt;=01_因子設定!$L$5-0.000000001,C745&lt;=01_因子設定!$M$5+0.000000001,D745&gt;=01_因子設定!$L$6-0.000000001,D745&lt;=01_因子設定!$M$6+0.000000001,IF(01_因子設定!$B$20="Box-Behnken",C745^2+D745^2&lt;=2+0.000000001,TRUE()))</f>
        <v>1</v>
      </c>
      <c r="Q745" s="55" t="n">
        <f aca="false">IF(P745,IF(01_因子設定!$B$13="最大化",N745-01_因子設定!$B$14,IF(01_因子設定!$B$13="最小化",01_因子設定!$B$15-O745,MIN(N745-01_因子設定!$B$14,01_因子設定!$B$15-O745))),-1E+030)</f>
        <v>-3.50164669919533</v>
      </c>
      <c r="R745" s="55" t="n">
        <f aca="false">IF(P745,IF(01_因子設定!$B$13="最大化",K745,IF(01_因子設定!$B$13="最小化",-K745,-ABS(K745-01_因子設定!$B$16))),-1E+030)</f>
        <v>44.5884109195402</v>
      </c>
      <c r="S745" s="55" t="n">
        <f aca="false">Q745+ROW()*0.000000001</f>
        <v>-3.50164595419533</v>
      </c>
      <c r="T745" s="55" t="n">
        <f aca="false">R745+ROW()*0.000000001</f>
        <v>44.5884116645402</v>
      </c>
    </row>
    <row r="746" customFormat="false" ht="15" hidden="false" customHeight="false" outlineLevel="0" collapsed="false">
      <c r="A746" s="0" t="n">
        <v>18</v>
      </c>
      <c r="B746" s="0" t="n">
        <v>3</v>
      </c>
      <c r="C746" s="0" t="n">
        <f aca="false">-1+A746*0.05</f>
        <v>-0.1</v>
      </c>
      <c r="D746" s="0" t="n">
        <f aca="false">-1+B746*0.05</f>
        <v>-0.85</v>
      </c>
      <c r="E746" s="0" t="n">
        <f aca="false">1</f>
        <v>1</v>
      </c>
      <c r="F746" s="0" t="n">
        <f aca="false">C746</f>
        <v>-0.1</v>
      </c>
      <c r="G746" s="0" t="n">
        <f aca="false">D746</f>
        <v>-0.85</v>
      </c>
      <c r="H746" s="0" t="n">
        <f aca="false">C746*D746</f>
        <v>0.085</v>
      </c>
      <c r="I746" s="0" t="n">
        <f aca="false">C746*C746</f>
        <v>0.01</v>
      </c>
      <c r="J746" s="0" t="n">
        <f aca="false">D746*D746</f>
        <v>0.7225</v>
      </c>
      <c r="K746" s="0" t="n">
        <f aca="false">SUMPRODUCT(E746:J746,_XtX!$B$53:$G$53)</f>
        <v>44.8333074712644</v>
      </c>
      <c r="L746" s="0" t="n">
        <f aca="false">SUMPRODUCT(MMULT(E746:J746,_XtX!$B$44:$G$49),E746:J746)</f>
        <v>0.331797018678161</v>
      </c>
      <c r="M746" s="0" t="n">
        <f aca="false">04_回帰ANOVA!$K$19*04_回帰ANOVA!$K$14*SQRT(1+L746)</f>
        <v>1.56385178984743</v>
      </c>
      <c r="N746" s="0" t="n">
        <f aca="false">K746-M746</f>
        <v>43.2694556814169</v>
      </c>
      <c r="O746" s="0" t="n">
        <f aca="false">K746+M746</f>
        <v>46.3971592611118</v>
      </c>
      <c r="P746" s="54" t="b">
        <f aca="false">AND(C746&gt;=01_因子設定!$L$5-0.000000001,C746&lt;=01_因子設定!$M$5+0.000000001,D746&gt;=01_因子設定!$L$6-0.000000001,D746&lt;=01_因子設定!$M$6+0.000000001,IF(01_因子設定!$B$20="Box-Behnken",C746^2+D746^2&lt;=2+0.000000001,TRUE()))</f>
        <v>1</v>
      </c>
      <c r="Q746" s="55" t="n">
        <f aca="false">IF(P746,IF(01_因子設定!$B$13="最大化",N746-01_因子設定!$B$14,IF(01_因子設定!$B$13="最小化",01_因子設定!$B$15-O746,MIN(N746-01_因子設定!$B$14,01_因子設定!$B$15-O746))),-1E+030)</f>
        <v>-3.23054431858306</v>
      </c>
      <c r="R746" s="55" t="n">
        <f aca="false">IF(P746,IF(01_因子設定!$B$13="最大化",K746,IF(01_因子設定!$B$13="最小化",-K746,-ABS(K746-01_因子設定!$B$16))),-1E+030)</f>
        <v>44.8333074712644</v>
      </c>
      <c r="S746" s="55" t="n">
        <f aca="false">Q746+ROW()*0.000000001</f>
        <v>-3.23054357258306</v>
      </c>
      <c r="T746" s="55" t="n">
        <f aca="false">R746+ROW()*0.000000001</f>
        <v>44.8333082172644</v>
      </c>
    </row>
    <row r="747" customFormat="false" ht="15" hidden="false" customHeight="false" outlineLevel="0" collapsed="false">
      <c r="A747" s="0" t="n">
        <v>18</v>
      </c>
      <c r="B747" s="0" t="n">
        <v>4</v>
      </c>
      <c r="C747" s="0" t="n">
        <f aca="false">-1+A747*0.05</f>
        <v>-0.1</v>
      </c>
      <c r="D747" s="0" t="n">
        <f aca="false">-1+B747*0.05</f>
        <v>-0.8</v>
      </c>
      <c r="E747" s="0" t="n">
        <f aca="false">1</f>
        <v>1</v>
      </c>
      <c r="F747" s="0" t="n">
        <f aca="false">C747</f>
        <v>-0.1</v>
      </c>
      <c r="G747" s="0" t="n">
        <f aca="false">D747</f>
        <v>-0.8</v>
      </c>
      <c r="H747" s="0" t="n">
        <f aca="false">C747*D747</f>
        <v>0.08</v>
      </c>
      <c r="I747" s="0" t="n">
        <f aca="false">C747*C747</f>
        <v>0.01</v>
      </c>
      <c r="J747" s="0" t="n">
        <f aca="false">D747*D747</f>
        <v>0.64</v>
      </c>
      <c r="K747" s="0" t="n">
        <f aca="false">SUMPRODUCT(E747:J747,_XtX!$B$53:$G$53)</f>
        <v>45.0704885057471</v>
      </c>
      <c r="L747" s="0" t="n">
        <f aca="false">SUMPRODUCT(MMULT(E747:J747,_XtX!$B$44:$G$49),E747:J747)</f>
        <v>0.294438505747127</v>
      </c>
      <c r="M747" s="0" t="n">
        <f aca="false">04_回帰ANOVA!$K$19*04_回帰ANOVA!$K$14*SQRT(1+L747)</f>
        <v>1.54176181073002</v>
      </c>
      <c r="N747" s="0" t="n">
        <f aca="false">K747-M747</f>
        <v>43.5287266950171</v>
      </c>
      <c r="O747" s="0" t="n">
        <f aca="false">K747+M747</f>
        <v>46.6122503164771</v>
      </c>
      <c r="P747" s="54" t="b">
        <f aca="false">AND(C747&gt;=01_因子設定!$L$5-0.000000001,C747&lt;=01_因子設定!$M$5+0.000000001,D747&gt;=01_因子設定!$L$6-0.000000001,D747&lt;=01_因子設定!$M$6+0.000000001,IF(01_因子設定!$B$20="Box-Behnken",C747^2+D747^2&lt;=2+0.000000001,TRUE()))</f>
        <v>1</v>
      </c>
      <c r="Q747" s="55" t="n">
        <f aca="false">IF(P747,IF(01_因子設定!$B$13="最大化",N747-01_因子設定!$B$14,IF(01_因子設定!$B$13="最小化",01_因子設定!$B$15-O747,MIN(N747-01_因子設定!$B$14,01_因子設定!$B$15-O747))),-1E+030)</f>
        <v>-2.97127330498289</v>
      </c>
      <c r="R747" s="55" t="n">
        <f aca="false">IF(P747,IF(01_因子設定!$B$13="最大化",K747,IF(01_因子設定!$B$13="最小化",-K747,-ABS(K747-01_因子設定!$B$16))),-1E+030)</f>
        <v>45.0704885057471</v>
      </c>
      <c r="S747" s="55" t="n">
        <f aca="false">Q747+ROW()*0.000000001</f>
        <v>-2.97127255798289</v>
      </c>
      <c r="T747" s="55" t="n">
        <f aca="false">R747+ROW()*0.000000001</f>
        <v>45.0704892527471</v>
      </c>
    </row>
    <row r="748" customFormat="false" ht="15" hidden="false" customHeight="false" outlineLevel="0" collapsed="false">
      <c r="A748" s="0" t="n">
        <v>18</v>
      </c>
      <c r="B748" s="0" t="n">
        <v>5</v>
      </c>
      <c r="C748" s="0" t="n">
        <f aca="false">-1+A748*0.05</f>
        <v>-0.1</v>
      </c>
      <c r="D748" s="0" t="n">
        <f aca="false">-1+B748*0.05</f>
        <v>-0.75</v>
      </c>
      <c r="E748" s="0" t="n">
        <f aca="false">1</f>
        <v>1</v>
      </c>
      <c r="F748" s="0" t="n">
        <f aca="false">C748</f>
        <v>-0.1</v>
      </c>
      <c r="G748" s="0" t="n">
        <f aca="false">D748</f>
        <v>-0.75</v>
      </c>
      <c r="H748" s="0" t="n">
        <f aca="false">C748*D748</f>
        <v>0.075</v>
      </c>
      <c r="I748" s="0" t="n">
        <f aca="false">C748*C748</f>
        <v>0.01</v>
      </c>
      <c r="J748" s="0" t="n">
        <f aca="false">D748*D748</f>
        <v>0.5625</v>
      </c>
      <c r="K748" s="0" t="n">
        <f aca="false">SUMPRODUCT(E748:J748,_XtX!$B$53:$G$53)</f>
        <v>45.2999540229885</v>
      </c>
      <c r="L748" s="0" t="n">
        <f aca="false">SUMPRODUCT(MMULT(E748:J748,_XtX!$B$44:$G$49),E748:J748)</f>
        <v>0.263833800287356</v>
      </c>
      <c r="M748" s="0" t="n">
        <f aca="false">04_回帰ANOVA!$K$19*04_回帰ANOVA!$K$14*SQRT(1+L748)</f>
        <v>1.52342667355229</v>
      </c>
      <c r="N748" s="0" t="n">
        <f aca="false">K748-M748</f>
        <v>43.7765273494362</v>
      </c>
      <c r="O748" s="0" t="n">
        <f aca="false">K748+M748</f>
        <v>46.8233806965408</v>
      </c>
      <c r="P748" s="54" t="b">
        <f aca="false">AND(C748&gt;=01_因子設定!$L$5-0.000000001,C748&lt;=01_因子設定!$M$5+0.000000001,D748&gt;=01_因子設定!$L$6-0.000000001,D748&lt;=01_因子設定!$M$6+0.000000001,IF(01_因子設定!$B$20="Box-Behnken",C748^2+D748^2&lt;=2+0.000000001,TRUE()))</f>
        <v>1</v>
      </c>
      <c r="Q748" s="55" t="n">
        <f aca="false">IF(P748,IF(01_因子設定!$B$13="最大化",N748-01_因子設定!$B$14,IF(01_因子設定!$B$13="最小化",01_因子設定!$B$15-O748,MIN(N748-01_因子設定!$B$14,01_因子設定!$B$15-O748))),-1E+030)</f>
        <v>-2.72347265056378</v>
      </c>
      <c r="R748" s="55" t="n">
        <f aca="false">IF(P748,IF(01_因子設定!$B$13="最大化",K748,IF(01_因子設定!$B$13="最小化",-K748,-ABS(K748-01_因子設定!$B$16))),-1E+030)</f>
        <v>45.2999540229885</v>
      </c>
      <c r="S748" s="55" t="n">
        <f aca="false">Q748+ROW()*0.000000001</f>
        <v>-2.72347190256378</v>
      </c>
      <c r="T748" s="55" t="n">
        <f aca="false">R748+ROW()*0.000000001</f>
        <v>45.2999547709885</v>
      </c>
    </row>
    <row r="749" customFormat="false" ht="15" hidden="false" customHeight="false" outlineLevel="0" collapsed="false">
      <c r="A749" s="0" t="n">
        <v>18</v>
      </c>
      <c r="B749" s="0" t="n">
        <v>6</v>
      </c>
      <c r="C749" s="0" t="n">
        <f aca="false">-1+A749*0.05</f>
        <v>-0.1</v>
      </c>
      <c r="D749" s="0" t="n">
        <f aca="false">-1+B749*0.05</f>
        <v>-0.7</v>
      </c>
      <c r="E749" s="0" t="n">
        <f aca="false">1</f>
        <v>1</v>
      </c>
      <c r="F749" s="0" t="n">
        <f aca="false">C749</f>
        <v>-0.1</v>
      </c>
      <c r="G749" s="0" t="n">
        <f aca="false">D749</f>
        <v>-0.7</v>
      </c>
      <c r="H749" s="0" t="n">
        <f aca="false">C749*D749</f>
        <v>0.07</v>
      </c>
      <c r="I749" s="0" t="n">
        <f aca="false">C749*C749</f>
        <v>0.01</v>
      </c>
      <c r="J749" s="0" t="n">
        <f aca="false">D749*D749</f>
        <v>0.49</v>
      </c>
      <c r="K749" s="0" t="n">
        <f aca="false">SUMPRODUCT(E749:J749,_XtX!$B$53:$G$53)</f>
        <v>45.5217040229885</v>
      </c>
      <c r="L749" s="0" t="n">
        <f aca="false">SUMPRODUCT(MMULT(E749:J749,_XtX!$B$44:$G$49),E749:J749)</f>
        <v>0.239141091954023</v>
      </c>
      <c r="M749" s="0" t="n">
        <f aca="false">04_回帰ANOVA!$K$19*04_回帰ANOVA!$K$14*SQRT(1+L749)</f>
        <v>1.50847095312325</v>
      </c>
      <c r="N749" s="0" t="n">
        <f aca="false">K749-M749</f>
        <v>44.0132330698653</v>
      </c>
      <c r="O749" s="0" t="n">
        <f aca="false">K749+M749</f>
        <v>47.0301749761118</v>
      </c>
      <c r="P749" s="54" t="b">
        <f aca="false">AND(C749&gt;=01_因子設定!$L$5-0.000000001,C749&lt;=01_因子設定!$M$5+0.000000001,D749&gt;=01_因子設定!$L$6-0.000000001,D749&lt;=01_因子設定!$M$6+0.000000001,IF(01_因子設定!$B$20="Box-Behnken",C749^2+D749^2&lt;=2+0.000000001,TRUE()))</f>
        <v>1</v>
      </c>
      <c r="Q749" s="55" t="n">
        <f aca="false">IF(P749,IF(01_因子設定!$B$13="最大化",N749-01_因子設定!$B$14,IF(01_因子設定!$B$13="最小化",01_因子設定!$B$15-O749,MIN(N749-01_因子設定!$B$14,01_因子設定!$B$15-O749))),-1E+030)</f>
        <v>-2.48676693013475</v>
      </c>
      <c r="R749" s="55" t="n">
        <f aca="false">IF(P749,IF(01_因子設定!$B$13="最大化",K749,IF(01_因子設定!$B$13="最小化",-K749,-ABS(K749-01_因子設定!$B$16))),-1E+030)</f>
        <v>45.5217040229885</v>
      </c>
      <c r="S749" s="55" t="n">
        <f aca="false">Q749+ROW()*0.000000001</f>
        <v>-2.48676618113475</v>
      </c>
      <c r="T749" s="55" t="n">
        <f aca="false">R749+ROW()*0.000000001</f>
        <v>45.5217047719885</v>
      </c>
    </row>
    <row r="750" customFormat="false" ht="15" hidden="false" customHeight="false" outlineLevel="0" collapsed="false">
      <c r="A750" s="0" t="n">
        <v>18</v>
      </c>
      <c r="B750" s="0" t="n">
        <v>7</v>
      </c>
      <c r="C750" s="0" t="n">
        <f aca="false">-1+A750*0.05</f>
        <v>-0.1</v>
      </c>
      <c r="D750" s="0" t="n">
        <f aca="false">-1+B750*0.05</f>
        <v>-0.65</v>
      </c>
      <c r="E750" s="0" t="n">
        <f aca="false">1</f>
        <v>1</v>
      </c>
      <c r="F750" s="0" t="n">
        <f aca="false">C750</f>
        <v>-0.1</v>
      </c>
      <c r="G750" s="0" t="n">
        <f aca="false">D750</f>
        <v>-0.65</v>
      </c>
      <c r="H750" s="0" t="n">
        <f aca="false">C750*D750</f>
        <v>0.065</v>
      </c>
      <c r="I750" s="0" t="n">
        <f aca="false">C750*C750</f>
        <v>0.01</v>
      </c>
      <c r="J750" s="0" t="n">
        <f aca="false">D750*D750</f>
        <v>0.4225</v>
      </c>
      <c r="K750" s="0" t="n">
        <f aca="false">SUMPRODUCT(E750:J750,_XtX!$B$53:$G$53)</f>
        <v>45.7357385057471</v>
      </c>
      <c r="L750" s="0" t="n">
        <f aca="false">SUMPRODUCT(MMULT(E750:J750,_XtX!$B$44:$G$49),E750:J750)</f>
        <v>0.219572880747126</v>
      </c>
      <c r="M750" s="0" t="n">
        <f aca="false">04_回帰ANOVA!$K$19*04_回帰ANOVA!$K$14*SQRT(1+L750)</f>
        <v>1.49651285436709</v>
      </c>
      <c r="N750" s="0" t="n">
        <f aca="false">K750-M750</f>
        <v>44.23922565138</v>
      </c>
      <c r="O750" s="0" t="n">
        <f aca="false">K750+M750</f>
        <v>47.2322513601142</v>
      </c>
      <c r="P750" s="54" t="b">
        <f aca="false">AND(C750&gt;=01_因子設定!$L$5-0.000000001,C750&lt;=01_因子設定!$M$5+0.000000001,D750&gt;=01_因子設定!$L$6-0.000000001,D750&lt;=01_因子設定!$M$6+0.000000001,IF(01_因子設定!$B$20="Box-Behnken",C750^2+D750^2&lt;=2+0.000000001,TRUE()))</f>
        <v>1</v>
      </c>
      <c r="Q750" s="55" t="n">
        <f aca="false">IF(P750,IF(01_因子設定!$B$13="最大化",N750-01_因子設定!$B$14,IF(01_因子設定!$B$13="最小化",01_因子設定!$B$15-O750,MIN(N750-01_因子設定!$B$14,01_因子設定!$B$15-O750))),-1E+030)</f>
        <v>-2.26077434861995</v>
      </c>
      <c r="R750" s="55" t="n">
        <f aca="false">IF(P750,IF(01_因子設定!$B$13="最大化",K750,IF(01_因子設定!$B$13="最小化",-K750,-ABS(K750-01_因子設定!$B$16))),-1E+030)</f>
        <v>45.7357385057471</v>
      </c>
      <c r="S750" s="55" t="n">
        <f aca="false">Q750+ROW()*0.000000001</f>
        <v>-2.26077359861995</v>
      </c>
      <c r="T750" s="55" t="n">
        <f aca="false">R750+ROW()*0.000000001</f>
        <v>45.7357392557471</v>
      </c>
    </row>
    <row r="751" customFormat="false" ht="15" hidden="false" customHeight="false" outlineLevel="0" collapsed="false">
      <c r="A751" s="0" t="n">
        <v>18</v>
      </c>
      <c r="B751" s="0" t="n">
        <v>8</v>
      </c>
      <c r="C751" s="0" t="n">
        <f aca="false">-1+A751*0.05</f>
        <v>-0.1</v>
      </c>
      <c r="D751" s="0" t="n">
        <f aca="false">-1+B751*0.05</f>
        <v>-0.6</v>
      </c>
      <c r="E751" s="0" t="n">
        <f aca="false">1</f>
        <v>1</v>
      </c>
      <c r="F751" s="0" t="n">
        <f aca="false">C751</f>
        <v>-0.1</v>
      </c>
      <c r="G751" s="0" t="n">
        <f aca="false">D751</f>
        <v>-0.6</v>
      </c>
      <c r="H751" s="0" t="n">
        <f aca="false">C751*D751</f>
        <v>0.06</v>
      </c>
      <c r="I751" s="0" t="n">
        <f aca="false">C751*C751</f>
        <v>0.01</v>
      </c>
      <c r="J751" s="0" t="n">
        <f aca="false">D751*D751</f>
        <v>0.36</v>
      </c>
      <c r="K751" s="0" t="n">
        <f aca="false">SUMPRODUCT(E751:J751,_XtX!$B$53:$G$53)</f>
        <v>45.9420574712644</v>
      </c>
      <c r="L751" s="0" t="n">
        <f aca="false">SUMPRODUCT(MMULT(E751:J751,_XtX!$B$44:$G$49),E751:J751)</f>
        <v>0.204395977011494</v>
      </c>
      <c r="M751" s="0" t="n">
        <f aca="false">04_回帰ANOVA!$K$19*04_回帰ANOVA!$K$14*SQRT(1+L751)</f>
        <v>1.48717206961779</v>
      </c>
      <c r="N751" s="0" t="n">
        <f aca="false">K751-M751</f>
        <v>44.4548854016466</v>
      </c>
      <c r="O751" s="0" t="n">
        <f aca="false">K751+M751</f>
        <v>47.4292295408822</v>
      </c>
      <c r="P751" s="54" t="b">
        <f aca="false">AND(C751&gt;=01_因子設定!$L$5-0.000000001,C751&lt;=01_因子設定!$M$5+0.000000001,D751&gt;=01_因子設定!$L$6-0.000000001,D751&lt;=01_因子設定!$M$6+0.000000001,IF(01_因子設定!$B$20="Box-Behnken",C751^2+D751^2&lt;=2+0.000000001,TRUE()))</f>
        <v>1</v>
      </c>
      <c r="Q751" s="55" t="n">
        <f aca="false">IF(P751,IF(01_因子設定!$B$13="最大化",N751-01_因子設定!$B$14,IF(01_因子設定!$B$13="最小化",01_因子設定!$B$15-O751,MIN(N751-01_因子設定!$B$14,01_因子設定!$B$15-O751))),-1E+030)</f>
        <v>-2.04511459835342</v>
      </c>
      <c r="R751" s="55" t="n">
        <f aca="false">IF(P751,IF(01_因子設定!$B$13="最大化",K751,IF(01_因子設定!$B$13="最小化",-K751,-ABS(K751-01_因子設定!$B$16))),-1E+030)</f>
        <v>45.9420574712644</v>
      </c>
      <c r="S751" s="55" t="n">
        <f aca="false">Q751+ROW()*0.000000001</f>
        <v>-2.04511384735342</v>
      </c>
      <c r="T751" s="55" t="n">
        <f aca="false">R751+ROW()*0.000000001</f>
        <v>45.9420582222644</v>
      </c>
    </row>
    <row r="752" customFormat="false" ht="15" hidden="false" customHeight="false" outlineLevel="0" collapsed="false">
      <c r="A752" s="0" t="n">
        <v>18</v>
      </c>
      <c r="B752" s="0" t="n">
        <v>9</v>
      </c>
      <c r="C752" s="0" t="n">
        <f aca="false">-1+A752*0.05</f>
        <v>-0.1</v>
      </c>
      <c r="D752" s="0" t="n">
        <f aca="false">-1+B752*0.05</f>
        <v>-0.55</v>
      </c>
      <c r="E752" s="0" t="n">
        <f aca="false">1</f>
        <v>1</v>
      </c>
      <c r="F752" s="0" t="n">
        <f aca="false">C752</f>
        <v>-0.1</v>
      </c>
      <c r="G752" s="0" t="n">
        <f aca="false">D752</f>
        <v>-0.55</v>
      </c>
      <c r="H752" s="0" t="n">
        <f aca="false">C752*D752</f>
        <v>0.055</v>
      </c>
      <c r="I752" s="0" t="n">
        <f aca="false">C752*C752</f>
        <v>0.01</v>
      </c>
      <c r="J752" s="0" t="n">
        <f aca="false">D752*D752</f>
        <v>0.3025</v>
      </c>
      <c r="K752" s="0" t="n">
        <f aca="false">SUMPRODUCT(E752:J752,_XtX!$B$53:$G$53)</f>
        <v>46.1406609195402</v>
      </c>
      <c r="L752" s="0" t="n">
        <f aca="false">SUMPRODUCT(MMULT(E752:J752,_XtX!$B$44:$G$49),E752:J752)</f>
        <v>0.192931501436782</v>
      </c>
      <c r="M752" s="0" t="n">
        <f aca="false">04_回帰ANOVA!$K$19*04_回帰ANOVA!$K$14*SQRT(1+L752)</f>
        <v>1.48007705445879</v>
      </c>
      <c r="N752" s="0" t="n">
        <f aca="false">K752-M752</f>
        <v>44.6605838650814</v>
      </c>
      <c r="O752" s="0" t="n">
        <f aca="false">K752+M752</f>
        <v>47.620737973999</v>
      </c>
      <c r="P752" s="54" t="b">
        <f aca="false">AND(C752&gt;=01_因子設定!$L$5-0.000000001,C752&lt;=01_因子設定!$M$5+0.000000001,D752&gt;=01_因子設定!$L$6-0.000000001,D752&lt;=01_因子設定!$M$6+0.000000001,IF(01_因子設定!$B$20="Box-Behnken",C752^2+D752^2&lt;=2+0.000000001,TRUE()))</f>
        <v>1</v>
      </c>
      <c r="Q752" s="55" t="n">
        <f aca="false">IF(P752,IF(01_因子設定!$B$13="最大化",N752-01_因子設定!$B$14,IF(01_因子設定!$B$13="最小化",01_因子設定!$B$15-O752,MIN(N752-01_因子設定!$B$14,01_因子設定!$B$15-O752))),-1E+030)</f>
        <v>-1.83941613491856</v>
      </c>
      <c r="R752" s="55" t="n">
        <f aca="false">IF(P752,IF(01_因子設定!$B$13="最大化",K752,IF(01_因子設定!$B$13="最小化",-K752,-ABS(K752-01_因子設定!$B$16))),-1E+030)</f>
        <v>46.1406609195402</v>
      </c>
      <c r="S752" s="55" t="n">
        <f aca="false">Q752+ROW()*0.000000001</f>
        <v>-1.83941538291856</v>
      </c>
      <c r="T752" s="55" t="n">
        <f aca="false">R752+ROW()*0.000000001</f>
        <v>46.1406616715402</v>
      </c>
    </row>
    <row r="753" customFormat="false" ht="15" hidden="false" customHeight="false" outlineLevel="0" collapsed="false">
      <c r="A753" s="0" t="n">
        <v>18</v>
      </c>
      <c r="B753" s="0" t="n">
        <v>10</v>
      </c>
      <c r="C753" s="0" t="n">
        <f aca="false">-1+A753*0.05</f>
        <v>-0.1</v>
      </c>
      <c r="D753" s="0" t="n">
        <f aca="false">-1+B753*0.05</f>
        <v>-0.5</v>
      </c>
      <c r="E753" s="0" t="n">
        <f aca="false">1</f>
        <v>1</v>
      </c>
      <c r="F753" s="0" t="n">
        <f aca="false">C753</f>
        <v>-0.1</v>
      </c>
      <c r="G753" s="0" t="n">
        <f aca="false">D753</f>
        <v>-0.5</v>
      </c>
      <c r="H753" s="0" t="n">
        <f aca="false">C753*D753</f>
        <v>0.05</v>
      </c>
      <c r="I753" s="0" t="n">
        <f aca="false">C753*C753</f>
        <v>0.01</v>
      </c>
      <c r="J753" s="0" t="n">
        <f aca="false">D753*D753</f>
        <v>0.25</v>
      </c>
      <c r="K753" s="0" t="n">
        <f aca="false">SUMPRODUCT(E753:J753,_XtX!$B$53:$G$53)</f>
        <v>46.3315488505747</v>
      </c>
      <c r="L753" s="0" t="n">
        <f aca="false">SUMPRODUCT(MMULT(E753:J753,_XtX!$B$44:$G$49),E753:J753)</f>
        <v>0.184554885057471</v>
      </c>
      <c r="M753" s="0" t="n">
        <f aca="false">04_回帰ANOVA!$K$19*04_回帰ANOVA!$K$14*SQRT(1+L753)</f>
        <v>1.47487144173022</v>
      </c>
      <c r="N753" s="0" t="n">
        <f aca="false">K753-M753</f>
        <v>44.8566774088445</v>
      </c>
      <c r="O753" s="0" t="n">
        <f aca="false">K753+M753</f>
        <v>47.8064202923049</v>
      </c>
      <c r="P753" s="54" t="b">
        <f aca="false">AND(C753&gt;=01_因子設定!$L$5-0.000000001,C753&lt;=01_因子設定!$M$5+0.000000001,D753&gt;=01_因子設定!$L$6-0.000000001,D753&lt;=01_因子設定!$M$6+0.000000001,IF(01_因子設定!$B$20="Box-Behnken",C753^2+D753^2&lt;=2+0.000000001,TRUE()))</f>
        <v>1</v>
      </c>
      <c r="Q753" s="55" t="n">
        <f aca="false">IF(P753,IF(01_因子設定!$B$13="最大化",N753-01_因子設定!$B$14,IF(01_因子設定!$B$13="最小化",01_因子設定!$B$15-O753,MIN(N753-01_因子設定!$B$14,01_因子設定!$B$15-O753))),-1E+030)</f>
        <v>-1.6433225911555</v>
      </c>
      <c r="R753" s="55" t="n">
        <f aca="false">IF(P753,IF(01_因子設定!$B$13="最大化",K753,IF(01_因子設定!$B$13="最小化",-K753,-ABS(K753-01_因子設定!$B$16))),-1E+030)</f>
        <v>46.3315488505747</v>
      </c>
      <c r="S753" s="55" t="n">
        <f aca="false">Q753+ROW()*0.000000001</f>
        <v>-1.6433218381555</v>
      </c>
      <c r="T753" s="55" t="n">
        <f aca="false">R753+ROW()*0.000000001</f>
        <v>46.3315496035747</v>
      </c>
    </row>
    <row r="754" customFormat="false" ht="15" hidden="false" customHeight="false" outlineLevel="0" collapsed="false">
      <c r="A754" s="0" t="n">
        <v>18</v>
      </c>
      <c r="B754" s="0" t="n">
        <v>11</v>
      </c>
      <c r="C754" s="0" t="n">
        <f aca="false">-1+A754*0.05</f>
        <v>-0.1</v>
      </c>
      <c r="D754" s="0" t="n">
        <f aca="false">-1+B754*0.05</f>
        <v>-0.45</v>
      </c>
      <c r="E754" s="0" t="n">
        <f aca="false">1</f>
        <v>1</v>
      </c>
      <c r="F754" s="0" t="n">
        <f aca="false">C754</f>
        <v>-0.1</v>
      </c>
      <c r="G754" s="0" t="n">
        <f aca="false">D754</f>
        <v>-0.45</v>
      </c>
      <c r="H754" s="0" t="n">
        <f aca="false">C754*D754</f>
        <v>0.045</v>
      </c>
      <c r="I754" s="0" t="n">
        <f aca="false">C754*C754</f>
        <v>0.01</v>
      </c>
      <c r="J754" s="0" t="n">
        <f aca="false">D754*D754</f>
        <v>0.2025</v>
      </c>
      <c r="K754" s="0" t="n">
        <f aca="false">SUMPRODUCT(E754:J754,_XtX!$B$53:$G$53)</f>
        <v>46.5147212643678</v>
      </c>
      <c r="L754" s="0" t="n">
        <f aca="false">SUMPRODUCT(MMULT(E754:J754,_XtX!$B$44:$G$49),E754:J754)</f>
        <v>0.178695869252874</v>
      </c>
      <c r="M754" s="0" t="n">
        <f aca="false">04_回帰ANOVA!$K$19*04_回帰ANOVA!$K$14*SQRT(1+L754)</f>
        <v>1.47121943410978</v>
      </c>
      <c r="N754" s="0" t="n">
        <f aca="false">K754-M754</f>
        <v>45.043501830258</v>
      </c>
      <c r="O754" s="0" t="n">
        <f aca="false">K754+M754</f>
        <v>47.9859406984776</v>
      </c>
      <c r="P754" s="54" t="b">
        <f aca="false">AND(C754&gt;=01_因子設定!$L$5-0.000000001,C754&lt;=01_因子設定!$M$5+0.000000001,D754&gt;=01_因子設定!$L$6-0.000000001,D754&lt;=01_因子設定!$M$6+0.000000001,IF(01_因子設定!$B$20="Box-Behnken",C754^2+D754^2&lt;=2+0.000000001,TRUE()))</f>
        <v>1</v>
      </c>
      <c r="Q754" s="55" t="n">
        <f aca="false">IF(P754,IF(01_因子設定!$B$13="最大化",N754-01_因子設定!$B$14,IF(01_因子設定!$B$13="最小化",01_因子設定!$B$15-O754,MIN(N754-01_因子設定!$B$14,01_因子設定!$B$15-O754))),-1E+030)</f>
        <v>-1.45649816974196</v>
      </c>
      <c r="R754" s="55" t="n">
        <f aca="false">IF(P754,IF(01_因子設定!$B$13="最大化",K754,IF(01_因子設定!$B$13="最小化",-K754,-ABS(K754-01_因子設定!$B$16))),-1E+030)</f>
        <v>46.5147212643678</v>
      </c>
      <c r="S754" s="55" t="n">
        <f aca="false">Q754+ROW()*0.000000001</f>
        <v>-1.45649741574196</v>
      </c>
      <c r="T754" s="55" t="n">
        <f aca="false">R754+ROW()*0.000000001</f>
        <v>46.5147220183678</v>
      </c>
    </row>
    <row r="755" customFormat="false" ht="15" hidden="false" customHeight="false" outlineLevel="0" collapsed="false">
      <c r="A755" s="0" t="n">
        <v>18</v>
      </c>
      <c r="B755" s="0" t="n">
        <v>12</v>
      </c>
      <c r="C755" s="0" t="n">
        <f aca="false">-1+A755*0.05</f>
        <v>-0.1</v>
      </c>
      <c r="D755" s="0" t="n">
        <f aca="false">-1+B755*0.05</f>
        <v>-0.4</v>
      </c>
      <c r="E755" s="0" t="n">
        <f aca="false">1</f>
        <v>1</v>
      </c>
      <c r="F755" s="0" t="n">
        <f aca="false">C755</f>
        <v>-0.1</v>
      </c>
      <c r="G755" s="0" t="n">
        <f aca="false">D755</f>
        <v>-0.4</v>
      </c>
      <c r="H755" s="0" t="n">
        <f aca="false">C755*D755</f>
        <v>0.04</v>
      </c>
      <c r="I755" s="0" t="n">
        <f aca="false">C755*C755</f>
        <v>0.01</v>
      </c>
      <c r="J755" s="0" t="n">
        <f aca="false">D755*D755</f>
        <v>0.16</v>
      </c>
      <c r="K755" s="0" t="n">
        <f aca="false">SUMPRODUCT(E755:J755,_XtX!$B$53:$G$53)</f>
        <v>46.6901781609195</v>
      </c>
      <c r="L755" s="0" t="n">
        <f aca="false">SUMPRODUCT(MMULT(E755:J755,_XtX!$B$44:$G$49),E755:J755)</f>
        <v>0.174838505747126</v>
      </c>
      <c r="M755" s="0" t="n">
        <f aca="false">04_回帰ANOVA!$K$19*04_回帰ANOVA!$K$14*SQRT(1+L755)</f>
        <v>1.46881012781827</v>
      </c>
      <c r="N755" s="0" t="n">
        <f aca="false">K755-M755</f>
        <v>45.2213680331013</v>
      </c>
      <c r="O755" s="0" t="n">
        <f aca="false">K755+M755</f>
        <v>48.1589882887378</v>
      </c>
      <c r="P755" s="54" t="b">
        <f aca="false">AND(C755&gt;=01_因子設定!$L$5-0.000000001,C755&lt;=01_因子設定!$M$5+0.000000001,D755&gt;=01_因子設定!$L$6-0.000000001,D755&lt;=01_因子設定!$M$6+0.000000001,IF(01_因子設定!$B$20="Box-Behnken",C755^2+D755^2&lt;=2+0.000000001,TRUE()))</f>
        <v>1</v>
      </c>
      <c r="Q755" s="55" t="n">
        <f aca="false">IF(P755,IF(01_因子設定!$B$13="最大化",N755-01_因子設定!$B$14,IF(01_因子設定!$B$13="最小化",01_因子設定!$B$15-O755,MIN(N755-01_因子設定!$B$14,01_因子設定!$B$15-O755))),-1E+030)</f>
        <v>-1.27863196689874</v>
      </c>
      <c r="R755" s="55" t="n">
        <f aca="false">IF(P755,IF(01_因子設定!$B$13="最大化",K755,IF(01_因子設定!$B$13="最小化",-K755,-ABS(K755-01_因子設定!$B$16))),-1E+030)</f>
        <v>46.6901781609195</v>
      </c>
      <c r="S755" s="55" t="n">
        <f aca="false">Q755+ROW()*0.000000001</f>
        <v>-1.27863121189874</v>
      </c>
      <c r="T755" s="55" t="n">
        <f aca="false">R755+ROW()*0.000000001</f>
        <v>46.6901789159195</v>
      </c>
    </row>
    <row r="756" customFormat="false" ht="15" hidden="false" customHeight="false" outlineLevel="0" collapsed="false">
      <c r="A756" s="0" t="n">
        <v>18</v>
      </c>
      <c r="B756" s="0" t="n">
        <v>13</v>
      </c>
      <c r="C756" s="0" t="n">
        <f aca="false">-1+A756*0.05</f>
        <v>-0.1</v>
      </c>
      <c r="D756" s="0" t="n">
        <f aca="false">-1+B756*0.05</f>
        <v>-0.35</v>
      </c>
      <c r="E756" s="0" t="n">
        <f aca="false">1</f>
        <v>1</v>
      </c>
      <c r="F756" s="0" t="n">
        <f aca="false">C756</f>
        <v>-0.1</v>
      </c>
      <c r="G756" s="0" t="n">
        <f aca="false">D756</f>
        <v>-0.35</v>
      </c>
      <c r="H756" s="0" t="n">
        <f aca="false">C756*D756</f>
        <v>0.035</v>
      </c>
      <c r="I756" s="0" t="n">
        <f aca="false">C756*C756</f>
        <v>0.01</v>
      </c>
      <c r="J756" s="0" t="n">
        <f aca="false">D756*D756</f>
        <v>0.1225</v>
      </c>
      <c r="K756" s="0" t="n">
        <f aca="false">SUMPRODUCT(E756:J756,_XtX!$B$53:$G$53)</f>
        <v>46.8579195402299</v>
      </c>
      <c r="L756" s="0" t="n">
        <f aca="false">SUMPRODUCT(MMULT(E756:J756,_XtX!$B$44:$G$49),E756:J756)</f>
        <v>0.172521156609195</v>
      </c>
      <c r="M756" s="0" t="n">
        <f aca="false">04_回帰ANOVA!$K$19*04_回帰ANOVA!$K$14*SQRT(1+L756)</f>
        <v>1.46736081117514</v>
      </c>
      <c r="N756" s="0" t="n">
        <f aca="false">K756-M756</f>
        <v>45.3905587290547</v>
      </c>
      <c r="O756" s="0" t="n">
        <f aca="false">K756+M756</f>
        <v>48.325280351405</v>
      </c>
      <c r="P756" s="54" t="b">
        <f aca="false">AND(C756&gt;=01_因子設定!$L$5-0.000000001,C756&lt;=01_因子設定!$M$5+0.000000001,D756&gt;=01_因子設定!$L$6-0.000000001,D756&lt;=01_因子設定!$M$6+0.000000001,IF(01_因子設定!$B$20="Box-Behnken",C756^2+D756^2&lt;=2+0.000000001,TRUE()))</f>
        <v>1</v>
      </c>
      <c r="Q756" s="55" t="n">
        <f aca="false">IF(P756,IF(01_因子設定!$B$13="最大化",N756-01_因子設定!$B$14,IF(01_因子設定!$B$13="最小化",01_因子設定!$B$15-O756,MIN(N756-01_因子設定!$B$14,01_因子設定!$B$15-O756))),-1E+030)</f>
        <v>-1.10944127094526</v>
      </c>
      <c r="R756" s="55" t="n">
        <f aca="false">IF(P756,IF(01_因子設定!$B$13="最大化",K756,IF(01_因子設定!$B$13="最小化",-K756,-ABS(K756-01_因子設定!$B$16))),-1E+030)</f>
        <v>46.8579195402299</v>
      </c>
      <c r="S756" s="55" t="n">
        <f aca="false">Q756+ROW()*0.000000001</f>
        <v>-1.10944051494526</v>
      </c>
      <c r="T756" s="55" t="n">
        <f aca="false">R756+ROW()*0.000000001</f>
        <v>46.8579202962299</v>
      </c>
    </row>
    <row r="757" customFormat="false" ht="15" hidden="false" customHeight="false" outlineLevel="0" collapsed="false">
      <c r="A757" s="0" t="n">
        <v>18</v>
      </c>
      <c r="B757" s="0" t="n">
        <v>14</v>
      </c>
      <c r="C757" s="0" t="n">
        <f aca="false">-1+A757*0.05</f>
        <v>-0.1</v>
      </c>
      <c r="D757" s="0" t="n">
        <f aca="false">-1+B757*0.05</f>
        <v>-0.3</v>
      </c>
      <c r="E757" s="0" t="n">
        <f aca="false">1</f>
        <v>1</v>
      </c>
      <c r="F757" s="0" t="n">
        <f aca="false">C757</f>
        <v>-0.1</v>
      </c>
      <c r="G757" s="0" t="n">
        <f aca="false">D757</f>
        <v>-0.3</v>
      </c>
      <c r="H757" s="0" t="n">
        <f aca="false">C757*D757</f>
        <v>0.03</v>
      </c>
      <c r="I757" s="0" t="n">
        <f aca="false">C757*C757</f>
        <v>0.01</v>
      </c>
      <c r="J757" s="0" t="n">
        <f aca="false">D757*D757</f>
        <v>0.09</v>
      </c>
      <c r="K757" s="0" t="n">
        <f aca="false">SUMPRODUCT(E757:J757,_XtX!$B$53:$G$53)</f>
        <v>47.0179454022989</v>
      </c>
      <c r="L757" s="0" t="n">
        <f aca="false">SUMPRODUCT(MMULT(E757:J757,_XtX!$B$44:$G$49),E757:J757)</f>
        <v>0.171336494252874</v>
      </c>
      <c r="M757" s="0" t="n">
        <f aca="false">04_回帰ANOVA!$K$19*04_回帰ANOVA!$K$14*SQRT(1+L757)</f>
        <v>1.46661934633672</v>
      </c>
      <c r="N757" s="0" t="n">
        <f aca="false">K757-M757</f>
        <v>45.5513260559621</v>
      </c>
      <c r="O757" s="0" t="n">
        <f aca="false">K757+M757</f>
        <v>48.4845647486356</v>
      </c>
      <c r="P757" s="54" t="b">
        <f aca="false">AND(C757&gt;=01_因子設定!$L$5-0.000000001,C757&lt;=01_因子設定!$M$5+0.000000001,D757&gt;=01_因子設定!$L$6-0.000000001,D757&lt;=01_因子設定!$M$6+0.000000001,IF(01_因子設定!$B$20="Box-Behnken",C757^2+D757^2&lt;=2+0.000000001,TRUE()))</f>
        <v>1</v>
      </c>
      <c r="Q757" s="55" t="n">
        <f aca="false">IF(P757,IF(01_因子設定!$B$13="最大化",N757-01_因子設定!$B$14,IF(01_因子設定!$B$13="最小化",01_因子設定!$B$15-O757,MIN(N757-01_因子設定!$B$14,01_因子設定!$B$15-O757))),-1E+030)</f>
        <v>-0.948673944037871</v>
      </c>
      <c r="R757" s="55" t="n">
        <f aca="false">IF(P757,IF(01_因子設定!$B$13="最大化",K757,IF(01_因子設定!$B$13="最小化",-K757,-ABS(K757-01_因子設定!$B$16))),-1E+030)</f>
        <v>47.0179454022989</v>
      </c>
      <c r="S757" s="55" t="n">
        <f aca="false">Q757+ROW()*0.000000001</f>
        <v>-0.948673187037871</v>
      </c>
      <c r="T757" s="55" t="n">
        <f aca="false">R757+ROW()*0.000000001</f>
        <v>47.0179461592989</v>
      </c>
    </row>
    <row r="758" customFormat="false" ht="15" hidden="false" customHeight="false" outlineLevel="0" collapsed="false">
      <c r="A758" s="0" t="n">
        <v>18</v>
      </c>
      <c r="B758" s="0" t="n">
        <v>15</v>
      </c>
      <c r="C758" s="0" t="n">
        <f aca="false">-1+A758*0.05</f>
        <v>-0.1</v>
      </c>
      <c r="D758" s="0" t="n">
        <f aca="false">-1+B758*0.05</f>
        <v>-0.25</v>
      </c>
      <c r="E758" s="0" t="n">
        <f aca="false">1</f>
        <v>1</v>
      </c>
      <c r="F758" s="0" t="n">
        <f aca="false">C758</f>
        <v>-0.1</v>
      </c>
      <c r="G758" s="0" t="n">
        <f aca="false">D758</f>
        <v>-0.25</v>
      </c>
      <c r="H758" s="0" t="n">
        <f aca="false">C758*D758</f>
        <v>0.025</v>
      </c>
      <c r="I758" s="0" t="n">
        <f aca="false">C758*C758</f>
        <v>0.01</v>
      </c>
      <c r="J758" s="0" t="n">
        <f aca="false">D758*D758</f>
        <v>0.0625</v>
      </c>
      <c r="K758" s="0" t="n">
        <f aca="false">SUMPRODUCT(E758:J758,_XtX!$B$53:$G$53)</f>
        <v>47.1702557471264</v>
      </c>
      <c r="L758" s="0" t="n">
        <f aca="false">SUMPRODUCT(MMULT(E758:J758,_XtX!$B$44:$G$49),E758:J758)</f>
        <v>0.170931501436782</v>
      </c>
      <c r="M758" s="0" t="n">
        <f aca="false">04_回帰ANOVA!$K$19*04_回帰ANOVA!$K$14*SQRT(1+L758)</f>
        <v>1.46636578057969</v>
      </c>
      <c r="N758" s="0" t="n">
        <f aca="false">K758-M758</f>
        <v>45.7038899665467</v>
      </c>
      <c r="O758" s="0" t="n">
        <f aca="false">K758+M758</f>
        <v>48.6366215277061</v>
      </c>
      <c r="P758" s="54" t="b">
        <f aca="false">AND(C758&gt;=01_因子設定!$L$5-0.000000001,C758&lt;=01_因子設定!$M$5+0.000000001,D758&gt;=01_因子設定!$L$6-0.000000001,D758&lt;=01_因子設定!$M$6+0.000000001,IF(01_因子設定!$B$20="Box-Behnken",C758^2+D758^2&lt;=2+0.000000001,TRUE()))</f>
        <v>1</v>
      </c>
      <c r="Q758" s="55" t="n">
        <f aca="false">IF(P758,IF(01_因子設定!$B$13="最大化",N758-01_因子設定!$B$14,IF(01_因子設定!$B$13="最小化",01_因子設定!$B$15-O758,MIN(N758-01_因子設定!$B$14,01_因子設定!$B$15-O758))),-1E+030)</f>
        <v>-0.79611003345326</v>
      </c>
      <c r="R758" s="55" t="n">
        <f aca="false">IF(P758,IF(01_因子設定!$B$13="最大化",K758,IF(01_因子設定!$B$13="最小化",-K758,-ABS(K758-01_因子設定!$B$16))),-1E+030)</f>
        <v>47.1702557471264</v>
      </c>
      <c r="S758" s="55" t="n">
        <f aca="false">Q758+ROW()*0.000000001</f>
        <v>-0.79610927545326</v>
      </c>
      <c r="T758" s="55" t="n">
        <f aca="false">R758+ROW()*0.000000001</f>
        <v>47.1702565051264</v>
      </c>
    </row>
    <row r="759" customFormat="false" ht="15" hidden="false" customHeight="false" outlineLevel="0" collapsed="false">
      <c r="A759" s="0" t="n">
        <v>18</v>
      </c>
      <c r="B759" s="0" t="n">
        <v>16</v>
      </c>
      <c r="C759" s="0" t="n">
        <f aca="false">-1+A759*0.05</f>
        <v>-0.1</v>
      </c>
      <c r="D759" s="0" t="n">
        <f aca="false">-1+B759*0.05</f>
        <v>-0.2</v>
      </c>
      <c r="E759" s="0" t="n">
        <f aca="false">1</f>
        <v>1</v>
      </c>
      <c r="F759" s="0" t="n">
        <f aca="false">C759</f>
        <v>-0.1</v>
      </c>
      <c r="G759" s="0" t="n">
        <f aca="false">D759</f>
        <v>-0.2</v>
      </c>
      <c r="H759" s="0" t="n">
        <f aca="false">C759*D759</f>
        <v>0.02</v>
      </c>
      <c r="I759" s="0" t="n">
        <f aca="false">C759*C759</f>
        <v>0.01</v>
      </c>
      <c r="J759" s="0" t="n">
        <f aca="false">D759*D759</f>
        <v>0.04</v>
      </c>
      <c r="K759" s="0" t="n">
        <f aca="false">SUMPRODUCT(E759:J759,_XtX!$B$53:$G$53)</f>
        <v>47.3148505747126</v>
      </c>
      <c r="L759" s="0" t="n">
        <f aca="false">SUMPRODUCT(MMULT(E759:J759,_XtX!$B$44:$G$49),E759:J759)</f>
        <v>0.171007471264368</v>
      </c>
      <c r="M759" s="0" t="n">
        <f aca="false">04_回帰ANOVA!$K$19*04_回帰ANOVA!$K$14*SQRT(1+L759)</f>
        <v>1.46641334858369</v>
      </c>
      <c r="N759" s="0" t="n">
        <f aca="false">K759-M759</f>
        <v>45.848437226129</v>
      </c>
      <c r="O759" s="0" t="n">
        <f aca="false">K759+M759</f>
        <v>48.7812639232963</v>
      </c>
      <c r="P759" s="54" t="b">
        <f aca="false">AND(C759&gt;=01_因子設定!$L$5-0.000000001,C759&lt;=01_因子設定!$M$5+0.000000001,D759&gt;=01_因子設定!$L$6-0.000000001,D759&lt;=01_因子設定!$M$6+0.000000001,IF(01_因子設定!$B$20="Box-Behnken",C759^2+D759^2&lt;=2+0.000000001,TRUE()))</f>
        <v>1</v>
      </c>
      <c r="Q759" s="55" t="n">
        <f aca="false">IF(P759,IF(01_因子設定!$B$13="最大化",N759-01_因子設定!$B$14,IF(01_因子設定!$B$13="最小化",01_因子設定!$B$15-O759,MIN(N759-01_因子設定!$B$14,01_因子設定!$B$15-O759))),-1E+030)</f>
        <v>-0.651562773871049</v>
      </c>
      <c r="R759" s="55" t="n">
        <f aca="false">IF(P759,IF(01_因子設定!$B$13="最大化",K759,IF(01_因子設定!$B$13="最小化",-K759,-ABS(K759-01_因子設定!$B$16))),-1E+030)</f>
        <v>47.3148505747126</v>
      </c>
      <c r="S759" s="55" t="n">
        <f aca="false">Q759+ROW()*0.000000001</f>
        <v>-0.651562014871049</v>
      </c>
      <c r="T759" s="55" t="n">
        <f aca="false">R759+ROW()*0.000000001</f>
        <v>47.3148513337126</v>
      </c>
    </row>
    <row r="760" customFormat="false" ht="15" hidden="false" customHeight="false" outlineLevel="0" collapsed="false">
      <c r="A760" s="0" t="n">
        <v>18</v>
      </c>
      <c r="B760" s="0" t="n">
        <v>17</v>
      </c>
      <c r="C760" s="0" t="n">
        <f aca="false">-1+A760*0.05</f>
        <v>-0.1</v>
      </c>
      <c r="D760" s="0" t="n">
        <f aca="false">-1+B760*0.05</f>
        <v>-0.15</v>
      </c>
      <c r="E760" s="0" t="n">
        <f aca="false">1</f>
        <v>1</v>
      </c>
      <c r="F760" s="0" t="n">
        <f aca="false">C760</f>
        <v>-0.1</v>
      </c>
      <c r="G760" s="0" t="n">
        <f aca="false">D760</f>
        <v>-0.15</v>
      </c>
      <c r="H760" s="0" t="n">
        <f aca="false">C760*D760</f>
        <v>0.015</v>
      </c>
      <c r="I760" s="0" t="n">
        <f aca="false">C760*C760</f>
        <v>0.01</v>
      </c>
      <c r="J760" s="0" t="n">
        <f aca="false">D760*D760</f>
        <v>0.0225</v>
      </c>
      <c r="K760" s="0" t="n">
        <f aca="false">SUMPRODUCT(E760:J760,_XtX!$B$53:$G$53)</f>
        <v>47.4517298850575</v>
      </c>
      <c r="L760" s="0" t="n">
        <f aca="false">SUMPRODUCT(MMULT(E760:J760,_XtX!$B$44:$G$49),E760:J760)</f>
        <v>0.171320007183908</v>
      </c>
      <c r="M760" s="0" t="n">
        <f aca="false">04_回帰ANOVA!$K$19*04_回帰ANOVA!$K$14*SQRT(1+L760)</f>
        <v>1.46660902464884</v>
      </c>
      <c r="N760" s="0" t="n">
        <f aca="false">K760-M760</f>
        <v>45.9851208604086</v>
      </c>
      <c r="O760" s="0" t="n">
        <f aca="false">K760+M760</f>
        <v>48.9183389097063</v>
      </c>
      <c r="P760" s="54" t="b">
        <f aca="false">AND(C760&gt;=01_因子設定!$L$5-0.000000001,C760&lt;=01_因子設定!$M$5+0.000000001,D760&gt;=01_因子設定!$L$6-0.000000001,D760&lt;=01_因子設定!$M$6+0.000000001,IF(01_因子設定!$B$20="Box-Behnken",C760^2+D760^2&lt;=2+0.000000001,TRUE()))</f>
        <v>1</v>
      </c>
      <c r="Q760" s="55" t="n">
        <f aca="false">IF(P760,IF(01_因子設定!$B$13="最大化",N760-01_因子設定!$B$14,IF(01_因子設定!$B$13="最小化",01_因子設定!$B$15-O760,MIN(N760-01_因子設定!$B$14,01_因子設定!$B$15-O760))),-1E+030)</f>
        <v>-0.514879139591372</v>
      </c>
      <c r="R760" s="55" t="n">
        <f aca="false">IF(P760,IF(01_因子設定!$B$13="最大化",K760,IF(01_因子設定!$B$13="最小化",-K760,-ABS(K760-01_因子設定!$B$16))),-1E+030)</f>
        <v>47.4517298850575</v>
      </c>
      <c r="S760" s="55" t="n">
        <f aca="false">Q760+ROW()*0.000000001</f>
        <v>-0.514878379591372</v>
      </c>
      <c r="T760" s="55" t="n">
        <f aca="false">R760+ROW()*0.000000001</f>
        <v>47.4517306450575</v>
      </c>
    </row>
    <row r="761" customFormat="false" ht="15" hidden="false" customHeight="false" outlineLevel="0" collapsed="false">
      <c r="A761" s="0" t="n">
        <v>18</v>
      </c>
      <c r="B761" s="0" t="n">
        <v>18</v>
      </c>
      <c r="C761" s="0" t="n">
        <f aca="false">-1+A761*0.05</f>
        <v>-0.1</v>
      </c>
      <c r="D761" s="0" t="n">
        <f aca="false">-1+B761*0.05</f>
        <v>-0.1</v>
      </c>
      <c r="E761" s="0" t="n">
        <f aca="false">1</f>
        <v>1</v>
      </c>
      <c r="F761" s="0" t="n">
        <f aca="false">C761</f>
        <v>-0.1</v>
      </c>
      <c r="G761" s="0" t="n">
        <f aca="false">D761</f>
        <v>-0.1</v>
      </c>
      <c r="H761" s="0" t="n">
        <f aca="false">C761*D761</f>
        <v>0.01</v>
      </c>
      <c r="I761" s="0" t="n">
        <f aca="false">C761*C761</f>
        <v>0.01</v>
      </c>
      <c r="J761" s="0" t="n">
        <f aca="false">D761*D761</f>
        <v>0.01</v>
      </c>
      <c r="K761" s="0" t="n">
        <f aca="false">SUMPRODUCT(E761:J761,_XtX!$B$53:$G$53)</f>
        <v>47.5808936781609</v>
      </c>
      <c r="L761" s="0" t="n">
        <f aca="false">SUMPRODUCT(MMULT(E761:J761,_XtX!$B$44:$G$49),E761:J761)</f>
        <v>0.171679022988506</v>
      </c>
      <c r="M761" s="0" t="n">
        <f aca="false">04_回帰ANOVA!$K$19*04_回帰ANOVA!$K$14*SQRT(1+L761)</f>
        <v>1.46683376915737</v>
      </c>
      <c r="N761" s="0" t="n">
        <f aca="false">K761-M761</f>
        <v>46.1140599090036</v>
      </c>
      <c r="O761" s="0" t="n">
        <f aca="false">K761+M761</f>
        <v>49.0477274473183</v>
      </c>
      <c r="P761" s="54" t="b">
        <f aca="false">AND(C761&gt;=01_因子設定!$L$5-0.000000001,C761&lt;=01_因子設定!$M$5+0.000000001,D761&gt;=01_因子設定!$L$6-0.000000001,D761&lt;=01_因子設定!$M$6+0.000000001,IF(01_因子設定!$B$20="Box-Behnken",C761^2+D761^2&lt;=2+0.000000001,TRUE()))</f>
        <v>1</v>
      </c>
      <c r="Q761" s="55" t="n">
        <f aca="false">IF(P761,IF(01_因子設定!$B$13="最大化",N761-01_因子設定!$B$14,IF(01_因子設定!$B$13="最小化",01_因子設定!$B$15-O761,MIN(N761-01_因子設定!$B$14,01_因子設定!$B$15-O761))),-1E+030)</f>
        <v>-0.385940090996449</v>
      </c>
      <c r="R761" s="55" t="n">
        <f aca="false">IF(P761,IF(01_因子設定!$B$13="最大化",K761,IF(01_因子設定!$B$13="最小化",-K761,-ABS(K761-01_因子設定!$B$16))),-1E+030)</f>
        <v>47.5808936781609</v>
      </c>
      <c r="S761" s="55" t="n">
        <f aca="false">Q761+ROW()*0.000000001</f>
        <v>-0.385939329996449</v>
      </c>
      <c r="T761" s="55" t="n">
        <f aca="false">R761+ROW()*0.000000001</f>
        <v>47.5808944391609</v>
      </c>
    </row>
    <row r="762" customFormat="false" ht="15" hidden="false" customHeight="false" outlineLevel="0" collapsed="false">
      <c r="A762" s="0" t="n">
        <v>18</v>
      </c>
      <c r="B762" s="0" t="n">
        <v>19</v>
      </c>
      <c r="C762" s="0" t="n">
        <f aca="false">-1+A762*0.05</f>
        <v>-0.1</v>
      </c>
      <c r="D762" s="0" t="n">
        <f aca="false">-1+B762*0.05</f>
        <v>-0.0499999999999999</v>
      </c>
      <c r="E762" s="0" t="n">
        <f aca="false">1</f>
        <v>1</v>
      </c>
      <c r="F762" s="0" t="n">
        <f aca="false">C762</f>
        <v>-0.1</v>
      </c>
      <c r="G762" s="0" t="n">
        <f aca="false">D762</f>
        <v>-0.0499999999999999</v>
      </c>
      <c r="H762" s="0" t="n">
        <f aca="false">C762*D762</f>
        <v>0.00499999999999999</v>
      </c>
      <c r="I762" s="0" t="n">
        <f aca="false">C762*C762</f>
        <v>0.01</v>
      </c>
      <c r="J762" s="0" t="n">
        <f aca="false">D762*D762</f>
        <v>0.00249999999999999</v>
      </c>
      <c r="K762" s="0" t="n">
        <f aca="false">SUMPRODUCT(E762:J762,_XtX!$B$53:$G$53)</f>
        <v>47.702341954023</v>
      </c>
      <c r="L762" s="0" t="n">
        <f aca="false">SUMPRODUCT(MMULT(E762:J762,_XtX!$B$44:$G$49),E762:J762)</f>
        <v>0.171948742816092</v>
      </c>
      <c r="M762" s="0" t="n">
        <f aca="false">04_回帰ANOVA!$K$19*04_回帰ANOVA!$K$14*SQRT(1+L762)</f>
        <v>1.46700259158121</v>
      </c>
      <c r="N762" s="0" t="n">
        <f aca="false">K762-M762</f>
        <v>46.2353393624418</v>
      </c>
      <c r="O762" s="0" t="n">
        <f aca="false">K762+M762</f>
        <v>49.1693445456042</v>
      </c>
      <c r="P762" s="54" t="b">
        <f aca="false">AND(C762&gt;=01_因子設定!$L$5-0.000000001,C762&lt;=01_因子設定!$M$5+0.000000001,D762&gt;=01_因子設定!$L$6-0.000000001,D762&lt;=01_因子設定!$M$6+0.000000001,IF(01_因子設定!$B$20="Box-Behnken",C762^2+D762^2&lt;=2+0.000000001,TRUE()))</f>
        <v>1</v>
      </c>
      <c r="Q762" s="55" t="n">
        <f aca="false">IF(P762,IF(01_因子設定!$B$13="最大化",N762-01_因子設定!$B$14,IF(01_因子設定!$B$13="最小化",01_因子設定!$B$15-O762,MIN(N762-01_因子設定!$B$14,01_因子設定!$B$15-O762))),-1E+030)</f>
        <v>-0.264660637558222</v>
      </c>
      <c r="R762" s="55" t="n">
        <f aca="false">IF(P762,IF(01_因子設定!$B$13="最大化",K762,IF(01_因子設定!$B$13="最小化",-K762,-ABS(K762-01_因子設定!$B$16))),-1E+030)</f>
        <v>47.702341954023</v>
      </c>
      <c r="S762" s="55" t="n">
        <f aca="false">Q762+ROW()*0.000000001</f>
        <v>-0.264659875558222</v>
      </c>
      <c r="T762" s="55" t="n">
        <f aca="false">R762+ROW()*0.000000001</f>
        <v>47.702342716023</v>
      </c>
    </row>
    <row r="763" customFormat="false" ht="15" hidden="false" customHeight="false" outlineLevel="0" collapsed="false">
      <c r="A763" s="0" t="n">
        <v>18</v>
      </c>
      <c r="B763" s="0" t="n">
        <v>20</v>
      </c>
      <c r="C763" s="0" t="n">
        <f aca="false">-1+A763*0.05</f>
        <v>-0.1</v>
      </c>
      <c r="D763" s="0" t="n">
        <f aca="false">-1+B763*0.05</f>
        <v>0</v>
      </c>
      <c r="E763" s="0" t="n">
        <f aca="false">1</f>
        <v>1</v>
      </c>
      <c r="F763" s="0" t="n">
        <f aca="false">C763</f>
        <v>-0.1</v>
      </c>
      <c r="G763" s="0" t="n">
        <f aca="false">D763</f>
        <v>0</v>
      </c>
      <c r="H763" s="0" t="n">
        <f aca="false">C763*D763</f>
        <v>-0</v>
      </c>
      <c r="I763" s="0" t="n">
        <f aca="false">C763*C763</f>
        <v>0.01</v>
      </c>
      <c r="J763" s="0" t="n">
        <f aca="false">D763*D763</f>
        <v>0</v>
      </c>
      <c r="K763" s="0" t="n">
        <f aca="false">SUMPRODUCT(E763:J763,_XtX!$B$53:$G$53)</f>
        <v>47.8160747126437</v>
      </c>
      <c r="L763" s="0" t="n">
        <f aca="false">SUMPRODUCT(MMULT(E763:J763,_XtX!$B$44:$G$49),E763:J763)</f>
        <v>0.172047701149425</v>
      </c>
      <c r="M763" s="0" t="n">
        <f aca="false">04_回帰ANOVA!$K$19*04_回帰ANOVA!$K$14*SQRT(1+L763)</f>
        <v>1.46706452648575</v>
      </c>
      <c r="N763" s="0" t="n">
        <f aca="false">K763-M763</f>
        <v>46.3490101861579</v>
      </c>
      <c r="O763" s="0" t="n">
        <f aca="false">K763+M763</f>
        <v>49.2831392391294</v>
      </c>
      <c r="P763" s="54" t="b">
        <f aca="false">AND(C763&gt;=01_因子設定!$L$5-0.000000001,C763&lt;=01_因子設定!$M$5+0.000000001,D763&gt;=01_因子設定!$L$6-0.000000001,D763&lt;=01_因子設定!$M$6+0.000000001,IF(01_因子設定!$B$20="Box-Behnken",C763^2+D763^2&lt;=2+0.000000001,TRUE()))</f>
        <v>1</v>
      </c>
      <c r="Q763" s="55" t="n">
        <f aca="false">IF(P763,IF(01_因子設定!$B$13="最大化",N763-01_因子設定!$B$14,IF(01_因子設定!$B$13="最小化",01_因子設定!$B$15-O763,MIN(N763-01_因子設定!$B$14,01_因子設定!$B$15-O763))),-1E+030)</f>
        <v>-0.150989813842074</v>
      </c>
      <c r="R763" s="55" t="n">
        <f aca="false">IF(P763,IF(01_因子設定!$B$13="最大化",K763,IF(01_因子設定!$B$13="最小化",-K763,-ABS(K763-01_因子設定!$B$16))),-1E+030)</f>
        <v>47.8160747126437</v>
      </c>
      <c r="S763" s="55" t="n">
        <f aca="false">Q763+ROW()*0.000000001</f>
        <v>-0.150989050842074</v>
      </c>
      <c r="T763" s="55" t="n">
        <f aca="false">R763+ROW()*0.000000001</f>
        <v>47.8160754756437</v>
      </c>
    </row>
    <row r="764" customFormat="false" ht="15" hidden="false" customHeight="false" outlineLevel="0" collapsed="false">
      <c r="A764" s="0" t="n">
        <v>18</v>
      </c>
      <c r="B764" s="0" t="n">
        <v>21</v>
      </c>
      <c r="C764" s="0" t="n">
        <f aca="false">-1+A764*0.05</f>
        <v>-0.1</v>
      </c>
      <c r="D764" s="0" t="n">
        <f aca="false">-1+B764*0.05</f>
        <v>0.05</v>
      </c>
      <c r="E764" s="0" t="n">
        <f aca="false">1</f>
        <v>1</v>
      </c>
      <c r="F764" s="0" t="n">
        <f aca="false">C764</f>
        <v>-0.1</v>
      </c>
      <c r="G764" s="0" t="n">
        <f aca="false">D764</f>
        <v>0.05</v>
      </c>
      <c r="H764" s="0" t="n">
        <f aca="false">C764*D764</f>
        <v>-0.005</v>
      </c>
      <c r="I764" s="0" t="n">
        <f aca="false">C764*C764</f>
        <v>0.01</v>
      </c>
      <c r="J764" s="0" t="n">
        <f aca="false">D764*D764</f>
        <v>0.0025</v>
      </c>
      <c r="K764" s="0" t="n">
        <f aca="false">SUMPRODUCT(E764:J764,_XtX!$B$53:$G$53)</f>
        <v>47.922091954023</v>
      </c>
      <c r="L764" s="0" t="n">
        <f aca="false">SUMPRODUCT(MMULT(E764:J764,_XtX!$B$44:$G$49),E764:J764)</f>
        <v>0.171948742816092</v>
      </c>
      <c r="M764" s="0" t="n">
        <f aca="false">04_回帰ANOVA!$K$19*04_回帰ANOVA!$K$14*SQRT(1+L764)</f>
        <v>1.46700259158121</v>
      </c>
      <c r="N764" s="0" t="n">
        <f aca="false">K764-M764</f>
        <v>46.4550893624418</v>
      </c>
      <c r="O764" s="0" t="n">
        <f aca="false">K764+M764</f>
        <v>49.3890945456042</v>
      </c>
      <c r="P764" s="54" t="b">
        <f aca="false">AND(C764&gt;=01_因子設定!$L$5-0.000000001,C764&lt;=01_因子設定!$M$5+0.000000001,D764&gt;=01_因子設定!$L$6-0.000000001,D764&lt;=01_因子設定!$M$6+0.000000001,IF(01_因子設定!$B$20="Box-Behnken",C764^2+D764^2&lt;=2+0.000000001,TRUE()))</f>
        <v>1</v>
      </c>
      <c r="Q764" s="55" t="n">
        <f aca="false">IF(P764,IF(01_因子設定!$B$13="最大化",N764-01_因子設定!$B$14,IF(01_因子設定!$B$13="最小化",01_因子設定!$B$15-O764,MIN(N764-01_因子設定!$B$14,01_因子設定!$B$15-O764))),-1E+030)</f>
        <v>-0.0449106375582176</v>
      </c>
      <c r="R764" s="55" t="n">
        <f aca="false">IF(P764,IF(01_因子設定!$B$13="最大化",K764,IF(01_因子設定!$B$13="最小化",-K764,-ABS(K764-01_因子設定!$B$16))),-1E+030)</f>
        <v>47.922091954023</v>
      </c>
      <c r="S764" s="55" t="n">
        <f aca="false">Q764+ROW()*0.000000001</f>
        <v>-0.0449098735582176</v>
      </c>
      <c r="T764" s="55" t="n">
        <f aca="false">R764+ROW()*0.000000001</f>
        <v>47.922092718023</v>
      </c>
    </row>
    <row r="765" customFormat="false" ht="15" hidden="false" customHeight="false" outlineLevel="0" collapsed="false">
      <c r="A765" s="0" t="n">
        <v>18</v>
      </c>
      <c r="B765" s="0" t="n">
        <v>22</v>
      </c>
      <c r="C765" s="0" t="n">
        <f aca="false">-1+A765*0.05</f>
        <v>-0.1</v>
      </c>
      <c r="D765" s="0" t="n">
        <f aca="false">-1+B765*0.05</f>
        <v>0.1</v>
      </c>
      <c r="E765" s="0" t="n">
        <f aca="false">1</f>
        <v>1</v>
      </c>
      <c r="F765" s="0" t="n">
        <f aca="false">C765</f>
        <v>-0.1</v>
      </c>
      <c r="G765" s="0" t="n">
        <f aca="false">D765</f>
        <v>0.1</v>
      </c>
      <c r="H765" s="0" t="n">
        <f aca="false">C765*D765</f>
        <v>-0.01</v>
      </c>
      <c r="I765" s="0" t="n">
        <f aca="false">C765*C765</f>
        <v>0.01</v>
      </c>
      <c r="J765" s="0" t="n">
        <f aca="false">D765*D765</f>
        <v>0.01</v>
      </c>
      <c r="K765" s="0" t="n">
        <f aca="false">SUMPRODUCT(E765:J765,_XtX!$B$53:$G$53)</f>
        <v>48.0203936781609</v>
      </c>
      <c r="L765" s="0" t="n">
        <f aca="false">SUMPRODUCT(MMULT(E765:J765,_XtX!$B$44:$G$49),E765:J765)</f>
        <v>0.171679022988506</v>
      </c>
      <c r="M765" s="0" t="n">
        <f aca="false">04_回帰ANOVA!$K$19*04_回帰ANOVA!$K$14*SQRT(1+L765)</f>
        <v>1.46683376915737</v>
      </c>
      <c r="N765" s="0" t="n">
        <f aca="false">K765-M765</f>
        <v>46.5535599090035</v>
      </c>
      <c r="O765" s="0" t="n">
        <f aca="false">K765+M765</f>
        <v>49.4872274473183</v>
      </c>
      <c r="P765" s="54" t="b">
        <f aca="false">AND(C765&gt;=01_因子設定!$L$5-0.000000001,C765&lt;=01_因子設定!$M$5+0.000000001,D765&gt;=01_因子設定!$L$6-0.000000001,D765&lt;=01_因子設定!$M$6+0.000000001,IF(01_因子設定!$B$20="Box-Behnken",C765^2+D765^2&lt;=2+0.000000001,TRUE()))</f>
        <v>1</v>
      </c>
      <c r="Q765" s="55" t="n">
        <f aca="false">IF(P765,IF(01_因子設定!$B$13="最大化",N765-01_因子設定!$B$14,IF(01_因子設定!$B$13="最小化",01_因子設定!$B$15-O765,MIN(N765-01_因子設定!$B$14,01_因子設定!$B$15-O765))),-1E+030)</f>
        <v>0.0535599090035461</v>
      </c>
      <c r="R765" s="55" t="n">
        <f aca="false">IF(P765,IF(01_因子設定!$B$13="最大化",K765,IF(01_因子設定!$B$13="最小化",-K765,-ABS(K765-01_因子設定!$B$16))),-1E+030)</f>
        <v>48.0203936781609</v>
      </c>
      <c r="S765" s="55" t="n">
        <f aca="false">Q765+ROW()*0.000000001</f>
        <v>0.0535606740035461</v>
      </c>
      <c r="T765" s="55" t="n">
        <f aca="false">R765+ROW()*0.000000001</f>
        <v>48.0203944431609</v>
      </c>
    </row>
    <row r="766" customFormat="false" ht="15" hidden="false" customHeight="false" outlineLevel="0" collapsed="false">
      <c r="A766" s="0" t="n">
        <v>18</v>
      </c>
      <c r="B766" s="0" t="n">
        <v>23</v>
      </c>
      <c r="C766" s="0" t="n">
        <f aca="false">-1+A766*0.05</f>
        <v>-0.1</v>
      </c>
      <c r="D766" s="0" t="n">
        <f aca="false">-1+B766*0.05</f>
        <v>0.15</v>
      </c>
      <c r="E766" s="0" t="n">
        <f aca="false">1</f>
        <v>1</v>
      </c>
      <c r="F766" s="0" t="n">
        <f aca="false">C766</f>
        <v>-0.1</v>
      </c>
      <c r="G766" s="0" t="n">
        <f aca="false">D766</f>
        <v>0.15</v>
      </c>
      <c r="H766" s="0" t="n">
        <f aca="false">C766*D766</f>
        <v>-0.015</v>
      </c>
      <c r="I766" s="0" t="n">
        <f aca="false">C766*C766</f>
        <v>0.01</v>
      </c>
      <c r="J766" s="0" t="n">
        <f aca="false">D766*D766</f>
        <v>0.0225</v>
      </c>
      <c r="K766" s="0" t="n">
        <f aca="false">SUMPRODUCT(E766:J766,_XtX!$B$53:$G$53)</f>
        <v>48.1109798850575</v>
      </c>
      <c r="L766" s="0" t="n">
        <f aca="false">SUMPRODUCT(MMULT(E766:J766,_XtX!$B$44:$G$49),E766:J766)</f>
        <v>0.171320007183908</v>
      </c>
      <c r="M766" s="0" t="n">
        <f aca="false">04_回帰ANOVA!$K$19*04_回帰ANOVA!$K$14*SQRT(1+L766)</f>
        <v>1.46660902464884</v>
      </c>
      <c r="N766" s="0" t="n">
        <f aca="false">K766-M766</f>
        <v>46.6443708604086</v>
      </c>
      <c r="O766" s="0" t="n">
        <f aca="false">K766+M766</f>
        <v>49.5775889097063</v>
      </c>
      <c r="P766" s="54" t="b">
        <f aca="false">AND(C766&gt;=01_因子設定!$L$5-0.000000001,C766&lt;=01_因子設定!$M$5+0.000000001,D766&gt;=01_因子設定!$L$6-0.000000001,D766&lt;=01_因子設定!$M$6+0.000000001,IF(01_因子設定!$B$20="Box-Behnken",C766^2+D766^2&lt;=2+0.000000001,TRUE()))</f>
        <v>1</v>
      </c>
      <c r="Q766" s="55" t="n">
        <f aca="false">IF(P766,IF(01_因子設定!$B$13="最大化",N766-01_因子設定!$B$14,IF(01_因子設定!$B$13="最小化",01_因子設定!$B$15-O766,MIN(N766-01_因子設定!$B$14,01_因子設定!$B$15-O766))),-1E+030)</f>
        <v>0.144370860408628</v>
      </c>
      <c r="R766" s="55" t="n">
        <f aca="false">IF(P766,IF(01_因子設定!$B$13="最大化",K766,IF(01_因子設定!$B$13="最小化",-K766,-ABS(K766-01_因子設定!$B$16))),-1E+030)</f>
        <v>48.1109798850575</v>
      </c>
      <c r="S766" s="55" t="n">
        <f aca="false">Q766+ROW()*0.000000001</f>
        <v>0.144371626408628</v>
      </c>
      <c r="T766" s="55" t="n">
        <f aca="false">R766+ROW()*0.000000001</f>
        <v>48.1109806510575</v>
      </c>
    </row>
    <row r="767" customFormat="false" ht="15" hidden="false" customHeight="false" outlineLevel="0" collapsed="false">
      <c r="A767" s="0" t="n">
        <v>18</v>
      </c>
      <c r="B767" s="0" t="n">
        <v>24</v>
      </c>
      <c r="C767" s="0" t="n">
        <f aca="false">-1+A767*0.05</f>
        <v>-0.1</v>
      </c>
      <c r="D767" s="0" t="n">
        <f aca="false">-1+B767*0.05</f>
        <v>0.2</v>
      </c>
      <c r="E767" s="0" t="n">
        <f aca="false">1</f>
        <v>1</v>
      </c>
      <c r="F767" s="0" t="n">
        <f aca="false">C767</f>
        <v>-0.1</v>
      </c>
      <c r="G767" s="0" t="n">
        <f aca="false">D767</f>
        <v>0.2</v>
      </c>
      <c r="H767" s="0" t="n">
        <f aca="false">C767*D767</f>
        <v>-0.02</v>
      </c>
      <c r="I767" s="0" t="n">
        <f aca="false">C767*C767</f>
        <v>0.01</v>
      </c>
      <c r="J767" s="0" t="n">
        <f aca="false">D767*D767</f>
        <v>0.0400000000000001</v>
      </c>
      <c r="K767" s="0" t="n">
        <f aca="false">SUMPRODUCT(E767:J767,_XtX!$B$53:$G$53)</f>
        <v>48.1938505747126</v>
      </c>
      <c r="L767" s="0" t="n">
        <f aca="false">SUMPRODUCT(MMULT(E767:J767,_XtX!$B$44:$G$49),E767:J767)</f>
        <v>0.171007471264368</v>
      </c>
      <c r="M767" s="0" t="n">
        <f aca="false">04_回帰ANOVA!$K$19*04_回帰ANOVA!$K$14*SQRT(1+L767)</f>
        <v>1.46641334858369</v>
      </c>
      <c r="N767" s="0" t="n">
        <f aca="false">K767-M767</f>
        <v>46.727437226129</v>
      </c>
      <c r="O767" s="0" t="n">
        <f aca="false">K767+M767</f>
        <v>49.6602639232963</v>
      </c>
      <c r="P767" s="54" t="b">
        <f aca="false">AND(C767&gt;=01_因子設定!$L$5-0.000000001,C767&lt;=01_因子設定!$M$5+0.000000001,D767&gt;=01_因子設定!$L$6-0.000000001,D767&lt;=01_因子設定!$M$6+0.000000001,IF(01_因子設定!$B$20="Box-Behnken",C767^2+D767^2&lt;=2+0.000000001,TRUE()))</f>
        <v>1</v>
      </c>
      <c r="Q767" s="55" t="n">
        <f aca="false">IF(P767,IF(01_因子設定!$B$13="最大化",N767-01_因子設定!$B$14,IF(01_因子設定!$B$13="最小化",01_因子設定!$B$15-O767,MIN(N767-01_因子設定!$B$14,01_因子設定!$B$15-O767))),-1E+030)</f>
        <v>0.227437226128949</v>
      </c>
      <c r="R767" s="55" t="n">
        <f aca="false">IF(P767,IF(01_因子設定!$B$13="最大化",K767,IF(01_因子設定!$B$13="最小化",-K767,-ABS(K767-01_因子設定!$B$16))),-1E+030)</f>
        <v>48.1938505747126</v>
      </c>
      <c r="S767" s="55" t="n">
        <f aca="false">Q767+ROW()*0.000000001</f>
        <v>0.227437993128949</v>
      </c>
      <c r="T767" s="55" t="n">
        <f aca="false">R767+ROW()*0.000000001</f>
        <v>48.1938513417126</v>
      </c>
    </row>
    <row r="768" customFormat="false" ht="15" hidden="false" customHeight="false" outlineLevel="0" collapsed="false">
      <c r="A768" s="0" t="n">
        <v>18</v>
      </c>
      <c r="B768" s="0" t="n">
        <v>25</v>
      </c>
      <c r="C768" s="0" t="n">
        <f aca="false">-1+A768*0.05</f>
        <v>-0.1</v>
      </c>
      <c r="D768" s="0" t="n">
        <f aca="false">-1+B768*0.05</f>
        <v>0.25</v>
      </c>
      <c r="E768" s="0" t="n">
        <f aca="false">1</f>
        <v>1</v>
      </c>
      <c r="F768" s="0" t="n">
        <f aca="false">C768</f>
        <v>-0.1</v>
      </c>
      <c r="G768" s="0" t="n">
        <f aca="false">D768</f>
        <v>0.25</v>
      </c>
      <c r="H768" s="0" t="n">
        <f aca="false">C768*D768</f>
        <v>-0.025</v>
      </c>
      <c r="I768" s="0" t="n">
        <f aca="false">C768*C768</f>
        <v>0.01</v>
      </c>
      <c r="J768" s="0" t="n">
        <f aca="false">D768*D768</f>
        <v>0.0625</v>
      </c>
      <c r="K768" s="0" t="n">
        <f aca="false">SUMPRODUCT(E768:J768,_XtX!$B$53:$G$53)</f>
        <v>48.2690057471264</v>
      </c>
      <c r="L768" s="0" t="n">
        <f aca="false">SUMPRODUCT(MMULT(E768:J768,_XtX!$B$44:$G$49),E768:J768)</f>
        <v>0.170931501436782</v>
      </c>
      <c r="M768" s="0" t="n">
        <f aca="false">04_回帰ANOVA!$K$19*04_回帰ANOVA!$K$14*SQRT(1+L768)</f>
        <v>1.46636578057969</v>
      </c>
      <c r="N768" s="0" t="n">
        <f aca="false">K768-M768</f>
        <v>46.8026399665468</v>
      </c>
      <c r="O768" s="0" t="n">
        <f aca="false">K768+M768</f>
        <v>49.7353715277061</v>
      </c>
      <c r="P768" s="54" t="b">
        <f aca="false">AND(C768&gt;=01_因子設定!$L$5-0.000000001,C768&lt;=01_因子設定!$M$5+0.000000001,D768&gt;=01_因子設定!$L$6-0.000000001,D768&lt;=01_因子設定!$M$6+0.000000001,IF(01_因子設定!$B$20="Box-Behnken",C768^2+D768^2&lt;=2+0.000000001,TRUE()))</f>
        <v>1</v>
      </c>
      <c r="Q768" s="55" t="n">
        <f aca="false">IF(P768,IF(01_因子設定!$B$13="最大化",N768-01_因子設定!$B$14,IF(01_因子設定!$B$13="最小化",01_因子設定!$B$15-O768,MIN(N768-01_因子設定!$B$14,01_因子設定!$B$15-O768))),-1E+030)</f>
        <v>0.302639966546749</v>
      </c>
      <c r="R768" s="55" t="n">
        <f aca="false">IF(P768,IF(01_因子設定!$B$13="最大化",K768,IF(01_因子設定!$B$13="最小化",-K768,-ABS(K768-01_因子設定!$B$16))),-1E+030)</f>
        <v>48.2690057471264</v>
      </c>
      <c r="S768" s="55" t="n">
        <f aca="false">Q768+ROW()*0.000000001</f>
        <v>0.302640734546749</v>
      </c>
      <c r="T768" s="55" t="n">
        <f aca="false">R768+ROW()*0.000000001</f>
        <v>48.2690065151264</v>
      </c>
    </row>
    <row r="769" customFormat="false" ht="15" hidden="false" customHeight="false" outlineLevel="0" collapsed="false">
      <c r="A769" s="0" t="n">
        <v>18</v>
      </c>
      <c r="B769" s="0" t="n">
        <v>26</v>
      </c>
      <c r="C769" s="0" t="n">
        <f aca="false">-1+A769*0.05</f>
        <v>-0.1</v>
      </c>
      <c r="D769" s="0" t="n">
        <f aca="false">-1+B769*0.05</f>
        <v>0.3</v>
      </c>
      <c r="E769" s="0" t="n">
        <f aca="false">1</f>
        <v>1</v>
      </c>
      <c r="F769" s="0" t="n">
        <f aca="false">C769</f>
        <v>-0.1</v>
      </c>
      <c r="G769" s="0" t="n">
        <f aca="false">D769</f>
        <v>0.3</v>
      </c>
      <c r="H769" s="0" t="n">
        <f aca="false">C769*D769</f>
        <v>-0.03</v>
      </c>
      <c r="I769" s="0" t="n">
        <f aca="false">C769*C769</f>
        <v>0.01</v>
      </c>
      <c r="J769" s="0" t="n">
        <f aca="false">D769*D769</f>
        <v>0.09</v>
      </c>
      <c r="K769" s="0" t="n">
        <f aca="false">SUMPRODUCT(E769:J769,_XtX!$B$53:$G$53)</f>
        <v>48.3364454022989</v>
      </c>
      <c r="L769" s="0" t="n">
        <f aca="false">SUMPRODUCT(MMULT(E769:J769,_XtX!$B$44:$G$49),E769:J769)</f>
        <v>0.171336494252874</v>
      </c>
      <c r="M769" s="0" t="n">
        <f aca="false">04_回帰ANOVA!$K$19*04_回帰ANOVA!$K$14*SQRT(1+L769)</f>
        <v>1.46661934633672</v>
      </c>
      <c r="N769" s="0" t="n">
        <f aca="false">K769-M769</f>
        <v>46.8698260559621</v>
      </c>
      <c r="O769" s="0" t="n">
        <f aca="false">K769+M769</f>
        <v>49.8030647486356</v>
      </c>
      <c r="P769" s="54" t="b">
        <f aca="false">AND(C769&gt;=01_因子設定!$L$5-0.000000001,C769&lt;=01_因子設定!$M$5+0.000000001,D769&gt;=01_因子設定!$L$6-0.000000001,D769&lt;=01_因子設定!$M$6+0.000000001,IF(01_因子設定!$B$20="Box-Behnken",C769^2+D769^2&lt;=2+0.000000001,TRUE()))</f>
        <v>1</v>
      </c>
      <c r="Q769" s="55" t="n">
        <f aca="false">IF(P769,IF(01_因子設定!$B$13="最大化",N769-01_因子設定!$B$14,IF(01_因子設定!$B$13="最小化",01_因子設定!$B$15-O769,MIN(N769-01_因子設定!$B$14,01_因子設定!$B$15-O769))),-1E+030)</f>
        <v>0.369826055962129</v>
      </c>
      <c r="R769" s="55" t="n">
        <f aca="false">IF(P769,IF(01_因子設定!$B$13="最大化",K769,IF(01_因子設定!$B$13="最小化",-K769,-ABS(K769-01_因子設定!$B$16))),-1E+030)</f>
        <v>48.3364454022989</v>
      </c>
      <c r="S769" s="55" t="n">
        <f aca="false">Q769+ROW()*0.000000001</f>
        <v>0.369826824962129</v>
      </c>
      <c r="T769" s="55" t="n">
        <f aca="false">R769+ROW()*0.000000001</f>
        <v>48.3364461712989</v>
      </c>
    </row>
    <row r="770" customFormat="false" ht="15" hidden="false" customHeight="false" outlineLevel="0" collapsed="false">
      <c r="A770" s="0" t="n">
        <v>18</v>
      </c>
      <c r="B770" s="0" t="n">
        <v>27</v>
      </c>
      <c r="C770" s="0" t="n">
        <f aca="false">-1+A770*0.05</f>
        <v>-0.1</v>
      </c>
      <c r="D770" s="0" t="n">
        <f aca="false">-1+B770*0.05</f>
        <v>0.35</v>
      </c>
      <c r="E770" s="0" t="n">
        <f aca="false">1</f>
        <v>1</v>
      </c>
      <c r="F770" s="0" t="n">
        <f aca="false">C770</f>
        <v>-0.1</v>
      </c>
      <c r="G770" s="0" t="n">
        <f aca="false">D770</f>
        <v>0.35</v>
      </c>
      <c r="H770" s="0" t="n">
        <f aca="false">C770*D770</f>
        <v>-0.035</v>
      </c>
      <c r="I770" s="0" t="n">
        <f aca="false">C770*C770</f>
        <v>0.01</v>
      </c>
      <c r="J770" s="0" t="n">
        <f aca="false">D770*D770</f>
        <v>0.1225</v>
      </c>
      <c r="K770" s="0" t="n">
        <f aca="false">SUMPRODUCT(E770:J770,_XtX!$B$53:$G$53)</f>
        <v>48.3961695402299</v>
      </c>
      <c r="L770" s="0" t="n">
        <f aca="false">SUMPRODUCT(MMULT(E770:J770,_XtX!$B$44:$G$49),E770:J770)</f>
        <v>0.172521156609195</v>
      </c>
      <c r="M770" s="0" t="n">
        <f aca="false">04_回帰ANOVA!$K$19*04_回帰ANOVA!$K$14*SQRT(1+L770)</f>
        <v>1.46736081117514</v>
      </c>
      <c r="N770" s="0" t="n">
        <f aca="false">K770-M770</f>
        <v>46.9288087290547</v>
      </c>
      <c r="O770" s="0" t="n">
        <f aca="false">K770+M770</f>
        <v>49.863530351405</v>
      </c>
      <c r="P770" s="54" t="b">
        <f aca="false">AND(C770&gt;=01_因子設定!$L$5-0.000000001,C770&lt;=01_因子設定!$M$5+0.000000001,D770&gt;=01_因子設定!$L$6-0.000000001,D770&lt;=01_因子設定!$M$6+0.000000001,IF(01_因子設定!$B$20="Box-Behnken",C770^2+D770^2&lt;=2+0.000000001,TRUE()))</f>
        <v>1</v>
      </c>
      <c r="Q770" s="55" t="n">
        <f aca="false">IF(P770,IF(01_因子設定!$B$13="最大化",N770-01_因子設定!$B$14,IF(01_因子設定!$B$13="最小化",01_因子設定!$B$15-O770,MIN(N770-01_因子設定!$B$14,01_因子設定!$B$15-O770))),-1E+030)</f>
        <v>0.428808729054737</v>
      </c>
      <c r="R770" s="55" t="n">
        <f aca="false">IF(P770,IF(01_因子設定!$B$13="最大化",K770,IF(01_因子設定!$B$13="最小化",-K770,-ABS(K770-01_因子設定!$B$16))),-1E+030)</f>
        <v>48.3961695402299</v>
      </c>
      <c r="S770" s="55" t="n">
        <f aca="false">Q770+ROW()*0.000000001</f>
        <v>0.428809499054737</v>
      </c>
      <c r="T770" s="55" t="n">
        <f aca="false">R770+ROW()*0.000000001</f>
        <v>48.3961703102299</v>
      </c>
    </row>
    <row r="771" customFormat="false" ht="15" hidden="false" customHeight="false" outlineLevel="0" collapsed="false">
      <c r="A771" s="0" t="n">
        <v>18</v>
      </c>
      <c r="B771" s="0" t="n">
        <v>28</v>
      </c>
      <c r="C771" s="0" t="n">
        <f aca="false">-1+A771*0.05</f>
        <v>-0.1</v>
      </c>
      <c r="D771" s="0" t="n">
        <f aca="false">-1+B771*0.05</f>
        <v>0.4</v>
      </c>
      <c r="E771" s="0" t="n">
        <f aca="false">1</f>
        <v>1</v>
      </c>
      <c r="F771" s="0" t="n">
        <f aca="false">C771</f>
        <v>-0.1</v>
      </c>
      <c r="G771" s="0" t="n">
        <f aca="false">D771</f>
        <v>0.4</v>
      </c>
      <c r="H771" s="0" t="n">
        <f aca="false">C771*D771</f>
        <v>-0.04</v>
      </c>
      <c r="I771" s="0" t="n">
        <f aca="false">C771*C771</f>
        <v>0.01</v>
      </c>
      <c r="J771" s="0" t="n">
        <f aca="false">D771*D771</f>
        <v>0.16</v>
      </c>
      <c r="K771" s="0" t="n">
        <f aca="false">SUMPRODUCT(E771:J771,_XtX!$B$53:$G$53)</f>
        <v>48.4481781609195</v>
      </c>
      <c r="L771" s="0" t="n">
        <f aca="false">SUMPRODUCT(MMULT(E771:J771,_XtX!$B$44:$G$49),E771:J771)</f>
        <v>0.174838505747126</v>
      </c>
      <c r="M771" s="0" t="n">
        <f aca="false">04_回帰ANOVA!$K$19*04_回帰ANOVA!$K$14*SQRT(1+L771)</f>
        <v>1.46881012781827</v>
      </c>
      <c r="N771" s="0" t="n">
        <f aca="false">K771-M771</f>
        <v>46.9793680331013</v>
      </c>
      <c r="O771" s="0" t="n">
        <f aca="false">K771+M771</f>
        <v>49.9169882887378</v>
      </c>
      <c r="P771" s="54" t="b">
        <f aca="false">AND(C771&gt;=01_因子設定!$L$5-0.000000001,C771&lt;=01_因子設定!$M$5+0.000000001,D771&gt;=01_因子設定!$L$6-0.000000001,D771&lt;=01_因子設定!$M$6+0.000000001,IF(01_因子設定!$B$20="Box-Behnken",C771^2+D771^2&lt;=2+0.000000001,TRUE()))</f>
        <v>1</v>
      </c>
      <c r="Q771" s="55" t="n">
        <f aca="false">IF(P771,IF(01_因子設定!$B$13="最大化",N771-01_因子設定!$B$14,IF(01_因子設定!$B$13="最小化",01_因子設定!$B$15-O771,MIN(N771-01_因子設定!$B$14,01_因子設定!$B$15-O771))),-1E+030)</f>
        <v>0.479368033101267</v>
      </c>
      <c r="R771" s="55" t="n">
        <f aca="false">IF(P771,IF(01_因子設定!$B$13="最大化",K771,IF(01_因子設定!$B$13="最小化",-K771,-ABS(K771-01_因子設定!$B$16))),-1E+030)</f>
        <v>48.4481781609195</v>
      </c>
      <c r="S771" s="55" t="n">
        <f aca="false">Q771+ROW()*0.000000001</f>
        <v>0.479368804101267</v>
      </c>
      <c r="T771" s="55" t="n">
        <f aca="false">R771+ROW()*0.000000001</f>
        <v>48.4481789319195</v>
      </c>
    </row>
    <row r="772" customFormat="false" ht="15" hidden="false" customHeight="false" outlineLevel="0" collapsed="false">
      <c r="A772" s="0" t="n">
        <v>18</v>
      </c>
      <c r="B772" s="0" t="n">
        <v>29</v>
      </c>
      <c r="C772" s="0" t="n">
        <f aca="false">-1+A772*0.05</f>
        <v>-0.1</v>
      </c>
      <c r="D772" s="0" t="n">
        <f aca="false">-1+B772*0.05</f>
        <v>0.45</v>
      </c>
      <c r="E772" s="0" t="n">
        <f aca="false">1</f>
        <v>1</v>
      </c>
      <c r="F772" s="0" t="n">
        <f aca="false">C772</f>
        <v>-0.1</v>
      </c>
      <c r="G772" s="0" t="n">
        <f aca="false">D772</f>
        <v>0.45</v>
      </c>
      <c r="H772" s="0" t="n">
        <f aca="false">C772*D772</f>
        <v>-0.045</v>
      </c>
      <c r="I772" s="0" t="n">
        <f aca="false">C772*C772</f>
        <v>0.01</v>
      </c>
      <c r="J772" s="0" t="n">
        <f aca="false">D772*D772</f>
        <v>0.2025</v>
      </c>
      <c r="K772" s="0" t="n">
        <f aca="false">SUMPRODUCT(E772:J772,_XtX!$B$53:$G$53)</f>
        <v>48.4924712643678</v>
      </c>
      <c r="L772" s="0" t="n">
        <f aca="false">SUMPRODUCT(MMULT(E772:J772,_XtX!$B$44:$G$49),E772:J772)</f>
        <v>0.178695869252874</v>
      </c>
      <c r="M772" s="0" t="n">
        <f aca="false">04_回帰ANOVA!$K$19*04_回帰ANOVA!$K$14*SQRT(1+L772)</f>
        <v>1.47121943410978</v>
      </c>
      <c r="N772" s="0" t="n">
        <f aca="false">K772-M772</f>
        <v>47.021251830258</v>
      </c>
      <c r="O772" s="0" t="n">
        <f aca="false">K772+M772</f>
        <v>49.9636906984776</v>
      </c>
      <c r="P772" s="54" t="b">
        <f aca="false">AND(C772&gt;=01_因子設定!$L$5-0.000000001,C772&lt;=01_因子設定!$M$5+0.000000001,D772&gt;=01_因子設定!$L$6-0.000000001,D772&lt;=01_因子設定!$M$6+0.000000001,IF(01_因子設定!$B$20="Box-Behnken",C772^2+D772^2&lt;=2+0.000000001,TRUE()))</f>
        <v>1</v>
      </c>
      <c r="Q772" s="55" t="n">
        <f aca="false">IF(P772,IF(01_因子設定!$B$13="最大化",N772-01_因子設定!$B$14,IF(01_因子設定!$B$13="最小化",01_因子設定!$B$15-O772,MIN(N772-01_因子設定!$B$14,01_因子設定!$B$15-O772))),-1E+030)</f>
        <v>0.521251830258038</v>
      </c>
      <c r="R772" s="55" t="n">
        <f aca="false">IF(P772,IF(01_因子設定!$B$13="最大化",K772,IF(01_因子設定!$B$13="最小化",-K772,-ABS(K772-01_因子設定!$B$16))),-1E+030)</f>
        <v>48.4924712643678</v>
      </c>
      <c r="S772" s="55" t="n">
        <f aca="false">Q772+ROW()*0.000000001</f>
        <v>0.521252602258038</v>
      </c>
      <c r="T772" s="55" t="n">
        <f aca="false">R772+ROW()*0.000000001</f>
        <v>48.4924720363678</v>
      </c>
    </row>
    <row r="773" customFormat="false" ht="15" hidden="false" customHeight="false" outlineLevel="0" collapsed="false">
      <c r="A773" s="0" t="n">
        <v>18</v>
      </c>
      <c r="B773" s="0" t="n">
        <v>30</v>
      </c>
      <c r="C773" s="0" t="n">
        <f aca="false">-1+A773*0.05</f>
        <v>-0.1</v>
      </c>
      <c r="D773" s="0" t="n">
        <f aca="false">-1+B773*0.05</f>
        <v>0.5</v>
      </c>
      <c r="E773" s="0" t="n">
        <f aca="false">1</f>
        <v>1</v>
      </c>
      <c r="F773" s="0" t="n">
        <f aca="false">C773</f>
        <v>-0.1</v>
      </c>
      <c r="G773" s="0" t="n">
        <f aca="false">D773</f>
        <v>0.5</v>
      </c>
      <c r="H773" s="0" t="n">
        <f aca="false">C773*D773</f>
        <v>-0.05</v>
      </c>
      <c r="I773" s="0" t="n">
        <f aca="false">C773*C773</f>
        <v>0.01</v>
      </c>
      <c r="J773" s="0" t="n">
        <f aca="false">D773*D773</f>
        <v>0.25</v>
      </c>
      <c r="K773" s="0" t="n">
        <f aca="false">SUMPRODUCT(E773:J773,_XtX!$B$53:$G$53)</f>
        <v>48.5290488505747</v>
      </c>
      <c r="L773" s="0" t="n">
        <f aca="false">SUMPRODUCT(MMULT(E773:J773,_XtX!$B$44:$G$49),E773:J773)</f>
        <v>0.184554885057471</v>
      </c>
      <c r="M773" s="0" t="n">
        <f aca="false">04_回帰ANOVA!$K$19*04_回帰ANOVA!$K$14*SQRT(1+L773)</f>
        <v>1.47487144173022</v>
      </c>
      <c r="N773" s="0" t="n">
        <f aca="false">K773-M773</f>
        <v>47.0541774088445</v>
      </c>
      <c r="O773" s="0" t="n">
        <f aca="false">K773+M773</f>
        <v>50.0039202923049</v>
      </c>
      <c r="P773" s="54" t="b">
        <f aca="false">AND(C773&gt;=01_因子設定!$L$5-0.000000001,C773&lt;=01_因子設定!$M$5+0.000000001,D773&gt;=01_因子設定!$L$6-0.000000001,D773&lt;=01_因子設定!$M$6+0.000000001,IF(01_因子設定!$B$20="Box-Behnken",C773^2+D773^2&lt;=2+0.000000001,TRUE()))</f>
        <v>1</v>
      </c>
      <c r="Q773" s="55" t="n">
        <f aca="false">IF(P773,IF(01_因子設定!$B$13="最大化",N773-01_因子設定!$B$14,IF(01_因子設定!$B$13="最小化",01_因子設定!$B$15-O773,MIN(N773-01_因子設定!$B$14,01_因子設定!$B$15-O773))),-1E+030)</f>
        <v>0.554177408844495</v>
      </c>
      <c r="R773" s="55" t="n">
        <f aca="false">IF(P773,IF(01_因子設定!$B$13="最大化",K773,IF(01_因子設定!$B$13="最小化",-K773,-ABS(K773-01_因子設定!$B$16))),-1E+030)</f>
        <v>48.5290488505747</v>
      </c>
      <c r="S773" s="55" t="n">
        <f aca="false">Q773+ROW()*0.000000001</f>
        <v>0.554178181844495</v>
      </c>
      <c r="T773" s="55" t="n">
        <f aca="false">R773+ROW()*0.000000001</f>
        <v>48.5290496235747</v>
      </c>
    </row>
    <row r="774" customFormat="false" ht="15" hidden="false" customHeight="false" outlineLevel="0" collapsed="false">
      <c r="A774" s="0" t="n">
        <v>18</v>
      </c>
      <c r="B774" s="0" t="n">
        <v>31</v>
      </c>
      <c r="C774" s="0" t="n">
        <f aca="false">-1+A774*0.05</f>
        <v>-0.1</v>
      </c>
      <c r="D774" s="0" t="n">
        <f aca="false">-1+B774*0.05</f>
        <v>0.55</v>
      </c>
      <c r="E774" s="0" t="n">
        <f aca="false">1</f>
        <v>1</v>
      </c>
      <c r="F774" s="0" t="n">
        <f aca="false">C774</f>
        <v>-0.1</v>
      </c>
      <c r="G774" s="0" t="n">
        <f aca="false">D774</f>
        <v>0.55</v>
      </c>
      <c r="H774" s="0" t="n">
        <f aca="false">C774*D774</f>
        <v>-0.055</v>
      </c>
      <c r="I774" s="0" t="n">
        <f aca="false">C774*C774</f>
        <v>0.01</v>
      </c>
      <c r="J774" s="0" t="n">
        <f aca="false">D774*D774</f>
        <v>0.3025</v>
      </c>
      <c r="K774" s="0" t="n">
        <f aca="false">SUMPRODUCT(E774:J774,_XtX!$B$53:$G$53)</f>
        <v>48.5579109195402</v>
      </c>
      <c r="L774" s="0" t="n">
        <f aca="false">SUMPRODUCT(MMULT(E774:J774,_XtX!$B$44:$G$49),E774:J774)</f>
        <v>0.192931501436782</v>
      </c>
      <c r="M774" s="0" t="n">
        <f aca="false">04_回帰ANOVA!$K$19*04_回帰ANOVA!$K$14*SQRT(1+L774)</f>
        <v>1.48007705445879</v>
      </c>
      <c r="N774" s="0" t="n">
        <f aca="false">K774-M774</f>
        <v>47.0778338650814</v>
      </c>
      <c r="O774" s="0" t="n">
        <f aca="false">K774+M774</f>
        <v>50.037987973999</v>
      </c>
      <c r="P774" s="54" t="b">
        <f aca="false">AND(C774&gt;=01_因子設定!$L$5-0.000000001,C774&lt;=01_因子設定!$M$5+0.000000001,D774&gt;=01_因子設定!$L$6-0.000000001,D774&lt;=01_因子設定!$M$6+0.000000001,IF(01_因子設定!$B$20="Box-Behnken",C774^2+D774^2&lt;=2+0.000000001,TRUE()))</f>
        <v>1</v>
      </c>
      <c r="Q774" s="55" t="n">
        <f aca="false">IF(P774,IF(01_因子設定!$B$13="最大化",N774-01_因子設定!$B$14,IF(01_因子設定!$B$13="最小化",01_因子設定!$B$15-O774,MIN(N774-01_因子設定!$B$14,01_因子設定!$B$15-O774))),-1E+030)</f>
        <v>0.577833865081438</v>
      </c>
      <c r="R774" s="55" t="n">
        <f aca="false">IF(P774,IF(01_因子設定!$B$13="最大化",K774,IF(01_因子設定!$B$13="最小化",-K774,-ABS(K774-01_因子設定!$B$16))),-1E+030)</f>
        <v>48.5579109195402</v>
      </c>
      <c r="S774" s="55" t="n">
        <f aca="false">Q774+ROW()*0.000000001</f>
        <v>0.577834639081438</v>
      </c>
      <c r="T774" s="55" t="n">
        <f aca="false">R774+ROW()*0.000000001</f>
        <v>48.5579116935402</v>
      </c>
    </row>
    <row r="775" customFormat="false" ht="15" hidden="false" customHeight="false" outlineLevel="0" collapsed="false">
      <c r="A775" s="0" t="n">
        <v>18</v>
      </c>
      <c r="B775" s="0" t="n">
        <v>32</v>
      </c>
      <c r="C775" s="0" t="n">
        <f aca="false">-1+A775*0.05</f>
        <v>-0.1</v>
      </c>
      <c r="D775" s="0" t="n">
        <f aca="false">-1+B775*0.05</f>
        <v>0.6</v>
      </c>
      <c r="E775" s="0" t="n">
        <f aca="false">1</f>
        <v>1</v>
      </c>
      <c r="F775" s="0" t="n">
        <f aca="false">C775</f>
        <v>-0.1</v>
      </c>
      <c r="G775" s="0" t="n">
        <f aca="false">D775</f>
        <v>0.6</v>
      </c>
      <c r="H775" s="0" t="n">
        <f aca="false">C775*D775</f>
        <v>-0.06</v>
      </c>
      <c r="I775" s="0" t="n">
        <f aca="false">C775*C775</f>
        <v>0.01</v>
      </c>
      <c r="J775" s="0" t="n">
        <f aca="false">D775*D775</f>
        <v>0.36</v>
      </c>
      <c r="K775" s="0" t="n">
        <f aca="false">SUMPRODUCT(E775:J775,_XtX!$B$53:$G$53)</f>
        <v>48.5790574712644</v>
      </c>
      <c r="L775" s="0" t="n">
        <f aca="false">SUMPRODUCT(MMULT(E775:J775,_XtX!$B$44:$G$49),E775:J775)</f>
        <v>0.204395977011494</v>
      </c>
      <c r="M775" s="0" t="n">
        <f aca="false">04_回帰ANOVA!$K$19*04_回帰ANOVA!$K$14*SQRT(1+L775)</f>
        <v>1.48717206961779</v>
      </c>
      <c r="N775" s="0" t="n">
        <f aca="false">K775-M775</f>
        <v>47.0918854016466</v>
      </c>
      <c r="O775" s="0" t="n">
        <f aca="false">K775+M775</f>
        <v>50.0662295408822</v>
      </c>
      <c r="P775" s="54" t="b">
        <f aca="false">AND(C775&gt;=01_因子設定!$L$5-0.000000001,C775&lt;=01_因子設定!$M$5+0.000000001,D775&gt;=01_因子設定!$L$6-0.000000001,D775&lt;=01_因子設定!$M$6+0.000000001,IF(01_因子設定!$B$20="Box-Behnken",C775^2+D775^2&lt;=2+0.000000001,TRUE()))</f>
        <v>1</v>
      </c>
      <c r="Q775" s="55" t="n">
        <f aca="false">IF(P775,IF(01_因子設定!$B$13="最大化",N775-01_因子設定!$B$14,IF(01_因子設定!$B$13="最小化",01_因子設定!$B$15-O775,MIN(N775-01_因子設定!$B$14,01_因子設定!$B$15-O775))),-1E+030)</f>
        <v>0.591885401646579</v>
      </c>
      <c r="R775" s="55" t="n">
        <f aca="false">IF(P775,IF(01_因子設定!$B$13="最大化",K775,IF(01_因子設定!$B$13="最小化",-K775,-ABS(K775-01_因子設定!$B$16))),-1E+030)</f>
        <v>48.5790574712644</v>
      </c>
      <c r="S775" s="55" t="n">
        <f aca="false">Q775+ROW()*0.000000001</f>
        <v>0.591886176646579</v>
      </c>
      <c r="T775" s="55" t="n">
        <f aca="false">R775+ROW()*0.000000001</f>
        <v>48.5790582462644</v>
      </c>
    </row>
    <row r="776" customFormat="false" ht="15" hidden="false" customHeight="false" outlineLevel="0" collapsed="false">
      <c r="A776" s="0" t="n">
        <v>18</v>
      </c>
      <c r="B776" s="0" t="n">
        <v>33</v>
      </c>
      <c r="C776" s="0" t="n">
        <f aca="false">-1+A776*0.05</f>
        <v>-0.1</v>
      </c>
      <c r="D776" s="0" t="n">
        <f aca="false">-1+B776*0.05</f>
        <v>0.65</v>
      </c>
      <c r="E776" s="0" t="n">
        <f aca="false">1</f>
        <v>1</v>
      </c>
      <c r="F776" s="0" t="n">
        <f aca="false">C776</f>
        <v>-0.1</v>
      </c>
      <c r="G776" s="0" t="n">
        <f aca="false">D776</f>
        <v>0.65</v>
      </c>
      <c r="H776" s="0" t="n">
        <f aca="false">C776*D776</f>
        <v>-0.065</v>
      </c>
      <c r="I776" s="0" t="n">
        <f aca="false">C776*C776</f>
        <v>0.01</v>
      </c>
      <c r="J776" s="0" t="n">
        <f aca="false">D776*D776</f>
        <v>0.4225</v>
      </c>
      <c r="K776" s="0" t="n">
        <f aca="false">SUMPRODUCT(E776:J776,_XtX!$B$53:$G$53)</f>
        <v>48.5924885057471</v>
      </c>
      <c r="L776" s="0" t="n">
        <f aca="false">SUMPRODUCT(MMULT(E776:J776,_XtX!$B$44:$G$49),E776:J776)</f>
        <v>0.219572880747126</v>
      </c>
      <c r="M776" s="0" t="n">
        <f aca="false">04_回帰ANOVA!$K$19*04_回帰ANOVA!$K$14*SQRT(1+L776)</f>
        <v>1.49651285436709</v>
      </c>
      <c r="N776" s="0" t="n">
        <f aca="false">K776-M776</f>
        <v>47.09597565138</v>
      </c>
      <c r="O776" s="0" t="n">
        <f aca="false">K776+M776</f>
        <v>50.0890013601142</v>
      </c>
      <c r="P776" s="54" t="b">
        <f aca="false">AND(C776&gt;=01_因子設定!$L$5-0.000000001,C776&lt;=01_因子設定!$M$5+0.000000001,D776&gt;=01_因子設定!$L$6-0.000000001,D776&lt;=01_因子設定!$M$6+0.000000001,IF(01_因子設定!$B$20="Box-Behnken",C776^2+D776^2&lt;=2+0.000000001,TRUE()))</f>
        <v>1</v>
      </c>
      <c r="Q776" s="55" t="n">
        <f aca="false">IF(P776,IF(01_因子設定!$B$13="最大化",N776-01_因子設定!$B$14,IF(01_因子設定!$B$13="最小化",01_因子設定!$B$15-O776,MIN(N776-01_因子設定!$B$14,01_因子設定!$B$15-O776))),-1E+030)</f>
        <v>0.595975651380044</v>
      </c>
      <c r="R776" s="55" t="n">
        <f aca="false">IF(P776,IF(01_因子設定!$B$13="最大化",K776,IF(01_因子設定!$B$13="最小化",-K776,-ABS(K776-01_因子設定!$B$16))),-1E+030)</f>
        <v>48.5924885057471</v>
      </c>
      <c r="S776" s="55" t="n">
        <f aca="false">Q776+ROW()*0.000000001</f>
        <v>0.595976427380044</v>
      </c>
      <c r="T776" s="55" t="n">
        <f aca="false">R776+ROW()*0.000000001</f>
        <v>48.5924892817471</v>
      </c>
    </row>
    <row r="777" customFormat="false" ht="15" hidden="false" customHeight="false" outlineLevel="0" collapsed="false">
      <c r="A777" s="0" t="n">
        <v>18</v>
      </c>
      <c r="B777" s="0" t="n">
        <v>34</v>
      </c>
      <c r="C777" s="0" t="n">
        <f aca="false">-1+A777*0.05</f>
        <v>-0.1</v>
      </c>
      <c r="D777" s="0" t="n">
        <f aca="false">-1+B777*0.05</f>
        <v>0.7</v>
      </c>
      <c r="E777" s="0" t="n">
        <f aca="false">1</f>
        <v>1</v>
      </c>
      <c r="F777" s="0" t="n">
        <f aca="false">C777</f>
        <v>-0.1</v>
      </c>
      <c r="G777" s="0" t="n">
        <f aca="false">D777</f>
        <v>0.7</v>
      </c>
      <c r="H777" s="0" t="n">
        <f aca="false">C777*D777</f>
        <v>-0.07</v>
      </c>
      <c r="I777" s="0" t="n">
        <f aca="false">C777*C777</f>
        <v>0.01</v>
      </c>
      <c r="J777" s="0" t="n">
        <f aca="false">D777*D777</f>
        <v>0.49</v>
      </c>
      <c r="K777" s="0" t="n">
        <f aca="false">SUMPRODUCT(E777:J777,_XtX!$B$53:$G$53)</f>
        <v>48.5982040229885</v>
      </c>
      <c r="L777" s="0" t="n">
        <f aca="false">SUMPRODUCT(MMULT(E777:J777,_XtX!$B$44:$G$49),E777:J777)</f>
        <v>0.239141091954023</v>
      </c>
      <c r="M777" s="0" t="n">
        <f aca="false">04_回帰ANOVA!$K$19*04_回帰ANOVA!$K$14*SQRT(1+L777)</f>
        <v>1.50847095312325</v>
      </c>
      <c r="N777" s="0" t="n">
        <f aca="false">K777-M777</f>
        <v>47.0897330698653</v>
      </c>
      <c r="O777" s="0" t="n">
        <f aca="false">K777+M777</f>
        <v>50.1066749761118</v>
      </c>
      <c r="P777" s="54" t="b">
        <f aca="false">AND(C777&gt;=01_因子設定!$L$5-0.000000001,C777&lt;=01_因子設定!$M$5+0.000000001,D777&gt;=01_因子設定!$L$6-0.000000001,D777&lt;=01_因子設定!$M$6+0.000000001,IF(01_因子設定!$B$20="Box-Behnken",C777^2+D777^2&lt;=2+0.000000001,TRUE()))</f>
        <v>1</v>
      </c>
      <c r="Q777" s="55" t="n">
        <f aca="false">IF(P777,IF(01_因子設定!$B$13="最大化",N777-01_因子設定!$B$14,IF(01_因子設定!$B$13="最小化",01_因子設定!$B$15-O777,MIN(N777-01_因子設定!$B$14,01_因子設定!$B$15-O777))),-1E+030)</f>
        <v>0.589733069865247</v>
      </c>
      <c r="R777" s="55" t="n">
        <f aca="false">IF(P777,IF(01_因子設定!$B$13="最大化",K777,IF(01_因子設定!$B$13="最小化",-K777,-ABS(K777-01_因子設定!$B$16))),-1E+030)</f>
        <v>48.5982040229885</v>
      </c>
      <c r="S777" s="55" t="n">
        <f aca="false">Q777+ROW()*0.000000001</f>
        <v>0.589733846865247</v>
      </c>
      <c r="T777" s="55" t="n">
        <f aca="false">R777+ROW()*0.000000001</f>
        <v>48.5982047999885</v>
      </c>
    </row>
    <row r="778" customFormat="false" ht="15" hidden="false" customHeight="false" outlineLevel="0" collapsed="false">
      <c r="A778" s="0" t="n">
        <v>18</v>
      </c>
      <c r="B778" s="0" t="n">
        <v>35</v>
      </c>
      <c r="C778" s="0" t="n">
        <f aca="false">-1+A778*0.05</f>
        <v>-0.1</v>
      </c>
      <c r="D778" s="0" t="n">
        <f aca="false">-1+B778*0.05</f>
        <v>0.75</v>
      </c>
      <c r="E778" s="0" t="n">
        <f aca="false">1</f>
        <v>1</v>
      </c>
      <c r="F778" s="0" t="n">
        <f aca="false">C778</f>
        <v>-0.1</v>
      </c>
      <c r="G778" s="0" t="n">
        <f aca="false">D778</f>
        <v>0.75</v>
      </c>
      <c r="H778" s="0" t="n">
        <f aca="false">C778*D778</f>
        <v>-0.075</v>
      </c>
      <c r="I778" s="0" t="n">
        <f aca="false">C778*C778</f>
        <v>0.01</v>
      </c>
      <c r="J778" s="0" t="n">
        <f aca="false">D778*D778</f>
        <v>0.5625</v>
      </c>
      <c r="K778" s="0" t="n">
        <f aca="false">SUMPRODUCT(E778:J778,_XtX!$B$53:$G$53)</f>
        <v>48.5962040229885</v>
      </c>
      <c r="L778" s="0" t="n">
        <f aca="false">SUMPRODUCT(MMULT(E778:J778,_XtX!$B$44:$G$49),E778:J778)</f>
        <v>0.263833800287356</v>
      </c>
      <c r="M778" s="0" t="n">
        <f aca="false">04_回帰ANOVA!$K$19*04_回帰ANOVA!$K$14*SQRT(1+L778)</f>
        <v>1.52342667355229</v>
      </c>
      <c r="N778" s="0" t="n">
        <f aca="false">K778-M778</f>
        <v>47.0727773494362</v>
      </c>
      <c r="O778" s="0" t="n">
        <f aca="false">K778+M778</f>
        <v>50.1196306965408</v>
      </c>
      <c r="P778" s="54" t="b">
        <f aca="false">AND(C778&gt;=01_因子設定!$L$5-0.000000001,C778&lt;=01_因子設定!$M$5+0.000000001,D778&gt;=01_因子設定!$L$6-0.000000001,D778&lt;=01_因子設定!$M$6+0.000000001,IF(01_因子設定!$B$20="Box-Behnken",C778^2+D778^2&lt;=2+0.000000001,TRUE()))</f>
        <v>1</v>
      </c>
      <c r="Q778" s="55" t="n">
        <f aca="false">IF(P778,IF(01_因子設定!$B$13="最大化",N778-01_因子設定!$B$14,IF(01_因子設定!$B$13="最小化",01_因子設定!$B$15-O778,MIN(N778-01_因子設定!$B$14,01_因子設定!$B$15-O778))),-1E+030)</f>
        <v>0.572777349436223</v>
      </c>
      <c r="R778" s="55" t="n">
        <f aca="false">IF(P778,IF(01_因子設定!$B$13="最大化",K778,IF(01_因子設定!$B$13="最小化",-K778,-ABS(K778-01_因子設定!$B$16))),-1E+030)</f>
        <v>48.5962040229885</v>
      </c>
      <c r="S778" s="55" t="n">
        <f aca="false">Q778+ROW()*0.000000001</f>
        <v>0.572778127436223</v>
      </c>
      <c r="T778" s="55" t="n">
        <f aca="false">R778+ROW()*0.000000001</f>
        <v>48.5962048009885</v>
      </c>
    </row>
    <row r="779" customFormat="false" ht="15" hidden="false" customHeight="false" outlineLevel="0" collapsed="false">
      <c r="A779" s="0" t="n">
        <v>18</v>
      </c>
      <c r="B779" s="0" t="n">
        <v>36</v>
      </c>
      <c r="C779" s="0" t="n">
        <f aca="false">-1+A779*0.05</f>
        <v>-0.1</v>
      </c>
      <c r="D779" s="0" t="n">
        <f aca="false">-1+B779*0.05</f>
        <v>0.8</v>
      </c>
      <c r="E779" s="0" t="n">
        <f aca="false">1</f>
        <v>1</v>
      </c>
      <c r="F779" s="0" t="n">
        <f aca="false">C779</f>
        <v>-0.1</v>
      </c>
      <c r="G779" s="0" t="n">
        <f aca="false">D779</f>
        <v>0.8</v>
      </c>
      <c r="H779" s="0" t="n">
        <f aca="false">C779*D779</f>
        <v>-0.08</v>
      </c>
      <c r="I779" s="0" t="n">
        <f aca="false">C779*C779</f>
        <v>0.01</v>
      </c>
      <c r="J779" s="0" t="n">
        <f aca="false">D779*D779</f>
        <v>0.64</v>
      </c>
      <c r="K779" s="0" t="n">
        <f aca="false">SUMPRODUCT(E779:J779,_XtX!$B$53:$G$53)</f>
        <v>48.5864885057471</v>
      </c>
      <c r="L779" s="0" t="n">
        <f aca="false">SUMPRODUCT(MMULT(E779:J779,_XtX!$B$44:$G$49),E779:J779)</f>
        <v>0.294438505747127</v>
      </c>
      <c r="M779" s="0" t="n">
        <f aca="false">04_回帰ANOVA!$K$19*04_回帰ANOVA!$K$14*SQRT(1+L779)</f>
        <v>1.54176181073002</v>
      </c>
      <c r="N779" s="0" t="n">
        <f aca="false">K779-M779</f>
        <v>47.0447266950171</v>
      </c>
      <c r="O779" s="0" t="n">
        <f aca="false">K779+M779</f>
        <v>50.1282503164771</v>
      </c>
      <c r="P779" s="54" t="b">
        <f aca="false">AND(C779&gt;=01_因子設定!$L$5-0.000000001,C779&lt;=01_因子設定!$M$5+0.000000001,D779&gt;=01_因子設定!$L$6-0.000000001,D779&lt;=01_因子設定!$M$6+0.000000001,IF(01_因子設定!$B$20="Box-Behnken",C779^2+D779^2&lt;=2+0.000000001,TRUE()))</f>
        <v>1</v>
      </c>
      <c r="Q779" s="55" t="n">
        <f aca="false">IF(P779,IF(01_因子設定!$B$13="最大化",N779-01_因子設定!$B$14,IF(01_因子設定!$B$13="最小化",01_因子設定!$B$15-O779,MIN(N779-01_因子設定!$B$14,01_因子設定!$B$15-O779))),-1E+030)</f>
        <v>0.544726695017111</v>
      </c>
      <c r="R779" s="55" t="n">
        <f aca="false">IF(P779,IF(01_因子設定!$B$13="最大化",K779,IF(01_因子設定!$B$13="最小化",-K779,-ABS(K779-01_因子設定!$B$16))),-1E+030)</f>
        <v>48.5864885057471</v>
      </c>
      <c r="S779" s="55" t="n">
        <f aca="false">Q779+ROW()*0.000000001</f>
        <v>0.544727474017111</v>
      </c>
      <c r="T779" s="55" t="n">
        <f aca="false">R779+ROW()*0.000000001</f>
        <v>48.5864892847471</v>
      </c>
    </row>
    <row r="780" customFormat="false" ht="15" hidden="false" customHeight="false" outlineLevel="0" collapsed="false">
      <c r="A780" s="0" t="n">
        <v>18</v>
      </c>
      <c r="B780" s="0" t="n">
        <v>37</v>
      </c>
      <c r="C780" s="0" t="n">
        <f aca="false">-1+A780*0.05</f>
        <v>-0.1</v>
      </c>
      <c r="D780" s="0" t="n">
        <f aca="false">-1+B780*0.05</f>
        <v>0.85</v>
      </c>
      <c r="E780" s="0" t="n">
        <f aca="false">1</f>
        <v>1</v>
      </c>
      <c r="F780" s="0" t="n">
        <f aca="false">C780</f>
        <v>-0.1</v>
      </c>
      <c r="G780" s="0" t="n">
        <f aca="false">D780</f>
        <v>0.85</v>
      </c>
      <c r="H780" s="0" t="n">
        <f aca="false">C780*D780</f>
        <v>-0.085</v>
      </c>
      <c r="I780" s="0" t="n">
        <f aca="false">C780*C780</f>
        <v>0.01</v>
      </c>
      <c r="J780" s="0" t="n">
        <f aca="false">D780*D780</f>
        <v>0.7225</v>
      </c>
      <c r="K780" s="0" t="n">
        <f aca="false">SUMPRODUCT(E780:J780,_XtX!$B$53:$G$53)</f>
        <v>48.5690574712644</v>
      </c>
      <c r="L780" s="0" t="n">
        <f aca="false">SUMPRODUCT(MMULT(E780:J780,_XtX!$B$44:$G$49),E780:J780)</f>
        <v>0.331797018678161</v>
      </c>
      <c r="M780" s="0" t="n">
        <f aca="false">04_回帰ANOVA!$K$19*04_回帰ANOVA!$K$14*SQRT(1+L780)</f>
        <v>1.56385178984743</v>
      </c>
      <c r="N780" s="0" t="n">
        <f aca="false">K780-M780</f>
        <v>47.0052056814169</v>
      </c>
      <c r="O780" s="0" t="n">
        <f aca="false">K780+M780</f>
        <v>50.1329092611118</v>
      </c>
      <c r="P780" s="54" t="b">
        <f aca="false">AND(C780&gt;=01_因子設定!$L$5-0.000000001,C780&lt;=01_因子設定!$M$5+0.000000001,D780&gt;=01_因子設定!$L$6-0.000000001,D780&lt;=01_因子設定!$M$6+0.000000001,IF(01_因子設定!$B$20="Box-Behnken",C780^2+D780^2&lt;=2+0.000000001,TRUE()))</f>
        <v>1</v>
      </c>
      <c r="Q780" s="55" t="n">
        <f aca="false">IF(P780,IF(01_因子設定!$B$13="最大化",N780-01_因子設定!$B$14,IF(01_因子設定!$B$13="最小化",01_因子設定!$B$15-O780,MIN(N780-01_因子設定!$B$14,01_因子設定!$B$15-O780))),-1E+030)</f>
        <v>0.505205681416932</v>
      </c>
      <c r="R780" s="55" t="n">
        <f aca="false">IF(P780,IF(01_因子設定!$B$13="最大化",K780,IF(01_因子設定!$B$13="最小化",-K780,-ABS(K780-01_因子設定!$B$16))),-1E+030)</f>
        <v>48.5690574712644</v>
      </c>
      <c r="S780" s="55" t="n">
        <f aca="false">Q780+ROW()*0.000000001</f>
        <v>0.505206461416932</v>
      </c>
      <c r="T780" s="55" t="n">
        <f aca="false">R780+ROW()*0.000000001</f>
        <v>48.5690582512644</v>
      </c>
    </row>
    <row r="781" customFormat="false" ht="15" hidden="false" customHeight="false" outlineLevel="0" collapsed="false">
      <c r="A781" s="0" t="n">
        <v>18</v>
      </c>
      <c r="B781" s="0" t="n">
        <v>38</v>
      </c>
      <c r="C781" s="0" t="n">
        <f aca="false">-1+A781*0.05</f>
        <v>-0.1</v>
      </c>
      <c r="D781" s="0" t="n">
        <f aca="false">-1+B781*0.05</f>
        <v>0.9</v>
      </c>
      <c r="E781" s="0" t="n">
        <f aca="false">1</f>
        <v>1</v>
      </c>
      <c r="F781" s="0" t="n">
        <f aca="false">C781</f>
        <v>-0.1</v>
      </c>
      <c r="G781" s="0" t="n">
        <f aca="false">D781</f>
        <v>0.9</v>
      </c>
      <c r="H781" s="0" t="n">
        <f aca="false">C781*D781</f>
        <v>-0.09</v>
      </c>
      <c r="I781" s="0" t="n">
        <f aca="false">C781*C781</f>
        <v>0.01</v>
      </c>
      <c r="J781" s="0" t="n">
        <f aca="false">D781*D781</f>
        <v>0.81</v>
      </c>
      <c r="K781" s="0" t="n">
        <f aca="false">SUMPRODUCT(E781:J781,_XtX!$B$53:$G$53)</f>
        <v>48.5439109195402</v>
      </c>
      <c r="L781" s="0" t="n">
        <f aca="false">SUMPRODUCT(MMULT(E781:J781,_XtX!$B$44:$G$49),E781:J781)</f>
        <v>0.376805459770115</v>
      </c>
      <c r="M781" s="0" t="n">
        <f aca="false">04_回帰ANOVA!$K$19*04_回帰ANOVA!$K$14*SQRT(1+L781)</f>
        <v>1.59005761873556</v>
      </c>
      <c r="N781" s="0" t="n">
        <f aca="false">K781-M781</f>
        <v>46.9538533008047</v>
      </c>
      <c r="O781" s="0" t="n">
        <f aca="false">K781+M781</f>
        <v>50.1339685382758</v>
      </c>
      <c r="P781" s="54" t="b">
        <f aca="false">AND(C781&gt;=01_因子設定!$L$5-0.000000001,C781&lt;=01_因子設定!$M$5+0.000000001,D781&gt;=01_因子設定!$L$6-0.000000001,D781&lt;=01_因子設定!$M$6+0.000000001,IF(01_因子設定!$B$20="Box-Behnken",C781^2+D781^2&lt;=2+0.000000001,TRUE()))</f>
        <v>1</v>
      </c>
      <c r="Q781" s="55" t="n">
        <f aca="false">IF(P781,IF(01_因子設定!$B$13="最大化",N781-01_因子設定!$B$14,IF(01_因子設定!$B$13="最小化",01_因子設定!$B$15-O781,MIN(N781-01_因子設定!$B$14,01_因子設定!$B$15-O781))),-1E+030)</f>
        <v>0.453853300804667</v>
      </c>
      <c r="R781" s="55" t="n">
        <f aca="false">IF(P781,IF(01_因子設定!$B$13="最大化",K781,IF(01_因子設定!$B$13="最小化",-K781,-ABS(K781-01_因子設定!$B$16))),-1E+030)</f>
        <v>48.5439109195402</v>
      </c>
      <c r="S781" s="55" t="n">
        <f aca="false">Q781+ROW()*0.000000001</f>
        <v>0.453854081804667</v>
      </c>
      <c r="T781" s="55" t="n">
        <f aca="false">R781+ROW()*0.000000001</f>
        <v>48.5439117005402</v>
      </c>
    </row>
    <row r="782" customFormat="false" ht="15" hidden="false" customHeight="false" outlineLevel="0" collapsed="false">
      <c r="A782" s="0" t="n">
        <v>18</v>
      </c>
      <c r="B782" s="0" t="n">
        <v>39</v>
      </c>
      <c r="C782" s="0" t="n">
        <f aca="false">-1+A782*0.05</f>
        <v>-0.1</v>
      </c>
      <c r="D782" s="0" t="n">
        <f aca="false">-1+B782*0.05</f>
        <v>0.95</v>
      </c>
      <c r="E782" s="0" t="n">
        <f aca="false">1</f>
        <v>1</v>
      </c>
      <c r="F782" s="0" t="n">
        <f aca="false">C782</f>
        <v>-0.1</v>
      </c>
      <c r="G782" s="0" t="n">
        <f aca="false">D782</f>
        <v>0.95</v>
      </c>
      <c r="H782" s="0" t="n">
        <f aca="false">C782*D782</f>
        <v>-0.095</v>
      </c>
      <c r="I782" s="0" t="n">
        <f aca="false">C782*C782</f>
        <v>0.01</v>
      </c>
      <c r="J782" s="0" t="n">
        <f aca="false">D782*D782</f>
        <v>0.9025</v>
      </c>
      <c r="K782" s="0" t="n">
        <f aca="false">SUMPRODUCT(E782:J782,_XtX!$B$53:$G$53)</f>
        <v>48.5110488505747</v>
      </c>
      <c r="L782" s="0" t="n">
        <f aca="false">SUMPRODUCT(MMULT(E782:J782,_XtX!$B$44:$G$49),E782:J782)</f>
        <v>0.430414260057471</v>
      </c>
      <c r="M782" s="0" t="n">
        <f aca="false">04_回帰ANOVA!$K$19*04_回帰ANOVA!$K$14*SQRT(1+L782)</f>
        <v>1.62071812065626</v>
      </c>
      <c r="N782" s="0" t="n">
        <f aca="false">K782-M782</f>
        <v>46.8903307299185</v>
      </c>
      <c r="O782" s="0" t="n">
        <f aca="false">K782+M782</f>
        <v>50.131766971231</v>
      </c>
      <c r="P782" s="54" t="b">
        <f aca="false">AND(C782&gt;=01_因子設定!$L$5-0.000000001,C782&lt;=01_因子設定!$M$5+0.000000001,D782&gt;=01_因子設定!$L$6-0.000000001,D782&lt;=01_因子設定!$M$6+0.000000001,IF(01_因子設定!$B$20="Box-Behnken",C782^2+D782^2&lt;=2+0.000000001,TRUE()))</f>
        <v>1</v>
      </c>
      <c r="Q782" s="55" t="n">
        <f aca="false">IF(P782,IF(01_因子設定!$B$13="最大化",N782-01_因子設定!$B$14,IF(01_因子設定!$B$13="最小化",01_因子設定!$B$15-O782,MIN(N782-01_因子設定!$B$14,01_因子設定!$B$15-O782))),-1E+030)</f>
        <v>0.39033072991846</v>
      </c>
      <c r="R782" s="55" t="n">
        <f aca="false">IF(P782,IF(01_因子設定!$B$13="最大化",K782,IF(01_因子設定!$B$13="最小化",-K782,-ABS(K782-01_因子設定!$B$16))),-1E+030)</f>
        <v>48.5110488505747</v>
      </c>
      <c r="S782" s="55" t="n">
        <f aca="false">Q782+ROW()*0.000000001</f>
        <v>0.39033151191846</v>
      </c>
      <c r="T782" s="55" t="n">
        <f aca="false">R782+ROW()*0.000000001</f>
        <v>48.5110496325747</v>
      </c>
    </row>
    <row r="783" customFormat="false" ht="15" hidden="false" customHeight="false" outlineLevel="0" collapsed="false">
      <c r="A783" s="0" t="n">
        <v>18</v>
      </c>
      <c r="B783" s="0" t="n">
        <v>40</v>
      </c>
      <c r="C783" s="0" t="n">
        <f aca="false">-1+A783*0.05</f>
        <v>-0.1</v>
      </c>
      <c r="D783" s="0" t="n">
        <f aca="false">-1+B783*0.05</f>
        <v>1</v>
      </c>
      <c r="E783" s="0" t="n">
        <f aca="false">1</f>
        <v>1</v>
      </c>
      <c r="F783" s="0" t="n">
        <f aca="false">C783</f>
        <v>-0.1</v>
      </c>
      <c r="G783" s="0" t="n">
        <f aca="false">D783</f>
        <v>1</v>
      </c>
      <c r="H783" s="0" t="n">
        <f aca="false">C783*D783</f>
        <v>-0.1</v>
      </c>
      <c r="I783" s="0" t="n">
        <f aca="false">C783*C783</f>
        <v>0.01</v>
      </c>
      <c r="J783" s="0" t="n">
        <f aca="false">D783*D783</f>
        <v>1</v>
      </c>
      <c r="K783" s="0" t="n">
        <f aca="false">SUMPRODUCT(E783:J783,_XtX!$B$53:$G$53)</f>
        <v>48.4704712643678</v>
      </c>
      <c r="L783" s="0" t="n">
        <f aca="false">SUMPRODUCT(MMULT(E783:J783,_XtX!$B$44:$G$49),E783:J783)</f>
        <v>0.49362816091954</v>
      </c>
      <c r="M783" s="0" t="n">
        <f aca="false">04_回帰ANOVA!$K$19*04_回帰ANOVA!$K$14*SQRT(1+L783)</f>
        <v>1.65614294515325</v>
      </c>
      <c r="N783" s="0" t="n">
        <f aca="false">K783-M783</f>
        <v>46.8143283192146</v>
      </c>
      <c r="O783" s="0" t="n">
        <f aca="false">K783+M783</f>
        <v>50.1266142095211</v>
      </c>
      <c r="P783" s="54" t="b">
        <f aca="false">AND(C783&gt;=01_因子設定!$L$5-0.000000001,C783&lt;=01_因子設定!$M$5+0.000000001,D783&gt;=01_因子設定!$L$6-0.000000001,D783&lt;=01_因子設定!$M$6+0.000000001,IF(01_因子設定!$B$20="Box-Behnken",C783^2+D783^2&lt;=2+0.000000001,TRUE()))</f>
        <v>1</v>
      </c>
      <c r="Q783" s="55" t="n">
        <f aca="false">IF(P783,IF(01_因子設定!$B$13="最大化",N783-01_因子設定!$B$14,IF(01_因子設定!$B$13="最小化",01_因子設定!$B$15-O783,MIN(N783-01_因子設定!$B$14,01_因子設定!$B$15-O783))),-1E+030)</f>
        <v>0.314328319214567</v>
      </c>
      <c r="R783" s="55" t="n">
        <f aca="false">IF(P783,IF(01_因子設定!$B$13="最大化",K783,IF(01_因子設定!$B$13="最小化",-K783,-ABS(K783-01_因子設定!$B$16))),-1E+030)</f>
        <v>48.4704712643678</v>
      </c>
      <c r="S783" s="55" t="n">
        <f aca="false">Q783+ROW()*0.000000001</f>
        <v>0.314329102214567</v>
      </c>
      <c r="T783" s="55" t="n">
        <f aca="false">R783+ROW()*0.000000001</f>
        <v>48.4704720473678</v>
      </c>
    </row>
    <row r="784" customFormat="false" ht="15" hidden="false" customHeight="false" outlineLevel="0" collapsed="false">
      <c r="A784" s="0" t="n">
        <v>19</v>
      </c>
      <c r="B784" s="0" t="n">
        <v>0</v>
      </c>
      <c r="C784" s="0" t="n">
        <f aca="false">-1+A784*0.05</f>
        <v>-0.0499999999999999</v>
      </c>
      <c r="D784" s="0" t="n">
        <f aca="false">-1+B784*0.05</f>
        <v>-1</v>
      </c>
      <c r="E784" s="0" t="n">
        <f aca="false">1</f>
        <v>1</v>
      </c>
      <c r="F784" s="0" t="n">
        <f aca="false">C784</f>
        <v>-0.0499999999999999</v>
      </c>
      <c r="G784" s="0" t="n">
        <f aca="false">D784</f>
        <v>-1</v>
      </c>
      <c r="H784" s="0" t="n">
        <f aca="false">C784*D784</f>
        <v>0.0499999999999999</v>
      </c>
      <c r="I784" s="0" t="n">
        <f aca="false">C784*C784</f>
        <v>0.00249999999999999</v>
      </c>
      <c r="J784" s="0" t="n">
        <f aca="false">D784*D784</f>
        <v>1</v>
      </c>
      <c r="K784" s="0" t="n">
        <f aca="false">SUMPRODUCT(E784:J784,_XtX!$B$53:$G$53)</f>
        <v>44.1756278735632</v>
      </c>
      <c r="L784" s="0" t="n">
        <f aca="false">SUMPRODUCT(MMULT(E784:J784,_XtX!$B$44:$G$49),E784:J784)</f>
        <v>0.494089906609195</v>
      </c>
      <c r="M784" s="0" t="n">
        <f aca="false">04_回帰ANOVA!$K$19*04_回帰ANOVA!$K$14*SQRT(1+L784)</f>
        <v>1.6563989184248</v>
      </c>
      <c r="N784" s="0" t="n">
        <f aca="false">K784-M784</f>
        <v>42.5192289551384</v>
      </c>
      <c r="O784" s="0" t="n">
        <f aca="false">K784+M784</f>
        <v>45.832026791988</v>
      </c>
      <c r="P784" s="54" t="b">
        <f aca="false">AND(C784&gt;=01_因子設定!$L$5-0.000000001,C784&lt;=01_因子設定!$M$5+0.000000001,D784&gt;=01_因子設定!$L$6-0.000000001,D784&lt;=01_因子設定!$M$6+0.000000001,IF(01_因子設定!$B$20="Box-Behnken",C784^2+D784^2&lt;=2+0.000000001,TRUE()))</f>
        <v>1</v>
      </c>
      <c r="Q784" s="55" t="n">
        <f aca="false">IF(P784,IF(01_因子設定!$B$13="最大化",N784-01_因子設定!$B$14,IF(01_因子設定!$B$13="最小化",01_因子設定!$B$15-O784,MIN(N784-01_因子設定!$B$14,01_因子設定!$B$15-O784))),-1E+030)</f>
        <v>-3.98077104486158</v>
      </c>
      <c r="R784" s="55" t="n">
        <f aca="false">IF(P784,IF(01_因子設定!$B$13="最大化",K784,IF(01_因子設定!$B$13="最小化",-K784,-ABS(K784-01_因子設定!$B$16))),-1E+030)</f>
        <v>44.1756278735632</v>
      </c>
      <c r="S784" s="55" t="n">
        <f aca="false">Q784+ROW()*0.000000001</f>
        <v>-3.98077026086158</v>
      </c>
      <c r="T784" s="55" t="n">
        <f aca="false">R784+ROW()*0.000000001</f>
        <v>44.1756286575632</v>
      </c>
    </row>
    <row r="785" customFormat="false" ht="15" hidden="false" customHeight="false" outlineLevel="0" collapsed="false">
      <c r="A785" s="0" t="n">
        <v>19</v>
      </c>
      <c r="B785" s="0" t="n">
        <v>1</v>
      </c>
      <c r="C785" s="0" t="n">
        <f aca="false">-1+A785*0.05</f>
        <v>-0.0499999999999999</v>
      </c>
      <c r="D785" s="0" t="n">
        <f aca="false">-1+B785*0.05</f>
        <v>-0.95</v>
      </c>
      <c r="E785" s="0" t="n">
        <f aca="false">1</f>
        <v>1</v>
      </c>
      <c r="F785" s="0" t="n">
        <f aca="false">C785</f>
        <v>-0.0499999999999999</v>
      </c>
      <c r="G785" s="0" t="n">
        <f aca="false">D785</f>
        <v>-0.95</v>
      </c>
      <c r="H785" s="0" t="n">
        <f aca="false">C785*D785</f>
        <v>0.0474999999999999</v>
      </c>
      <c r="I785" s="0" t="n">
        <f aca="false">C785*C785</f>
        <v>0.00249999999999999</v>
      </c>
      <c r="J785" s="0" t="n">
        <f aca="false">D785*D785</f>
        <v>0.9025</v>
      </c>
      <c r="K785" s="0" t="n">
        <f aca="false">SUMPRODUCT(E785:J785,_XtX!$B$53:$G$53)</f>
        <v>44.4372679597701</v>
      </c>
      <c r="L785" s="0" t="n">
        <f aca="false">SUMPRODUCT(MMULT(E785:J785,_XtX!$B$44:$G$49),E785:J785)</f>
        <v>0.430857094109195</v>
      </c>
      <c r="M785" s="0" t="n">
        <f aca="false">04_回帰ANOVA!$K$19*04_回帰ANOVA!$K$14*SQRT(1+L785)</f>
        <v>1.62096897582906</v>
      </c>
      <c r="N785" s="0" t="n">
        <f aca="false">K785-M785</f>
        <v>42.8162989839411</v>
      </c>
      <c r="O785" s="0" t="n">
        <f aca="false">K785+M785</f>
        <v>46.0582369355992</v>
      </c>
      <c r="P785" s="54" t="b">
        <f aca="false">AND(C785&gt;=01_因子設定!$L$5-0.000000001,C785&lt;=01_因子設定!$M$5+0.000000001,D785&gt;=01_因子設定!$L$6-0.000000001,D785&lt;=01_因子設定!$M$6+0.000000001,IF(01_因子設定!$B$20="Box-Behnken",C785^2+D785^2&lt;=2+0.000000001,TRUE()))</f>
        <v>1</v>
      </c>
      <c r="Q785" s="55" t="n">
        <f aca="false">IF(P785,IF(01_因子設定!$B$13="最大化",N785-01_因子設定!$B$14,IF(01_因子設定!$B$13="最小化",01_因子設定!$B$15-O785,MIN(N785-01_因子設定!$B$14,01_因子設定!$B$15-O785))),-1E+030)</f>
        <v>-3.68370101605894</v>
      </c>
      <c r="R785" s="55" t="n">
        <f aca="false">IF(P785,IF(01_因子設定!$B$13="最大化",K785,IF(01_因子設定!$B$13="最小化",-K785,-ABS(K785-01_因子設定!$B$16))),-1E+030)</f>
        <v>44.4372679597701</v>
      </c>
      <c r="S785" s="55" t="n">
        <f aca="false">Q785+ROW()*0.000000001</f>
        <v>-3.68370023105894</v>
      </c>
      <c r="T785" s="55" t="n">
        <f aca="false">R785+ROW()*0.000000001</f>
        <v>44.4372687447701</v>
      </c>
    </row>
    <row r="786" customFormat="false" ht="15" hidden="false" customHeight="false" outlineLevel="0" collapsed="false">
      <c r="A786" s="0" t="n">
        <v>19</v>
      </c>
      <c r="B786" s="0" t="n">
        <v>2</v>
      </c>
      <c r="C786" s="0" t="n">
        <f aca="false">-1+A786*0.05</f>
        <v>-0.0499999999999999</v>
      </c>
      <c r="D786" s="0" t="n">
        <f aca="false">-1+B786*0.05</f>
        <v>-0.9</v>
      </c>
      <c r="E786" s="0" t="n">
        <f aca="false">1</f>
        <v>1</v>
      </c>
      <c r="F786" s="0" t="n">
        <f aca="false">C786</f>
        <v>-0.0499999999999999</v>
      </c>
      <c r="G786" s="0" t="n">
        <f aca="false">D786</f>
        <v>-0.9</v>
      </c>
      <c r="H786" s="0" t="n">
        <f aca="false">C786*D786</f>
        <v>0.0449999999999999</v>
      </c>
      <c r="I786" s="0" t="n">
        <f aca="false">C786*C786</f>
        <v>0.00249999999999999</v>
      </c>
      <c r="J786" s="0" t="n">
        <f aca="false">D786*D786</f>
        <v>0.81</v>
      </c>
      <c r="K786" s="0" t="n">
        <f aca="false">SUMPRODUCT(E786:J786,_XtX!$B$53:$G$53)</f>
        <v>44.6911925287356</v>
      </c>
      <c r="L786" s="0" t="n">
        <f aca="false">SUMPRODUCT(MMULT(E786:J786,_XtX!$B$44:$G$49),E786:J786)</f>
        <v>0.377230352011494</v>
      </c>
      <c r="M786" s="0" t="n">
        <f aca="false">04_回帰ANOVA!$K$19*04_回帰ANOVA!$K$14*SQRT(1+L786)</f>
        <v>1.59030295151834</v>
      </c>
      <c r="N786" s="0" t="n">
        <f aca="false">K786-M786</f>
        <v>43.1008895772173</v>
      </c>
      <c r="O786" s="0" t="n">
        <f aca="false">K786+M786</f>
        <v>46.281495480254</v>
      </c>
      <c r="P786" s="54" t="b">
        <f aca="false">AND(C786&gt;=01_因子設定!$L$5-0.000000001,C786&lt;=01_因子設定!$M$5+0.000000001,D786&gt;=01_因子設定!$L$6-0.000000001,D786&lt;=01_因子設定!$M$6+0.000000001,IF(01_因子設定!$B$20="Box-Behnken",C786^2+D786^2&lt;=2+0.000000001,TRUE()))</f>
        <v>1</v>
      </c>
      <c r="Q786" s="55" t="n">
        <f aca="false">IF(P786,IF(01_因子設定!$B$13="最大化",N786-01_因子設定!$B$14,IF(01_因子設定!$B$13="最小化",01_因子設定!$B$15-O786,MIN(N786-01_因子設定!$B$14,01_因子設定!$B$15-O786))),-1E+030)</f>
        <v>-3.39911042278271</v>
      </c>
      <c r="R786" s="55" t="n">
        <f aca="false">IF(P786,IF(01_因子設定!$B$13="最大化",K786,IF(01_因子設定!$B$13="最小化",-K786,-ABS(K786-01_因子設定!$B$16))),-1E+030)</f>
        <v>44.6911925287356</v>
      </c>
      <c r="S786" s="55" t="n">
        <f aca="false">Q786+ROW()*0.000000001</f>
        <v>-3.39910963678271</v>
      </c>
      <c r="T786" s="55" t="n">
        <f aca="false">R786+ROW()*0.000000001</f>
        <v>44.6911933147356</v>
      </c>
    </row>
    <row r="787" customFormat="false" ht="15" hidden="false" customHeight="false" outlineLevel="0" collapsed="false">
      <c r="A787" s="0" t="n">
        <v>19</v>
      </c>
      <c r="B787" s="0" t="n">
        <v>3</v>
      </c>
      <c r="C787" s="0" t="n">
        <f aca="false">-1+A787*0.05</f>
        <v>-0.0499999999999999</v>
      </c>
      <c r="D787" s="0" t="n">
        <f aca="false">-1+B787*0.05</f>
        <v>-0.85</v>
      </c>
      <c r="E787" s="0" t="n">
        <f aca="false">1</f>
        <v>1</v>
      </c>
      <c r="F787" s="0" t="n">
        <f aca="false">C787</f>
        <v>-0.0499999999999999</v>
      </c>
      <c r="G787" s="0" t="n">
        <f aca="false">D787</f>
        <v>-0.85</v>
      </c>
      <c r="H787" s="0" t="n">
        <f aca="false">C787*D787</f>
        <v>0.0424999999999999</v>
      </c>
      <c r="I787" s="0" t="n">
        <f aca="false">C787*C787</f>
        <v>0.00249999999999999</v>
      </c>
      <c r="J787" s="0" t="n">
        <f aca="false">D787*D787</f>
        <v>0.7225</v>
      </c>
      <c r="K787" s="0" t="n">
        <f aca="false">SUMPRODUCT(E787:J787,_XtX!$B$53:$G$53)</f>
        <v>44.9374015804598</v>
      </c>
      <c r="L787" s="0" t="n">
        <f aca="false">SUMPRODUCT(MMULT(E787:J787,_XtX!$B$44:$G$49),E787:J787)</f>
        <v>0.332204938936782</v>
      </c>
      <c r="M787" s="0" t="n">
        <f aca="false">04_回帰ANOVA!$K$19*04_回帰ANOVA!$K$14*SQRT(1+L787)</f>
        <v>1.56409127002983</v>
      </c>
      <c r="N787" s="0" t="n">
        <f aca="false">K787-M787</f>
        <v>43.3733103104299</v>
      </c>
      <c r="O787" s="0" t="n">
        <f aca="false">K787+M787</f>
        <v>46.5014928504896</v>
      </c>
      <c r="P787" s="54" t="b">
        <f aca="false">AND(C787&gt;=01_因子設定!$L$5-0.000000001,C787&lt;=01_因子設定!$M$5+0.000000001,D787&gt;=01_因子設定!$L$6-0.000000001,D787&lt;=01_因子設定!$M$6+0.000000001,IF(01_因子設定!$B$20="Box-Behnken",C787^2+D787^2&lt;=2+0.000000001,TRUE()))</f>
        <v>1</v>
      </c>
      <c r="Q787" s="55" t="n">
        <f aca="false">IF(P787,IF(01_因子設定!$B$13="最大化",N787-01_因子設定!$B$14,IF(01_因子設定!$B$13="最小化",01_因子設定!$B$15-O787,MIN(N787-01_因子設定!$B$14,01_因子設定!$B$15-O787))),-1E+030)</f>
        <v>-3.12668968957006</v>
      </c>
      <c r="R787" s="55" t="n">
        <f aca="false">IF(P787,IF(01_因子設定!$B$13="最大化",K787,IF(01_因子設定!$B$13="最小化",-K787,-ABS(K787-01_因子設定!$B$16))),-1E+030)</f>
        <v>44.9374015804598</v>
      </c>
      <c r="S787" s="55" t="n">
        <f aca="false">Q787+ROW()*0.000000001</f>
        <v>-3.12668890257006</v>
      </c>
      <c r="T787" s="55" t="n">
        <f aca="false">R787+ROW()*0.000000001</f>
        <v>44.9374023674598</v>
      </c>
    </row>
    <row r="788" customFormat="false" ht="15" hidden="false" customHeight="false" outlineLevel="0" collapsed="false">
      <c r="A788" s="0" t="n">
        <v>19</v>
      </c>
      <c r="B788" s="0" t="n">
        <v>4</v>
      </c>
      <c r="C788" s="0" t="n">
        <f aca="false">-1+A788*0.05</f>
        <v>-0.0499999999999999</v>
      </c>
      <c r="D788" s="0" t="n">
        <f aca="false">-1+B788*0.05</f>
        <v>-0.8</v>
      </c>
      <c r="E788" s="0" t="n">
        <f aca="false">1</f>
        <v>1</v>
      </c>
      <c r="F788" s="0" t="n">
        <f aca="false">C788</f>
        <v>-0.0499999999999999</v>
      </c>
      <c r="G788" s="0" t="n">
        <f aca="false">D788</f>
        <v>-0.8</v>
      </c>
      <c r="H788" s="0" t="n">
        <f aca="false">C788*D788</f>
        <v>0.04</v>
      </c>
      <c r="I788" s="0" t="n">
        <f aca="false">C788*C788</f>
        <v>0.00249999999999999</v>
      </c>
      <c r="J788" s="0" t="n">
        <f aca="false">D788*D788</f>
        <v>0.64</v>
      </c>
      <c r="K788" s="0" t="n">
        <f aca="false">SUMPRODUCT(E788:J788,_XtX!$B$53:$G$53)</f>
        <v>45.1758951149425</v>
      </c>
      <c r="L788" s="0" t="n">
        <f aca="false">SUMPRODUCT(MMULT(E788:J788,_XtX!$B$44:$G$49),E788:J788)</f>
        <v>0.294830423850575</v>
      </c>
      <c r="M788" s="0" t="n">
        <f aca="false">04_回帰ANOVA!$K$19*04_回帰ANOVA!$K$14*SQRT(1+L788)</f>
        <v>1.54199519324769</v>
      </c>
      <c r="N788" s="0" t="n">
        <f aca="false">K788-M788</f>
        <v>43.6338999216949</v>
      </c>
      <c r="O788" s="0" t="n">
        <f aca="false">K788+M788</f>
        <v>46.7178903081902</v>
      </c>
      <c r="P788" s="54" t="b">
        <f aca="false">AND(C788&gt;=01_因子設定!$L$5-0.000000001,C788&lt;=01_因子設定!$M$5+0.000000001,D788&gt;=01_因子設定!$L$6-0.000000001,D788&lt;=01_因子設定!$M$6+0.000000001,IF(01_因子設定!$B$20="Box-Behnken",C788^2+D788^2&lt;=2+0.000000001,TRUE()))</f>
        <v>1</v>
      </c>
      <c r="Q788" s="55" t="n">
        <f aca="false">IF(P788,IF(01_因子設定!$B$13="最大化",N788-01_因子設定!$B$14,IF(01_因子設定!$B$13="最小化",01_因子設定!$B$15-O788,MIN(N788-01_因子設定!$B$14,01_因子設定!$B$15-O788))),-1E+030)</f>
        <v>-2.86610007830515</v>
      </c>
      <c r="R788" s="55" t="n">
        <f aca="false">IF(P788,IF(01_因子設定!$B$13="最大化",K788,IF(01_因子設定!$B$13="最小化",-K788,-ABS(K788-01_因子設定!$B$16))),-1E+030)</f>
        <v>45.1758951149425</v>
      </c>
      <c r="S788" s="55" t="n">
        <f aca="false">Q788+ROW()*0.000000001</f>
        <v>-2.86609929030515</v>
      </c>
      <c r="T788" s="55" t="n">
        <f aca="false">R788+ROW()*0.000000001</f>
        <v>45.1758959029425</v>
      </c>
    </row>
    <row r="789" customFormat="false" ht="15" hidden="false" customHeight="false" outlineLevel="0" collapsed="false">
      <c r="A789" s="0" t="n">
        <v>19</v>
      </c>
      <c r="B789" s="0" t="n">
        <v>5</v>
      </c>
      <c r="C789" s="0" t="n">
        <f aca="false">-1+A789*0.05</f>
        <v>-0.0499999999999999</v>
      </c>
      <c r="D789" s="0" t="n">
        <f aca="false">-1+B789*0.05</f>
        <v>-0.75</v>
      </c>
      <c r="E789" s="0" t="n">
        <f aca="false">1</f>
        <v>1</v>
      </c>
      <c r="F789" s="0" t="n">
        <f aca="false">C789</f>
        <v>-0.0499999999999999</v>
      </c>
      <c r="G789" s="0" t="n">
        <f aca="false">D789</f>
        <v>-0.75</v>
      </c>
      <c r="H789" s="0" t="n">
        <f aca="false">C789*D789</f>
        <v>0.0375</v>
      </c>
      <c r="I789" s="0" t="n">
        <f aca="false">C789*C789</f>
        <v>0.00249999999999999</v>
      </c>
      <c r="J789" s="0" t="n">
        <f aca="false">D789*D789</f>
        <v>0.5625</v>
      </c>
      <c r="K789" s="0" t="n">
        <f aca="false">SUMPRODUCT(E789:J789,_XtX!$B$53:$G$53)</f>
        <v>45.4066731321839</v>
      </c>
      <c r="L789" s="0" t="n">
        <f aca="false">SUMPRODUCT(MMULT(E789:J789,_XtX!$B$44:$G$49),E789:J789)</f>
        <v>0.264210686063218</v>
      </c>
      <c r="M789" s="0" t="n">
        <f aca="false">04_回帰ANOVA!$K$19*04_回帰ANOVA!$K$14*SQRT(1+L789)</f>
        <v>1.52365380588781</v>
      </c>
      <c r="N789" s="0" t="n">
        <f aca="false">K789-M789</f>
        <v>43.8830193262961</v>
      </c>
      <c r="O789" s="0" t="n">
        <f aca="false">K789+M789</f>
        <v>46.9303269380717</v>
      </c>
      <c r="P789" s="54" t="b">
        <f aca="false">AND(C789&gt;=01_因子設定!$L$5-0.000000001,C789&lt;=01_因子設定!$M$5+0.000000001,D789&gt;=01_因子設定!$L$6-0.000000001,D789&lt;=01_因子設定!$M$6+0.000000001,IF(01_因子設定!$B$20="Box-Behnken",C789^2+D789^2&lt;=2+0.000000001,TRUE()))</f>
        <v>1</v>
      </c>
      <c r="Q789" s="55" t="n">
        <f aca="false">IF(P789,IF(01_因子設定!$B$13="最大化",N789-01_因子設定!$B$14,IF(01_因子設定!$B$13="最小化",01_因子設定!$B$15-O789,MIN(N789-01_因子設定!$B$14,01_因子設定!$B$15-O789))),-1E+030)</f>
        <v>-2.6169806737039</v>
      </c>
      <c r="R789" s="55" t="n">
        <f aca="false">IF(P789,IF(01_因子設定!$B$13="最大化",K789,IF(01_因子設定!$B$13="最小化",-K789,-ABS(K789-01_因子設定!$B$16))),-1E+030)</f>
        <v>45.4066731321839</v>
      </c>
      <c r="S789" s="55" t="n">
        <f aca="false">Q789+ROW()*0.000000001</f>
        <v>-2.6169798847039</v>
      </c>
      <c r="T789" s="55" t="n">
        <f aca="false">R789+ROW()*0.000000001</f>
        <v>45.4066739211839</v>
      </c>
    </row>
    <row r="790" customFormat="false" ht="15" hidden="false" customHeight="false" outlineLevel="0" collapsed="false">
      <c r="A790" s="0" t="n">
        <v>19</v>
      </c>
      <c r="B790" s="0" t="n">
        <v>6</v>
      </c>
      <c r="C790" s="0" t="n">
        <f aca="false">-1+A790*0.05</f>
        <v>-0.0499999999999999</v>
      </c>
      <c r="D790" s="0" t="n">
        <f aca="false">-1+B790*0.05</f>
        <v>-0.7</v>
      </c>
      <c r="E790" s="0" t="n">
        <f aca="false">1</f>
        <v>1</v>
      </c>
      <c r="F790" s="0" t="n">
        <f aca="false">C790</f>
        <v>-0.0499999999999999</v>
      </c>
      <c r="G790" s="0" t="n">
        <f aca="false">D790</f>
        <v>-0.7</v>
      </c>
      <c r="H790" s="0" t="n">
        <f aca="false">C790*D790</f>
        <v>0.035</v>
      </c>
      <c r="I790" s="0" t="n">
        <f aca="false">C790*C790</f>
        <v>0.00249999999999999</v>
      </c>
      <c r="J790" s="0" t="n">
        <f aca="false">D790*D790</f>
        <v>0.49</v>
      </c>
      <c r="K790" s="0" t="n">
        <f aca="false">SUMPRODUCT(E790:J790,_XtX!$B$53:$G$53)</f>
        <v>45.6297356321839</v>
      </c>
      <c r="L790" s="0" t="n">
        <f aca="false">SUMPRODUCT(MMULT(E790:J790,_XtX!$B$44:$G$49),E790:J790)</f>
        <v>0.239503915229885</v>
      </c>
      <c r="M790" s="0" t="n">
        <f aca="false">04_回帰ANOVA!$K$19*04_回帰ANOVA!$K$14*SQRT(1+L790)</f>
        <v>1.50869177878988</v>
      </c>
      <c r="N790" s="0" t="n">
        <f aca="false">K790-M790</f>
        <v>44.121043853394</v>
      </c>
      <c r="O790" s="0" t="n">
        <f aca="false">K790+M790</f>
        <v>47.1384274109738</v>
      </c>
      <c r="P790" s="54" t="b">
        <f aca="false">AND(C790&gt;=01_因子設定!$L$5-0.000000001,C790&lt;=01_因子設定!$M$5+0.000000001,D790&gt;=01_因子設定!$L$6-0.000000001,D790&lt;=01_因子設定!$M$6+0.000000001,IF(01_因子設定!$B$20="Box-Behnken",C790^2+D790^2&lt;=2+0.000000001,TRUE()))</f>
        <v>1</v>
      </c>
      <c r="Q790" s="55" t="n">
        <f aca="false">IF(P790,IF(01_因子設定!$B$13="最大化",N790-01_因子設定!$B$14,IF(01_因子設定!$B$13="最小化",01_因子設定!$B$15-O790,MIN(N790-01_因子設定!$B$14,01_因子設定!$B$15-O790))),-1E+030)</f>
        <v>-2.37895614660597</v>
      </c>
      <c r="R790" s="55" t="n">
        <f aca="false">IF(P790,IF(01_因子設定!$B$13="最大化",K790,IF(01_因子設定!$B$13="最小化",-K790,-ABS(K790-01_因子設定!$B$16))),-1E+030)</f>
        <v>45.6297356321839</v>
      </c>
      <c r="S790" s="55" t="n">
        <f aca="false">Q790+ROW()*0.000000001</f>
        <v>-2.37895535660597</v>
      </c>
      <c r="T790" s="55" t="n">
        <f aca="false">R790+ROW()*0.000000001</f>
        <v>45.6297364221839</v>
      </c>
    </row>
    <row r="791" customFormat="false" ht="15" hidden="false" customHeight="false" outlineLevel="0" collapsed="false">
      <c r="A791" s="0" t="n">
        <v>19</v>
      </c>
      <c r="B791" s="0" t="n">
        <v>7</v>
      </c>
      <c r="C791" s="0" t="n">
        <f aca="false">-1+A791*0.05</f>
        <v>-0.0499999999999999</v>
      </c>
      <c r="D791" s="0" t="n">
        <f aca="false">-1+B791*0.05</f>
        <v>-0.65</v>
      </c>
      <c r="E791" s="0" t="n">
        <f aca="false">1</f>
        <v>1</v>
      </c>
      <c r="F791" s="0" t="n">
        <f aca="false">C791</f>
        <v>-0.0499999999999999</v>
      </c>
      <c r="G791" s="0" t="n">
        <f aca="false">D791</f>
        <v>-0.65</v>
      </c>
      <c r="H791" s="0" t="n">
        <f aca="false">C791*D791</f>
        <v>0.0325</v>
      </c>
      <c r="I791" s="0" t="n">
        <f aca="false">C791*C791</f>
        <v>0.00249999999999999</v>
      </c>
      <c r="J791" s="0" t="n">
        <f aca="false">D791*D791</f>
        <v>0.4225</v>
      </c>
      <c r="K791" s="0" t="n">
        <f aca="false">SUMPRODUCT(E791:J791,_XtX!$B$53:$G$53)</f>
        <v>45.8450826149425</v>
      </c>
      <c r="L791" s="0" t="n">
        <f aca="false">SUMPRODUCT(MMULT(E791:J791,_XtX!$B$44:$G$49),E791:J791)</f>
        <v>0.219922611350575</v>
      </c>
      <c r="M791" s="0" t="n">
        <f aca="false">04_回帰ANOVA!$K$19*04_回帰ANOVA!$K$14*SQRT(1+L791)</f>
        <v>1.49672741260948</v>
      </c>
      <c r="N791" s="0" t="n">
        <f aca="false">K791-M791</f>
        <v>44.3483552023331</v>
      </c>
      <c r="O791" s="0" t="n">
        <f aca="false">K791+M791</f>
        <v>47.341810027552</v>
      </c>
      <c r="P791" s="54" t="b">
        <f aca="false">AND(C791&gt;=01_因子設定!$L$5-0.000000001,C791&lt;=01_因子設定!$M$5+0.000000001,D791&gt;=01_因子設定!$L$6-0.000000001,D791&lt;=01_因子設定!$M$6+0.000000001,IF(01_因子設定!$B$20="Box-Behnken",C791^2+D791^2&lt;=2+0.000000001,TRUE()))</f>
        <v>1</v>
      </c>
      <c r="Q791" s="55" t="n">
        <f aca="false">IF(P791,IF(01_因子設定!$B$13="最大化",N791-01_因子設定!$B$14,IF(01_因子設定!$B$13="最小化",01_因子設定!$B$15-O791,MIN(N791-01_因子設定!$B$14,01_因子設定!$B$15-O791))),-1E+030)</f>
        <v>-2.15164479766695</v>
      </c>
      <c r="R791" s="55" t="n">
        <f aca="false">IF(P791,IF(01_因子設定!$B$13="最大化",K791,IF(01_因子設定!$B$13="最小化",-K791,-ABS(K791-01_因子設定!$B$16))),-1E+030)</f>
        <v>45.8450826149425</v>
      </c>
      <c r="S791" s="55" t="n">
        <f aca="false">Q791+ROW()*0.000000001</f>
        <v>-2.15164400666695</v>
      </c>
      <c r="T791" s="55" t="n">
        <f aca="false">R791+ROW()*0.000000001</f>
        <v>45.8450834059425</v>
      </c>
    </row>
    <row r="792" customFormat="false" ht="15" hidden="false" customHeight="false" outlineLevel="0" collapsed="false">
      <c r="A792" s="0" t="n">
        <v>19</v>
      </c>
      <c r="B792" s="0" t="n">
        <v>8</v>
      </c>
      <c r="C792" s="0" t="n">
        <f aca="false">-1+A792*0.05</f>
        <v>-0.0499999999999999</v>
      </c>
      <c r="D792" s="0" t="n">
        <f aca="false">-1+B792*0.05</f>
        <v>-0.6</v>
      </c>
      <c r="E792" s="0" t="n">
        <f aca="false">1</f>
        <v>1</v>
      </c>
      <c r="F792" s="0" t="n">
        <f aca="false">C792</f>
        <v>-0.0499999999999999</v>
      </c>
      <c r="G792" s="0" t="n">
        <f aca="false">D792</f>
        <v>-0.6</v>
      </c>
      <c r="H792" s="0" t="n">
        <f aca="false">C792*D792</f>
        <v>0.03</v>
      </c>
      <c r="I792" s="0" t="n">
        <f aca="false">C792*C792</f>
        <v>0.00249999999999999</v>
      </c>
      <c r="J792" s="0" t="n">
        <f aca="false">D792*D792</f>
        <v>0.36</v>
      </c>
      <c r="K792" s="0" t="n">
        <f aca="false">SUMPRODUCT(E792:J792,_XtX!$B$53:$G$53)</f>
        <v>46.0527140804598</v>
      </c>
      <c r="L792" s="0" t="n">
        <f aca="false">SUMPRODUCT(MMULT(E792:J792,_XtX!$B$44:$G$49),E792:J792)</f>
        <v>0.204733584770115</v>
      </c>
      <c r="M792" s="0" t="n">
        <f aca="false">04_回帰ANOVA!$K$19*04_回帰ANOVA!$K$14*SQRT(1+L792)</f>
        <v>1.48738049178902</v>
      </c>
      <c r="N792" s="0" t="n">
        <f aca="false">K792-M792</f>
        <v>44.5653335886708</v>
      </c>
      <c r="O792" s="0" t="n">
        <f aca="false">K792+M792</f>
        <v>47.5400945722488</v>
      </c>
      <c r="P792" s="54" t="b">
        <f aca="false">AND(C792&gt;=01_因子設定!$L$5-0.000000001,C792&lt;=01_因子設定!$M$5+0.000000001,D792&gt;=01_因子設定!$L$6-0.000000001,D792&lt;=01_因子設定!$M$6+0.000000001,IF(01_因子設定!$B$20="Box-Behnken",C792^2+D792^2&lt;=2+0.000000001,TRUE()))</f>
        <v>1</v>
      </c>
      <c r="Q792" s="55" t="n">
        <f aca="false">IF(P792,IF(01_因子設定!$B$13="最大化",N792-01_因子設定!$B$14,IF(01_因子設定!$B$13="最小化",01_因子設定!$B$15-O792,MIN(N792-01_因子設定!$B$14,01_因子設定!$B$15-O792))),-1E+030)</f>
        <v>-1.93466641132925</v>
      </c>
      <c r="R792" s="55" t="n">
        <f aca="false">IF(P792,IF(01_因子設定!$B$13="最大化",K792,IF(01_因子設定!$B$13="最小化",-K792,-ABS(K792-01_因子設定!$B$16))),-1E+030)</f>
        <v>46.0527140804598</v>
      </c>
      <c r="S792" s="55" t="n">
        <f aca="false">Q792+ROW()*0.000000001</f>
        <v>-1.93466561932925</v>
      </c>
      <c r="T792" s="55" t="n">
        <f aca="false">R792+ROW()*0.000000001</f>
        <v>46.0527148724598</v>
      </c>
    </row>
    <row r="793" customFormat="false" ht="15" hidden="false" customHeight="false" outlineLevel="0" collapsed="false">
      <c r="A793" s="0" t="n">
        <v>19</v>
      </c>
      <c r="B793" s="0" t="n">
        <v>9</v>
      </c>
      <c r="C793" s="0" t="n">
        <f aca="false">-1+A793*0.05</f>
        <v>-0.0499999999999999</v>
      </c>
      <c r="D793" s="0" t="n">
        <f aca="false">-1+B793*0.05</f>
        <v>-0.55</v>
      </c>
      <c r="E793" s="0" t="n">
        <f aca="false">1</f>
        <v>1</v>
      </c>
      <c r="F793" s="0" t="n">
        <f aca="false">C793</f>
        <v>-0.0499999999999999</v>
      </c>
      <c r="G793" s="0" t="n">
        <f aca="false">D793</f>
        <v>-0.55</v>
      </c>
      <c r="H793" s="0" t="n">
        <f aca="false">C793*D793</f>
        <v>0.0275</v>
      </c>
      <c r="I793" s="0" t="n">
        <f aca="false">C793*C793</f>
        <v>0.00249999999999999</v>
      </c>
      <c r="J793" s="0" t="n">
        <f aca="false">D793*D793</f>
        <v>0.3025</v>
      </c>
      <c r="K793" s="0" t="n">
        <f aca="false">SUMPRODUCT(E793:J793,_XtX!$B$53:$G$53)</f>
        <v>46.2526300287356</v>
      </c>
      <c r="L793" s="0" t="n">
        <f aca="false">SUMPRODUCT(MMULT(E793:J793,_XtX!$B$44:$G$49),E793:J793)</f>
        <v>0.193257956178161</v>
      </c>
      <c r="M793" s="0" t="n">
        <f aca="false">04_回帰ANOVA!$K$19*04_回帰ANOVA!$K$14*SQRT(1+L793)</f>
        <v>1.48027955775409</v>
      </c>
      <c r="N793" s="0" t="n">
        <f aca="false">K793-M793</f>
        <v>44.7723504709815</v>
      </c>
      <c r="O793" s="0" t="n">
        <f aca="false">K793+M793</f>
        <v>47.7329095864897</v>
      </c>
      <c r="P793" s="54" t="b">
        <f aca="false">AND(C793&gt;=01_因子設定!$L$5-0.000000001,C793&lt;=01_因子設定!$M$5+0.000000001,D793&gt;=01_因子設定!$L$6-0.000000001,D793&lt;=01_因子設定!$M$6+0.000000001,IF(01_因子設定!$B$20="Box-Behnken",C793^2+D793^2&lt;=2+0.000000001,TRUE()))</f>
        <v>1</v>
      </c>
      <c r="Q793" s="55" t="n">
        <f aca="false">IF(P793,IF(01_因子設定!$B$13="最大化",N793-01_因子設定!$B$14,IF(01_因子設定!$B$13="最小化",01_因子設定!$B$15-O793,MIN(N793-01_因子設定!$B$14,01_因子設定!$B$15-O793))),-1E+030)</f>
        <v>-1.72764952901846</v>
      </c>
      <c r="R793" s="55" t="n">
        <f aca="false">IF(P793,IF(01_因子設定!$B$13="最大化",K793,IF(01_因子設定!$B$13="最小化",-K793,-ABS(K793-01_因子設定!$B$16))),-1E+030)</f>
        <v>46.2526300287356</v>
      </c>
      <c r="S793" s="55" t="n">
        <f aca="false">Q793+ROW()*0.000000001</f>
        <v>-1.72764873601846</v>
      </c>
      <c r="T793" s="55" t="n">
        <f aca="false">R793+ROW()*0.000000001</f>
        <v>46.2526308217356</v>
      </c>
    </row>
    <row r="794" customFormat="false" ht="15" hidden="false" customHeight="false" outlineLevel="0" collapsed="false">
      <c r="A794" s="0" t="n">
        <v>19</v>
      </c>
      <c r="B794" s="0" t="n">
        <v>10</v>
      </c>
      <c r="C794" s="0" t="n">
        <f aca="false">-1+A794*0.05</f>
        <v>-0.0499999999999999</v>
      </c>
      <c r="D794" s="0" t="n">
        <f aca="false">-1+B794*0.05</f>
        <v>-0.5</v>
      </c>
      <c r="E794" s="0" t="n">
        <f aca="false">1</f>
        <v>1</v>
      </c>
      <c r="F794" s="0" t="n">
        <f aca="false">C794</f>
        <v>-0.0499999999999999</v>
      </c>
      <c r="G794" s="0" t="n">
        <f aca="false">D794</f>
        <v>-0.5</v>
      </c>
      <c r="H794" s="0" t="n">
        <f aca="false">C794*D794</f>
        <v>0.025</v>
      </c>
      <c r="I794" s="0" t="n">
        <f aca="false">C794*C794</f>
        <v>0.00249999999999999</v>
      </c>
      <c r="J794" s="0" t="n">
        <f aca="false">D794*D794</f>
        <v>0.25</v>
      </c>
      <c r="K794" s="0" t="n">
        <f aca="false">SUMPRODUCT(E794:J794,_XtX!$B$53:$G$53)</f>
        <v>46.4448304597701</v>
      </c>
      <c r="L794" s="0" t="n">
        <f aca="false">SUMPRODUCT(MMULT(E794:J794,_XtX!$B$44:$G$49),E794:J794)</f>
        <v>0.184871156609195</v>
      </c>
      <c r="M794" s="0" t="n">
        <f aca="false">04_回帰ANOVA!$K$19*04_回帰ANOVA!$K$14*SQRT(1+L794)</f>
        <v>1.47506832106176</v>
      </c>
      <c r="N794" s="0" t="n">
        <f aca="false">K794-M794</f>
        <v>44.9697621387084</v>
      </c>
      <c r="O794" s="0" t="n">
        <f aca="false">K794+M794</f>
        <v>47.9198987808319</v>
      </c>
      <c r="P794" s="54" t="b">
        <f aca="false">AND(C794&gt;=01_因子設定!$L$5-0.000000001,C794&lt;=01_因子設定!$M$5+0.000000001,D794&gt;=01_因子設定!$L$6-0.000000001,D794&lt;=01_因子設定!$M$6+0.000000001,IF(01_因子設定!$B$20="Box-Behnken",C794^2+D794^2&lt;=2+0.000000001,TRUE()))</f>
        <v>1</v>
      </c>
      <c r="Q794" s="55" t="n">
        <f aca="false">IF(P794,IF(01_因子設定!$B$13="最大化",N794-01_因子設定!$B$14,IF(01_因子設定!$B$13="最小化",01_因子設定!$B$15-O794,MIN(N794-01_因子設定!$B$14,01_因子設定!$B$15-O794))),-1E+030)</f>
        <v>-1.53023786129164</v>
      </c>
      <c r="R794" s="55" t="n">
        <f aca="false">IF(P794,IF(01_因子設定!$B$13="最大化",K794,IF(01_因子設定!$B$13="最小化",-K794,-ABS(K794-01_因子設定!$B$16))),-1E+030)</f>
        <v>46.4448304597701</v>
      </c>
      <c r="S794" s="55" t="n">
        <f aca="false">Q794+ROW()*0.000000001</f>
        <v>-1.53023706729164</v>
      </c>
      <c r="T794" s="55" t="n">
        <f aca="false">R794+ROW()*0.000000001</f>
        <v>46.4448312537701</v>
      </c>
    </row>
    <row r="795" customFormat="false" ht="15" hidden="false" customHeight="false" outlineLevel="0" collapsed="false">
      <c r="A795" s="0" t="n">
        <v>19</v>
      </c>
      <c r="B795" s="0" t="n">
        <v>11</v>
      </c>
      <c r="C795" s="0" t="n">
        <f aca="false">-1+A795*0.05</f>
        <v>-0.0499999999999999</v>
      </c>
      <c r="D795" s="0" t="n">
        <f aca="false">-1+B795*0.05</f>
        <v>-0.45</v>
      </c>
      <c r="E795" s="0" t="n">
        <f aca="false">1</f>
        <v>1</v>
      </c>
      <c r="F795" s="0" t="n">
        <f aca="false">C795</f>
        <v>-0.0499999999999999</v>
      </c>
      <c r="G795" s="0" t="n">
        <f aca="false">D795</f>
        <v>-0.45</v>
      </c>
      <c r="H795" s="0" t="n">
        <f aca="false">C795*D795</f>
        <v>0.0225</v>
      </c>
      <c r="I795" s="0" t="n">
        <f aca="false">C795*C795</f>
        <v>0.00249999999999999</v>
      </c>
      <c r="J795" s="0" t="n">
        <f aca="false">D795*D795</f>
        <v>0.2025</v>
      </c>
      <c r="K795" s="0" t="n">
        <f aca="false">SUMPRODUCT(E795:J795,_XtX!$B$53:$G$53)</f>
        <v>46.6293153735632</v>
      </c>
      <c r="L795" s="0" t="n">
        <f aca="false">SUMPRODUCT(MMULT(E795:J795,_XtX!$B$44:$G$49),E795:J795)</f>
        <v>0.179002927442529</v>
      </c>
      <c r="M795" s="0" t="n">
        <f aca="false">04_回帰ANOVA!$K$19*04_回帰ANOVA!$K$14*SQRT(1+L795)</f>
        <v>1.47141105290249</v>
      </c>
      <c r="N795" s="0" t="n">
        <f aca="false">K795-M795</f>
        <v>45.1579043206607</v>
      </c>
      <c r="O795" s="0" t="n">
        <f aca="false">K795+M795</f>
        <v>48.1007264264657</v>
      </c>
      <c r="P795" s="54" t="b">
        <f aca="false">AND(C795&gt;=01_因子設定!$L$5-0.000000001,C795&lt;=01_因子設定!$M$5+0.000000001,D795&gt;=01_因子設定!$L$6-0.000000001,D795&lt;=01_因子設定!$M$6+0.000000001,IF(01_因子設定!$B$20="Box-Behnken",C795^2+D795^2&lt;=2+0.000000001,TRUE()))</f>
        <v>1</v>
      </c>
      <c r="Q795" s="55" t="n">
        <f aca="false">IF(P795,IF(01_因子設定!$B$13="最大化",N795-01_因子設定!$B$14,IF(01_因子設定!$B$13="最小化",01_因子設定!$B$15-O795,MIN(N795-01_因子設定!$B$14,01_因子設定!$B$15-O795))),-1E+030)</f>
        <v>-1.34209567933927</v>
      </c>
      <c r="R795" s="55" t="n">
        <f aca="false">IF(P795,IF(01_因子設定!$B$13="最大化",K795,IF(01_因子設定!$B$13="最小化",-K795,-ABS(K795-01_因子設定!$B$16))),-1E+030)</f>
        <v>46.6293153735632</v>
      </c>
      <c r="S795" s="55" t="n">
        <f aca="false">Q795+ROW()*0.000000001</f>
        <v>-1.34209488433927</v>
      </c>
      <c r="T795" s="55" t="n">
        <f aca="false">R795+ROW()*0.000000001</f>
        <v>46.6293161685632</v>
      </c>
    </row>
    <row r="796" customFormat="false" ht="15" hidden="false" customHeight="false" outlineLevel="0" collapsed="false">
      <c r="A796" s="0" t="n">
        <v>19</v>
      </c>
      <c r="B796" s="0" t="n">
        <v>12</v>
      </c>
      <c r="C796" s="0" t="n">
        <f aca="false">-1+A796*0.05</f>
        <v>-0.0499999999999999</v>
      </c>
      <c r="D796" s="0" t="n">
        <f aca="false">-1+B796*0.05</f>
        <v>-0.4</v>
      </c>
      <c r="E796" s="0" t="n">
        <f aca="false">1</f>
        <v>1</v>
      </c>
      <c r="F796" s="0" t="n">
        <f aca="false">C796</f>
        <v>-0.0499999999999999</v>
      </c>
      <c r="G796" s="0" t="n">
        <f aca="false">D796</f>
        <v>-0.4</v>
      </c>
      <c r="H796" s="0" t="n">
        <f aca="false">C796*D796</f>
        <v>0.02</v>
      </c>
      <c r="I796" s="0" t="n">
        <f aca="false">C796*C796</f>
        <v>0.00249999999999999</v>
      </c>
      <c r="J796" s="0" t="n">
        <f aca="false">D796*D796</f>
        <v>0.16</v>
      </c>
      <c r="K796" s="0" t="n">
        <f aca="false">SUMPRODUCT(E796:J796,_XtX!$B$53:$G$53)</f>
        <v>46.8060847701149</v>
      </c>
      <c r="L796" s="0" t="n">
        <f aca="false">SUMPRODUCT(MMULT(E796:J796,_XtX!$B$44:$G$49),E796:J796)</f>
        <v>0.175137320402299</v>
      </c>
      <c r="M796" s="0" t="n">
        <f aca="false">04_回帰ANOVA!$K$19*04_回帰ANOVA!$K$14*SQRT(1+L796)</f>
        <v>1.4689969084205</v>
      </c>
      <c r="N796" s="0" t="n">
        <f aca="false">K796-M796</f>
        <v>45.3370878616945</v>
      </c>
      <c r="O796" s="0" t="n">
        <f aca="false">K796+M796</f>
        <v>48.2750816785354</v>
      </c>
      <c r="P796" s="54" t="b">
        <f aca="false">AND(C796&gt;=01_因子設定!$L$5-0.000000001,C796&lt;=01_因子設定!$M$5+0.000000001,D796&gt;=01_因子設定!$L$6-0.000000001,D796&lt;=01_因子設定!$M$6+0.000000001,IF(01_因子設定!$B$20="Box-Behnken",C796^2+D796^2&lt;=2+0.000000001,TRUE()))</f>
        <v>1</v>
      </c>
      <c r="Q796" s="55" t="n">
        <f aca="false">IF(P796,IF(01_因子設定!$B$13="最大化",N796-01_因子設定!$B$14,IF(01_因子設定!$B$13="最小化",01_因子設定!$B$15-O796,MIN(N796-01_因子設定!$B$14,01_因子設定!$B$15-O796))),-1E+030)</f>
        <v>-1.16291213830555</v>
      </c>
      <c r="R796" s="55" t="n">
        <f aca="false">IF(P796,IF(01_因子設定!$B$13="最大化",K796,IF(01_因子設定!$B$13="最小化",-K796,-ABS(K796-01_因子設定!$B$16))),-1E+030)</f>
        <v>46.8060847701149</v>
      </c>
      <c r="S796" s="55" t="n">
        <f aca="false">Q796+ROW()*0.000000001</f>
        <v>-1.16291134230555</v>
      </c>
      <c r="T796" s="55" t="n">
        <f aca="false">R796+ROW()*0.000000001</f>
        <v>46.8060855661149</v>
      </c>
    </row>
    <row r="797" customFormat="false" ht="15" hidden="false" customHeight="false" outlineLevel="0" collapsed="false">
      <c r="A797" s="0" t="n">
        <v>19</v>
      </c>
      <c r="B797" s="0" t="n">
        <v>13</v>
      </c>
      <c r="C797" s="0" t="n">
        <f aca="false">-1+A797*0.05</f>
        <v>-0.0499999999999999</v>
      </c>
      <c r="D797" s="0" t="n">
        <f aca="false">-1+B797*0.05</f>
        <v>-0.35</v>
      </c>
      <c r="E797" s="0" t="n">
        <f aca="false">1</f>
        <v>1</v>
      </c>
      <c r="F797" s="0" t="n">
        <f aca="false">C797</f>
        <v>-0.0499999999999999</v>
      </c>
      <c r="G797" s="0" t="n">
        <f aca="false">D797</f>
        <v>-0.35</v>
      </c>
      <c r="H797" s="0" t="n">
        <f aca="false">C797*D797</f>
        <v>0.0175</v>
      </c>
      <c r="I797" s="0" t="n">
        <f aca="false">C797*C797</f>
        <v>0.00249999999999999</v>
      </c>
      <c r="J797" s="0" t="n">
        <f aca="false">D797*D797</f>
        <v>0.1225</v>
      </c>
      <c r="K797" s="0" t="n">
        <f aca="false">SUMPRODUCT(E797:J797,_XtX!$B$53:$G$53)</f>
        <v>46.9751386494253</v>
      </c>
      <c r="L797" s="0" t="n">
        <f aca="false">SUMPRODUCT(MMULT(E797:J797,_XtX!$B$44:$G$49),E797:J797)</f>
        <v>0.172812697557471</v>
      </c>
      <c r="M797" s="0" t="n">
        <f aca="false">04_回帰ANOVA!$K$19*04_回帰ANOVA!$K$14*SQRT(1+L797)</f>
        <v>1.46754322544161</v>
      </c>
      <c r="N797" s="0" t="n">
        <f aca="false">K797-M797</f>
        <v>45.5075954239837</v>
      </c>
      <c r="O797" s="0" t="n">
        <f aca="false">K797+M797</f>
        <v>48.4426818748669</v>
      </c>
      <c r="P797" s="54" t="b">
        <f aca="false">AND(C797&gt;=01_因子設定!$L$5-0.000000001,C797&lt;=01_因子設定!$M$5+0.000000001,D797&gt;=01_因子設定!$L$6-0.000000001,D797&lt;=01_因子設定!$M$6+0.000000001,IF(01_因子設定!$B$20="Box-Behnken",C797^2+D797^2&lt;=2+0.000000001,TRUE()))</f>
        <v>1</v>
      </c>
      <c r="Q797" s="55" t="n">
        <f aca="false">IF(P797,IF(01_因子設定!$B$13="最大化",N797-01_因子設定!$B$14,IF(01_因子設定!$B$13="最小化",01_因子設定!$B$15-O797,MIN(N797-01_因子設定!$B$14,01_因子設定!$B$15-O797))),-1E+030)</f>
        <v>-0.99240457601632</v>
      </c>
      <c r="R797" s="55" t="n">
        <f aca="false">IF(P797,IF(01_因子設定!$B$13="最大化",K797,IF(01_因子設定!$B$13="最小化",-K797,-ABS(K797-01_因子設定!$B$16))),-1E+030)</f>
        <v>46.9751386494253</v>
      </c>
      <c r="S797" s="55" t="n">
        <f aca="false">Q797+ROW()*0.000000001</f>
        <v>-0.99240377901632</v>
      </c>
      <c r="T797" s="55" t="n">
        <f aca="false">R797+ROW()*0.000000001</f>
        <v>46.9751394464253</v>
      </c>
    </row>
    <row r="798" customFormat="false" ht="15" hidden="false" customHeight="false" outlineLevel="0" collapsed="false">
      <c r="A798" s="0" t="n">
        <v>19</v>
      </c>
      <c r="B798" s="0" t="n">
        <v>14</v>
      </c>
      <c r="C798" s="0" t="n">
        <f aca="false">-1+A798*0.05</f>
        <v>-0.0499999999999999</v>
      </c>
      <c r="D798" s="0" t="n">
        <f aca="false">-1+B798*0.05</f>
        <v>-0.3</v>
      </c>
      <c r="E798" s="0" t="n">
        <f aca="false">1</f>
        <v>1</v>
      </c>
      <c r="F798" s="0" t="n">
        <f aca="false">C798</f>
        <v>-0.0499999999999999</v>
      </c>
      <c r="G798" s="0" t="n">
        <f aca="false">D798</f>
        <v>-0.3</v>
      </c>
      <c r="H798" s="0" t="n">
        <f aca="false">C798*D798</f>
        <v>0.015</v>
      </c>
      <c r="I798" s="0" t="n">
        <f aca="false">C798*C798</f>
        <v>0.00249999999999999</v>
      </c>
      <c r="J798" s="0" t="n">
        <f aca="false">D798*D798</f>
        <v>0.09</v>
      </c>
      <c r="K798" s="0" t="n">
        <f aca="false">SUMPRODUCT(E798:J798,_XtX!$B$53:$G$53)</f>
        <v>47.1364770114943</v>
      </c>
      <c r="L798" s="0" t="n">
        <f aca="false">SUMPRODUCT(MMULT(E798:J798,_XtX!$B$44:$G$49),E798:J798)</f>
        <v>0.171621731321839</v>
      </c>
      <c r="M798" s="0" t="n">
        <f aca="false">04_回帰ANOVA!$K$19*04_回帰ANOVA!$K$14*SQRT(1+L798)</f>
        <v>1.46679790678507</v>
      </c>
      <c r="N798" s="0" t="n">
        <f aca="false">K798-M798</f>
        <v>45.6696791047092</v>
      </c>
      <c r="O798" s="0" t="n">
        <f aca="false">K798+M798</f>
        <v>48.6032749182793</v>
      </c>
      <c r="P798" s="54" t="b">
        <f aca="false">AND(C798&gt;=01_因子設定!$L$5-0.000000001,C798&lt;=01_因子設定!$M$5+0.000000001,D798&gt;=01_因子設定!$L$6-0.000000001,D798&lt;=01_因子設定!$M$6+0.000000001,IF(01_因子設定!$B$20="Box-Behnken",C798^2+D798^2&lt;=2+0.000000001,TRUE()))</f>
        <v>1</v>
      </c>
      <c r="Q798" s="55" t="n">
        <f aca="false">IF(P798,IF(01_因子設定!$B$13="最大化",N798-01_因子設定!$B$14,IF(01_因子設定!$B$13="最小化",01_因子設定!$B$15-O798,MIN(N798-01_因子設定!$B$14,01_因子設定!$B$15-O798))),-1E+030)</f>
        <v>-0.830320895290818</v>
      </c>
      <c r="R798" s="55" t="n">
        <f aca="false">IF(P798,IF(01_因子設定!$B$13="最大化",K798,IF(01_因子設定!$B$13="最小化",-K798,-ABS(K798-01_因子設定!$B$16))),-1E+030)</f>
        <v>47.1364770114943</v>
      </c>
      <c r="S798" s="55" t="n">
        <f aca="false">Q798+ROW()*0.000000001</f>
        <v>-0.830320097290818</v>
      </c>
      <c r="T798" s="55" t="n">
        <f aca="false">R798+ROW()*0.000000001</f>
        <v>47.1364778094943</v>
      </c>
    </row>
    <row r="799" customFormat="false" ht="15" hidden="false" customHeight="false" outlineLevel="0" collapsed="false">
      <c r="A799" s="0" t="n">
        <v>19</v>
      </c>
      <c r="B799" s="0" t="n">
        <v>15</v>
      </c>
      <c r="C799" s="0" t="n">
        <f aca="false">-1+A799*0.05</f>
        <v>-0.0499999999999999</v>
      </c>
      <c r="D799" s="0" t="n">
        <f aca="false">-1+B799*0.05</f>
        <v>-0.25</v>
      </c>
      <c r="E799" s="0" t="n">
        <f aca="false">1</f>
        <v>1</v>
      </c>
      <c r="F799" s="0" t="n">
        <f aca="false">C799</f>
        <v>-0.0499999999999999</v>
      </c>
      <c r="G799" s="0" t="n">
        <f aca="false">D799</f>
        <v>-0.25</v>
      </c>
      <c r="H799" s="0" t="n">
        <f aca="false">C799*D799</f>
        <v>0.0125</v>
      </c>
      <c r="I799" s="0" t="n">
        <f aca="false">C799*C799</f>
        <v>0.00249999999999999</v>
      </c>
      <c r="J799" s="0" t="n">
        <f aca="false">D799*D799</f>
        <v>0.0625</v>
      </c>
      <c r="K799" s="0" t="n">
        <f aca="false">SUMPRODUCT(E799:J799,_XtX!$B$53:$G$53)</f>
        <v>47.2900998563218</v>
      </c>
      <c r="L799" s="0" t="n">
        <f aca="false">SUMPRODUCT(MMULT(E799:J799,_XtX!$B$44:$G$49),E799:J799)</f>
        <v>0.171211404454023</v>
      </c>
      <c r="M799" s="0" t="n">
        <f aca="false">04_回帰ANOVA!$K$19*04_回帰ANOVA!$K$14*SQRT(1+L799)</f>
        <v>1.46654103236879</v>
      </c>
      <c r="N799" s="0" t="n">
        <f aca="false">K799-M799</f>
        <v>45.8235588239531</v>
      </c>
      <c r="O799" s="0" t="n">
        <f aca="false">K799+M799</f>
        <v>48.7566408886906</v>
      </c>
      <c r="P799" s="54" t="b">
        <f aca="false">AND(C799&gt;=01_因子設定!$L$5-0.000000001,C799&lt;=01_因子設定!$M$5+0.000000001,D799&gt;=01_因子設定!$L$6-0.000000001,D799&lt;=01_因子設定!$M$6+0.000000001,IF(01_因子設定!$B$20="Box-Behnken",C799^2+D799^2&lt;=2+0.000000001,TRUE()))</f>
        <v>1</v>
      </c>
      <c r="Q799" s="55" t="n">
        <f aca="false">IF(P799,IF(01_因子設定!$B$13="最大化",N799-01_因子設定!$B$14,IF(01_因子設定!$B$13="最小化",01_因子設定!$B$15-O799,MIN(N799-01_因子設定!$B$14,01_因子設定!$B$15-O799))),-1E+030)</f>
        <v>-0.67644117604695</v>
      </c>
      <c r="R799" s="55" t="n">
        <f aca="false">IF(P799,IF(01_因子設定!$B$13="最大化",K799,IF(01_因子設定!$B$13="最小化",-K799,-ABS(K799-01_因子設定!$B$16))),-1E+030)</f>
        <v>47.2900998563218</v>
      </c>
      <c r="S799" s="55" t="n">
        <f aca="false">Q799+ROW()*0.000000001</f>
        <v>-0.67644037704695</v>
      </c>
      <c r="T799" s="55" t="n">
        <f aca="false">R799+ROW()*0.000000001</f>
        <v>47.2901006553218</v>
      </c>
    </row>
    <row r="800" customFormat="false" ht="15" hidden="false" customHeight="false" outlineLevel="0" collapsed="false">
      <c r="A800" s="0" t="n">
        <v>19</v>
      </c>
      <c r="B800" s="0" t="n">
        <v>16</v>
      </c>
      <c r="C800" s="0" t="n">
        <f aca="false">-1+A800*0.05</f>
        <v>-0.0499999999999999</v>
      </c>
      <c r="D800" s="0" t="n">
        <f aca="false">-1+B800*0.05</f>
        <v>-0.2</v>
      </c>
      <c r="E800" s="0" t="n">
        <f aca="false">1</f>
        <v>1</v>
      </c>
      <c r="F800" s="0" t="n">
        <f aca="false">C800</f>
        <v>-0.0499999999999999</v>
      </c>
      <c r="G800" s="0" t="n">
        <f aca="false">D800</f>
        <v>-0.2</v>
      </c>
      <c r="H800" s="0" t="n">
        <f aca="false">C800*D800</f>
        <v>0.00999999999999999</v>
      </c>
      <c r="I800" s="0" t="n">
        <f aca="false">C800*C800</f>
        <v>0.00249999999999999</v>
      </c>
      <c r="J800" s="0" t="n">
        <f aca="false">D800*D800</f>
        <v>0.04</v>
      </c>
      <c r="K800" s="0" t="n">
        <f aca="false">SUMPRODUCT(E800:J800,_XtX!$B$53:$G$53)</f>
        <v>47.436007183908</v>
      </c>
      <c r="L800" s="0" t="n">
        <f aca="false">SUMPRODUCT(MMULT(E800:J800,_XtX!$B$44:$G$49),E800:J800)</f>
        <v>0.171283010057471</v>
      </c>
      <c r="M800" s="0" t="n">
        <f aca="false">04_回帰ANOVA!$K$19*04_回帰ANOVA!$K$14*SQRT(1+L800)</f>
        <v>1.46658586242687</v>
      </c>
      <c r="N800" s="0" t="n">
        <f aca="false">K800-M800</f>
        <v>45.9694213214812</v>
      </c>
      <c r="O800" s="0" t="n">
        <f aca="false">K800+M800</f>
        <v>48.9025930463349</v>
      </c>
      <c r="P800" s="54" t="b">
        <f aca="false">AND(C800&gt;=01_因子設定!$L$5-0.000000001,C800&lt;=01_因子設定!$M$5+0.000000001,D800&gt;=01_因子設定!$L$6-0.000000001,D800&lt;=01_因子設定!$M$6+0.000000001,IF(01_因子設定!$B$20="Box-Behnken",C800^2+D800^2&lt;=2+0.000000001,TRUE()))</f>
        <v>1</v>
      </c>
      <c r="Q800" s="55" t="n">
        <f aca="false">IF(P800,IF(01_因子設定!$B$13="最大化",N800-01_因子設定!$B$14,IF(01_因子設定!$B$13="最小化",01_因子設定!$B$15-O800,MIN(N800-01_因子設定!$B$14,01_因子設定!$B$15-O800))),-1E+030)</f>
        <v>-0.530578678518829</v>
      </c>
      <c r="R800" s="55" t="n">
        <f aca="false">IF(P800,IF(01_因子設定!$B$13="最大化",K800,IF(01_因子設定!$B$13="最小化",-K800,-ABS(K800-01_因子設定!$B$16))),-1E+030)</f>
        <v>47.436007183908</v>
      </c>
      <c r="S800" s="55" t="n">
        <f aca="false">Q800+ROW()*0.000000001</f>
        <v>-0.530577878518829</v>
      </c>
      <c r="T800" s="55" t="n">
        <f aca="false">R800+ROW()*0.000000001</f>
        <v>47.4360079839081</v>
      </c>
    </row>
    <row r="801" customFormat="false" ht="15" hidden="false" customHeight="false" outlineLevel="0" collapsed="false">
      <c r="A801" s="0" t="n">
        <v>19</v>
      </c>
      <c r="B801" s="0" t="n">
        <v>17</v>
      </c>
      <c r="C801" s="0" t="n">
        <f aca="false">-1+A801*0.05</f>
        <v>-0.0499999999999999</v>
      </c>
      <c r="D801" s="0" t="n">
        <f aca="false">-1+B801*0.05</f>
        <v>-0.15</v>
      </c>
      <c r="E801" s="0" t="n">
        <f aca="false">1</f>
        <v>1</v>
      </c>
      <c r="F801" s="0" t="n">
        <f aca="false">C801</f>
        <v>-0.0499999999999999</v>
      </c>
      <c r="G801" s="0" t="n">
        <f aca="false">D801</f>
        <v>-0.15</v>
      </c>
      <c r="H801" s="0" t="n">
        <f aca="false">C801*D801</f>
        <v>0.00749999999999999</v>
      </c>
      <c r="I801" s="0" t="n">
        <f aca="false">C801*C801</f>
        <v>0.00249999999999999</v>
      </c>
      <c r="J801" s="0" t="n">
        <f aca="false">D801*D801</f>
        <v>0.0225</v>
      </c>
      <c r="K801" s="0" t="n">
        <f aca="false">SUMPRODUCT(E801:J801,_XtX!$B$53:$G$53)</f>
        <v>47.5741989942529</v>
      </c>
      <c r="L801" s="0" t="n">
        <f aca="false">SUMPRODUCT(MMULT(E801:J801,_XtX!$B$44:$G$49),E801:J801)</f>
        <v>0.17159215158046</v>
      </c>
      <c r="M801" s="0" t="n">
        <f aca="false">04_回帰ANOVA!$K$19*04_回帰ANOVA!$K$14*SQRT(1+L801)</f>
        <v>1.4667793906653</v>
      </c>
      <c r="N801" s="0" t="n">
        <f aca="false">K801-M801</f>
        <v>46.1074196035876</v>
      </c>
      <c r="O801" s="0" t="n">
        <f aca="false">K801+M801</f>
        <v>49.0409783849182</v>
      </c>
      <c r="P801" s="54" t="b">
        <f aca="false">AND(C801&gt;=01_因子設定!$L$5-0.000000001,C801&lt;=01_因子設定!$M$5+0.000000001,D801&gt;=01_因子設定!$L$6-0.000000001,D801&lt;=01_因子設定!$M$6+0.000000001,IF(01_因子設定!$B$20="Box-Behnken",C801^2+D801^2&lt;=2+0.000000001,TRUE()))</f>
        <v>1</v>
      </c>
      <c r="Q801" s="55" t="n">
        <f aca="false">IF(P801,IF(01_因子設定!$B$13="最大化",N801-01_因子設定!$B$14,IF(01_因子設定!$B$13="最小化",01_因子設定!$B$15-O801,MIN(N801-01_因子設定!$B$14,01_因子設定!$B$15-O801))),-1E+030)</f>
        <v>-0.392580396412427</v>
      </c>
      <c r="R801" s="55" t="n">
        <f aca="false">IF(P801,IF(01_因子設定!$B$13="最大化",K801,IF(01_因子設定!$B$13="最小化",-K801,-ABS(K801-01_因子設定!$B$16))),-1E+030)</f>
        <v>47.5741989942529</v>
      </c>
      <c r="S801" s="55" t="n">
        <f aca="false">Q801+ROW()*0.000000001</f>
        <v>-0.392579595412427</v>
      </c>
      <c r="T801" s="55" t="n">
        <f aca="false">R801+ROW()*0.000000001</f>
        <v>47.5741997952529</v>
      </c>
    </row>
    <row r="802" customFormat="false" ht="15" hidden="false" customHeight="false" outlineLevel="0" collapsed="false">
      <c r="A802" s="0" t="n">
        <v>19</v>
      </c>
      <c r="B802" s="0" t="n">
        <v>18</v>
      </c>
      <c r="C802" s="0" t="n">
        <f aca="false">-1+A802*0.05</f>
        <v>-0.0499999999999999</v>
      </c>
      <c r="D802" s="0" t="n">
        <f aca="false">-1+B802*0.05</f>
        <v>-0.1</v>
      </c>
      <c r="E802" s="0" t="n">
        <f aca="false">1</f>
        <v>1</v>
      </c>
      <c r="F802" s="0" t="n">
        <f aca="false">C802</f>
        <v>-0.0499999999999999</v>
      </c>
      <c r="G802" s="0" t="n">
        <f aca="false">D802</f>
        <v>-0.1</v>
      </c>
      <c r="H802" s="0" t="n">
        <f aca="false">C802*D802</f>
        <v>0.00499999999999999</v>
      </c>
      <c r="I802" s="0" t="n">
        <f aca="false">C802*C802</f>
        <v>0.00249999999999999</v>
      </c>
      <c r="J802" s="0" t="n">
        <f aca="false">D802*D802</f>
        <v>0.01</v>
      </c>
      <c r="K802" s="0" t="n">
        <f aca="false">SUMPRODUCT(E802:J802,_XtX!$B$53:$G$53)</f>
        <v>47.7046752873563</v>
      </c>
      <c r="L802" s="0" t="n">
        <f aca="false">SUMPRODUCT(MMULT(E802:J802,_XtX!$B$44:$G$49),E802:J802)</f>
        <v>0.171948742816092</v>
      </c>
      <c r="M802" s="0" t="n">
        <f aca="false">04_回帰ANOVA!$K$19*04_回帰ANOVA!$K$14*SQRT(1+L802)</f>
        <v>1.46700259158121</v>
      </c>
      <c r="N802" s="0" t="n">
        <f aca="false">K802-M802</f>
        <v>46.2376726957751</v>
      </c>
      <c r="O802" s="0" t="n">
        <f aca="false">K802+M802</f>
        <v>49.1716778789375</v>
      </c>
      <c r="P802" s="54" t="b">
        <f aca="false">AND(C802&gt;=01_因子設定!$L$5-0.000000001,C802&lt;=01_因子設定!$M$5+0.000000001,D802&gt;=01_因子設定!$L$6-0.000000001,D802&lt;=01_因子設定!$M$6+0.000000001,IF(01_因子設定!$B$20="Box-Behnken",C802^2+D802^2&lt;=2+0.000000001,TRUE()))</f>
        <v>1</v>
      </c>
      <c r="Q802" s="55" t="n">
        <f aca="false">IF(P802,IF(01_因子設定!$B$13="最大化",N802-01_因子設定!$B$14,IF(01_因子設定!$B$13="最小化",01_因子設定!$B$15-O802,MIN(N802-01_因子設定!$B$14,01_因子設定!$B$15-O802))),-1E+030)</f>
        <v>-0.262327304224883</v>
      </c>
      <c r="R802" s="55" t="n">
        <f aca="false">IF(P802,IF(01_因子設定!$B$13="最大化",K802,IF(01_因子設定!$B$13="最小化",-K802,-ABS(K802-01_因子設定!$B$16))),-1E+030)</f>
        <v>47.7046752873563</v>
      </c>
      <c r="S802" s="55" t="n">
        <f aca="false">Q802+ROW()*0.000000001</f>
        <v>-0.262326502224883</v>
      </c>
      <c r="T802" s="55" t="n">
        <f aca="false">R802+ROW()*0.000000001</f>
        <v>47.7046760893563</v>
      </c>
    </row>
    <row r="803" customFormat="false" ht="15" hidden="false" customHeight="false" outlineLevel="0" collapsed="false">
      <c r="A803" s="0" t="n">
        <v>19</v>
      </c>
      <c r="B803" s="0" t="n">
        <v>19</v>
      </c>
      <c r="C803" s="0" t="n">
        <f aca="false">-1+A803*0.05</f>
        <v>-0.0499999999999999</v>
      </c>
      <c r="D803" s="0" t="n">
        <f aca="false">-1+B803*0.05</f>
        <v>-0.0499999999999999</v>
      </c>
      <c r="E803" s="0" t="n">
        <f aca="false">1</f>
        <v>1</v>
      </c>
      <c r="F803" s="0" t="n">
        <f aca="false">C803</f>
        <v>-0.0499999999999999</v>
      </c>
      <c r="G803" s="0" t="n">
        <f aca="false">D803</f>
        <v>-0.0499999999999999</v>
      </c>
      <c r="H803" s="0" t="n">
        <f aca="false">C803*D803</f>
        <v>0.00249999999999999</v>
      </c>
      <c r="I803" s="0" t="n">
        <f aca="false">C803*C803</f>
        <v>0.00249999999999999</v>
      </c>
      <c r="J803" s="0" t="n">
        <f aca="false">D803*D803</f>
        <v>0.00249999999999999</v>
      </c>
      <c r="K803" s="0" t="n">
        <f aca="false">SUMPRODUCT(E803:J803,_XtX!$B$53:$G$53)</f>
        <v>47.8274360632184</v>
      </c>
      <c r="L803" s="0" t="n">
        <f aca="false">SUMPRODUCT(MMULT(E803:J803,_XtX!$B$44:$G$49),E803:J803)</f>
        <v>0.172217007902299</v>
      </c>
      <c r="M803" s="0" t="n">
        <f aca="false">04_回帰ANOVA!$K$19*04_回帰ANOVA!$K$14*SQRT(1+L803)</f>
        <v>1.46717048418766</v>
      </c>
      <c r="N803" s="0" t="n">
        <f aca="false">K803-M803</f>
        <v>46.3602655790307</v>
      </c>
      <c r="O803" s="0" t="n">
        <f aca="false">K803+M803</f>
        <v>49.2946065474061</v>
      </c>
      <c r="P803" s="54" t="b">
        <f aca="false">AND(C803&gt;=01_因子設定!$L$5-0.000000001,C803&lt;=01_因子設定!$M$5+0.000000001,D803&gt;=01_因子設定!$L$6-0.000000001,D803&lt;=01_因子設定!$M$6+0.000000001,IF(01_因子設定!$B$20="Box-Behnken",C803^2+D803^2&lt;=2+0.000000001,TRUE()))</f>
        <v>1</v>
      </c>
      <c r="Q803" s="55" t="n">
        <f aca="false">IF(P803,IF(01_因子設定!$B$13="最大化",N803-01_因子設定!$B$14,IF(01_因子設定!$B$13="最小化",01_因子設定!$B$15-O803,MIN(N803-01_因子設定!$B$14,01_因子設定!$B$15-O803))),-1E+030)</f>
        <v>-0.139734420969269</v>
      </c>
      <c r="R803" s="55" t="n">
        <f aca="false">IF(P803,IF(01_因子設定!$B$13="最大化",K803,IF(01_因子設定!$B$13="最小化",-K803,-ABS(K803-01_因子設定!$B$16))),-1E+030)</f>
        <v>47.8274360632184</v>
      </c>
      <c r="S803" s="55" t="n">
        <f aca="false">Q803+ROW()*0.000000001</f>
        <v>-0.139733617969269</v>
      </c>
      <c r="T803" s="55" t="n">
        <f aca="false">R803+ROW()*0.000000001</f>
        <v>47.8274368662184</v>
      </c>
    </row>
    <row r="804" customFormat="false" ht="15" hidden="false" customHeight="false" outlineLevel="0" collapsed="false">
      <c r="A804" s="0" t="n">
        <v>19</v>
      </c>
      <c r="B804" s="0" t="n">
        <v>20</v>
      </c>
      <c r="C804" s="0" t="n">
        <f aca="false">-1+A804*0.05</f>
        <v>-0.0499999999999999</v>
      </c>
      <c r="D804" s="0" t="n">
        <f aca="false">-1+B804*0.05</f>
        <v>0</v>
      </c>
      <c r="E804" s="0" t="n">
        <f aca="false">1</f>
        <v>1</v>
      </c>
      <c r="F804" s="0" t="n">
        <f aca="false">C804</f>
        <v>-0.0499999999999999</v>
      </c>
      <c r="G804" s="0" t="n">
        <f aca="false">D804</f>
        <v>0</v>
      </c>
      <c r="H804" s="0" t="n">
        <f aca="false">C804*D804</f>
        <v>-0</v>
      </c>
      <c r="I804" s="0" t="n">
        <f aca="false">C804*C804</f>
        <v>0.00249999999999999</v>
      </c>
      <c r="J804" s="0" t="n">
        <f aca="false">D804*D804</f>
        <v>0</v>
      </c>
      <c r="K804" s="0" t="n">
        <f aca="false">SUMPRODUCT(E804:J804,_XtX!$B$53:$G$53)</f>
        <v>47.9424813218391</v>
      </c>
      <c r="L804" s="0" t="n">
        <f aca="false">SUMPRODUCT(MMULT(E804:J804,_XtX!$B$44:$G$49),E804:J804)</f>
        <v>0.172315481321839</v>
      </c>
      <c r="M804" s="0" t="n">
        <f aca="false">04_回帰ANOVA!$K$19*04_回帰ANOVA!$K$14*SQRT(1+L804)</f>
        <v>1.46723210855394</v>
      </c>
      <c r="N804" s="0" t="n">
        <f aca="false">K804-M804</f>
        <v>46.4752492132851</v>
      </c>
      <c r="O804" s="0" t="n">
        <f aca="false">K804+M804</f>
        <v>49.409713430393</v>
      </c>
      <c r="P804" s="54" t="b">
        <f aca="false">AND(C804&gt;=01_因子設定!$L$5-0.000000001,C804&lt;=01_因子設定!$M$5+0.000000001,D804&gt;=01_因子設定!$L$6-0.000000001,D804&lt;=01_因子設定!$M$6+0.000000001,IF(01_因子設定!$B$20="Box-Behnken",C804^2+D804^2&lt;=2+0.000000001,TRUE()))</f>
        <v>1</v>
      </c>
      <c r="Q804" s="55" t="n">
        <f aca="false">IF(P804,IF(01_因子設定!$B$13="最大化",N804-01_因子設定!$B$14,IF(01_因子設定!$B$13="最小化",01_因子設定!$B$15-O804,MIN(N804-01_因子設定!$B$14,01_因子設定!$B$15-O804))),-1E+030)</f>
        <v>-0.0247507867148542</v>
      </c>
      <c r="R804" s="55" t="n">
        <f aca="false">IF(P804,IF(01_因子設定!$B$13="最大化",K804,IF(01_因子設定!$B$13="最小化",-K804,-ABS(K804-01_因子設定!$B$16))),-1E+030)</f>
        <v>47.9424813218391</v>
      </c>
      <c r="S804" s="55" t="n">
        <f aca="false">Q804+ROW()*0.000000001</f>
        <v>-0.0247499827148542</v>
      </c>
      <c r="T804" s="55" t="n">
        <f aca="false">R804+ROW()*0.000000001</f>
        <v>47.9424821258391</v>
      </c>
    </row>
    <row r="805" customFormat="false" ht="15" hidden="false" customHeight="false" outlineLevel="0" collapsed="false">
      <c r="A805" s="0" t="n">
        <v>19</v>
      </c>
      <c r="B805" s="0" t="n">
        <v>21</v>
      </c>
      <c r="C805" s="0" t="n">
        <f aca="false">-1+A805*0.05</f>
        <v>-0.0499999999999999</v>
      </c>
      <c r="D805" s="0" t="n">
        <f aca="false">-1+B805*0.05</f>
        <v>0.05</v>
      </c>
      <c r="E805" s="0" t="n">
        <f aca="false">1</f>
        <v>1</v>
      </c>
      <c r="F805" s="0" t="n">
        <f aca="false">C805</f>
        <v>-0.0499999999999999</v>
      </c>
      <c r="G805" s="0" t="n">
        <f aca="false">D805</f>
        <v>0.05</v>
      </c>
      <c r="H805" s="0" t="n">
        <f aca="false">C805*D805</f>
        <v>-0.0025</v>
      </c>
      <c r="I805" s="0" t="n">
        <f aca="false">C805*C805</f>
        <v>0.00249999999999999</v>
      </c>
      <c r="J805" s="0" t="n">
        <f aca="false">D805*D805</f>
        <v>0.0025</v>
      </c>
      <c r="K805" s="0" t="n">
        <f aca="false">SUMPRODUCT(E805:J805,_XtX!$B$53:$G$53)</f>
        <v>48.0498110632184</v>
      </c>
      <c r="L805" s="0" t="n">
        <f aca="false">SUMPRODUCT(MMULT(E805:J805,_XtX!$B$44:$G$49),E805:J805)</f>
        <v>0.172217007902299</v>
      </c>
      <c r="M805" s="0" t="n">
        <f aca="false">04_回帰ANOVA!$K$19*04_回帰ANOVA!$K$14*SQRT(1+L805)</f>
        <v>1.46717048418766</v>
      </c>
      <c r="N805" s="0" t="n">
        <f aca="false">K805-M805</f>
        <v>46.5826405790307</v>
      </c>
      <c r="O805" s="0" t="n">
        <f aca="false">K805+M805</f>
        <v>49.5169815474061</v>
      </c>
      <c r="P805" s="54" t="b">
        <f aca="false">AND(C805&gt;=01_因子設定!$L$5-0.000000001,C805&lt;=01_因子設定!$M$5+0.000000001,D805&gt;=01_因子設定!$L$6-0.000000001,D805&lt;=01_因子設定!$M$6+0.000000001,IF(01_因子設定!$B$20="Box-Behnken",C805^2+D805^2&lt;=2+0.000000001,TRUE()))</f>
        <v>1</v>
      </c>
      <c r="Q805" s="55" t="n">
        <f aca="false">IF(P805,IF(01_因子設定!$B$13="最大化",N805-01_因子設定!$B$14,IF(01_因子設定!$B$13="最小化",01_因子設定!$B$15-O805,MIN(N805-01_因子設定!$B$14,01_因子設定!$B$15-O805))),-1E+030)</f>
        <v>0.0826405790307305</v>
      </c>
      <c r="R805" s="55" t="n">
        <f aca="false">IF(P805,IF(01_因子設定!$B$13="最大化",K805,IF(01_因子設定!$B$13="最小化",-K805,-ABS(K805-01_因子設定!$B$16))),-1E+030)</f>
        <v>48.0498110632184</v>
      </c>
      <c r="S805" s="55" t="n">
        <f aca="false">Q805+ROW()*0.000000001</f>
        <v>0.0826413840307305</v>
      </c>
      <c r="T805" s="55" t="n">
        <f aca="false">R805+ROW()*0.000000001</f>
        <v>48.0498118682184</v>
      </c>
    </row>
    <row r="806" customFormat="false" ht="15" hidden="false" customHeight="false" outlineLevel="0" collapsed="false">
      <c r="A806" s="0" t="n">
        <v>19</v>
      </c>
      <c r="B806" s="0" t="n">
        <v>22</v>
      </c>
      <c r="C806" s="0" t="n">
        <f aca="false">-1+A806*0.05</f>
        <v>-0.0499999999999999</v>
      </c>
      <c r="D806" s="0" t="n">
        <f aca="false">-1+B806*0.05</f>
        <v>0.1</v>
      </c>
      <c r="E806" s="0" t="n">
        <f aca="false">1</f>
        <v>1</v>
      </c>
      <c r="F806" s="0" t="n">
        <f aca="false">C806</f>
        <v>-0.0499999999999999</v>
      </c>
      <c r="G806" s="0" t="n">
        <f aca="false">D806</f>
        <v>0.1</v>
      </c>
      <c r="H806" s="0" t="n">
        <f aca="false">C806*D806</f>
        <v>-0.005</v>
      </c>
      <c r="I806" s="0" t="n">
        <f aca="false">C806*C806</f>
        <v>0.00249999999999999</v>
      </c>
      <c r="J806" s="0" t="n">
        <f aca="false">D806*D806</f>
        <v>0.01</v>
      </c>
      <c r="K806" s="0" t="n">
        <f aca="false">SUMPRODUCT(E806:J806,_XtX!$B$53:$G$53)</f>
        <v>48.1494252873563</v>
      </c>
      <c r="L806" s="0" t="n">
        <f aca="false">SUMPRODUCT(MMULT(E806:J806,_XtX!$B$44:$G$49),E806:J806)</f>
        <v>0.171948742816092</v>
      </c>
      <c r="M806" s="0" t="n">
        <f aca="false">04_回帰ANOVA!$K$19*04_回帰ANOVA!$K$14*SQRT(1+L806)</f>
        <v>1.46700259158121</v>
      </c>
      <c r="N806" s="0" t="n">
        <f aca="false">K806-M806</f>
        <v>46.6824226957751</v>
      </c>
      <c r="O806" s="0" t="n">
        <f aca="false">K806+M806</f>
        <v>49.6164278789375</v>
      </c>
      <c r="P806" s="54" t="b">
        <f aca="false">AND(C806&gt;=01_因子設定!$L$5-0.000000001,C806&lt;=01_因子設定!$M$5+0.000000001,D806&gt;=01_因子設定!$L$6-0.000000001,D806&lt;=01_因子設定!$M$6+0.000000001,IF(01_因子設定!$B$20="Box-Behnken",C806^2+D806^2&lt;=2+0.000000001,TRUE()))</f>
        <v>1</v>
      </c>
      <c r="Q806" s="55" t="n">
        <f aca="false">IF(P806,IF(01_因子設定!$B$13="最大化",N806-01_因子設定!$B$14,IF(01_因子設定!$B$13="最小化",01_因子設定!$B$15-O806,MIN(N806-01_因子設定!$B$14,01_因子設定!$B$15-O806))),-1E+030)</f>
        <v>0.182422695775117</v>
      </c>
      <c r="R806" s="55" t="n">
        <f aca="false">IF(P806,IF(01_因子設定!$B$13="最大化",K806,IF(01_因子設定!$B$13="最小化",-K806,-ABS(K806-01_因子設定!$B$16))),-1E+030)</f>
        <v>48.1494252873563</v>
      </c>
      <c r="S806" s="55" t="n">
        <f aca="false">Q806+ROW()*0.000000001</f>
        <v>0.182423501775117</v>
      </c>
      <c r="T806" s="55" t="n">
        <f aca="false">R806+ROW()*0.000000001</f>
        <v>48.1494260933563</v>
      </c>
    </row>
    <row r="807" customFormat="false" ht="15" hidden="false" customHeight="false" outlineLevel="0" collapsed="false">
      <c r="A807" s="0" t="n">
        <v>19</v>
      </c>
      <c r="B807" s="0" t="n">
        <v>23</v>
      </c>
      <c r="C807" s="0" t="n">
        <f aca="false">-1+A807*0.05</f>
        <v>-0.0499999999999999</v>
      </c>
      <c r="D807" s="0" t="n">
        <f aca="false">-1+B807*0.05</f>
        <v>0.15</v>
      </c>
      <c r="E807" s="0" t="n">
        <f aca="false">1</f>
        <v>1</v>
      </c>
      <c r="F807" s="0" t="n">
        <f aca="false">C807</f>
        <v>-0.0499999999999999</v>
      </c>
      <c r="G807" s="0" t="n">
        <f aca="false">D807</f>
        <v>0.15</v>
      </c>
      <c r="H807" s="0" t="n">
        <f aca="false">C807*D807</f>
        <v>-0.0075</v>
      </c>
      <c r="I807" s="0" t="n">
        <f aca="false">C807*C807</f>
        <v>0.00249999999999999</v>
      </c>
      <c r="J807" s="0" t="n">
        <f aca="false">D807*D807</f>
        <v>0.0225</v>
      </c>
      <c r="K807" s="0" t="n">
        <f aca="false">SUMPRODUCT(E807:J807,_XtX!$B$53:$G$53)</f>
        <v>48.2413239942529</v>
      </c>
      <c r="L807" s="0" t="n">
        <f aca="false">SUMPRODUCT(MMULT(E807:J807,_XtX!$B$44:$G$49),E807:J807)</f>
        <v>0.17159215158046</v>
      </c>
      <c r="M807" s="0" t="n">
        <f aca="false">04_回帰ANOVA!$K$19*04_回帰ANOVA!$K$14*SQRT(1+L807)</f>
        <v>1.4667793906653</v>
      </c>
      <c r="N807" s="0" t="n">
        <f aca="false">K807-M807</f>
        <v>46.7745446035876</v>
      </c>
      <c r="O807" s="0" t="n">
        <f aca="false">K807+M807</f>
        <v>49.7081033849182</v>
      </c>
      <c r="P807" s="54" t="b">
        <f aca="false">AND(C807&gt;=01_因子設定!$L$5-0.000000001,C807&lt;=01_因子設定!$M$5+0.000000001,D807&gt;=01_因子設定!$L$6-0.000000001,D807&lt;=01_因子設定!$M$6+0.000000001,IF(01_因子設定!$B$20="Box-Behnken",C807^2+D807^2&lt;=2+0.000000001,TRUE()))</f>
        <v>1</v>
      </c>
      <c r="Q807" s="55" t="n">
        <f aca="false">IF(P807,IF(01_因子設定!$B$13="最大化",N807-01_因子設定!$B$14,IF(01_因子設定!$B$13="最小化",01_因子設定!$B$15-O807,MIN(N807-01_因子設定!$B$14,01_因子設定!$B$15-O807))),-1E+030)</f>
        <v>0.274544603587572</v>
      </c>
      <c r="R807" s="55" t="n">
        <f aca="false">IF(P807,IF(01_因子設定!$B$13="最大化",K807,IF(01_因子設定!$B$13="最小化",-K807,-ABS(K807-01_因子設定!$B$16))),-1E+030)</f>
        <v>48.2413239942529</v>
      </c>
      <c r="S807" s="55" t="n">
        <f aca="false">Q807+ROW()*0.000000001</f>
        <v>0.274545410587572</v>
      </c>
      <c r="T807" s="55" t="n">
        <f aca="false">R807+ROW()*0.000000001</f>
        <v>48.2413248012529</v>
      </c>
    </row>
    <row r="808" customFormat="false" ht="15" hidden="false" customHeight="false" outlineLevel="0" collapsed="false">
      <c r="A808" s="0" t="n">
        <v>19</v>
      </c>
      <c r="B808" s="0" t="n">
        <v>24</v>
      </c>
      <c r="C808" s="0" t="n">
        <f aca="false">-1+A808*0.05</f>
        <v>-0.0499999999999999</v>
      </c>
      <c r="D808" s="0" t="n">
        <f aca="false">-1+B808*0.05</f>
        <v>0.2</v>
      </c>
      <c r="E808" s="0" t="n">
        <f aca="false">1</f>
        <v>1</v>
      </c>
      <c r="F808" s="0" t="n">
        <f aca="false">C808</f>
        <v>-0.0499999999999999</v>
      </c>
      <c r="G808" s="0" t="n">
        <f aca="false">D808</f>
        <v>0.2</v>
      </c>
      <c r="H808" s="0" t="n">
        <f aca="false">C808*D808</f>
        <v>-0.01</v>
      </c>
      <c r="I808" s="0" t="n">
        <f aca="false">C808*C808</f>
        <v>0.00249999999999999</v>
      </c>
      <c r="J808" s="0" t="n">
        <f aca="false">D808*D808</f>
        <v>0.0400000000000001</v>
      </c>
      <c r="K808" s="0" t="n">
        <f aca="false">SUMPRODUCT(E808:J808,_XtX!$B$53:$G$53)</f>
        <v>48.325507183908</v>
      </c>
      <c r="L808" s="0" t="n">
        <f aca="false">SUMPRODUCT(MMULT(E808:J808,_XtX!$B$44:$G$49),E808:J808)</f>
        <v>0.171283010057471</v>
      </c>
      <c r="M808" s="0" t="n">
        <f aca="false">04_回帰ANOVA!$K$19*04_回帰ANOVA!$K$14*SQRT(1+L808)</f>
        <v>1.46658586242687</v>
      </c>
      <c r="N808" s="0" t="n">
        <f aca="false">K808-M808</f>
        <v>46.8589213214812</v>
      </c>
      <c r="O808" s="0" t="n">
        <f aca="false">K808+M808</f>
        <v>49.7920930463349</v>
      </c>
      <c r="P808" s="54" t="b">
        <f aca="false">AND(C808&gt;=01_因子設定!$L$5-0.000000001,C808&lt;=01_因子設定!$M$5+0.000000001,D808&gt;=01_因子設定!$L$6-0.000000001,D808&lt;=01_因子設定!$M$6+0.000000001,IF(01_因子設定!$B$20="Box-Behnken",C808^2+D808^2&lt;=2+0.000000001,TRUE()))</f>
        <v>1</v>
      </c>
      <c r="Q808" s="55" t="n">
        <f aca="false">IF(P808,IF(01_因子設定!$B$13="最大化",N808-01_因子設定!$B$14,IF(01_因子設定!$B$13="最小化",01_因子設定!$B$15-O808,MIN(N808-01_因子設定!$B$14,01_因子設定!$B$15-O808))),-1E+030)</f>
        <v>0.358921321481169</v>
      </c>
      <c r="R808" s="55" t="n">
        <f aca="false">IF(P808,IF(01_因子設定!$B$13="最大化",K808,IF(01_因子設定!$B$13="最小化",-K808,-ABS(K808-01_因子設定!$B$16))),-1E+030)</f>
        <v>48.325507183908</v>
      </c>
      <c r="S808" s="55" t="n">
        <f aca="false">Q808+ROW()*0.000000001</f>
        <v>0.358922129481169</v>
      </c>
      <c r="T808" s="55" t="n">
        <f aca="false">R808+ROW()*0.000000001</f>
        <v>48.3255079919081</v>
      </c>
    </row>
    <row r="809" customFormat="false" ht="15" hidden="false" customHeight="false" outlineLevel="0" collapsed="false">
      <c r="A809" s="0" t="n">
        <v>19</v>
      </c>
      <c r="B809" s="0" t="n">
        <v>25</v>
      </c>
      <c r="C809" s="0" t="n">
        <f aca="false">-1+A809*0.05</f>
        <v>-0.0499999999999999</v>
      </c>
      <c r="D809" s="0" t="n">
        <f aca="false">-1+B809*0.05</f>
        <v>0.25</v>
      </c>
      <c r="E809" s="0" t="n">
        <f aca="false">1</f>
        <v>1</v>
      </c>
      <c r="F809" s="0" t="n">
        <f aca="false">C809</f>
        <v>-0.0499999999999999</v>
      </c>
      <c r="G809" s="0" t="n">
        <f aca="false">D809</f>
        <v>0.25</v>
      </c>
      <c r="H809" s="0" t="n">
        <f aca="false">C809*D809</f>
        <v>-0.0125</v>
      </c>
      <c r="I809" s="0" t="n">
        <f aca="false">C809*C809</f>
        <v>0.00249999999999999</v>
      </c>
      <c r="J809" s="0" t="n">
        <f aca="false">D809*D809</f>
        <v>0.0625</v>
      </c>
      <c r="K809" s="0" t="n">
        <f aca="false">SUMPRODUCT(E809:J809,_XtX!$B$53:$G$53)</f>
        <v>48.4019748563218</v>
      </c>
      <c r="L809" s="0" t="n">
        <f aca="false">SUMPRODUCT(MMULT(E809:J809,_XtX!$B$44:$G$49),E809:J809)</f>
        <v>0.171211404454023</v>
      </c>
      <c r="M809" s="0" t="n">
        <f aca="false">04_回帰ANOVA!$K$19*04_回帰ANOVA!$K$14*SQRT(1+L809)</f>
        <v>1.46654103236879</v>
      </c>
      <c r="N809" s="0" t="n">
        <f aca="false">K809-M809</f>
        <v>46.9354338239531</v>
      </c>
      <c r="O809" s="0" t="n">
        <f aca="false">K809+M809</f>
        <v>49.8685158886906</v>
      </c>
      <c r="P809" s="54" t="b">
        <f aca="false">AND(C809&gt;=01_因子設定!$L$5-0.000000001,C809&lt;=01_因子設定!$M$5+0.000000001,D809&gt;=01_因子設定!$L$6-0.000000001,D809&lt;=01_因子設定!$M$6+0.000000001,IF(01_因子設定!$B$20="Box-Behnken",C809^2+D809^2&lt;=2+0.000000001,TRUE()))</f>
        <v>1</v>
      </c>
      <c r="Q809" s="55" t="n">
        <f aca="false">IF(P809,IF(01_因子設定!$B$13="最大化",N809-01_因子設定!$B$14,IF(01_因子設定!$B$13="最小化",01_因子設定!$B$15-O809,MIN(N809-01_因子設定!$B$14,01_因子設定!$B$15-O809))),-1E+030)</f>
        <v>0.435433823953048</v>
      </c>
      <c r="R809" s="55" t="n">
        <f aca="false">IF(P809,IF(01_因子設定!$B$13="最大化",K809,IF(01_因子設定!$B$13="最小化",-K809,-ABS(K809-01_因子設定!$B$16))),-1E+030)</f>
        <v>48.4019748563218</v>
      </c>
      <c r="S809" s="55" t="n">
        <f aca="false">Q809+ROW()*0.000000001</f>
        <v>0.435434632953048</v>
      </c>
      <c r="T809" s="55" t="n">
        <f aca="false">R809+ROW()*0.000000001</f>
        <v>48.4019756653218</v>
      </c>
    </row>
    <row r="810" customFormat="false" ht="15" hidden="false" customHeight="false" outlineLevel="0" collapsed="false">
      <c r="A810" s="0" t="n">
        <v>19</v>
      </c>
      <c r="B810" s="0" t="n">
        <v>26</v>
      </c>
      <c r="C810" s="0" t="n">
        <f aca="false">-1+A810*0.05</f>
        <v>-0.0499999999999999</v>
      </c>
      <c r="D810" s="0" t="n">
        <f aca="false">-1+B810*0.05</f>
        <v>0.3</v>
      </c>
      <c r="E810" s="0" t="n">
        <f aca="false">1</f>
        <v>1</v>
      </c>
      <c r="F810" s="0" t="n">
        <f aca="false">C810</f>
        <v>-0.0499999999999999</v>
      </c>
      <c r="G810" s="0" t="n">
        <f aca="false">D810</f>
        <v>0.3</v>
      </c>
      <c r="H810" s="0" t="n">
        <f aca="false">C810*D810</f>
        <v>-0.015</v>
      </c>
      <c r="I810" s="0" t="n">
        <f aca="false">C810*C810</f>
        <v>0.00249999999999999</v>
      </c>
      <c r="J810" s="0" t="n">
        <f aca="false">D810*D810</f>
        <v>0.09</v>
      </c>
      <c r="K810" s="0" t="n">
        <f aca="false">SUMPRODUCT(E810:J810,_XtX!$B$53:$G$53)</f>
        <v>48.4707270114943</v>
      </c>
      <c r="L810" s="0" t="n">
        <f aca="false">SUMPRODUCT(MMULT(E810:J810,_XtX!$B$44:$G$49),E810:J810)</f>
        <v>0.171621731321839</v>
      </c>
      <c r="M810" s="0" t="n">
        <f aca="false">04_回帰ANOVA!$K$19*04_回帰ANOVA!$K$14*SQRT(1+L810)</f>
        <v>1.46679790678507</v>
      </c>
      <c r="N810" s="0" t="n">
        <f aca="false">K810-M810</f>
        <v>47.0039291047092</v>
      </c>
      <c r="O810" s="0" t="n">
        <f aca="false">K810+M810</f>
        <v>49.9375249182793</v>
      </c>
      <c r="P810" s="54" t="b">
        <f aca="false">AND(C810&gt;=01_因子設定!$L$5-0.000000001,C810&lt;=01_因子設定!$M$5+0.000000001,D810&gt;=01_因子設定!$L$6-0.000000001,D810&lt;=01_因子設定!$M$6+0.000000001,IF(01_因子設定!$B$20="Box-Behnken",C810^2+D810^2&lt;=2+0.000000001,TRUE()))</f>
        <v>1</v>
      </c>
      <c r="Q810" s="55" t="n">
        <f aca="false">IF(P810,IF(01_因子設定!$B$13="最大化",N810-01_因子設定!$B$14,IF(01_因子設定!$B$13="最小化",01_因子設定!$B$15-O810,MIN(N810-01_因子設定!$B$14,01_因子設定!$B$15-O810))),-1E+030)</f>
        <v>0.503929104709187</v>
      </c>
      <c r="R810" s="55" t="n">
        <f aca="false">IF(P810,IF(01_因子設定!$B$13="最大化",K810,IF(01_因子設定!$B$13="最小化",-K810,-ABS(K810-01_因子設定!$B$16))),-1E+030)</f>
        <v>48.4707270114943</v>
      </c>
      <c r="S810" s="55" t="n">
        <f aca="false">Q810+ROW()*0.000000001</f>
        <v>0.503929914709187</v>
      </c>
      <c r="T810" s="55" t="n">
        <f aca="false">R810+ROW()*0.000000001</f>
        <v>48.4707278214943</v>
      </c>
    </row>
    <row r="811" customFormat="false" ht="15" hidden="false" customHeight="false" outlineLevel="0" collapsed="false">
      <c r="A811" s="0" t="n">
        <v>19</v>
      </c>
      <c r="B811" s="0" t="n">
        <v>27</v>
      </c>
      <c r="C811" s="0" t="n">
        <f aca="false">-1+A811*0.05</f>
        <v>-0.0499999999999999</v>
      </c>
      <c r="D811" s="0" t="n">
        <f aca="false">-1+B811*0.05</f>
        <v>0.35</v>
      </c>
      <c r="E811" s="0" t="n">
        <f aca="false">1</f>
        <v>1</v>
      </c>
      <c r="F811" s="0" t="n">
        <f aca="false">C811</f>
        <v>-0.0499999999999999</v>
      </c>
      <c r="G811" s="0" t="n">
        <f aca="false">D811</f>
        <v>0.35</v>
      </c>
      <c r="H811" s="0" t="n">
        <f aca="false">C811*D811</f>
        <v>-0.0175</v>
      </c>
      <c r="I811" s="0" t="n">
        <f aca="false">C811*C811</f>
        <v>0.00249999999999999</v>
      </c>
      <c r="J811" s="0" t="n">
        <f aca="false">D811*D811</f>
        <v>0.1225</v>
      </c>
      <c r="K811" s="0" t="n">
        <f aca="false">SUMPRODUCT(E811:J811,_XtX!$B$53:$G$53)</f>
        <v>48.5317636494253</v>
      </c>
      <c r="L811" s="0" t="n">
        <f aca="false">SUMPRODUCT(MMULT(E811:J811,_XtX!$B$44:$G$49),E811:J811)</f>
        <v>0.172812697557471</v>
      </c>
      <c r="M811" s="0" t="n">
        <f aca="false">04_回帰ANOVA!$K$19*04_回帰ANOVA!$K$14*SQRT(1+L811)</f>
        <v>1.46754322544161</v>
      </c>
      <c r="N811" s="0" t="n">
        <f aca="false">K811-M811</f>
        <v>47.0642204239837</v>
      </c>
      <c r="O811" s="0" t="n">
        <f aca="false">K811+M811</f>
        <v>49.9993068748669</v>
      </c>
      <c r="P811" s="54" t="b">
        <f aca="false">AND(C811&gt;=01_因子設定!$L$5-0.000000001,C811&lt;=01_因子設定!$M$5+0.000000001,D811&gt;=01_因子設定!$L$6-0.000000001,D811&lt;=01_因子設定!$M$6+0.000000001,IF(01_因子設定!$B$20="Box-Behnken",C811^2+D811^2&lt;=2+0.000000001,TRUE()))</f>
        <v>1</v>
      </c>
      <c r="Q811" s="55" t="n">
        <f aca="false">IF(P811,IF(01_因子設定!$B$13="最大化",N811-01_因子設定!$B$14,IF(01_因子設定!$B$13="最小化",01_因子設定!$B$15-O811,MIN(N811-01_因子設定!$B$14,01_因子設定!$B$15-O811))),-1E+030)</f>
        <v>0.564220423983677</v>
      </c>
      <c r="R811" s="55" t="n">
        <f aca="false">IF(P811,IF(01_因子設定!$B$13="最大化",K811,IF(01_因子設定!$B$13="最小化",-K811,-ABS(K811-01_因子設定!$B$16))),-1E+030)</f>
        <v>48.5317636494253</v>
      </c>
      <c r="S811" s="55" t="n">
        <f aca="false">Q811+ROW()*0.000000001</f>
        <v>0.564221234983677</v>
      </c>
      <c r="T811" s="55" t="n">
        <f aca="false">R811+ROW()*0.000000001</f>
        <v>48.5317644604253</v>
      </c>
    </row>
    <row r="812" customFormat="false" ht="15" hidden="false" customHeight="false" outlineLevel="0" collapsed="false">
      <c r="A812" s="0" t="n">
        <v>19</v>
      </c>
      <c r="B812" s="0" t="n">
        <v>28</v>
      </c>
      <c r="C812" s="0" t="n">
        <f aca="false">-1+A812*0.05</f>
        <v>-0.0499999999999999</v>
      </c>
      <c r="D812" s="0" t="n">
        <f aca="false">-1+B812*0.05</f>
        <v>0.4</v>
      </c>
      <c r="E812" s="0" t="n">
        <f aca="false">1</f>
        <v>1</v>
      </c>
      <c r="F812" s="0" t="n">
        <f aca="false">C812</f>
        <v>-0.0499999999999999</v>
      </c>
      <c r="G812" s="0" t="n">
        <f aca="false">D812</f>
        <v>0.4</v>
      </c>
      <c r="H812" s="0" t="n">
        <f aca="false">C812*D812</f>
        <v>-0.02</v>
      </c>
      <c r="I812" s="0" t="n">
        <f aca="false">C812*C812</f>
        <v>0.00249999999999999</v>
      </c>
      <c r="J812" s="0" t="n">
        <f aca="false">D812*D812</f>
        <v>0.16</v>
      </c>
      <c r="K812" s="0" t="n">
        <f aca="false">SUMPRODUCT(E812:J812,_XtX!$B$53:$G$53)</f>
        <v>48.5850847701149</v>
      </c>
      <c r="L812" s="0" t="n">
        <f aca="false">SUMPRODUCT(MMULT(E812:J812,_XtX!$B$44:$G$49),E812:J812)</f>
        <v>0.175137320402299</v>
      </c>
      <c r="M812" s="0" t="n">
        <f aca="false">04_回帰ANOVA!$K$19*04_回帰ANOVA!$K$14*SQRT(1+L812)</f>
        <v>1.4689969084205</v>
      </c>
      <c r="N812" s="0" t="n">
        <f aca="false">K812-M812</f>
        <v>47.1160878616944</v>
      </c>
      <c r="O812" s="0" t="n">
        <f aca="false">K812+M812</f>
        <v>50.0540816785354</v>
      </c>
      <c r="P812" s="54" t="b">
        <f aca="false">AND(C812&gt;=01_因子設定!$L$5-0.000000001,C812&lt;=01_因子設定!$M$5+0.000000001,D812&gt;=01_因子設定!$L$6-0.000000001,D812&lt;=01_因子設定!$M$6+0.000000001,IF(01_因子設定!$B$20="Box-Behnken",C812^2+D812^2&lt;=2+0.000000001,TRUE()))</f>
        <v>1</v>
      </c>
      <c r="Q812" s="55" t="n">
        <f aca="false">IF(P812,IF(01_因子設定!$B$13="最大化",N812-01_因子設定!$B$14,IF(01_因子設定!$B$13="最小化",01_因子設定!$B$15-O812,MIN(N812-01_因子設定!$B$14,01_因子設定!$B$15-O812))),-1E+030)</f>
        <v>0.616087861694446</v>
      </c>
      <c r="R812" s="55" t="n">
        <f aca="false">IF(P812,IF(01_因子設定!$B$13="最大化",K812,IF(01_因子設定!$B$13="最小化",-K812,-ABS(K812-01_因子設定!$B$16))),-1E+030)</f>
        <v>48.5850847701149</v>
      </c>
      <c r="S812" s="55" t="n">
        <f aca="false">Q812+ROW()*0.000000001</f>
        <v>0.616088673694446</v>
      </c>
      <c r="T812" s="55" t="n">
        <f aca="false">R812+ROW()*0.000000001</f>
        <v>48.5850855821149</v>
      </c>
    </row>
    <row r="813" customFormat="false" ht="15" hidden="false" customHeight="false" outlineLevel="0" collapsed="false">
      <c r="A813" s="0" t="n">
        <v>19</v>
      </c>
      <c r="B813" s="0" t="n">
        <v>29</v>
      </c>
      <c r="C813" s="0" t="n">
        <f aca="false">-1+A813*0.05</f>
        <v>-0.0499999999999999</v>
      </c>
      <c r="D813" s="0" t="n">
        <f aca="false">-1+B813*0.05</f>
        <v>0.45</v>
      </c>
      <c r="E813" s="0" t="n">
        <f aca="false">1</f>
        <v>1</v>
      </c>
      <c r="F813" s="0" t="n">
        <f aca="false">C813</f>
        <v>-0.0499999999999999</v>
      </c>
      <c r="G813" s="0" t="n">
        <f aca="false">D813</f>
        <v>0.45</v>
      </c>
      <c r="H813" s="0" t="n">
        <f aca="false">C813*D813</f>
        <v>-0.0225</v>
      </c>
      <c r="I813" s="0" t="n">
        <f aca="false">C813*C813</f>
        <v>0.00249999999999999</v>
      </c>
      <c r="J813" s="0" t="n">
        <f aca="false">D813*D813</f>
        <v>0.2025</v>
      </c>
      <c r="K813" s="0" t="n">
        <f aca="false">SUMPRODUCT(E813:J813,_XtX!$B$53:$G$53)</f>
        <v>48.6306903735632</v>
      </c>
      <c r="L813" s="0" t="n">
        <f aca="false">SUMPRODUCT(MMULT(E813:J813,_XtX!$B$44:$G$49),E813:J813)</f>
        <v>0.179002927442529</v>
      </c>
      <c r="M813" s="0" t="n">
        <f aca="false">04_回帰ANOVA!$K$19*04_回帰ANOVA!$K$14*SQRT(1+L813)</f>
        <v>1.47141105290249</v>
      </c>
      <c r="N813" s="0" t="n">
        <f aca="false">K813-M813</f>
        <v>47.1592793206607</v>
      </c>
      <c r="O813" s="0" t="n">
        <f aca="false">K813+M813</f>
        <v>50.1021014264657</v>
      </c>
      <c r="P813" s="54" t="b">
        <f aca="false">AND(C813&gt;=01_因子設定!$L$5-0.000000001,C813&lt;=01_因子設定!$M$5+0.000000001,D813&gt;=01_因子設定!$L$6-0.000000001,D813&lt;=01_因子設定!$M$6+0.000000001,IF(01_因子設定!$B$20="Box-Behnken",C813^2+D813^2&lt;=2+0.000000001,TRUE()))</f>
        <v>1</v>
      </c>
      <c r="Q813" s="55" t="n">
        <f aca="false">IF(P813,IF(01_因子設定!$B$13="最大化",N813-01_因子設定!$B$14,IF(01_因子設定!$B$13="最小化",01_因子設定!$B$15-O813,MIN(N813-01_因子設定!$B$14,01_因子設定!$B$15-O813))),-1E+030)</f>
        <v>0.65927932066073</v>
      </c>
      <c r="R813" s="55" t="n">
        <f aca="false">IF(P813,IF(01_因子設定!$B$13="最大化",K813,IF(01_因子設定!$B$13="最小化",-K813,-ABS(K813-01_因子設定!$B$16))),-1E+030)</f>
        <v>48.6306903735632</v>
      </c>
      <c r="S813" s="55" t="n">
        <f aca="false">Q813+ROW()*0.000000001</f>
        <v>0.65928013366073</v>
      </c>
      <c r="T813" s="55" t="n">
        <f aca="false">R813+ROW()*0.000000001</f>
        <v>48.6306911865632</v>
      </c>
    </row>
    <row r="814" customFormat="false" ht="15" hidden="false" customHeight="false" outlineLevel="0" collapsed="false">
      <c r="A814" s="0" t="n">
        <v>19</v>
      </c>
      <c r="B814" s="0" t="n">
        <v>30</v>
      </c>
      <c r="C814" s="0" t="n">
        <f aca="false">-1+A814*0.05</f>
        <v>-0.0499999999999999</v>
      </c>
      <c r="D814" s="0" t="n">
        <f aca="false">-1+B814*0.05</f>
        <v>0.5</v>
      </c>
      <c r="E814" s="0" t="n">
        <f aca="false">1</f>
        <v>1</v>
      </c>
      <c r="F814" s="0" t="n">
        <f aca="false">C814</f>
        <v>-0.0499999999999999</v>
      </c>
      <c r="G814" s="0" t="n">
        <f aca="false">D814</f>
        <v>0.5</v>
      </c>
      <c r="H814" s="0" t="n">
        <f aca="false">C814*D814</f>
        <v>-0.025</v>
      </c>
      <c r="I814" s="0" t="n">
        <f aca="false">C814*C814</f>
        <v>0.00249999999999999</v>
      </c>
      <c r="J814" s="0" t="n">
        <f aca="false">D814*D814</f>
        <v>0.25</v>
      </c>
      <c r="K814" s="0" t="n">
        <f aca="false">SUMPRODUCT(E814:J814,_XtX!$B$53:$G$53)</f>
        <v>48.6685804597701</v>
      </c>
      <c r="L814" s="0" t="n">
        <f aca="false">SUMPRODUCT(MMULT(E814:J814,_XtX!$B$44:$G$49),E814:J814)</f>
        <v>0.184871156609195</v>
      </c>
      <c r="M814" s="0" t="n">
        <f aca="false">04_回帰ANOVA!$K$19*04_回帰ANOVA!$K$14*SQRT(1+L814)</f>
        <v>1.47506832106176</v>
      </c>
      <c r="N814" s="0" t="n">
        <f aca="false">K814-M814</f>
        <v>47.1935121387084</v>
      </c>
      <c r="O814" s="0" t="n">
        <f aca="false">K814+M814</f>
        <v>50.1436487808319</v>
      </c>
      <c r="P814" s="54" t="b">
        <f aca="false">AND(C814&gt;=01_因子設定!$L$5-0.000000001,C814&lt;=01_因子設定!$M$5+0.000000001,D814&gt;=01_因子設定!$L$6-0.000000001,D814&lt;=01_因子設定!$M$6+0.000000001,IF(01_因子設定!$B$20="Box-Behnken",C814^2+D814^2&lt;=2+0.000000001,TRUE()))</f>
        <v>1</v>
      </c>
      <c r="Q814" s="55" t="n">
        <f aca="false">IF(P814,IF(01_因子設定!$B$13="最大化",N814-01_因子設定!$B$14,IF(01_因子設定!$B$13="最小化",01_因子設定!$B$15-O814,MIN(N814-01_因子設定!$B$14,01_因子設定!$B$15-O814))),-1E+030)</f>
        <v>0.693512138708357</v>
      </c>
      <c r="R814" s="55" t="n">
        <f aca="false">IF(P814,IF(01_因子設定!$B$13="最大化",K814,IF(01_因子設定!$B$13="最小化",-K814,-ABS(K814-01_因子設定!$B$16))),-1E+030)</f>
        <v>48.6685804597701</v>
      </c>
      <c r="S814" s="55" t="n">
        <f aca="false">Q814+ROW()*0.000000001</f>
        <v>0.693512952708357</v>
      </c>
      <c r="T814" s="55" t="n">
        <f aca="false">R814+ROW()*0.000000001</f>
        <v>48.6685812737701</v>
      </c>
    </row>
    <row r="815" customFormat="false" ht="15" hidden="false" customHeight="false" outlineLevel="0" collapsed="false">
      <c r="A815" s="0" t="n">
        <v>19</v>
      </c>
      <c r="B815" s="0" t="n">
        <v>31</v>
      </c>
      <c r="C815" s="0" t="n">
        <f aca="false">-1+A815*0.05</f>
        <v>-0.0499999999999999</v>
      </c>
      <c r="D815" s="0" t="n">
        <f aca="false">-1+B815*0.05</f>
        <v>0.55</v>
      </c>
      <c r="E815" s="0" t="n">
        <f aca="false">1</f>
        <v>1</v>
      </c>
      <c r="F815" s="0" t="n">
        <f aca="false">C815</f>
        <v>-0.0499999999999999</v>
      </c>
      <c r="G815" s="0" t="n">
        <f aca="false">D815</f>
        <v>0.55</v>
      </c>
      <c r="H815" s="0" t="n">
        <f aca="false">C815*D815</f>
        <v>-0.0275</v>
      </c>
      <c r="I815" s="0" t="n">
        <f aca="false">C815*C815</f>
        <v>0.00249999999999999</v>
      </c>
      <c r="J815" s="0" t="n">
        <f aca="false">D815*D815</f>
        <v>0.3025</v>
      </c>
      <c r="K815" s="0" t="n">
        <f aca="false">SUMPRODUCT(E815:J815,_XtX!$B$53:$G$53)</f>
        <v>48.6987550287356</v>
      </c>
      <c r="L815" s="0" t="n">
        <f aca="false">SUMPRODUCT(MMULT(E815:J815,_XtX!$B$44:$G$49),E815:J815)</f>
        <v>0.193257956178161</v>
      </c>
      <c r="M815" s="0" t="n">
        <f aca="false">04_回帰ANOVA!$K$19*04_回帰ANOVA!$K$14*SQRT(1+L815)</f>
        <v>1.48027955775409</v>
      </c>
      <c r="N815" s="0" t="n">
        <f aca="false">K815-M815</f>
        <v>47.2184754709815</v>
      </c>
      <c r="O815" s="0" t="n">
        <f aca="false">K815+M815</f>
        <v>50.1790345864897</v>
      </c>
      <c r="P815" s="54" t="b">
        <f aca="false">AND(C815&gt;=01_因子設定!$L$5-0.000000001,C815&lt;=01_因子設定!$M$5+0.000000001,D815&gt;=01_因子設定!$L$6-0.000000001,D815&lt;=01_因子設定!$M$6+0.000000001,IF(01_因子設定!$B$20="Box-Behnken",C815^2+D815^2&lt;=2+0.000000001,TRUE()))</f>
        <v>1</v>
      </c>
      <c r="Q815" s="55" t="n">
        <f aca="false">IF(P815,IF(01_因子設定!$B$13="最大化",N815-01_因子設定!$B$14,IF(01_因子設定!$B$13="最小化",01_因子設定!$B$15-O815,MIN(N815-01_因子設定!$B$14,01_因子設定!$B$15-O815))),-1E+030)</f>
        <v>0.718475470981545</v>
      </c>
      <c r="R815" s="55" t="n">
        <f aca="false">IF(P815,IF(01_因子設定!$B$13="最大化",K815,IF(01_因子設定!$B$13="最小化",-K815,-ABS(K815-01_因子設定!$B$16))),-1E+030)</f>
        <v>48.6987550287356</v>
      </c>
      <c r="S815" s="55" t="n">
        <f aca="false">Q815+ROW()*0.000000001</f>
        <v>0.718476285981545</v>
      </c>
      <c r="T815" s="55" t="n">
        <f aca="false">R815+ROW()*0.000000001</f>
        <v>48.6987558437356</v>
      </c>
    </row>
    <row r="816" customFormat="false" ht="15" hidden="false" customHeight="false" outlineLevel="0" collapsed="false">
      <c r="A816" s="0" t="n">
        <v>19</v>
      </c>
      <c r="B816" s="0" t="n">
        <v>32</v>
      </c>
      <c r="C816" s="0" t="n">
        <f aca="false">-1+A816*0.05</f>
        <v>-0.0499999999999999</v>
      </c>
      <c r="D816" s="0" t="n">
        <f aca="false">-1+B816*0.05</f>
        <v>0.6</v>
      </c>
      <c r="E816" s="0" t="n">
        <f aca="false">1</f>
        <v>1</v>
      </c>
      <c r="F816" s="0" t="n">
        <f aca="false">C816</f>
        <v>-0.0499999999999999</v>
      </c>
      <c r="G816" s="0" t="n">
        <f aca="false">D816</f>
        <v>0.6</v>
      </c>
      <c r="H816" s="0" t="n">
        <f aca="false">C816*D816</f>
        <v>-0.03</v>
      </c>
      <c r="I816" s="0" t="n">
        <f aca="false">C816*C816</f>
        <v>0.00249999999999999</v>
      </c>
      <c r="J816" s="0" t="n">
        <f aca="false">D816*D816</f>
        <v>0.36</v>
      </c>
      <c r="K816" s="0" t="n">
        <f aca="false">SUMPRODUCT(E816:J816,_XtX!$B$53:$G$53)</f>
        <v>48.7212140804598</v>
      </c>
      <c r="L816" s="0" t="n">
        <f aca="false">SUMPRODUCT(MMULT(E816:J816,_XtX!$B$44:$G$49),E816:J816)</f>
        <v>0.204733584770115</v>
      </c>
      <c r="M816" s="0" t="n">
        <f aca="false">04_回帰ANOVA!$K$19*04_回帰ANOVA!$K$14*SQRT(1+L816)</f>
        <v>1.48738049178902</v>
      </c>
      <c r="N816" s="0" t="n">
        <f aca="false">K816-M816</f>
        <v>47.2338335886708</v>
      </c>
      <c r="O816" s="0" t="n">
        <f aca="false">K816+M816</f>
        <v>50.2085945722488</v>
      </c>
      <c r="P816" s="54" t="b">
        <f aca="false">AND(C816&gt;=01_因子設定!$L$5-0.000000001,C816&lt;=01_因子設定!$M$5+0.000000001,D816&gt;=01_因子設定!$L$6-0.000000001,D816&lt;=01_因子設定!$M$6+0.000000001,IF(01_因子設定!$B$20="Box-Behnken",C816^2+D816^2&lt;=2+0.000000001,TRUE()))</f>
        <v>1</v>
      </c>
      <c r="Q816" s="55" t="n">
        <f aca="false">IF(P816,IF(01_因子設定!$B$13="最大化",N816-01_因子設定!$B$14,IF(01_因子設定!$B$13="最小化",01_因子設定!$B$15-O816,MIN(N816-01_因子設定!$B$14,01_因子設定!$B$15-O816))),-1E+030)</f>
        <v>0.733833588670748</v>
      </c>
      <c r="R816" s="55" t="n">
        <f aca="false">IF(P816,IF(01_因子設定!$B$13="最大化",K816,IF(01_因子設定!$B$13="最小化",-K816,-ABS(K816-01_因子設定!$B$16))),-1E+030)</f>
        <v>48.7212140804598</v>
      </c>
      <c r="S816" s="55" t="n">
        <f aca="false">Q816+ROW()*0.000000001</f>
        <v>0.733834404670748</v>
      </c>
      <c r="T816" s="55" t="n">
        <f aca="false">R816+ROW()*0.000000001</f>
        <v>48.7212148964598</v>
      </c>
    </row>
    <row r="817" customFormat="false" ht="15" hidden="false" customHeight="false" outlineLevel="0" collapsed="false">
      <c r="A817" s="0" t="n">
        <v>19</v>
      </c>
      <c r="B817" s="0" t="n">
        <v>33</v>
      </c>
      <c r="C817" s="0" t="n">
        <f aca="false">-1+A817*0.05</f>
        <v>-0.0499999999999999</v>
      </c>
      <c r="D817" s="0" t="n">
        <f aca="false">-1+B817*0.05</f>
        <v>0.65</v>
      </c>
      <c r="E817" s="0" t="n">
        <f aca="false">1</f>
        <v>1</v>
      </c>
      <c r="F817" s="0" t="n">
        <f aca="false">C817</f>
        <v>-0.0499999999999999</v>
      </c>
      <c r="G817" s="0" t="n">
        <f aca="false">D817</f>
        <v>0.65</v>
      </c>
      <c r="H817" s="0" t="n">
        <f aca="false">C817*D817</f>
        <v>-0.0325</v>
      </c>
      <c r="I817" s="0" t="n">
        <f aca="false">C817*C817</f>
        <v>0.00249999999999999</v>
      </c>
      <c r="J817" s="0" t="n">
        <f aca="false">D817*D817</f>
        <v>0.4225</v>
      </c>
      <c r="K817" s="0" t="n">
        <f aca="false">SUMPRODUCT(E817:J817,_XtX!$B$53:$G$53)</f>
        <v>48.7359576149425</v>
      </c>
      <c r="L817" s="0" t="n">
        <f aca="false">SUMPRODUCT(MMULT(E817:J817,_XtX!$B$44:$G$49),E817:J817)</f>
        <v>0.219922611350575</v>
      </c>
      <c r="M817" s="0" t="n">
        <f aca="false">04_回帰ANOVA!$K$19*04_回帰ANOVA!$K$14*SQRT(1+L817)</f>
        <v>1.49672741260948</v>
      </c>
      <c r="N817" s="0" t="n">
        <f aca="false">K817-M817</f>
        <v>47.2392302023331</v>
      </c>
      <c r="O817" s="0" t="n">
        <f aca="false">K817+M817</f>
        <v>50.232685027552</v>
      </c>
      <c r="P817" s="54" t="b">
        <f aca="false">AND(C817&gt;=01_因子設定!$L$5-0.000000001,C817&lt;=01_因子設定!$M$5+0.000000001,D817&gt;=01_因子設定!$L$6-0.000000001,D817&lt;=01_因子設定!$M$6+0.000000001,IF(01_因子設定!$B$20="Box-Behnken",C817^2+D817^2&lt;=2+0.000000001,TRUE()))</f>
        <v>1</v>
      </c>
      <c r="Q817" s="55" t="n">
        <f aca="false">IF(P817,IF(01_因子設定!$B$13="最大化",N817-01_因子設定!$B$14,IF(01_因子設定!$B$13="最小化",01_因子設定!$B$15-O817,MIN(N817-01_因子設定!$B$14,01_因子設定!$B$15-O817))),-1E+030)</f>
        <v>0.739230202333054</v>
      </c>
      <c r="R817" s="55" t="n">
        <f aca="false">IF(P817,IF(01_因子設定!$B$13="最大化",K817,IF(01_因子設定!$B$13="最小化",-K817,-ABS(K817-01_因子設定!$B$16))),-1E+030)</f>
        <v>48.7359576149425</v>
      </c>
      <c r="S817" s="55" t="n">
        <f aca="false">Q817+ROW()*0.000000001</f>
        <v>0.739231019333054</v>
      </c>
      <c r="T817" s="55" t="n">
        <f aca="false">R817+ROW()*0.000000001</f>
        <v>48.7359584319425</v>
      </c>
    </row>
    <row r="818" customFormat="false" ht="15" hidden="false" customHeight="false" outlineLevel="0" collapsed="false">
      <c r="A818" s="0" t="n">
        <v>19</v>
      </c>
      <c r="B818" s="0" t="n">
        <v>34</v>
      </c>
      <c r="C818" s="0" t="n">
        <f aca="false">-1+A818*0.05</f>
        <v>-0.0499999999999999</v>
      </c>
      <c r="D818" s="0" t="n">
        <f aca="false">-1+B818*0.05</f>
        <v>0.7</v>
      </c>
      <c r="E818" s="0" t="n">
        <f aca="false">1</f>
        <v>1</v>
      </c>
      <c r="F818" s="0" t="n">
        <f aca="false">C818</f>
        <v>-0.0499999999999999</v>
      </c>
      <c r="G818" s="0" t="n">
        <f aca="false">D818</f>
        <v>0.7</v>
      </c>
      <c r="H818" s="0" t="n">
        <f aca="false">C818*D818</f>
        <v>-0.035</v>
      </c>
      <c r="I818" s="0" t="n">
        <f aca="false">C818*C818</f>
        <v>0.00249999999999999</v>
      </c>
      <c r="J818" s="0" t="n">
        <f aca="false">D818*D818</f>
        <v>0.49</v>
      </c>
      <c r="K818" s="0" t="n">
        <f aca="false">SUMPRODUCT(E818:J818,_XtX!$B$53:$G$53)</f>
        <v>48.7429856321839</v>
      </c>
      <c r="L818" s="0" t="n">
        <f aca="false">SUMPRODUCT(MMULT(E818:J818,_XtX!$B$44:$G$49),E818:J818)</f>
        <v>0.239503915229885</v>
      </c>
      <c r="M818" s="0" t="n">
        <f aca="false">04_回帰ANOVA!$K$19*04_回帰ANOVA!$K$14*SQRT(1+L818)</f>
        <v>1.50869177878988</v>
      </c>
      <c r="N818" s="0" t="n">
        <f aca="false">K818-M818</f>
        <v>47.234293853394</v>
      </c>
      <c r="O818" s="0" t="n">
        <f aca="false">K818+M818</f>
        <v>50.2516774109738</v>
      </c>
      <c r="P818" s="54" t="b">
        <f aca="false">AND(C818&gt;=01_因子設定!$L$5-0.000000001,C818&lt;=01_因子設定!$M$5+0.000000001,D818&gt;=01_因子設定!$L$6-0.000000001,D818&lt;=01_因子設定!$M$6+0.000000001,IF(01_因子設定!$B$20="Box-Behnken",C818^2+D818^2&lt;=2+0.000000001,TRUE()))</f>
        <v>1</v>
      </c>
      <c r="Q818" s="55" t="n">
        <f aca="false">IF(P818,IF(01_因子設定!$B$13="最大化",N818-01_因子設定!$B$14,IF(01_因子設定!$B$13="最小化",01_因子設定!$B$15-O818,MIN(N818-01_因子設定!$B$14,01_因子設定!$B$15-O818))),-1E+030)</f>
        <v>0.734293853394036</v>
      </c>
      <c r="R818" s="55" t="n">
        <f aca="false">IF(P818,IF(01_因子設定!$B$13="最大化",K818,IF(01_因子設定!$B$13="最小化",-K818,-ABS(K818-01_因子設定!$B$16))),-1E+030)</f>
        <v>48.7429856321839</v>
      </c>
      <c r="S818" s="55" t="n">
        <f aca="false">Q818+ROW()*0.000000001</f>
        <v>0.734294671394036</v>
      </c>
      <c r="T818" s="55" t="n">
        <f aca="false">R818+ROW()*0.000000001</f>
        <v>48.7429864501839</v>
      </c>
    </row>
    <row r="819" customFormat="false" ht="15" hidden="false" customHeight="false" outlineLevel="0" collapsed="false">
      <c r="A819" s="0" t="n">
        <v>19</v>
      </c>
      <c r="B819" s="0" t="n">
        <v>35</v>
      </c>
      <c r="C819" s="0" t="n">
        <f aca="false">-1+A819*0.05</f>
        <v>-0.0499999999999999</v>
      </c>
      <c r="D819" s="0" t="n">
        <f aca="false">-1+B819*0.05</f>
        <v>0.75</v>
      </c>
      <c r="E819" s="0" t="n">
        <f aca="false">1</f>
        <v>1</v>
      </c>
      <c r="F819" s="0" t="n">
        <f aca="false">C819</f>
        <v>-0.0499999999999999</v>
      </c>
      <c r="G819" s="0" t="n">
        <f aca="false">D819</f>
        <v>0.75</v>
      </c>
      <c r="H819" s="0" t="n">
        <f aca="false">C819*D819</f>
        <v>-0.0375</v>
      </c>
      <c r="I819" s="0" t="n">
        <f aca="false">C819*C819</f>
        <v>0.00249999999999999</v>
      </c>
      <c r="J819" s="0" t="n">
        <f aca="false">D819*D819</f>
        <v>0.5625</v>
      </c>
      <c r="K819" s="0" t="n">
        <f aca="false">SUMPRODUCT(E819:J819,_XtX!$B$53:$G$53)</f>
        <v>48.7422981321839</v>
      </c>
      <c r="L819" s="0" t="n">
        <f aca="false">SUMPRODUCT(MMULT(E819:J819,_XtX!$B$44:$G$49),E819:J819)</f>
        <v>0.264210686063218</v>
      </c>
      <c r="M819" s="0" t="n">
        <f aca="false">04_回帰ANOVA!$K$19*04_回帰ANOVA!$K$14*SQRT(1+L819)</f>
        <v>1.52365380588781</v>
      </c>
      <c r="N819" s="0" t="n">
        <f aca="false">K819-M819</f>
        <v>47.2186443262961</v>
      </c>
      <c r="O819" s="0" t="n">
        <f aca="false">K819+M819</f>
        <v>50.2659519380717</v>
      </c>
      <c r="P819" s="54" t="b">
        <f aca="false">AND(C819&gt;=01_因子設定!$L$5-0.000000001,C819&lt;=01_因子設定!$M$5+0.000000001,D819&gt;=01_因子設定!$L$6-0.000000001,D819&lt;=01_因子設定!$M$6+0.000000001,IF(01_因子設定!$B$20="Box-Behnken",C819^2+D819^2&lt;=2+0.000000001,TRUE()))</f>
        <v>1</v>
      </c>
      <c r="Q819" s="55" t="n">
        <f aca="false">IF(P819,IF(01_因子設定!$B$13="最大化",N819-01_因子設定!$B$14,IF(01_因子設定!$B$13="最小化",01_因子設定!$B$15-O819,MIN(N819-01_因子設定!$B$14,01_因子設定!$B$15-O819))),-1E+030)</f>
        <v>0.718644326296094</v>
      </c>
      <c r="R819" s="55" t="n">
        <f aca="false">IF(P819,IF(01_因子設定!$B$13="最大化",K819,IF(01_因子設定!$B$13="最小化",-K819,-ABS(K819-01_因子設定!$B$16))),-1E+030)</f>
        <v>48.7422981321839</v>
      </c>
      <c r="S819" s="55" t="n">
        <f aca="false">Q819+ROW()*0.000000001</f>
        <v>0.718645145296094</v>
      </c>
      <c r="T819" s="55" t="n">
        <f aca="false">R819+ROW()*0.000000001</f>
        <v>48.7422989511839</v>
      </c>
    </row>
    <row r="820" customFormat="false" ht="15" hidden="false" customHeight="false" outlineLevel="0" collapsed="false">
      <c r="A820" s="0" t="n">
        <v>19</v>
      </c>
      <c r="B820" s="0" t="n">
        <v>36</v>
      </c>
      <c r="C820" s="0" t="n">
        <f aca="false">-1+A820*0.05</f>
        <v>-0.0499999999999999</v>
      </c>
      <c r="D820" s="0" t="n">
        <f aca="false">-1+B820*0.05</f>
        <v>0.8</v>
      </c>
      <c r="E820" s="0" t="n">
        <f aca="false">1</f>
        <v>1</v>
      </c>
      <c r="F820" s="0" t="n">
        <f aca="false">C820</f>
        <v>-0.0499999999999999</v>
      </c>
      <c r="G820" s="0" t="n">
        <f aca="false">D820</f>
        <v>0.8</v>
      </c>
      <c r="H820" s="0" t="n">
        <f aca="false">C820*D820</f>
        <v>-0.04</v>
      </c>
      <c r="I820" s="0" t="n">
        <f aca="false">C820*C820</f>
        <v>0.00249999999999999</v>
      </c>
      <c r="J820" s="0" t="n">
        <f aca="false">D820*D820</f>
        <v>0.64</v>
      </c>
      <c r="K820" s="0" t="n">
        <f aca="false">SUMPRODUCT(E820:J820,_XtX!$B$53:$G$53)</f>
        <v>48.7338951149425</v>
      </c>
      <c r="L820" s="0" t="n">
        <f aca="false">SUMPRODUCT(MMULT(E820:J820,_XtX!$B$44:$G$49),E820:J820)</f>
        <v>0.294830423850575</v>
      </c>
      <c r="M820" s="0" t="n">
        <f aca="false">04_回帰ANOVA!$K$19*04_回帰ANOVA!$K$14*SQRT(1+L820)</f>
        <v>1.54199519324769</v>
      </c>
      <c r="N820" s="0" t="n">
        <f aca="false">K820-M820</f>
        <v>47.1918999216948</v>
      </c>
      <c r="O820" s="0" t="n">
        <f aca="false">K820+M820</f>
        <v>50.2758903081902</v>
      </c>
      <c r="P820" s="54" t="b">
        <f aca="false">AND(C820&gt;=01_因子設定!$L$5-0.000000001,C820&lt;=01_因子設定!$M$5+0.000000001,D820&gt;=01_因子設定!$L$6-0.000000001,D820&lt;=01_因子設定!$M$6+0.000000001,IF(01_因子設定!$B$20="Box-Behnken",C820^2+D820^2&lt;=2+0.000000001,TRUE()))</f>
        <v>1</v>
      </c>
      <c r="Q820" s="55" t="n">
        <f aca="false">IF(P820,IF(01_因子設定!$B$13="最大化",N820-01_因子設定!$B$14,IF(01_因子設定!$B$13="最小化",01_因子設定!$B$15-O820,MIN(N820-01_因子設定!$B$14,01_因子設定!$B$15-O820))),-1E+030)</f>
        <v>0.691899921694841</v>
      </c>
      <c r="R820" s="55" t="n">
        <f aca="false">IF(P820,IF(01_因子設定!$B$13="最大化",K820,IF(01_因子設定!$B$13="最小化",-K820,-ABS(K820-01_因子設定!$B$16))),-1E+030)</f>
        <v>48.7338951149425</v>
      </c>
      <c r="S820" s="55" t="n">
        <f aca="false">Q820+ROW()*0.000000001</f>
        <v>0.691900741694841</v>
      </c>
      <c r="T820" s="55" t="n">
        <f aca="false">R820+ROW()*0.000000001</f>
        <v>48.7338959349425</v>
      </c>
    </row>
    <row r="821" customFormat="false" ht="15" hidden="false" customHeight="false" outlineLevel="0" collapsed="false">
      <c r="A821" s="0" t="n">
        <v>19</v>
      </c>
      <c r="B821" s="0" t="n">
        <v>37</v>
      </c>
      <c r="C821" s="0" t="n">
        <f aca="false">-1+A821*0.05</f>
        <v>-0.0499999999999999</v>
      </c>
      <c r="D821" s="0" t="n">
        <f aca="false">-1+B821*0.05</f>
        <v>0.85</v>
      </c>
      <c r="E821" s="0" t="n">
        <f aca="false">1</f>
        <v>1</v>
      </c>
      <c r="F821" s="0" t="n">
        <f aca="false">C821</f>
        <v>-0.0499999999999999</v>
      </c>
      <c r="G821" s="0" t="n">
        <f aca="false">D821</f>
        <v>0.85</v>
      </c>
      <c r="H821" s="0" t="n">
        <f aca="false">C821*D821</f>
        <v>-0.0425</v>
      </c>
      <c r="I821" s="0" t="n">
        <f aca="false">C821*C821</f>
        <v>0.00249999999999999</v>
      </c>
      <c r="J821" s="0" t="n">
        <f aca="false">D821*D821</f>
        <v>0.7225</v>
      </c>
      <c r="K821" s="0" t="n">
        <f aca="false">SUMPRODUCT(E821:J821,_XtX!$B$53:$G$53)</f>
        <v>48.7177765804598</v>
      </c>
      <c r="L821" s="0" t="n">
        <f aca="false">SUMPRODUCT(MMULT(E821:J821,_XtX!$B$44:$G$49),E821:J821)</f>
        <v>0.332204938936782</v>
      </c>
      <c r="M821" s="0" t="n">
        <f aca="false">04_回帰ANOVA!$K$19*04_回帰ANOVA!$K$14*SQRT(1+L821)</f>
        <v>1.56409127002983</v>
      </c>
      <c r="N821" s="0" t="n">
        <f aca="false">K821-M821</f>
        <v>47.1536853104299</v>
      </c>
      <c r="O821" s="0" t="n">
        <f aca="false">K821+M821</f>
        <v>50.2818678504896</v>
      </c>
      <c r="P821" s="54" t="b">
        <f aca="false">AND(C821&gt;=01_因子設定!$L$5-0.000000001,C821&lt;=01_因子設定!$M$5+0.000000001,D821&gt;=01_因子設定!$L$6-0.000000001,D821&lt;=01_因子設定!$M$6+0.000000001,IF(01_因子設定!$B$20="Box-Behnken",C821^2+D821^2&lt;=2+0.000000001,TRUE()))</f>
        <v>1</v>
      </c>
      <c r="Q821" s="55" t="n">
        <f aca="false">IF(P821,IF(01_因子設定!$B$13="最大化",N821-01_因子設定!$B$14,IF(01_因子設定!$B$13="最小化",01_因子設定!$B$15-O821,MIN(N821-01_因子設定!$B$14,01_因子設定!$B$15-O821))),-1E+030)</f>
        <v>0.653685310429943</v>
      </c>
      <c r="R821" s="55" t="n">
        <f aca="false">IF(P821,IF(01_因子設定!$B$13="最大化",K821,IF(01_因子設定!$B$13="最小化",-K821,-ABS(K821-01_因子設定!$B$16))),-1E+030)</f>
        <v>48.7177765804598</v>
      </c>
      <c r="S821" s="55" t="n">
        <f aca="false">Q821+ROW()*0.000000001</f>
        <v>0.653686131429943</v>
      </c>
      <c r="T821" s="55" t="n">
        <f aca="false">R821+ROW()*0.000000001</f>
        <v>48.7177774014598</v>
      </c>
    </row>
    <row r="822" customFormat="false" ht="15" hidden="false" customHeight="false" outlineLevel="0" collapsed="false">
      <c r="A822" s="0" t="n">
        <v>19</v>
      </c>
      <c r="B822" s="0" t="n">
        <v>38</v>
      </c>
      <c r="C822" s="0" t="n">
        <f aca="false">-1+A822*0.05</f>
        <v>-0.0499999999999999</v>
      </c>
      <c r="D822" s="0" t="n">
        <f aca="false">-1+B822*0.05</f>
        <v>0.9</v>
      </c>
      <c r="E822" s="0" t="n">
        <f aca="false">1</f>
        <v>1</v>
      </c>
      <c r="F822" s="0" t="n">
        <f aca="false">C822</f>
        <v>-0.0499999999999999</v>
      </c>
      <c r="G822" s="0" t="n">
        <f aca="false">D822</f>
        <v>0.9</v>
      </c>
      <c r="H822" s="0" t="n">
        <f aca="false">C822*D822</f>
        <v>-0.045</v>
      </c>
      <c r="I822" s="0" t="n">
        <f aca="false">C822*C822</f>
        <v>0.00249999999999999</v>
      </c>
      <c r="J822" s="0" t="n">
        <f aca="false">D822*D822</f>
        <v>0.81</v>
      </c>
      <c r="K822" s="0" t="n">
        <f aca="false">SUMPRODUCT(E822:J822,_XtX!$B$53:$G$53)</f>
        <v>48.6939425287356</v>
      </c>
      <c r="L822" s="0" t="n">
        <f aca="false">SUMPRODUCT(MMULT(E822:J822,_XtX!$B$44:$G$49),E822:J822)</f>
        <v>0.377230352011494</v>
      </c>
      <c r="M822" s="0" t="n">
        <f aca="false">04_回帰ANOVA!$K$19*04_回帰ANOVA!$K$14*SQRT(1+L822)</f>
        <v>1.59030295151834</v>
      </c>
      <c r="N822" s="0" t="n">
        <f aca="false">K822-M822</f>
        <v>47.1036395772173</v>
      </c>
      <c r="O822" s="0" t="n">
        <f aca="false">K822+M822</f>
        <v>50.284245480254</v>
      </c>
      <c r="P822" s="54" t="b">
        <f aca="false">AND(C822&gt;=01_因子設定!$L$5-0.000000001,C822&lt;=01_因子設定!$M$5+0.000000001,D822&gt;=01_因子設定!$L$6-0.000000001,D822&lt;=01_因子設定!$M$6+0.000000001,IF(01_因子設定!$B$20="Box-Behnken",C822^2+D822^2&lt;=2+0.000000001,TRUE()))</f>
        <v>1</v>
      </c>
      <c r="Q822" s="55" t="n">
        <f aca="false">IF(P822,IF(01_因子設定!$B$13="最大化",N822-01_因子設定!$B$14,IF(01_因子設定!$B$13="最小化",01_因子設定!$B$15-O822,MIN(N822-01_因子設定!$B$14,01_因子設定!$B$15-O822))),-1E+030)</f>
        <v>0.603639577217294</v>
      </c>
      <c r="R822" s="55" t="n">
        <f aca="false">IF(P822,IF(01_因子設定!$B$13="最大化",K822,IF(01_因子設定!$B$13="最小化",-K822,-ABS(K822-01_因子設定!$B$16))),-1E+030)</f>
        <v>48.6939425287356</v>
      </c>
      <c r="S822" s="55" t="n">
        <f aca="false">Q822+ROW()*0.000000001</f>
        <v>0.603640399217294</v>
      </c>
      <c r="T822" s="55" t="n">
        <f aca="false">R822+ROW()*0.000000001</f>
        <v>48.6939433507356</v>
      </c>
    </row>
    <row r="823" customFormat="false" ht="15" hidden="false" customHeight="false" outlineLevel="0" collapsed="false">
      <c r="A823" s="0" t="n">
        <v>19</v>
      </c>
      <c r="B823" s="0" t="n">
        <v>39</v>
      </c>
      <c r="C823" s="0" t="n">
        <f aca="false">-1+A823*0.05</f>
        <v>-0.0499999999999999</v>
      </c>
      <c r="D823" s="0" t="n">
        <f aca="false">-1+B823*0.05</f>
        <v>0.95</v>
      </c>
      <c r="E823" s="0" t="n">
        <f aca="false">1</f>
        <v>1</v>
      </c>
      <c r="F823" s="0" t="n">
        <f aca="false">C823</f>
        <v>-0.0499999999999999</v>
      </c>
      <c r="G823" s="0" t="n">
        <f aca="false">D823</f>
        <v>0.95</v>
      </c>
      <c r="H823" s="0" t="n">
        <f aca="false">C823*D823</f>
        <v>-0.0474999999999999</v>
      </c>
      <c r="I823" s="0" t="n">
        <f aca="false">C823*C823</f>
        <v>0.00249999999999999</v>
      </c>
      <c r="J823" s="0" t="n">
        <f aca="false">D823*D823</f>
        <v>0.9025</v>
      </c>
      <c r="K823" s="0" t="n">
        <f aca="false">SUMPRODUCT(E823:J823,_XtX!$B$53:$G$53)</f>
        <v>48.6623929597701</v>
      </c>
      <c r="L823" s="0" t="n">
        <f aca="false">SUMPRODUCT(MMULT(E823:J823,_XtX!$B$44:$G$49),E823:J823)</f>
        <v>0.430857094109196</v>
      </c>
      <c r="M823" s="0" t="n">
        <f aca="false">04_回帰ANOVA!$K$19*04_回帰ANOVA!$K$14*SQRT(1+L823)</f>
        <v>1.62096897582906</v>
      </c>
      <c r="N823" s="0" t="n">
        <f aca="false">K823-M823</f>
        <v>47.0414239839411</v>
      </c>
      <c r="O823" s="0" t="n">
        <f aca="false">K823+M823</f>
        <v>50.2833619355992</v>
      </c>
      <c r="P823" s="54" t="b">
        <f aca="false">AND(C823&gt;=01_因子設定!$L$5-0.000000001,C823&lt;=01_因子設定!$M$5+0.000000001,D823&gt;=01_因子設定!$L$6-0.000000001,D823&lt;=01_因子設定!$M$6+0.000000001,IF(01_因子設定!$B$20="Box-Behnken",C823^2+D823^2&lt;=2+0.000000001,TRUE()))</f>
        <v>1</v>
      </c>
      <c r="Q823" s="55" t="n">
        <f aca="false">IF(P823,IF(01_因子設定!$B$13="最大化",N823-01_因子設定!$B$14,IF(01_因子設定!$B$13="最小化",01_因子設定!$B$15-O823,MIN(N823-01_因子設定!$B$14,01_因子設定!$B$15-O823))),-1E+030)</f>
        <v>0.541423983941058</v>
      </c>
      <c r="R823" s="55" t="n">
        <f aca="false">IF(P823,IF(01_因子設定!$B$13="最大化",K823,IF(01_因子設定!$B$13="最小化",-K823,-ABS(K823-01_因子設定!$B$16))),-1E+030)</f>
        <v>48.6623929597701</v>
      </c>
      <c r="S823" s="55" t="n">
        <f aca="false">Q823+ROW()*0.000000001</f>
        <v>0.541424806941058</v>
      </c>
      <c r="T823" s="55" t="n">
        <f aca="false">R823+ROW()*0.000000001</f>
        <v>48.6623937827701</v>
      </c>
    </row>
    <row r="824" customFormat="false" ht="15" hidden="false" customHeight="false" outlineLevel="0" collapsed="false">
      <c r="A824" s="0" t="n">
        <v>19</v>
      </c>
      <c r="B824" s="0" t="n">
        <v>40</v>
      </c>
      <c r="C824" s="0" t="n">
        <f aca="false">-1+A824*0.05</f>
        <v>-0.0499999999999999</v>
      </c>
      <c r="D824" s="0" t="n">
        <f aca="false">-1+B824*0.05</f>
        <v>1</v>
      </c>
      <c r="E824" s="0" t="n">
        <f aca="false">1</f>
        <v>1</v>
      </c>
      <c r="F824" s="0" t="n">
        <f aca="false">C824</f>
        <v>-0.0499999999999999</v>
      </c>
      <c r="G824" s="0" t="n">
        <f aca="false">D824</f>
        <v>1</v>
      </c>
      <c r="H824" s="0" t="n">
        <f aca="false">C824*D824</f>
        <v>-0.0499999999999999</v>
      </c>
      <c r="I824" s="0" t="n">
        <f aca="false">C824*C824</f>
        <v>0.00249999999999999</v>
      </c>
      <c r="J824" s="0" t="n">
        <f aca="false">D824*D824</f>
        <v>1</v>
      </c>
      <c r="K824" s="0" t="n">
        <f aca="false">SUMPRODUCT(E824:J824,_XtX!$B$53:$G$53)</f>
        <v>48.6231278735632</v>
      </c>
      <c r="L824" s="0" t="n">
        <f aca="false">SUMPRODUCT(MMULT(E824:J824,_XtX!$B$44:$G$49),E824:J824)</f>
        <v>0.494089906609195</v>
      </c>
      <c r="M824" s="0" t="n">
        <f aca="false">04_回帰ANOVA!$K$19*04_回帰ANOVA!$K$14*SQRT(1+L824)</f>
        <v>1.6563989184248</v>
      </c>
      <c r="N824" s="0" t="n">
        <f aca="false">K824-M824</f>
        <v>46.9667289551384</v>
      </c>
      <c r="O824" s="0" t="n">
        <f aca="false">K824+M824</f>
        <v>50.279526791988</v>
      </c>
      <c r="P824" s="54" t="b">
        <f aca="false">AND(C824&gt;=01_因子設定!$L$5-0.000000001,C824&lt;=01_因子設定!$M$5+0.000000001,D824&gt;=01_因子設定!$L$6-0.000000001,D824&lt;=01_因子設定!$M$6+0.000000001,IF(01_因子設定!$B$20="Box-Behnken",C824^2+D824^2&lt;=2+0.000000001,TRUE()))</f>
        <v>1</v>
      </c>
      <c r="Q824" s="55" t="n">
        <f aca="false">IF(P824,IF(01_因子設定!$B$13="最大化",N824-01_因子設定!$B$14,IF(01_因子設定!$B$13="最小化",01_因子設定!$B$15-O824,MIN(N824-01_因子設定!$B$14,01_因子設定!$B$15-O824))),-1E+030)</f>
        <v>0.466728955138414</v>
      </c>
      <c r="R824" s="55" t="n">
        <f aca="false">IF(P824,IF(01_因子設定!$B$13="最大化",K824,IF(01_因子設定!$B$13="最小化",-K824,-ABS(K824-01_因子設定!$B$16))),-1E+030)</f>
        <v>48.6231278735632</v>
      </c>
      <c r="S824" s="55" t="n">
        <f aca="false">Q824+ROW()*0.000000001</f>
        <v>0.466729779138414</v>
      </c>
      <c r="T824" s="55" t="n">
        <f aca="false">R824+ROW()*0.000000001</f>
        <v>48.6231286975632</v>
      </c>
    </row>
    <row r="825" customFormat="false" ht="15" hidden="false" customHeight="false" outlineLevel="0" collapsed="false">
      <c r="A825" s="0" t="n">
        <v>20</v>
      </c>
      <c r="B825" s="0" t="n">
        <v>0</v>
      </c>
      <c r="C825" s="0" t="n">
        <f aca="false">-1+A825*0.05</f>
        <v>0</v>
      </c>
      <c r="D825" s="0" t="n">
        <f aca="false">-1+B825*0.05</f>
        <v>-1</v>
      </c>
      <c r="E825" s="0" t="n">
        <f aca="false">1</f>
        <v>1</v>
      </c>
      <c r="F825" s="0" t="n">
        <f aca="false">C825</f>
        <v>0</v>
      </c>
      <c r="G825" s="0" t="n">
        <f aca="false">D825</f>
        <v>-1</v>
      </c>
      <c r="H825" s="0" t="n">
        <f aca="false">C825*D825</f>
        <v>-0</v>
      </c>
      <c r="I825" s="0" t="n">
        <f aca="false">C825*C825</f>
        <v>0</v>
      </c>
      <c r="J825" s="0" t="n">
        <f aca="false">D825*D825</f>
        <v>1</v>
      </c>
      <c r="K825" s="0" t="n">
        <f aca="false">SUMPRODUCT(E825:J825,_XtX!$B$53:$G$53)</f>
        <v>44.2620689655172</v>
      </c>
      <c r="L825" s="0" t="n">
        <f aca="false">SUMPRODUCT(MMULT(E825:J825,_XtX!$B$44:$G$49),E825:J825)</f>
        <v>0.494252873563218</v>
      </c>
      <c r="M825" s="0" t="n">
        <f aca="false">04_回帰ANOVA!$K$19*04_回帰ANOVA!$K$14*SQRT(1+L825)</f>
        <v>1.65648925131734</v>
      </c>
      <c r="N825" s="0" t="n">
        <f aca="false">K825-M825</f>
        <v>42.6055797141999</v>
      </c>
      <c r="O825" s="0" t="n">
        <f aca="false">K825+M825</f>
        <v>45.9185582168346</v>
      </c>
      <c r="P825" s="54" t="b">
        <f aca="false">AND(C825&gt;=01_因子設定!$L$5-0.000000001,C825&lt;=01_因子設定!$M$5+0.000000001,D825&gt;=01_因子設定!$L$6-0.000000001,D825&lt;=01_因子設定!$M$6+0.000000001,IF(01_因子設定!$B$20="Box-Behnken",C825^2+D825^2&lt;=2+0.000000001,TRUE()))</f>
        <v>1</v>
      </c>
      <c r="Q825" s="55" t="n">
        <f aca="false">IF(P825,IF(01_因子設定!$B$13="最大化",N825-01_因子設定!$B$14,IF(01_因子設定!$B$13="最小化",01_因子設定!$B$15-O825,MIN(N825-01_因子設定!$B$14,01_因子設定!$B$15-O825))),-1E+030)</f>
        <v>-3.8944202858001</v>
      </c>
      <c r="R825" s="55" t="n">
        <f aca="false">IF(P825,IF(01_因子設定!$B$13="最大化",K825,IF(01_因子設定!$B$13="最小化",-K825,-ABS(K825-01_因子設定!$B$16))),-1E+030)</f>
        <v>44.2620689655172</v>
      </c>
      <c r="S825" s="55" t="n">
        <f aca="false">Q825+ROW()*0.000000001</f>
        <v>-3.8944194608001</v>
      </c>
      <c r="T825" s="55" t="n">
        <f aca="false">R825+ROW()*0.000000001</f>
        <v>44.2620697905172</v>
      </c>
    </row>
    <row r="826" customFormat="false" ht="15" hidden="false" customHeight="false" outlineLevel="0" collapsed="false">
      <c r="A826" s="0" t="n">
        <v>20</v>
      </c>
      <c r="B826" s="0" t="n">
        <v>1</v>
      </c>
      <c r="C826" s="0" t="n">
        <f aca="false">-1+A826*0.05</f>
        <v>0</v>
      </c>
      <c r="D826" s="0" t="n">
        <f aca="false">-1+B826*0.05</f>
        <v>-0.95</v>
      </c>
      <c r="E826" s="0" t="n">
        <f aca="false">1</f>
        <v>1</v>
      </c>
      <c r="F826" s="0" t="n">
        <f aca="false">C826</f>
        <v>0</v>
      </c>
      <c r="G826" s="0" t="n">
        <f aca="false">D826</f>
        <v>-0.95</v>
      </c>
      <c r="H826" s="0" t="n">
        <f aca="false">C826*D826</f>
        <v>-0</v>
      </c>
      <c r="I826" s="0" t="n">
        <f aca="false">C826*C826</f>
        <v>0</v>
      </c>
      <c r="J826" s="0" t="n">
        <f aca="false">D826*D826</f>
        <v>0.9025</v>
      </c>
      <c r="K826" s="0" t="n">
        <f aca="false">SUMPRODUCT(E826:J826,_XtX!$B$53:$G$53)</f>
        <v>44.5250215517241</v>
      </c>
      <c r="L826" s="0" t="n">
        <f aca="false">SUMPRODUCT(MMULT(E826:J826,_XtX!$B$44:$G$49),E826:J826)</f>
        <v>0.431013757183908</v>
      </c>
      <c r="M826" s="0" t="n">
        <f aca="false">04_回帰ANOVA!$K$19*04_回帰ANOVA!$K$14*SQRT(1+L826)</f>
        <v>1.62105771251497</v>
      </c>
      <c r="N826" s="0" t="n">
        <f aca="false">K826-M826</f>
        <v>42.9039638392092</v>
      </c>
      <c r="O826" s="0" t="n">
        <f aca="false">K826+M826</f>
        <v>46.1460792642391</v>
      </c>
      <c r="P826" s="54" t="b">
        <f aca="false">AND(C826&gt;=01_因子設定!$L$5-0.000000001,C826&lt;=01_因子設定!$M$5+0.000000001,D826&gt;=01_因子設定!$L$6-0.000000001,D826&lt;=01_因子設定!$M$6+0.000000001,IF(01_因子設定!$B$20="Box-Behnken",C826^2+D826^2&lt;=2+0.000000001,TRUE()))</f>
        <v>1</v>
      </c>
      <c r="Q826" s="55" t="n">
        <f aca="false">IF(P826,IF(01_因子設定!$B$13="最大化",N826-01_因子設定!$B$14,IF(01_因子設定!$B$13="最小化",01_因子設定!$B$15-O826,MIN(N826-01_因子設定!$B$14,01_因子設定!$B$15-O826))),-1E+030)</f>
        <v>-3.59603616079082</v>
      </c>
      <c r="R826" s="55" t="n">
        <f aca="false">IF(P826,IF(01_因子設定!$B$13="最大化",K826,IF(01_因子設定!$B$13="最小化",-K826,-ABS(K826-01_因子設定!$B$16))),-1E+030)</f>
        <v>44.5250215517241</v>
      </c>
      <c r="S826" s="55" t="n">
        <f aca="false">Q826+ROW()*0.000000001</f>
        <v>-3.59603533479082</v>
      </c>
      <c r="T826" s="55" t="n">
        <f aca="false">R826+ROW()*0.000000001</f>
        <v>44.5250223777241</v>
      </c>
    </row>
    <row r="827" customFormat="false" ht="15" hidden="false" customHeight="false" outlineLevel="0" collapsed="false">
      <c r="A827" s="0" t="n">
        <v>20</v>
      </c>
      <c r="B827" s="0" t="n">
        <v>2</v>
      </c>
      <c r="C827" s="0" t="n">
        <f aca="false">-1+A827*0.05</f>
        <v>0</v>
      </c>
      <c r="D827" s="0" t="n">
        <f aca="false">-1+B827*0.05</f>
        <v>-0.9</v>
      </c>
      <c r="E827" s="0" t="n">
        <f aca="false">1</f>
        <v>1</v>
      </c>
      <c r="F827" s="0" t="n">
        <f aca="false">C827</f>
        <v>0</v>
      </c>
      <c r="G827" s="0" t="n">
        <f aca="false">D827</f>
        <v>-0.9</v>
      </c>
      <c r="H827" s="0" t="n">
        <f aca="false">C827*D827</f>
        <v>-0</v>
      </c>
      <c r="I827" s="0" t="n">
        <f aca="false">C827*C827</f>
        <v>0</v>
      </c>
      <c r="J827" s="0" t="n">
        <f aca="false">D827*D827</f>
        <v>0.81</v>
      </c>
      <c r="K827" s="0" t="n">
        <f aca="false">SUMPRODUCT(E827:J827,_XtX!$B$53:$G$53)</f>
        <v>44.7802586206897</v>
      </c>
      <c r="L827" s="0" t="n">
        <f aca="false">SUMPRODUCT(MMULT(E827:J827,_XtX!$B$44:$G$49),E827:J827)</f>
        <v>0.377381034482759</v>
      </c>
      <c r="M827" s="0" t="n">
        <f aca="false">04_回帰ANOVA!$K$19*04_回帰ANOVA!$K$14*SQRT(1+L827)</f>
        <v>1.59038994648774</v>
      </c>
      <c r="N827" s="0" t="n">
        <f aca="false">K827-M827</f>
        <v>43.1898686742019</v>
      </c>
      <c r="O827" s="0" t="n">
        <f aca="false">K827+M827</f>
        <v>46.3706485671774</v>
      </c>
      <c r="P827" s="54" t="b">
        <f aca="false">AND(C827&gt;=01_因子設定!$L$5-0.000000001,C827&lt;=01_因子設定!$M$5+0.000000001,D827&gt;=01_因子設定!$L$6-0.000000001,D827&lt;=01_因子設定!$M$6+0.000000001,IF(01_因子設定!$B$20="Box-Behnken",C827^2+D827^2&lt;=2+0.000000001,TRUE()))</f>
        <v>1</v>
      </c>
      <c r="Q827" s="55" t="n">
        <f aca="false">IF(P827,IF(01_因子設定!$B$13="最大化",N827-01_因子設定!$B$14,IF(01_因子設定!$B$13="最小化",01_因子設定!$B$15-O827,MIN(N827-01_因子設定!$B$14,01_因子設定!$B$15-O827))),-1E+030)</f>
        <v>-3.31013132579808</v>
      </c>
      <c r="R827" s="55" t="n">
        <f aca="false">IF(P827,IF(01_因子設定!$B$13="最大化",K827,IF(01_因子設定!$B$13="最小化",-K827,-ABS(K827-01_因子設定!$B$16))),-1E+030)</f>
        <v>44.7802586206897</v>
      </c>
      <c r="S827" s="55" t="n">
        <f aca="false">Q827+ROW()*0.000000001</f>
        <v>-3.31013049879808</v>
      </c>
      <c r="T827" s="55" t="n">
        <f aca="false">R827+ROW()*0.000000001</f>
        <v>44.7802594476897</v>
      </c>
    </row>
    <row r="828" customFormat="false" ht="15" hidden="false" customHeight="false" outlineLevel="0" collapsed="false">
      <c r="A828" s="0" t="n">
        <v>20</v>
      </c>
      <c r="B828" s="0" t="n">
        <v>3</v>
      </c>
      <c r="C828" s="0" t="n">
        <f aca="false">-1+A828*0.05</f>
        <v>0</v>
      </c>
      <c r="D828" s="0" t="n">
        <f aca="false">-1+B828*0.05</f>
        <v>-0.85</v>
      </c>
      <c r="E828" s="0" t="n">
        <f aca="false">1</f>
        <v>1</v>
      </c>
      <c r="F828" s="0" t="n">
        <f aca="false">C828</f>
        <v>0</v>
      </c>
      <c r="G828" s="0" t="n">
        <f aca="false">D828</f>
        <v>-0.85</v>
      </c>
      <c r="H828" s="0" t="n">
        <f aca="false">C828*D828</f>
        <v>-0</v>
      </c>
      <c r="I828" s="0" t="n">
        <f aca="false">C828*C828</f>
        <v>0</v>
      </c>
      <c r="J828" s="0" t="n">
        <f aca="false">D828*D828</f>
        <v>0.7225</v>
      </c>
      <c r="K828" s="0" t="n">
        <f aca="false">SUMPRODUCT(E828:J828,_XtX!$B$53:$G$53)</f>
        <v>45.0277801724138</v>
      </c>
      <c r="L828" s="0" t="n">
        <f aca="false">SUMPRODUCT(MMULT(E828:J828,_XtX!$B$44:$G$49),E828:J828)</f>
        <v>0.33234996408046</v>
      </c>
      <c r="M828" s="0" t="n">
        <f aca="false">04_回帰ANOVA!$K$19*04_回帰ANOVA!$K$14*SQRT(1+L828)</f>
        <v>1.5641764019722</v>
      </c>
      <c r="N828" s="0" t="n">
        <f aca="false">K828-M828</f>
        <v>43.4636037704416</v>
      </c>
      <c r="O828" s="0" t="n">
        <f aca="false">K828+M828</f>
        <v>46.591956574386</v>
      </c>
      <c r="P828" s="54" t="b">
        <f aca="false">AND(C828&gt;=01_因子設定!$L$5-0.000000001,C828&lt;=01_因子設定!$M$5+0.000000001,D828&gt;=01_因子設定!$L$6-0.000000001,D828&lt;=01_因子設定!$M$6+0.000000001,IF(01_因子設定!$B$20="Box-Behnken",C828^2+D828^2&lt;=2+0.000000001,TRUE()))</f>
        <v>1</v>
      </c>
      <c r="Q828" s="55" t="n">
        <f aca="false">IF(P828,IF(01_因子設定!$B$13="最大化",N828-01_因子設定!$B$14,IF(01_因子設定!$B$13="最小化",01_因子設定!$B$15-O828,MIN(N828-01_因子設定!$B$14,01_因子設定!$B$15-O828))),-1E+030)</f>
        <v>-3.03639622955841</v>
      </c>
      <c r="R828" s="55" t="n">
        <f aca="false">IF(P828,IF(01_因子設定!$B$13="最大化",K828,IF(01_因子設定!$B$13="最小化",-K828,-ABS(K828-01_因子設定!$B$16))),-1E+030)</f>
        <v>45.0277801724138</v>
      </c>
      <c r="S828" s="55" t="n">
        <f aca="false">Q828+ROW()*0.000000001</f>
        <v>-3.03639540155841</v>
      </c>
      <c r="T828" s="55" t="n">
        <f aca="false">R828+ROW()*0.000000001</f>
        <v>45.0277810004138</v>
      </c>
    </row>
    <row r="829" customFormat="false" ht="15" hidden="false" customHeight="false" outlineLevel="0" collapsed="false">
      <c r="A829" s="0" t="n">
        <v>20</v>
      </c>
      <c r="B829" s="0" t="n">
        <v>4</v>
      </c>
      <c r="C829" s="0" t="n">
        <f aca="false">-1+A829*0.05</f>
        <v>0</v>
      </c>
      <c r="D829" s="0" t="n">
        <f aca="false">-1+B829*0.05</f>
        <v>-0.8</v>
      </c>
      <c r="E829" s="0" t="n">
        <f aca="false">1</f>
        <v>1</v>
      </c>
      <c r="F829" s="0" t="n">
        <f aca="false">C829</f>
        <v>0</v>
      </c>
      <c r="G829" s="0" t="n">
        <f aca="false">D829</f>
        <v>-0.8</v>
      </c>
      <c r="H829" s="0" t="n">
        <f aca="false">C829*D829</f>
        <v>-0</v>
      </c>
      <c r="I829" s="0" t="n">
        <f aca="false">C829*C829</f>
        <v>0</v>
      </c>
      <c r="J829" s="0" t="n">
        <f aca="false">D829*D829</f>
        <v>0.64</v>
      </c>
      <c r="K829" s="0" t="n">
        <f aca="false">SUMPRODUCT(E829:J829,_XtX!$B$53:$G$53)</f>
        <v>45.2675862068966</v>
      </c>
      <c r="L829" s="0" t="n">
        <f aca="false">SUMPRODUCT(MMULT(E829:J829,_XtX!$B$44:$G$49),E829:J829)</f>
        <v>0.294970114942529</v>
      </c>
      <c r="M829" s="0" t="n">
        <f aca="false">04_回帰ANOVA!$K$19*04_回帰ANOVA!$K$14*SQRT(1+L829)</f>
        <v>1.54207836907483</v>
      </c>
      <c r="N829" s="0" t="n">
        <f aca="false">K829-M829</f>
        <v>43.7255078378217</v>
      </c>
      <c r="O829" s="0" t="n">
        <f aca="false">K829+M829</f>
        <v>46.8096645759714</v>
      </c>
      <c r="P829" s="54" t="b">
        <f aca="false">AND(C829&gt;=01_因子設定!$L$5-0.000000001,C829&lt;=01_因子設定!$M$5+0.000000001,D829&gt;=01_因子設定!$L$6-0.000000001,D829&lt;=01_因子設定!$M$6+0.000000001,IF(01_因子設定!$B$20="Box-Behnken",C829^2+D829^2&lt;=2+0.000000001,TRUE()))</f>
        <v>1</v>
      </c>
      <c r="Q829" s="55" t="n">
        <f aca="false">IF(P829,IF(01_因子設定!$B$13="最大化",N829-01_因子設定!$B$14,IF(01_因子設定!$B$13="最小化",01_因子設定!$B$15-O829,MIN(N829-01_因子設定!$B$14,01_因子設定!$B$15-O829))),-1E+030)</f>
        <v>-2.77449216217828</v>
      </c>
      <c r="R829" s="55" t="n">
        <f aca="false">IF(P829,IF(01_因子設定!$B$13="最大化",K829,IF(01_因子設定!$B$13="最小化",-K829,-ABS(K829-01_因子設定!$B$16))),-1E+030)</f>
        <v>45.2675862068966</v>
      </c>
      <c r="S829" s="55" t="n">
        <f aca="false">Q829+ROW()*0.000000001</f>
        <v>-2.77449133317828</v>
      </c>
      <c r="T829" s="55" t="n">
        <f aca="false">R829+ROW()*0.000000001</f>
        <v>45.2675870358966</v>
      </c>
    </row>
    <row r="830" customFormat="false" ht="15" hidden="false" customHeight="false" outlineLevel="0" collapsed="false">
      <c r="A830" s="0" t="n">
        <v>20</v>
      </c>
      <c r="B830" s="0" t="n">
        <v>5</v>
      </c>
      <c r="C830" s="0" t="n">
        <f aca="false">-1+A830*0.05</f>
        <v>0</v>
      </c>
      <c r="D830" s="0" t="n">
        <f aca="false">-1+B830*0.05</f>
        <v>-0.75</v>
      </c>
      <c r="E830" s="0" t="n">
        <f aca="false">1</f>
        <v>1</v>
      </c>
      <c r="F830" s="0" t="n">
        <f aca="false">C830</f>
        <v>0</v>
      </c>
      <c r="G830" s="0" t="n">
        <f aca="false">D830</f>
        <v>-0.75</v>
      </c>
      <c r="H830" s="0" t="n">
        <f aca="false">C830*D830</f>
        <v>-0</v>
      </c>
      <c r="I830" s="0" t="n">
        <f aca="false">C830*C830</f>
        <v>0</v>
      </c>
      <c r="J830" s="0" t="n">
        <f aca="false">D830*D830</f>
        <v>0.5625</v>
      </c>
      <c r="K830" s="0" t="n">
        <f aca="false">SUMPRODUCT(E830:J830,_XtX!$B$53:$G$53)</f>
        <v>45.4996767241379</v>
      </c>
      <c r="L830" s="0" t="n">
        <f aca="false">SUMPRODUCT(MMULT(E830:J830,_XtX!$B$44:$G$49),E830:J830)</f>
        <v>0.26434536637931</v>
      </c>
      <c r="M830" s="0" t="n">
        <f aca="false">04_回帰ANOVA!$K$19*04_回帰ANOVA!$K$14*SQRT(1+L830)</f>
        <v>1.52373496352769</v>
      </c>
      <c r="N830" s="0" t="n">
        <f aca="false">K830-M830</f>
        <v>43.9759417606103</v>
      </c>
      <c r="O830" s="0" t="n">
        <f aca="false">K830+M830</f>
        <v>47.0234116876656</v>
      </c>
      <c r="P830" s="54" t="b">
        <f aca="false">AND(C830&gt;=01_因子設定!$L$5-0.000000001,C830&lt;=01_因子設定!$M$5+0.000000001,D830&gt;=01_因子設定!$L$6-0.000000001,D830&lt;=01_因子設定!$M$6+0.000000001,IF(01_因子設定!$B$20="Box-Behnken",C830^2+D830^2&lt;=2+0.000000001,TRUE()))</f>
        <v>1</v>
      </c>
      <c r="Q830" s="55" t="n">
        <f aca="false">IF(P830,IF(01_因子設定!$B$13="最大化",N830-01_因子設定!$B$14,IF(01_因子設定!$B$13="最小化",01_因子設定!$B$15-O830,MIN(N830-01_因子設定!$B$14,01_因子設定!$B$15-O830))),-1E+030)</f>
        <v>-2.52405823938975</v>
      </c>
      <c r="R830" s="55" t="n">
        <f aca="false">IF(P830,IF(01_因子設定!$B$13="最大化",K830,IF(01_因子設定!$B$13="最小化",-K830,-ABS(K830-01_因子設定!$B$16))),-1E+030)</f>
        <v>45.4996767241379</v>
      </c>
      <c r="S830" s="55" t="n">
        <f aca="false">Q830+ROW()*0.000000001</f>
        <v>-2.52405740938975</v>
      </c>
      <c r="T830" s="55" t="n">
        <f aca="false">R830+ROW()*0.000000001</f>
        <v>45.4996775541379</v>
      </c>
    </row>
    <row r="831" customFormat="false" ht="15" hidden="false" customHeight="false" outlineLevel="0" collapsed="false">
      <c r="A831" s="0" t="n">
        <v>20</v>
      </c>
      <c r="B831" s="0" t="n">
        <v>6</v>
      </c>
      <c r="C831" s="0" t="n">
        <f aca="false">-1+A831*0.05</f>
        <v>0</v>
      </c>
      <c r="D831" s="0" t="n">
        <f aca="false">-1+B831*0.05</f>
        <v>-0.7</v>
      </c>
      <c r="E831" s="0" t="n">
        <f aca="false">1</f>
        <v>1</v>
      </c>
      <c r="F831" s="0" t="n">
        <f aca="false">C831</f>
        <v>0</v>
      </c>
      <c r="G831" s="0" t="n">
        <f aca="false">D831</f>
        <v>-0.7</v>
      </c>
      <c r="H831" s="0" t="n">
        <f aca="false">C831*D831</f>
        <v>-0</v>
      </c>
      <c r="I831" s="0" t="n">
        <f aca="false">C831*C831</f>
        <v>0</v>
      </c>
      <c r="J831" s="0" t="n">
        <f aca="false">D831*D831</f>
        <v>0.49</v>
      </c>
      <c r="K831" s="0" t="n">
        <f aca="false">SUMPRODUCT(E831:J831,_XtX!$B$53:$G$53)</f>
        <v>45.7240517241379</v>
      </c>
      <c r="L831" s="0" t="n">
        <f aca="false">SUMPRODUCT(MMULT(E831:J831,_XtX!$B$44:$G$49),E831:J831)</f>
        <v>0.239633908045977</v>
      </c>
      <c r="M831" s="0" t="n">
        <f aca="false">04_回帰ANOVA!$K$19*04_回帰ANOVA!$K$14*SQRT(1+L831)</f>
        <v>1.50877088864536</v>
      </c>
      <c r="N831" s="0" t="n">
        <f aca="false">K831-M831</f>
        <v>44.2152808354926</v>
      </c>
      <c r="O831" s="0" t="n">
        <f aca="false">K831+M831</f>
        <v>47.2328226127833</v>
      </c>
      <c r="P831" s="54" t="b">
        <f aca="false">AND(C831&gt;=01_因子設定!$L$5-0.000000001,C831&lt;=01_因子設定!$M$5+0.000000001,D831&gt;=01_因子設定!$L$6-0.000000001,D831&lt;=01_因子設定!$M$6+0.000000001,IF(01_因子設定!$B$20="Box-Behnken",C831^2+D831^2&lt;=2+0.000000001,TRUE()))</f>
        <v>1</v>
      </c>
      <c r="Q831" s="55" t="n">
        <f aca="false">IF(P831,IF(01_因子設定!$B$13="最大化",N831-01_因子設定!$B$14,IF(01_因子設定!$B$13="最小化",01_因子設定!$B$15-O831,MIN(N831-01_因子設定!$B$14,01_因子設定!$B$15-O831))),-1E+030)</f>
        <v>-2.28471916450744</v>
      </c>
      <c r="R831" s="55" t="n">
        <f aca="false">IF(P831,IF(01_因子設定!$B$13="最大化",K831,IF(01_因子設定!$B$13="最小化",-K831,-ABS(K831-01_因子設定!$B$16))),-1E+030)</f>
        <v>45.7240517241379</v>
      </c>
      <c r="S831" s="55" t="n">
        <f aca="false">Q831+ROW()*0.000000001</f>
        <v>-2.28471833350744</v>
      </c>
      <c r="T831" s="55" t="n">
        <f aca="false">R831+ROW()*0.000000001</f>
        <v>45.7240525551379</v>
      </c>
    </row>
    <row r="832" customFormat="false" ht="15" hidden="false" customHeight="false" outlineLevel="0" collapsed="false">
      <c r="A832" s="0" t="n">
        <v>20</v>
      </c>
      <c r="B832" s="0" t="n">
        <v>7</v>
      </c>
      <c r="C832" s="0" t="n">
        <f aca="false">-1+A832*0.05</f>
        <v>0</v>
      </c>
      <c r="D832" s="0" t="n">
        <f aca="false">-1+B832*0.05</f>
        <v>-0.65</v>
      </c>
      <c r="E832" s="0" t="n">
        <f aca="false">1</f>
        <v>1</v>
      </c>
      <c r="F832" s="0" t="n">
        <f aca="false">C832</f>
        <v>0</v>
      </c>
      <c r="G832" s="0" t="n">
        <f aca="false">D832</f>
        <v>-0.65</v>
      </c>
      <c r="H832" s="0" t="n">
        <f aca="false">C832*D832</f>
        <v>-0</v>
      </c>
      <c r="I832" s="0" t="n">
        <f aca="false">C832*C832</f>
        <v>0</v>
      </c>
      <c r="J832" s="0" t="n">
        <f aca="false">D832*D832</f>
        <v>0.4225</v>
      </c>
      <c r="K832" s="0" t="n">
        <f aca="false">SUMPRODUCT(E832:J832,_XtX!$B$53:$G$53)</f>
        <v>45.9407112068966</v>
      </c>
      <c r="L832" s="0" t="n">
        <f aca="false">SUMPRODUCT(MMULT(E832:J832,_XtX!$B$44:$G$49),E832:J832)</f>
        <v>0.220048239942529</v>
      </c>
      <c r="M832" s="0" t="n">
        <f aca="false">04_回帰ANOVA!$K$19*04_回帰ANOVA!$K$14*SQRT(1+L832)</f>
        <v>1.49680447770974</v>
      </c>
      <c r="N832" s="0" t="n">
        <f aca="false">K832-M832</f>
        <v>44.4439067291868</v>
      </c>
      <c r="O832" s="0" t="n">
        <f aca="false">K832+M832</f>
        <v>47.4375156846063</v>
      </c>
      <c r="P832" s="54" t="b">
        <f aca="false">AND(C832&gt;=01_因子設定!$L$5-0.000000001,C832&lt;=01_因子設定!$M$5+0.000000001,D832&gt;=01_因子設定!$L$6-0.000000001,D832&lt;=01_因子設定!$M$6+0.000000001,IF(01_因子設定!$B$20="Box-Behnken",C832^2+D832^2&lt;=2+0.000000001,TRUE()))</f>
        <v>1</v>
      </c>
      <c r="Q832" s="55" t="n">
        <f aca="false">IF(P832,IF(01_因子設定!$B$13="最大化",N832-01_因子設定!$B$14,IF(01_因子設定!$B$13="最小化",01_因子設定!$B$15-O832,MIN(N832-01_因子設定!$B$14,01_因子設定!$B$15-O832))),-1E+030)</f>
        <v>-2.05609327081319</v>
      </c>
      <c r="R832" s="55" t="n">
        <f aca="false">IF(P832,IF(01_因子設定!$B$13="最大化",K832,IF(01_因子設定!$B$13="最小化",-K832,-ABS(K832-01_因子設定!$B$16))),-1E+030)</f>
        <v>45.9407112068966</v>
      </c>
      <c r="S832" s="55" t="n">
        <f aca="false">Q832+ROW()*0.000000001</f>
        <v>-2.05609243881319</v>
      </c>
      <c r="T832" s="55" t="n">
        <f aca="false">R832+ROW()*0.000000001</f>
        <v>45.9407120388966</v>
      </c>
    </row>
    <row r="833" customFormat="false" ht="15" hidden="false" customHeight="false" outlineLevel="0" collapsed="false">
      <c r="A833" s="0" t="n">
        <v>20</v>
      </c>
      <c r="B833" s="0" t="n">
        <v>8</v>
      </c>
      <c r="C833" s="0" t="n">
        <f aca="false">-1+A833*0.05</f>
        <v>0</v>
      </c>
      <c r="D833" s="0" t="n">
        <f aca="false">-1+B833*0.05</f>
        <v>-0.6</v>
      </c>
      <c r="E833" s="0" t="n">
        <f aca="false">1</f>
        <v>1</v>
      </c>
      <c r="F833" s="0" t="n">
        <f aca="false">C833</f>
        <v>0</v>
      </c>
      <c r="G833" s="0" t="n">
        <f aca="false">D833</f>
        <v>-0.6</v>
      </c>
      <c r="H833" s="0" t="n">
        <f aca="false">C833*D833</f>
        <v>-0</v>
      </c>
      <c r="I833" s="0" t="n">
        <f aca="false">C833*C833</f>
        <v>0</v>
      </c>
      <c r="J833" s="0" t="n">
        <f aca="false">D833*D833</f>
        <v>0.36</v>
      </c>
      <c r="K833" s="0" t="n">
        <f aca="false">SUMPRODUCT(E833:J833,_XtX!$B$53:$G$53)</f>
        <v>46.1496551724138</v>
      </c>
      <c r="L833" s="0" t="n">
        <f aca="false">SUMPRODUCT(MMULT(E833:J833,_XtX!$B$44:$G$49),E833:J833)</f>
        <v>0.204855172413793</v>
      </c>
      <c r="M833" s="0" t="n">
        <f aca="false">04_回帰ANOVA!$K$19*04_回帰ANOVA!$K$14*SQRT(1+L833)</f>
        <v>1.48745554677577</v>
      </c>
      <c r="N833" s="0" t="n">
        <f aca="false">K833-M833</f>
        <v>44.662199625638</v>
      </c>
      <c r="O833" s="0" t="n">
        <f aca="false">K833+M833</f>
        <v>47.6371107191896</v>
      </c>
      <c r="P833" s="54" t="b">
        <f aca="false">AND(C833&gt;=01_因子設定!$L$5-0.000000001,C833&lt;=01_因子設定!$M$5+0.000000001,D833&gt;=01_因子設定!$L$6-0.000000001,D833&lt;=01_因子設定!$M$6+0.000000001,IF(01_因子設定!$B$20="Box-Behnken",C833^2+D833^2&lt;=2+0.000000001,TRUE()))</f>
        <v>1</v>
      </c>
      <c r="Q833" s="55" t="n">
        <f aca="false">IF(P833,IF(01_因子設定!$B$13="最大化",N833-01_因子設定!$B$14,IF(01_因子設定!$B$13="最小化",01_因子設定!$B$15-O833,MIN(N833-01_因子設定!$B$14,01_因子設定!$B$15-O833))),-1E+030)</f>
        <v>-1.83780037436198</v>
      </c>
      <c r="R833" s="55" t="n">
        <f aca="false">IF(P833,IF(01_因子設定!$B$13="最大化",K833,IF(01_因子設定!$B$13="最小化",-K833,-ABS(K833-01_因子設定!$B$16))),-1E+030)</f>
        <v>46.1496551724138</v>
      </c>
      <c r="S833" s="55" t="n">
        <f aca="false">Q833+ROW()*0.000000001</f>
        <v>-1.83779954136198</v>
      </c>
      <c r="T833" s="55" t="n">
        <f aca="false">R833+ROW()*0.000000001</f>
        <v>46.1496560054138</v>
      </c>
    </row>
    <row r="834" customFormat="false" ht="15" hidden="false" customHeight="false" outlineLevel="0" collapsed="false">
      <c r="A834" s="0" t="n">
        <v>20</v>
      </c>
      <c r="B834" s="0" t="n">
        <v>9</v>
      </c>
      <c r="C834" s="0" t="n">
        <f aca="false">-1+A834*0.05</f>
        <v>0</v>
      </c>
      <c r="D834" s="0" t="n">
        <f aca="false">-1+B834*0.05</f>
        <v>-0.55</v>
      </c>
      <c r="E834" s="0" t="n">
        <f aca="false">1</f>
        <v>1</v>
      </c>
      <c r="F834" s="0" t="n">
        <f aca="false">C834</f>
        <v>0</v>
      </c>
      <c r="G834" s="0" t="n">
        <f aca="false">D834</f>
        <v>-0.55</v>
      </c>
      <c r="H834" s="0" t="n">
        <f aca="false">C834*D834</f>
        <v>-0</v>
      </c>
      <c r="I834" s="0" t="n">
        <f aca="false">C834*C834</f>
        <v>0</v>
      </c>
      <c r="J834" s="0" t="n">
        <f aca="false">D834*D834</f>
        <v>0.3025</v>
      </c>
      <c r="K834" s="0" t="n">
        <f aca="false">SUMPRODUCT(E834:J834,_XtX!$B$53:$G$53)</f>
        <v>46.3508836206897</v>
      </c>
      <c r="L834" s="0" t="n">
        <f aca="false">SUMPRODUCT(MMULT(E834:J834,_XtX!$B$44:$G$49),E834:J834)</f>
        <v>0.193375826149425</v>
      </c>
      <c r="M834" s="0" t="n">
        <f aca="false">04_回帰ANOVA!$K$19*04_回帰ANOVA!$K$14*SQRT(1+L834)</f>
        <v>1.48035266692527</v>
      </c>
      <c r="N834" s="0" t="n">
        <f aca="false">K834-M834</f>
        <v>44.8705309537644</v>
      </c>
      <c r="O834" s="0" t="n">
        <f aca="false">K834+M834</f>
        <v>47.8312362876149</v>
      </c>
      <c r="P834" s="54" t="b">
        <f aca="false">AND(C834&gt;=01_因子設定!$L$5-0.000000001,C834&lt;=01_因子設定!$M$5+0.000000001,D834&gt;=01_因子設定!$L$6-0.000000001,D834&lt;=01_因子設定!$M$6+0.000000001,IF(01_因子設定!$B$20="Box-Behnken",C834^2+D834^2&lt;=2+0.000000001,TRUE()))</f>
        <v>1</v>
      </c>
      <c r="Q834" s="55" t="n">
        <f aca="false">IF(P834,IF(01_因子設定!$B$13="最大化",N834-01_因子設定!$B$14,IF(01_因子設定!$B$13="最小化",01_因子設定!$B$15-O834,MIN(N834-01_因子設定!$B$14,01_因子設定!$B$15-O834))),-1E+030)</f>
        <v>-1.62946904623561</v>
      </c>
      <c r="R834" s="55" t="n">
        <f aca="false">IF(P834,IF(01_因子設定!$B$13="最大化",K834,IF(01_因子設定!$B$13="最小化",-K834,-ABS(K834-01_因子設定!$B$16))),-1E+030)</f>
        <v>46.3508836206897</v>
      </c>
      <c r="S834" s="55" t="n">
        <f aca="false">Q834+ROW()*0.000000001</f>
        <v>-1.62946821223561</v>
      </c>
      <c r="T834" s="55" t="n">
        <f aca="false">R834+ROW()*0.000000001</f>
        <v>46.3508844546897</v>
      </c>
    </row>
    <row r="835" customFormat="false" ht="15" hidden="false" customHeight="false" outlineLevel="0" collapsed="false">
      <c r="A835" s="0" t="n">
        <v>20</v>
      </c>
      <c r="B835" s="0" t="n">
        <v>10</v>
      </c>
      <c r="C835" s="0" t="n">
        <f aca="false">-1+A835*0.05</f>
        <v>0</v>
      </c>
      <c r="D835" s="0" t="n">
        <f aca="false">-1+B835*0.05</f>
        <v>-0.5</v>
      </c>
      <c r="E835" s="0" t="n">
        <f aca="false">1</f>
        <v>1</v>
      </c>
      <c r="F835" s="0" t="n">
        <f aca="false">C835</f>
        <v>0</v>
      </c>
      <c r="G835" s="0" t="n">
        <f aca="false">D835</f>
        <v>-0.5</v>
      </c>
      <c r="H835" s="0" t="n">
        <f aca="false">C835*D835</f>
        <v>-0</v>
      </c>
      <c r="I835" s="0" t="n">
        <f aca="false">C835*C835</f>
        <v>0</v>
      </c>
      <c r="J835" s="0" t="n">
        <f aca="false">D835*D835</f>
        <v>0.25</v>
      </c>
      <c r="K835" s="0" t="n">
        <f aca="false">SUMPRODUCT(E835:J835,_XtX!$B$53:$G$53)</f>
        <v>46.5443965517241</v>
      </c>
      <c r="L835" s="0" t="n">
        <f aca="false">SUMPRODUCT(MMULT(E835:J835,_XtX!$B$44:$G$49),E835:J835)</f>
        <v>0.184985632183908</v>
      </c>
      <c r="M835" s="0" t="n">
        <f aca="false">04_回帰ANOVA!$K$19*04_回帰ANOVA!$K$14*SQRT(1+L835)</f>
        <v>1.47513957573552</v>
      </c>
      <c r="N835" s="0" t="n">
        <f aca="false">K835-M835</f>
        <v>45.0692569759886</v>
      </c>
      <c r="O835" s="0" t="n">
        <f aca="false">K835+M835</f>
        <v>48.0195361274597</v>
      </c>
      <c r="P835" s="54" t="b">
        <f aca="false">AND(C835&gt;=01_因子設定!$L$5-0.000000001,C835&lt;=01_因子設定!$M$5+0.000000001,D835&gt;=01_因子設定!$L$6-0.000000001,D835&lt;=01_因子設定!$M$6+0.000000001,IF(01_因子設定!$B$20="Box-Behnken",C835^2+D835^2&lt;=2+0.000000001,TRUE()))</f>
        <v>1</v>
      </c>
      <c r="Q835" s="55" t="n">
        <f aca="false">IF(P835,IF(01_因子設定!$B$13="最大化",N835-01_因子設定!$B$14,IF(01_因子設定!$B$13="最小化",01_因子設定!$B$15-O835,MIN(N835-01_因子設定!$B$14,01_因子設定!$B$15-O835))),-1E+030)</f>
        <v>-1.43074302401138</v>
      </c>
      <c r="R835" s="55" t="n">
        <f aca="false">IF(P835,IF(01_因子設定!$B$13="最大化",K835,IF(01_因子設定!$B$13="最小化",-K835,-ABS(K835-01_因子設定!$B$16))),-1E+030)</f>
        <v>46.5443965517241</v>
      </c>
      <c r="S835" s="55" t="n">
        <f aca="false">Q835+ROW()*0.000000001</f>
        <v>-1.43074218901138</v>
      </c>
      <c r="T835" s="55" t="n">
        <f aca="false">R835+ROW()*0.000000001</f>
        <v>46.5443973867241</v>
      </c>
    </row>
    <row r="836" customFormat="false" ht="15" hidden="false" customHeight="false" outlineLevel="0" collapsed="false">
      <c r="A836" s="0" t="n">
        <v>20</v>
      </c>
      <c r="B836" s="0" t="n">
        <v>11</v>
      </c>
      <c r="C836" s="0" t="n">
        <f aca="false">-1+A836*0.05</f>
        <v>0</v>
      </c>
      <c r="D836" s="0" t="n">
        <f aca="false">-1+B836*0.05</f>
        <v>-0.45</v>
      </c>
      <c r="E836" s="0" t="n">
        <f aca="false">1</f>
        <v>1</v>
      </c>
      <c r="F836" s="0" t="n">
        <f aca="false">C836</f>
        <v>0</v>
      </c>
      <c r="G836" s="0" t="n">
        <f aca="false">D836</f>
        <v>-0.45</v>
      </c>
      <c r="H836" s="0" t="n">
        <f aca="false">C836*D836</f>
        <v>-0</v>
      </c>
      <c r="I836" s="0" t="n">
        <f aca="false">C836*C836</f>
        <v>0</v>
      </c>
      <c r="J836" s="0" t="n">
        <f aca="false">D836*D836</f>
        <v>0.2025</v>
      </c>
      <c r="K836" s="0" t="n">
        <f aca="false">SUMPRODUCT(E836:J836,_XtX!$B$53:$G$53)</f>
        <v>46.7301939655172</v>
      </c>
      <c r="L836" s="0" t="n">
        <f aca="false">SUMPRODUCT(MMULT(E836:J836,_XtX!$B$44:$G$49),E836:J836)</f>
        <v>0.179114331896552</v>
      </c>
      <c r="M836" s="0" t="n">
        <f aca="false">04_回帰ANOVA!$K$19*04_回帰ANOVA!$K$14*SQRT(1+L836)</f>
        <v>1.47148056836725</v>
      </c>
      <c r="N836" s="0" t="n">
        <f aca="false">K836-M836</f>
        <v>45.25871339715</v>
      </c>
      <c r="O836" s="0" t="n">
        <f aca="false">K836+M836</f>
        <v>48.2016745338845</v>
      </c>
      <c r="P836" s="54" t="b">
        <f aca="false">AND(C836&gt;=01_因子設定!$L$5-0.000000001,C836&lt;=01_因子設定!$M$5+0.000000001,D836&gt;=01_因子設定!$L$6-0.000000001,D836&lt;=01_因子設定!$M$6+0.000000001,IF(01_因子設定!$B$20="Box-Behnken",C836^2+D836^2&lt;=2+0.000000001,TRUE()))</f>
        <v>1</v>
      </c>
      <c r="Q836" s="55" t="n">
        <f aca="false">IF(P836,IF(01_因子設定!$B$13="最大化",N836-01_因子設定!$B$14,IF(01_因子設定!$B$13="最小化",01_因子設定!$B$15-O836,MIN(N836-01_因子設定!$B$14,01_因子設定!$B$15-O836))),-1E+030)</f>
        <v>-1.24128660285001</v>
      </c>
      <c r="R836" s="55" t="n">
        <f aca="false">IF(P836,IF(01_因子設定!$B$13="最大化",K836,IF(01_因子設定!$B$13="最小化",-K836,-ABS(K836-01_因子設定!$B$16))),-1E+030)</f>
        <v>46.7301939655172</v>
      </c>
      <c r="S836" s="55" t="n">
        <f aca="false">Q836+ROW()*0.000000001</f>
        <v>-1.24128576685001</v>
      </c>
      <c r="T836" s="55" t="n">
        <f aca="false">R836+ROW()*0.000000001</f>
        <v>46.7301948015172</v>
      </c>
    </row>
    <row r="837" customFormat="false" ht="15" hidden="false" customHeight="false" outlineLevel="0" collapsed="false">
      <c r="A837" s="0" t="n">
        <v>20</v>
      </c>
      <c r="B837" s="0" t="n">
        <v>12</v>
      </c>
      <c r="C837" s="0" t="n">
        <f aca="false">-1+A837*0.05</f>
        <v>0</v>
      </c>
      <c r="D837" s="0" t="n">
        <f aca="false">-1+B837*0.05</f>
        <v>-0.4</v>
      </c>
      <c r="E837" s="0" t="n">
        <f aca="false">1</f>
        <v>1</v>
      </c>
      <c r="F837" s="0" t="n">
        <f aca="false">C837</f>
        <v>0</v>
      </c>
      <c r="G837" s="0" t="n">
        <f aca="false">D837</f>
        <v>-0.4</v>
      </c>
      <c r="H837" s="0" t="n">
        <f aca="false">C837*D837</f>
        <v>-0</v>
      </c>
      <c r="I837" s="0" t="n">
        <f aca="false">C837*C837</f>
        <v>0</v>
      </c>
      <c r="J837" s="0" t="n">
        <f aca="false">D837*D837</f>
        <v>0.16</v>
      </c>
      <c r="K837" s="0" t="n">
        <f aca="false">SUMPRODUCT(E837:J837,_XtX!$B$53:$G$53)</f>
        <v>46.908275862069</v>
      </c>
      <c r="L837" s="0" t="n">
        <f aca="false">SUMPRODUCT(MMULT(E837:J837,_XtX!$B$44:$G$49),E837:J837)</f>
        <v>0.175245977011494</v>
      </c>
      <c r="M837" s="0" t="n">
        <f aca="false">04_回帰ANOVA!$K$19*04_回帰ANOVA!$K$14*SQRT(1+L837)</f>
        <v>1.46906482071072</v>
      </c>
      <c r="N837" s="0" t="n">
        <f aca="false">K837-M837</f>
        <v>45.4392110413583</v>
      </c>
      <c r="O837" s="0" t="n">
        <f aca="false">K837+M837</f>
        <v>48.3773406827797</v>
      </c>
      <c r="P837" s="54" t="b">
        <f aca="false">AND(C837&gt;=01_因子設定!$L$5-0.000000001,C837&lt;=01_因子設定!$M$5+0.000000001,D837&gt;=01_因子設定!$L$6-0.000000001,D837&lt;=01_因子設定!$M$6+0.000000001,IF(01_因子設定!$B$20="Box-Behnken",C837^2+D837^2&lt;=2+0.000000001,TRUE()))</f>
        <v>1</v>
      </c>
      <c r="Q837" s="55" t="n">
        <f aca="false">IF(P837,IF(01_因子設定!$B$13="最大化",N837-01_因子設定!$B$14,IF(01_因子設定!$B$13="最小化",01_因子設定!$B$15-O837,MIN(N837-01_因子設定!$B$14,01_因子設定!$B$15-O837))),-1E+030)</f>
        <v>-1.06078895864175</v>
      </c>
      <c r="R837" s="55" t="n">
        <f aca="false">IF(P837,IF(01_因子設定!$B$13="最大化",K837,IF(01_因子設定!$B$13="最小化",-K837,-ABS(K837-01_因子設定!$B$16))),-1E+030)</f>
        <v>46.908275862069</v>
      </c>
      <c r="S837" s="55" t="n">
        <f aca="false">Q837+ROW()*0.000000001</f>
        <v>-1.06078812164175</v>
      </c>
      <c r="T837" s="55" t="n">
        <f aca="false">R837+ROW()*0.000000001</f>
        <v>46.908276699069</v>
      </c>
    </row>
    <row r="838" customFormat="false" ht="15" hidden="false" customHeight="false" outlineLevel="0" collapsed="false">
      <c r="A838" s="0" t="n">
        <v>20</v>
      </c>
      <c r="B838" s="0" t="n">
        <v>13</v>
      </c>
      <c r="C838" s="0" t="n">
        <f aca="false">-1+A838*0.05</f>
        <v>0</v>
      </c>
      <c r="D838" s="0" t="n">
        <f aca="false">-1+B838*0.05</f>
        <v>-0.35</v>
      </c>
      <c r="E838" s="0" t="n">
        <f aca="false">1</f>
        <v>1</v>
      </c>
      <c r="F838" s="0" t="n">
        <f aca="false">C838</f>
        <v>0</v>
      </c>
      <c r="G838" s="0" t="n">
        <f aca="false">D838</f>
        <v>-0.35</v>
      </c>
      <c r="H838" s="0" t="n">
        <f aca="false">C838*D838</f>
        <v>-0</v>
      </c>
      <c r="I838" s="0" t="n">
        <f aca="false">C838*C838</f>
        <v>0</v>
      </c>
      <c r="J838" s="0" t="n">
        <f aca="false">D838*D838</f>
        <v>0.1225</v>
      </c>
      <c r="K838" s="0" t="n">
        <f aca="false">SUMPRODUCT(E838:J838,_XtX!$B$53:$G$53)</f>
        <v>47.0786422413793</v>
      </c>
      <c r="L838" s="0" t="n">
        <f aca="false">SUMPRODUCT(MMULT(E838:J838,_XtX!$B$44:$G$49),E838:J838)</f>
        <v>0.172918929597701</v>
      </c>
      <c r="M838" s="0" t="n">
        <f aca="false">04_回帰ANOVA!$K$19*04_回帰ANOVA!$K$14*SQRT(1+L838)</f>
        <v>1.46760968813473</v>
      </c>
      <c r="N838" s="0" t="n">
        <f aca="false">K838-M838</f>
        <v>45.6110325532446</v>
      </c>
      <c r="O838" s="0" t="n">
        <f aca="false">K838+M838</f>
        <v>48.546251929514</v>
      </c>
      <c r="P838" s="54" t="b">
        <f aca="false">AND(C838&gt;=01_因子設定!$L$5-0.000000001,C838&lt;=01_因子設定!$M$5+0.000000001,D838&gt;=01_因子設定!$L$6-0.000000001,D838&lt;=01_因子設定!$M$6+0.000000001,IF(01_因子設定!$B$20="Box-Behnken",C838^2+D838^2&lt;=2+0.000000001,TRUE()))</f>
        <v>1</v>
      </c>
      <c r="Q838" s="55" t="n">
        <f aca="false">IF(P838,IF(01_因子設定!$B$13="最大化",N838-01_因子設定!$B$14,IF(01_因子設定!$B$13="最小化",01_因子設定!$B$15-O838,MIN(N838-01_因子設定!$B$14,01_因子設定!$B$15-O838))),-1E+030)</f>
        <v>-0.888967446755423</v>
      </c>
      <c r="R838" s="55" t="n">
        <f aca="false">IF(P838,IF(01_因子設定!$B$13="最大化",K838,IF(01_因子設定!$B$13="最小化",-K838,-ABS(K838-01_因子設定!$B$16))),-1E+030)</f>
        <v>47.0786422413793</v>
      </c>
      <c r="S838" s="55" t="n">
        <f aca="false">Q838+ROW()*0.000000001</f>
        <v>-0.888966608755423</v>
      </c>
      <c r="T838" s="55" t="n">
        <f aca="false">R838+ROW()*0.000000001</f>
        <v>47.0786430793793</v>
      </c>
    </row>
    <row r="839" customFormat="false" ht="15" hidden="false" customHeight="false" outlineLevel="0" collapsed="false">
      <c r="A839" s="0" t="n">
        <v>20</v>
      </c>
      <c r="B839" s="0" t="n">
        <v>14</v>
      </c>
      <c r="C839" s="0" t="n">
        <f aca="false">-1+A839*0.05</f>
        <v>0</v>
      </c>
      <c r="D839" s="0" t="n">
        <f aca="false">-1+B839*0.05</f>
        <v>-0.3</v>
      </c>
      <c r="E839" s="0" t="n">
        <f aca="false">1</f>
        <v>1</v>
      </c>
      <c r="F839" s="0" t="n">
        <f aca="false">C839</f>
        <v>0</v>
      </c>
      <c r="G839" s="0" t="n">
        <f aca="false">D839</f>
        <v>-0.3</v>
      </c>
      <c r="H839" s="0" t="n">
        <f aca="false">C839*D839</f>
        <v>-0</v>
      </c>
      <c r="I839" s="0" t="n">
        <f aca="false">C839*C839</f>
        <v>0</v>
      </c>
      <c r="J839" s="0" t="n">
        <f aca="false">D839*D839</f>
        <v>0.09</v>
      </c>
      <c r="K839" s="0" t="n">
        <f aca="false">SUMPRODUCT(E839:J839,_XtX!$B$53:$G$53)</f>
        <v>47.2412931034483</v>
      </c>
      <c r="L839" s="0" t="n">
        <f aca="false">SUMPRODUCT(MMULT(E839:J839,_XtX!$B$44:$G$49),E839:J839)</f>
        <v>0.171725862068966</v>
      </c>
      <c r="M839" s="0" t="n">
        <f aca="false">04_回帰ANOVA!$K$19*04_回帰ANOVA!$K$14*SQRT(1+L839)</f>
        <v>1.46686308796267</v>
      </c>
      <c r="N839" s="0" t="n">
        <f aca="false">K839-M839</f>
        <v>45.7744300154856</v>
      </c>
      <c r="O839" s="0" t="n">
        <f aca="false">K839+M839</f>
        <v>48.708156191411</v>
      </c>
      <c r="P839" s="54" t="b">
        <f aca="false">AND(C839&gt;=01_因子設定!$L$5-0.000000001,C839&lt;=01_因子設定!$M$5+0.000000001,D839&gt;=01_因子設定!$L$6-0.000000001,D839&lt;=01_因子設定!$M$6+0.000000001,IF(01_因子設定!$B$20="Box-Behnken",C839^2+D839^2&lt;=2+0.000000001,TRUE()))</f>
        <v>1</v>
      </c>
      <c r="Q839" s="55" t="n">
        <f aca="false">IF(P839,IF(01_因子設定!$B$13="最大化",N839-01_因子設定!$B$14,IF(01_因子設定!$B$13="最小化",01_因子設定!$B$15-O839,MIN(N839-01_因子設定!$B$14,01_因子設定!$B$15-O839))),-1E+030)</f>
        <v>-0.725569984514394</v>
      </c>
      <c r="R839" s="55" t="n">
        <f aca="false">IF(P839,IF(01_因子設定!$B$13="最大化",K839,IF(01_因子設定!$B$13="最小化",-K839,-ABS(K839-01_因子設定!$B$16))),-1E+030)</f>
        <v>47.2412931034483</v>
      </c>
      <c r="S839" s="55" t="n">
        <f aca="false">Q839+ROW()*0.000000001</f>
        <v>-0.725569145514394</v>
      </c>
      <c r="T839" s="55" t="n">
        <f aca="false">R839+ROW()*0.000000001</f>
        <v>47.2412939424483</v>
      </c>
    </row>
    <row r="840" customFormat="false" ht="15" hidden="false" customHeight="false" outlineLevel="0" collapsed="false">
      <c r="A840" s="0" t="n">
        <v>20</v>
      </c>
      <c r="B840" s="0" t="n">
        <v>15</v>
      </c>
      <c r="C840" s="0" t="n">
        <f aca="false">-1+A840*0.05</f>
        <v>0</v>
      </c>
      <c r="D840" s="0" t="n">
        <f aca="false">-1+B840*0.05</f>
        <v>-0.25</v>
      </c>
      <c r="E840" s="0" t="n">
        <f aca="false">1</f>
        <v>1</v>
      </c>
      <c r="F840" s="0" t="n">
        <f aca="false">C840</f>
        <v>0</v>
      </c>
      <c r="G840" s="0" t="n">
        <f aca="false">D840</f>
        <v>-0.25</v>
      </c>
      <c r="H840" s="0" t="n">
        <f aca="false">C840*D840</f>
        <v>-0</v>
      </c>
      <c r="I840" s="0" t="n">
        <f aca="false">C840*C840</f>
        <v>0</v>
      </c>
      <c r="J840" s="0" t="n">
        <f aca="false">D840*D840</f>
        <v>0.0625</v>
      </c>
      <c r="K840" s="0" t="n">
        <f aca="false">SUMPRODUCT(E840:J840,_XtX!$B$53:$G$53)</f>
        <v>47.3962284482759</v>
      </c>
      <c r="L840" s="0" t="n">
        <f aca="false">SUMPRODUCT(MMULT(E840:J840,_XtX!$B$44:$G$49),E840:J840)</f>
        <v>0.171313757183908</v>
      </c>
      <c r="M840" s="0" t="n">
        <f aca="false">04_回帰ANOVA!$K$19*04_回帰ANOVA!$K$14*SQRT(1+L840)</f>
        <v>1.46660511183314</v>
      </c>
      <c r="N840" s="0" t="n">
        <f aca="false">K840-M840</f>
        <v>45.9296233364427</v>
      </c>
      <c r="O840" s="0" t="n">
        <f aca="false">K840+M840</f>
        <v>48.862833560109</v>
      </c>
      <c r="P840" s="54" t="b">
        <f aca="false">AND(C840&gt;=01_因子設定!$L$5-0.000000001,C840&lt;=01_因子設定!$M$5+0.000000001,D840&gt;=01_因子設定!$L$6-0.000000001,D840&lt;=01_因子設定!$M$6+0.000000001,IF(01_因子設定!$B$20="Box-Behnken",C840^2+D840^2&lt;=2+0.000000001,TRUE()))</f>
        <v>1</v>
      </c>
      <c r="Q840" s="55" t="n">
        <f aca="false">IF(P840,IF(01_因子設定!$B$13="最大化",N840-01_因子設定!$B$14,IF(01_因子設定!$B$13="最小化",01_因子設定!$B$15-O840,MIN(N840-01_因子設定!$B$14,01_因子設定!$B$15-O840))),-1E+030)</f>
        <v>-0.570376663557269</v>
      </c>
      <c r="R840" s="55" t="n">
        <f aca="false">IF(P840,IF(01_因子設定!$B$13="最大化",K840,IF(01_因子設定!$B$13="最小化",-K840,-ABS(K840-01_因子設定!$B$16))),-1E+030)</f>
        <v>47.3962284482759</v>
      </c>
      <c r="S840" s="55" t="n">
        <f aca="false">Q840+ROW()*0.000000001</f>
        <v>-0.570375823557269</v>
      </c>
      <c r="T840" s="55" t="n">
        <f aca="false">R840+ROW()*0.000000001</f>
        <v>47.3962292882759</v>
      </c>
    </row>
    <row r="841" customFormat="false" ht="15" hidden="false" customHeight="false" outlineLevel="0" collapsed="false">
      <c r="A841" s="0" t="n">
        <v>20</v>
      </c>
      <c r="B841" s="0" t="n">
        <v>16</v>
      </c>
      <c r="C841" s="0" t="n">
        <f aca="false">-1+A841*0.05</f>
        <v>0</v>
      </c>
      <c r="D841" s="0" t="n">
        <f aca="false">-1+B841*0.05</f>
        <v>-0.2</v>
      </c>
      <c r="E841" s="0" t="n">
        <f aca="false">1</f>
        <v>1</v>
      </c>
      <c r="F841" s="0" t="n">
        <f aca="false">C841</f>
        <v>0</v>
      </c>
      <c r="G841" s="0" t="n">
        <f aca="false">D841</f>
        <v>-0.2</v>
      </c>
      <c r="H841" s="0" t="n">
        <f aca="false">C841*D841</f>
        <v>-0</v>
      </c>
      <c r="I841" s="0" t="n">
        <f aca="false">C841*C841</f>
        <v>0</v>
      </c>
      <c r="J841" s="0" t="n">
        <f aca="false">D841*D841</f>
        <v>0.04</v>
      </c>
      <c r="K841" s="0" t="n">
        <f aca="false">SUMPRODUCT(E841:J841,_XtX!$B$53:$G$53)</f>
        <v>47.5434482758621</v>
      </c>
      <c r="L841" s="0" t="n">
        <f aca="false">SUMPRODUCT(MMULT(E841:J841,_XtX!$B$44:$G$49),E841:J841)</f>
        <v>0.171383908045977</v>
      </c>
      <c r="M841" s="0" t="n">
        <f aca="false">04_回帰ANOVA!$K$19*04_回帰ANOVA!$K$14*SQRT(1+L841)</f>
        <v>1.4666490292173</v>
      </c>
      <c r="N841" s="0" t="n">
        <f aca="false">K841-M841</f>
        <v>46.0767992466448</v>
      </c>
      <c r="O841" s="0" t="n">
        <f aca="false">K841+M841</f>
        <v>49.0100973050794</v>
      </c>
      <c r="P841" s="54" t="b">
        <f aca="false">AND(C841&gt;=01_因子設定!$L$5-0.000000001,C841&lt;=01_因子設定!$M$5+0.000000001,D841&gt;=01_因子設定!$L$6-0.000000001,D841&lt;=01_因子設定!$M$6+0.000000001,IF(01_因子設定!$B$20="Box-Behnken",C841^2+D841^2&lt;=2+0.000000001,TRUE()))</f>
        <v>1</v>
      </c>
      <c r="Q841" s="55" t="n">
        <f aca="false">IF(P841,IF(01_因子設定!$B$13="最大化",N841-01_因子設定!$B$14,IF(01_因子設定!$B$13="最小化",01_因子設定!$B$15-O841,MIN(N841-01_因子設定!$B$14,01_因子設定!$B$15-O841))),-1E+030)</f>
        <v>-0.423200753355232</v>
      </c>
      <c r="R841" s="55" t="n">
        <f aca="false">IF(P841,IF(01_因子設定!$B$13="最大化",K841,IF(01_因子設定!$B$13="最小化",-K841,-ABS(K841-01_因子設定!$B$16))),-1E+030)</f>
        <v>47.5434482758621</v>
      </c>
      <c r="S841" s="55" t="n">
        <f aca="false">Q841+ROW()*0.000000001</f>
        <v>-0.423199912355232</v>
      </c>
      <c r="T841" s="55" t="n">
        <f aca="false">R841+ROW()*0.000000001</f>
        <v>47.5434491168621</v>
      </c>
    </row>
    <row r="842" customFormat="false" ht="15" hidden="false" customHeight="false" outlineLevel="0" collapsed="false">
      <c r="A842" s="0" t="n">
        <v>20</v>
      </c>
      <c r="B842" s="0" t="n">
        <v>17</v>
      </c>
      <c r="C842" s="0" t="n">
        <f aca="false">-1+A842*0.05</f>
        <v>0</v>
      </c>
      <c r="D842" s="0" t="n">
        <f aca="false">-1+B842*0.05</f>
        <v>-0.15</v>
      </c>
      <c r="E842" s="0" t="n">
        <f aca="false">1</f>
        <v>1</v>
      </c>
      <c r="F842" s="0" t="n">
        <f aca="false">C842</f>
        <v>0</v>
      </c>
      <c r="G842" s="0" t="n">
        <f aca="false">D842</f>
        <v>-0.15</v>
      </c>
      <c r="H842" s="0" t="n">
        <f aca="false">C842*D842</f>
        <v>-0</v>
      </c>
      <c r="I842" s="0" t="n">
        <f aca="false">C842*C842</f>
        <v>0</v>
      </c>
      <c r="J842" s="0" t="n">
        <f aca="false">D842*D842</f>
        <v>0.0225</v>
      </c>
      <c r="K842" s="0" t="n">
        <f aca="false">SUMPRODUCT(E842:J842,_XtX!$B$53:$G$53)</f>
        <v>47.6829525862069</v>
      </c>
      <c r="L842" s="0" t="n">
        <f aca="false">SUMPRODUCT(MMULT(E842:J842,_XtX!$B$44:$G$49),E842:J842)</f>
        <v>0.171691918103448</v>
      </c>
      <c r="M842" s="0" t="n">
        <f aca="false">04_回帰ANOVA!$K$19*04_回帰ANOVA!$K$14*SQRT(1+L842)</f>
        <v>1.46684184088078</v>
      </c>
      <c r="N842" s="0" t="n">
        <f aca="false">K842-M842</f>
        <v>46.2161107453261</v>
      </c>
      <c r="O842" s="0" t="n">
        <f aca="false">K842+M842</f>
        <v>49.1497944270877</v>
      </c>
      <c r="P842" s="54" t="b">
        <f aca="false">AND(C842&gt;=01_因子設定!$L$5-0.000000001,C842&lt;=01_因子設定!$M$5+0.000000001,D842&gt;=01_因子設定!$L$6-0.000000001,D842&lt;=01_因子設定!$M$6+0.000000001,IF(01_因子設定!$B$20="Box-Behnken",C842^2+D842^2&lt;=2+0.000000001,TRUE()))</f>
        <v>1</v>
      </c>
      <c r="Q842" s="55" t="n">
        <f aca="false">IF(P842,IF(01_因子設定!$B$13="最大化",N842-01_因子設定!$B$14,IF(01_因子設定!$B$13="最小化",01_因子設定!$B$15-O842,MIN(N842-01_因子設定!$B$14,01_因子設定!$B$15-O842))),-1E+030)</f>
        <v>-0.283889254673888</v>
      </c>
      <c r="R842" s="55" t="n">
        <f aca="false">IF(P842,IF(01_因子設定!$B$13="最大化",K842,IF(01_因子設定!$B$13="最小化",-K842,-ABS(K842-01_因子設定!$B$16))),-1E+030)</f>
        <v>47.6829525862069</v>
      </c>
      <c r="S842" s="55" t="n">
        <f aca="false">Q842+ROW()*0.000000001</f>
        <v>-0.283888412673888</v>
      </c>
      <c r="T842" s="55" t="n">
        <f aca="false">R842+ROW()*0.000000001</f>
        <v>47.6829534282069</v>
      </c>
    </row>
    <row r="843" customFormat="false" ht="15" hidden="false" customHeight="false" outlineLevel="0" collapsed="false">
      <c r="A843" s="0" t="n">
        <v>20</v>
      </c>
      <c r="B843" s="0" t="n">
        <v>18</v>
      </c>
      <c r="C843" s="0" t="n">
        <f aca="false">-1+A843*0.05</f>
        <v>0</v>
      </c>
      <c r="D843" s="0" t="n">
        <f aca="false">-1+B843*0.05</f>
        <v>-0.1</v>
      </c>
      <c r="E843" s="0" t="n">
        <f aca="false">1</f>
        <v>1</v>
      </c>
      <c r="F843" s="0" t="n">
        <f aca="false">C843</f>
        <v>0</v>
      </c>
      <c r="G843" s="0" t="n">
        <f aca="false">D843</f>
        <v>-0.1</v>
      </c>
      <c r="H843" s="0" t="n">
        <f aca="false">C843*D843</f>
        <v>-0</v>
      </c>
      <c r="I843" s="0" t="n">
        <f aca="false">C843*C843</f>
        <v>0</v>
      </c>
      <c r="J843" s="0" t="n">
        <f aca="false">D843*D843</f>
        <v>0.01</v>
      </c>
      <c r="K843" s="0" t="n">
        <f aca="false">SUMPRODUCT(E843:J843,_XtX!$B$53:$G$53)</f>
        <v>47.8147413793103</v>
      </c>
      <c r="L843" s="0" t="n">
        <f aca="false">SUMPRODUCT(MMULT(E843:J843,_XtX!$B$44:$G$49),E843:J843)</f>
        <v>0.172047701149425</v>
      </c>
      <c r="M843" s="0" t="n">
        <f aca="false">04_回帰ANOVA!$K$19*04_回帰ANOVA!$K$14*SQRT(1+L843)</f>
        <v>1.46706452648575</v>
      </c>
      <c r="N843" s="0" t="n">
        <f aca="false">K843-M843</f>
        <v>46.3476768528246</v>
      </c>
      <c r="O843" s="0" t="n">
        <f aca="false">K843+M843</f>
        <v>49.2818059057961</v>
      </c>
      <c r="P843" s="54" t="b">
        <f aca="false">AND(C843&gt;=01_因子設定!$L$5-0.000000001,C843&lt;=01_因子設定!$M$5+0.000000001,D843&gt;=01_因子設定!$L$6-0.000000001,D843&lt;=01_因子設定!$M$6+0.000000001,IF(01_因子設定!$B$20="Box-Behnken",C843^2+D843^2&lt;=2+0.000000001,TRUE()))</f>
        <v>1</v>
      </c>
      <c r="Q843" s="55" t="n">
        <f aca="false">IF(P843,IF(01_因子設定!$B$13="最大化",N843-01_因子設定!$B$14,IF(01_因子設定!$B$13="最小化",01_因子設定!$B$15-O843,MIN(N843-01_因子設定!$B$14,01_因子設定!$B$15-O843))),-1E+030)</f>
        <v>-0.152323147175409</v>
      </c>
      <c r="R843" s="55" t="n">
        <f aca="false">IF(P843,IF(01_因子設定!$B$13="最大化",K843,IF(01_因子設定!$B$13="最小化",-K843,-ABS(K843-01_因子設定!$B$16))),-1E+030)</f>
        <v>47.8147413793103</v>
      </c>
      <c r="S843" s="55" t="n">
        <f aca="false">Q843+ROW()*0.000000001</f>
        <v>-0.152322304175409</v>
      </c>
      <c r="T843" s="55" t="n">
        <f aca="false">R843+ROW()*0.000000001</f>
        <v>47.8147422223103</v>
      </c>
    </row>
    <row r="844" customFormat="false" ht="15" hidden="false" customHeight="false" outlineLevel="0" collapsed="false">
      <c r="A844" s="0" t="n">
        <v>20</v>
      </c>
      <c r="B844" s="0" t="n">
        <v>19</v>
      </c>
      <c r="C844" s="0" t="n">
        <f aca="false">-1+A844*0.05</f>
        <v>0</v>
      </c>
      <c r="D844" s="0" t="n">
        <f aca="false">-1+B844*0.05</f>
        <v>-0.0499999999999999</v>
      </c>
      <c r="E844" s="0" t="n">
        <f aca="false">1</f>
        <v>1</v>
      </c>
      <c r="F844" s="0" t="n">
        <f aca="false">C844</f>
        <v>0</v>
      </c>
      <c r="G844" s="0" t="n">
        <f aca="false">D844</f>
        <v>-0.0499999999999999</v>
      </c>
      <c r="H844" s="0" t="n">
        <f aca="false">C844*D844</f>
        <v>-0</v>
      </c>
      <c r="I844" s="0" t="n">
        <f aca="false">C844*C844</f>
        <v>0</v>
      </c>
      <c r="J844" s="0" t="n">
        <f aca="false">D844*D844</f>
        <v>0.00249999999999999</v>
      </c>
      <c r="K844" s="0" t="n">
        <f aca="false">SUMPRODUCT(E844:J844,_XtX!$B$53:$G$53)</f>
        <v>47.9388146551724</v>
      </c>
      <c r="L844" s="0" t="n">
        <f aca="false">SUMPRODUCT(MMULT(E844:J844,_XtX!$B$44:$G$49),E844:J844)</f>
        <v>0.172315481321839</v>
      </c>
      <c r="M844" s="0" t="n">
        <f aca="false">04_回帰ANOVA!$K$19*04_回帰ANOVA!$K$14*SQRT(1+L844)</f>
        <v>1.46723210855394</v>
      </c>
      <c r="N844" s="0" t="n">
        <f aca="false">K844-M844</f>
        <v>46.4715825466185</v>
      </c>
      <c r="O844" s="0" t="n">
        <f aca="false">K844+M844</f>
        <v>49.4060467637264</v>
      </c>
      <c r="P844" s="54" t="b">
        <f aca="false">AND(C844&gt;=01_因子設定!$L$5-0.000000001,C844&lt;=01_因子設定!$M$5+0.000000001,D844&gt;=01_因子設定!$L$6-0.000000001,D844&lt;=01_因子設定!$M$6+0.000000001,IF(01_因子設定!$B$20="Box-Behnken",C844^2+D844^2&lt;=2+0.000000001,TRUE()))</f>
        <v>1</v>
      </c>
      <c r="Q844" s="55" t="n">
        <f aca="false">IF(P844,IF(01_因子設定!$B$13="最大化",N844-01_因子設定!$B$14,IF(01_因子設定!$B$13="最小化",01_因子設定!$B$15-O844,MIN(N844-01_因子設定!$B$14,01_因子設定!$B$15-O844))),-1E+030)</f>
        <v>-0.0284174533815218</v>
      </c>
      <c r="R844" s="55" t="n">
        <f aca="false">IF(P844,IF(01_因子設定!$B$13="最大化",K844,IF(01_因子設定!$B$13="最小化",-K844,-ABS(K844-01_因子設定!$B$16))),-1E+030)</f>
        <v>47.9388146551724</v>
      </c>
      <c r="S844" s="55" t="n">
        <f aca="false">Q844+ROW()*0.000000001</f>
        <v>-0.0284166093815218</v>
      </c>
      <c r="T844" s="55" t="n">
        <f aca="false">R844+ROW()*0.000000001</f>
        <v>47.9388154991724</v>
      </c>
    </row>
    <row r="845" customFormat="false" ht="15" hidden="false" customHeight="false" outlineLevel="0" collapsed="false">
      <c r="A845" s="0" t="n">
        <v>20</v>
      </c>
      <c r="B845" s="0" t="n">
        <v>20</v>
      </c>
      <c r="C845" s="0" t="n">
        <f aca="false">-1+A845*0.05</f>
        <v>0</v>
      </c>
      <c r="D845" s="0" t="n">
        <f aca="false">-1+B845*0.05</f>
        <v>0</v>
      </c>
      <c r="E845" s="0" t="n">
        <f aca="false">1</f>
        <v>1</v>
      </c>
      <c r="F845" s="0" t="n">
        <f aca="false">C845</f>
        <v>0</v>
      </c>
      <c r="G845" s="0" t="n">
        <f aca="false">D845</f>
        <v>0</v>
      </c>
      <c r="H845" s="0" t="n">
        <f aca="false">C845*D845</f>
        <v>0</v>
      </c>
      <c r="I845" s="0" t="n">
        <f aca="false">C845*C845</f>
        <v>0</v>
      </c>
      <c r="J845" s="0" t="n">
        <f aca="false">D845*D845</f>
        <v>0</v>
      </c>
      <c r="K845" s="0" t="n">
        <f aca="false">SUMPRODUCT(E845:J845,_XtX!$B$53:$G$53)</f>
        <v>48.0551724137931</v>
      </c>
      <c r="L845" s="0" t="n">
        <f aca="false">SUMPRODUCT(MMULT(E845:J845,_XtX!$B$44:$G$49),E845:J845)</f>
        <v>0.172413793103448</v>
      </c>
      <c r="M845" s="0" t="n">
        <f aca="false">04_回帰ANOVA!$K$19*04_回帰ANOVA!$K$14*SQRT(1+L845)</f>
        <v>1.46729362918592</v>
      </c>
      <c r="N845" s="0" t="n">
        <f aca="false">K845-M845</f>
        <v>46.5878787846072</v>
      </c>
      <c r="O845" s="0" t="n">
        <f aca="false">K845+M845</f>
        <v>49.522466042979</v>
      </c>
      <c r="P845" s="54" t="b">
        <f aca="false">AND(C845&gt;=01_因子設定!$L$5-0.000000001,C845&lt;=01_因子設定!$M$5+0.000000001,D845&gt;=01_因子設定!$L$6-0.000000001,D845&lt;=01_因子設定!$M$6+0.000000001,IF(01_因子設定!$B$20="Box-Behnken",C845^2+D845^2&lt;=2+0.000000001,TRUE()))</f>
        <v>1</v>
      </c>
      <c r="Q845" s="55" t="n">
        <f aca="false">IF(P845,IF(01_因子設定!$B$13="最大化",N845-01_因子設定!$B$14,IF(01_因子設定!$B$13="最小化",01_因子設定!$B$15-O845,MIN(N845-01_因子設定!$B$14,01_因子設定!$B$15-O845))),-1E+030)</f>
        <v>0.0878787846071774</v>
      </c>
      <c r="R845" s="55" t="n">
        <f aca="false">IF(P845,IF(01_因子設定!$B$13="最大化",K845,IF(01_因子設定!$B$13="最小化",-K845,-ABS(K845-01_因子設定!$B$16))),-1E+030)</f>
        <v>48.0551724137931</v>
      </c>
      <c r="S845" s="55" t="n">
        <f aca="false">Q845+ROW()*0.000000001</f>
        <v>0.0878796296071774</v>
      </c>
      <c r="T845" s="55" t="n">
        <f aca="false">R845+ROW()*0.000000001</f>
        <v>48.0551732587931</v>
      </c>
    </row>
    <row r="846" customFormat="false" ht="15" hidden="false" customHeight="false" outlineLevel="0" collapsed="false">
      <c r="A846" s="0" t="n">
        <v>20</v>
      </c>
      <c r="B846" s="0" t="n">
        <v>21</v>
      </c>
      <c r="C846" s="0" t="n">
        <f aca="false">-1+A846*0.05</f>
        <v>0</v>
      </c>
      <c r="D846" s="0" t="n">
        <f aca="false">-1+B846*0.05</f>
        <v>0.05</v>
      </c>
      <c r="E846" s="0" t="n">
        <f aca="false">1</f>
        <v>1</v>
      </c>
      <c r="F846" s="0" t="n">
        <f aca="false">C846</f>
        <v>0</v>
      </c>
      <c r="G846" s="0" t="n">
        <f aca="false">D846</f>
        <v>0.05</v>
      </c>
      <c r="H846" s="0" t="n">
        <f aca="false">C846*D846</f>
        <v>0</v>
      </c>
      <c r="I846" s="0" t="n">
        <f aca="false">C846*C846</f>
        <v>0</v>
      </c>
      <c r="J846" s="0" t="n">
        <f aca="false">D846*D846</f>
        <v>0.0025</v>
      </c>
      <c r="K846" s="0" t="n">
        <f aca="false">SUMPRODUCT(E846:J846,_XtX!$B$53:$G$53)</f>
        <v>48.1638146551724</v>
      </c>
      <c r="L846" s="0" t="n">
        <f aca="false">SUMPRODUCT(MMULT(E846:J846,_XtX!$B$44:$G$49),E846:J846)</f>
        <v>0.172315481321839</v>
      </c>
      <c r="M846" s="0" t="n">
        <f aca="false">04_回帰ANOVA!$K$19*04_回帰ANOVA!$K$14*SQRT(1+L846)</f>
        <v>1.46723210855394</v>
      </c>
      <c r="N846" s="0" t="n">
        <f aca="false">K846-M846</f>
        <v>46.6965825466185</v>
      </c>
      <c r="O846" s="0" t="n">
        <f aca="false">K846+M846</f>
        <v>49.6310467637263</v>
      </c>
      <c r="P846" s="54" t="b">
        <f aca="false">AND(C846&gt;=01_因子設定!$L$5-0.000000001,C846&lt;=01_因子設定!$M$5+0.000000001,D846&gt;=01_因子設定!$L$6-0.000000001,D846&lt;=01_因子設定!$M$6+0.000000001,IF(01_因子設定!$B$20="Box-Behnken",C846^2+D846^2&lt;=2+0.000000001,TRUE()))</f>
        <v>1</v>
      </c>
      <c r="Q846" s="55" t="n">
        <f aca="false">IF(P846,IF(01_因子設定!$B$13="最大化",N846-01_因子設定!$B$14,IF(01_因子設定!$B$13="最小化",01_因子設定!$B$15-O846,MIN(N846-01_因子設定!$B$14,01_因子設定!$B$15-O846))),-1E+030)</f>
        <v>0.196582546618473</v>
      </c>
      <c r="R846" s="55" t="n">
        <f aca="false">IF(P846,IF(01_因子設定!$B$13="最大化",K846,IF(01_因子設定!$B$13="最小化",-K846,-ABS(K846-01_因子設定!$B$16))),-1E+030)</f>
        <v>48.1638146551724</v>
      </c>
      <c r="S846" s="55" t="n">
        <f aca="false">Q846+ROW()*0.000000001</f>
        <v>0.196583392618473</v>
      </c>
      <c r="T846" s="55" t="n">
        <f aca="false">R846+ROW()*0.000000001</f>
        <v>48.1638155011724</v>
      </c>
    </row>
    <row r="847" customFormat="false" ht="15" hidden="false" customHeight="false" outlineLevel="0" collapsed="false">
      <c r="A847" s="0" t="n">
        <v>20</v>
      </c>
      <c r="B847" s="0" t="n">
        <v>22</v>
      </c>
      <c r="C847" s="0" t="n">
        <f aca="false">-1+A847*0.05</f>
        <v>0</v>
      </c>
      <c r="D847" s="0" t="n">
        <f aca="false">-1+B847*0.05</f>
        <v>0.1</v>
      </c>
      <c r="E847" s="0" t="n">
        <f aca="false">1</f>
        <v>1</v>
      </c>
      <c r="F847" s="0" t="n">
        <f aca="false">C847</f>
        <v>0</v>
      </c>
      <c r="G847" s="0" t="n">
        <f aca="false">D847</f>
        <v>0.1</v>
      </c>
      <c r="H847" s="0" t="n">
        <f aca="false">C847*D847</f>
        <v>0</v>
      </c>
      <c r="I847" s="0" t="n">
        <f aca="false">C847*C847</f>
        <v>0</v>
      </c>
      <c r="J847" s="0" t="n">
        <f aca="false">D847*D847</f>
        <v>0.01</v>
      </c>
      <c r="K847" s="0" t="n">
        <f aca="false">SUMPRODUCT(E847:J847,_XtX!$B$53:$G$53)</f>
        <v>48.2647413793103</v>
      </c>
      <c r="L847" s="0" t="n">
        <f aca="false">SUMPRODUCT(MMULT(E847:J847,_XtX!$B$44:$G$49),E847:J847)</f>
        <v>0.172047701149425</v>
      </c>
      <c r="M847" s="0" t="n">
        <f aca="false">04_回帰ANOVA!$K$19*04_回帰ANOVA!$K$14*SQRT(1+L847)</f>
        <v>1.46706452648575</v>
      </c>
      <c r="N847" s="0" t="n">
        <f aca="false">K847-M847</f>
        <v>46.7976768528246</v>
      </c>
      <c r="O847" s="0" t="n">
        <f aca="false">K847+M847</f>
        <v>49.7318059057961</v>
      </c>
      <c r="P847" s="54" t="b">
        <f aca="false">AND(C847&gt;=01_因子設定!$L$5-0.000000001,C847&lt;=01_因子設定!$M$5+0.000000001,D847&gt;=01_因子設定!$L$6-0.000000001,D847&lt;=01_因子設定!$M$6+0.000000001,IF(01_因子設定!$B$20="Box-Behnken",C847^2+D847^2&lt;=2+0.000000001,TRUE()))</f>
        <v>1</v>
      </c>
      <c r="Q847" s="55" t="n">
        <f aca="false">IF(P847,IF(01_因子設定!$B$13="最大化",N847-01_因子設定!$B$14,IF(01_因子設定!$B$13="最小化",01_因子設定!$B$15-O847,MIN(N847-01_因子設定!$B$14,01_因子設定!$B$15-O847))),-1E+030)</f>
        <v>0.297676852824594</v>
      </c>
      <c r="R847" s="55" t="n">
        <f aca="false">IF(P847,IF(01_因子設定!$B$13="最大化",K847,IF(01_因子設定!$B$13="最小化",-K847,-ABS(K847-01_因子設定!$B$16))),-1E+030)</f>
        <v>48.2647413793103</v>
      </c>
      <c r="S847" s="55" t="n">
        <f aca="false">Q847+ROW()*0.000000001</f>
        <v>0.297677699824594</v>
      </c>
      <c r="T847" s="55" t="n">
        <f aca="false">R847+ROW()*0.000000001</f>
        <v>48.2647422263104</v>
      </c>
    </row>
    <row r="848" customFormat="false" ht="15" hidden="false" customHeight="false" outlineLevel="0" collapsed="false">
      <c r="A848" s="0" t="n">
        <v>20</v>
      </c>
      <c r="B848" s="0" t="n">
        <v>23</v>
      </c>
      <c r="C848" s="0" t="n">
        <f aca="false">-1+A848*0.05</f>
        <v>0</v>
      </c>
      <c r="D848" s="0" t="n">
        <f aca="false">-1+B848*0.05</f>
        <v>0.15</v>
      </c>
      <c r="E848" s="0" t="n">
        <f aca="false">1</f>
        <v>1</v>
      </c>
      <c r="F848" s="0" t="n">
        <f aca="false">C848</f>
        <v>0</v>
      </c>
      <c r="G848" s="0" t="n">
        <f aca="false">D848</f>
        <v>0.15</v>
      </c>
      <c r="H848" s="0" t="n">
        <f aca="false">C848*D848</f>
        <v>0</v>
      </c>
      <c r="I848" s="0" t="n">
        <f aca="false">C848*C848</f>
        <v>0</v>
      </c>
      <c r="J848" s="0" t="n">
        <f aca="false">D848*D848</f>
        <v>0.0225</v>
      </c>
      <c r="K848" s="0" t="n">
        <f aca="false">SUMPRODUCT(E848:J848,_XtX!$B$53:$G$53)</f>
        <v>48.3579525862069</v>
      </c>
      <c r="L848" s="0" t="n">
        <f aca="false">SUMPRODUCT(MMULT(E848:J848,_XtX!$B$44:$G$49),E848:J848)</f>
        <v>0.171691918103448</v>
      </c>
      <c r="M848" s="0" t="n">
        <f aca="false">04_回帰ANOVA!$K$19*04_回帰ANOVA!$K$14*SQRT(1+L848)</f>
        <v>1.46684184088078</v>
      </c>
      <c r="N848" s="0" t="n">
        <f aca="false">K848-M848</f>
        <v>46.8911107453261</v>
      </c>
      <c r="O848" s="0" t="n">
        <f aca="false">K848+M848</f>
        <v>49.8247944270877</v>
      </c>
      <c r="P848" s="54" t="b">
        <f aca="false">AND(C848&gt;=01_因子設定!$L$5-0.000000001,C848&lt;=01_因子設定!$M$5+0.000000001,D848&gt;=01_因子設定!$L$6-0.000000001,D848&lt;=01_因子設定!$M$6+0.000000001,IF(01_因子設定!$B$20="Box-Behnken",C848^2+D848^2&lt;=2+0.000000001,TRUE()))</f>
        <v>1</v>
      </c>
      <c r="Q848" s="55" t="n">
        <f aca="false">IF(P848,IF(01_因子設定!$B$13="最大化",N848-01_因子設定!$B$14,IF(01_因子設定!$B$13="最小化",01_因子設定!$B$15-O848,MIN(N848-01_因子設定!$B$14,01_因子設定!$B$15-O848))),-1E+030)</f>
        <v>0.39111074532611</v>
      </c>
      <c r="R848" s="55" t="n">
        <f aca="false">IF(P848,IF(01_因子設定!$B$13="最大化",K848,IF(01_因子設定!$B$13="最小化",-K848,-ABS(K848-01_因子設定!$B$16))),-1E+030)</f>
        <v>48.3579525862069</v>
      </c>
      <c r="S848" s="55" t="n">
        <f aca="false">Q848+ROW()*0.000000001</f>
        <v>0.39111159332611</v>
      </c>
      <c r="T848" s="55" t="n">
        <f aca="false">R848+ROW()*0.000000001</f>
        <v>48.3579534342069</v>
      </c>
    </row>
    <row r="849" customFormat="false" ht="15" hidden="false" customHeight="false" outlineLevel="0" collapsed="false">
      <c r="A849" s="0" t="n">
        <v>20</v>
      </c>
      <c r="B849" s="0" t="n">
        <v>24</v>
      </c>
      <c r="C849" s="0" t="n">
        <f aca="false">-1+A849*0.05</f>
        <v>0</v>
      </c>
      <c r="D849" s="0" t="n">
        <f aca="false">-1+B849*0.05</f>
        <v>0.2</v>
      </c>
      <c r="E849" s="0" t="n">
        <f aca="false">1</f>
        <v>1</v>
      </c>
      <c r="F849" s="0" t="n">
        <f aca="false">C849</f>
        <v>0</v>
      </c>
      <c r="G849" s="0" t="n">
        <f aca="false">D849</f>
        <v>0.2</v>
      </c>
      <c r="H849" s="0" t="n">
        <f aca="false">C849*D849</f>
        <v>0</v>
      </c>
      <c r="I849" s="0" t="n">
        <f aca="false">C849*C849</f>
        <v>0</v>
      </c>
      <c r="J849" s="0" t="n">
        <f aca="false">D849*D849</f>
        <v>0.0400000000000001</v>
      </c>
      <c r="K849" s="0" t="n">
        <f aca="false">SUMPRODUCT(E849:J849,_XtX!$B$53:$G$53)</f>
        <v>48.4434482758621</v>
      </c>
      <c r="L849" s="0" t="n">
        <f aca="false">SUMPRODUCT(MMULT(E849:J849,_XtX!$B$44:$G$49),E849:J849)</f>
        <v>0.171383908045977</v>
      </c>
      <c r="M849" s="0" t="n">
        <f aca="false">04_回帰ANOVA!$K$19*04_回帰ANOVA!$K$14*SQRT(1+L849)</f>
        <v>1.4666490292173</v>
      </c>
      <c r="N849" s="0" t="n">
        <f aca="false">K849-M849</f>
        <v>46.9767992466448</v>
      </c>
      <c r="O849" s="0" t="n">
        <f aca="false">K849+M849</f>
        <v>49.9100973050794</v>
      </c>
      <c r="P849" s="54" t="b">
        <f aca="false">AND(C849&gt;=01_因子設定!$L$5-0.000000001,C849&lt;=01_因子設定!$M$5+0.000000001,D849&gt;=01_因子設定!$L$6-0.000000001,D849&lt;=01_因子設定!$M$6+0.000000001,IF(01_因子設定!$B$20="Box-Behnken",C849^2+D849^2&lt;=2+0.000000001,TRUE()))</f>
        <v>1</v>
      </c>
      <c r="Q849" s="55" t="n">
        <f aca="false">IF(P849,IF(01_因子設定!$B$13="最大化",N849-01_因子設定!$B$14,IF(01_因子設定!$B$13="最小化",01_因子設定!$B$15-O849,MIN(N849-01_因子設定!$B$14,01_因子設定!$B$15-O849))),-1E+030)</f>
        <v>0.476799246644767</v>
      </c>
      <c r="R849" s="55" t="n">
        <f aca="false">IF(P849,IF(01_因子設定!$B$13="最大化",K849,IF(01_因子設定!$B$13="最小化",-K849,-ABS(K849-01_因子設定!$B$16))),-1E+030)</f>
        <v>48.4434482758621</v>
      </c>
      <c r="S849" s="55" t="n">
        <f aca="false">Q849+ROW()*0.000000001</f>
        <v>0.476800095644767</v>
      </c>
      <c r="T849" s="55" t="n">
        <f aca="false">R849+ROW()*0.000000001</f>
        <v>48.4434491248621</v>
      </c>
    </row>
    <row r="850" customFormat="false" ht="15" hidden="false" customHeight="false" outlineLevel="0" collapsed="false">
      <c r="A850" s="0" t="n">
        <v>20</v>
      </c>
      <c r="B850" s="0" t="n">
        <v>25</v>
      </c>
      <c r="C850" s="0" t="n">
        <f aca="false">-1+A850*0.05</f>
        <v>0</v>
      </c>
      <c r="D850" s="0" t="n">
        <f aca="false">-1+B850*0.05</f>
        <v>0.25</v>
      </c>
      <c r="E850" s="0" t="n">
        <f aca="false">1</f>
        <v>1</v>
      </c>
      <c r="F850" s="0" t="n">
        <f aca="false">C850</f>
        <v>0</v>
      </c>
      <c r="G850" s="0" t="n">
        <f aca="false">D850</f>
        <v>0.25</v>
      </c>
      <c r="H850" s="0" t="n">
        <f aca="false">C850*D850</f>
        <v>0</v>
      </c>
      <c r="I850" s="0" t="n">
        <f aca="false">C850*C850</f>
        <v>0</v>
      </c>
      <c r="J850" s="0" t="n">
        <f aca="false">D850*D850</f>
        <v>0.0625</v>
      </c>
      <c r="K850" s="0" t="n">
        <f aca="false">SUMPRODUCT(E850:J850,_XtX!$B$53:$G$53)</f>
        <v>48.5212284482759</v>
      </c>
      <c r="L850" s="0" t="n">
        <f aca="false">SUMPRODUCT(MMULT(E850:J850,_XtX!$B$44:$G$49),E850:J850)</f>
        <v>0.171313757183908</v>
      </c>
      <c r="M850" s="0" t="n">
        <f aca="false">04_回帰ANOVA!$K$19*04_回帰ANOVA!$K$14*SQRT(1+L850)</f>
        <v>1.46660511183314</v>
      </c>
      <c r="N850" s="0" t="n">
        <f aca="false">K850-M850</f>
        <v>47.0546233364427</v>
      </c>
      <c r="O850" s="0" t="n">
        <f aca="false">K850+M850</f>
        <v>49.987833560109</v>
      </c>
      <c r="P850" s="54" t="b">
        <f aca="false">AND(C850&gt;=01_因子設定!$L$5-0.000000001,C850&lt;=01_因子設定!$M$5+0.000000001,D850&gt;=01_因子設定!$L$6-0.000000001,D850&lt;=01_因子設定!$M$6+0.000000001,IF(01_因子設定!$B$20="Box-Behnken",C850^2+D850^2&lt;=2+0.000000001,TRUE()))</f>
        <v>1</v>
      </c>
      <c r="Q850" s="55" t="n">
        <f aca="false">IF(P850,IF(01_因子設定!$B$13="最大化",N850-01_因子設定!$B$14,IF(01_因子設定!$B$13="最小化",01_因子設定!$B$15-O850,MIN(N850-01_因子設定!$B$14,01_因子設定!$B$15-O850))),-1E+030)</f>
        <v>0.554623336442731</v>
      </c>
      <c r="R850" s="55" t="n">
        <f aca="false">IF(P850,IF(01_因子設定!$B$13="最大化",K850,IF(01_因子設定!$B$13="最小化",-K850,-ABS(K850-01_因子設定!$B$16))),-1E+030)</f>
        <v>48.5212284482759</v>
      </c>
      <c r="S850" s="55" t="n">
        <f aca="false">Q850+ROW()*0.000000001</f>
        <v>0.554624186442731</v>
      </c>
      <c r="T850" s="55" t="n">
        <f aca="false">R850+ROW()*0.000000001</f>
        <v>48.5212292982759</v>
      </c>
    </row>
    <row r="851" customFormat="false" ht="15" hidden="false" customHeight="false" outlineLevel="0" collapsed="false">
      <c r="A851" s="0" t="n">
        <v>20</v>
      </c>
      <c r="B851" s="0" t="n">
        <v>26</v>
      </c>
      <c r="C851" s="0" t="n">
        <f aca="false">-1+A851*0.05</f>
        <v>0</v>
      </c>
      <c r="D851" s="0" t="n">
        <f aca="false">-1+B851*0.05</f>
        <v>0.3</v>
      </c>
      <c r="E851" s="0" t="n">
        <f aca="false">1</f>
        <v>1</v>
      </c>
      <c r="F851" s="0" t="n">
        <f aca="false">C851</f>
        <v>0</v>
      </c>
      <c r="G851" s="0" t="n">
        <f aca="false">D851</f>
        <v>0.3</v>
      </c>
      <c r="H851" s="0" t="n">
        <f aca="false">C851*D851</f>
        <v>0</v>
      </c>
      <c r="I851" s="0" t="n">
        <f aca="false">C851*C851</f>
        <v>0</v>
      </c>
      <c r="J851" s="0" t="n">
        <f aca="false">D851*D851</f>
        <v>0.09</v>
      </c>
      <c r="K851" s="0" t="n">
        <f aca="false">SUMPRODUCT(E851:J851,_XtX!$B$53:$G$53)</f>
        <v>48.5912931034483</v>
      </c>
      <c r="L851" s="0" t="n">
        <f aca="false">SUMPRODUCT(MMULT(E851:J851,_XtX!$B$44:$G$49),E851:J851)</f>
        <v>0.171725862068965</v>
      </c>
      <c r="M851" s="0" t="n">
        <f aca="false">04_回帰ANOVA!$K$19*04_回帰ANOVA!$K$14*SQRT(1+L851)</f>
        <v>1.46686308796267</v>
      </c>
      <c r="N851" s="0" t="n">
        <f aca="false">K851-M851</f>
        <v>47.1244300154856</v>
      </c>
      <c r="O851" s="0" t="n">
        <f aca="false">K851+M851</f>
        <v>50.0581561914109</v>
      </c>
      <c r="P851" s="54" t="b">
        <f aca="false">AND(C851&gt;=01_因子設定!$L$5-0.000000001,C851&lt;=01_因子設定!$M$5+0.000000001,D851&gt;=01_因子設定!$L$6-0.000000001,D851&lt;=01_因子設定!$M$6+0.000000001,IF(01_因子設定!$B$20="Box-Behnken",C851^2+D851^2&lt;=2+0.000000001,TRUE()))</f>
        <v>1</v>
      </c>
      <c r="Q851" s="55" t="n">
        <f aca="false">IF(P851,IF(01_因子設定!$B$13="最大化",N851-01_因子設定!$B$14,IF(01_因子設定!$B$13="最小化",01_因子設定!$B$15-O851,MIN(N851-01_因子設定!$B$14,01_因子設定!$B$15-O851))),-1E+030)</f>
        <v>0.624430015485601</v>
      </c>
      <c r="R851" s="55" t="n">
        <f aca="false">IF(P851,IF(01_因子設定!$B$13="最大化",K851,IF(01_因子設定!$B$13="最小化",-K851,-ABS(K851-01_因子設定!$B$16))),-1E+030)</f>
        <v>48.5912931034483</v>
      </c>
      <c r="S851" s="55" t="n">
        <f aca="false">Q851+ROW()*0.000000001</f>
        <v>0.624430866485601</v>
      </c>
      <c r="T851" s="55" t="n">
        <f aca="false">R851+ROW()*0.000000001</f>
        <v>48.5912939544483</v>
      </c>
    </row>
    <row r="852" customFormat="false" ht="15" hidden="false" customHeight="false" outlineLevel="0" collapsed="false">
      <c r="A852" s="0" t="n">
        <v>20</v>
      </c>
      <c r="B852" s="0" t="n">
        <v>27</v>
      </c>
      <c r="C852" s="0" t="n">
        <f aca="false">-1+A852*0.05</f>
        <v>0</v>
      </c>
      <c r="D852" s="0" t="n">
        <f aca="false">-1+B852*0.05</f>
        <v>0.35</v>
      </c>
      <c r="E852" s="0" t="n">
        <f aca="false">1</f>
        <v>1</v>
      </c>
      <c r="F852" s="0" t="n">
        <f aca="false">C852</f>
        <v>0</v>
      </c>
      <c r="G852" s="0" t="n">
        <f aca="false">D852</f>
        <v>0.35</v>
      </c>
      <c r="H852" s="0" t="n">
        <f aca="false">C852*D852</f>
        <v>0</v>
      </c>
      <c r="I852" s="0" t="n">
        <f aca="false">C852*C852</f>
        <v>0</v>
      </c>
      <c r="J852" s="0" t="n">
        <f aca="false">D852*D852</f>
        <v>0.1225</v>
      </c>
      <c r="K852" s="0" t="n">
        <f aca="false">SUMPRODUCT(E852:J852,_XtX!$B$53:$G$53)</f>
        <v>48.6536422413793</v>
      </c>
      <c r="L852" s="0" t="n">
        <f aca="false">SUMPRODUCT(MMULT(E852:J852,_XtX!$B$44:$G$49),E852:J852)</f>
        <v>0.172918929597701</v>
      </c>
      <c r="M852" s="0" t="n">
        <f aca="false">04_回帰ANOVA!$K$19*04_回帰ANOVA!$K$14*SQRT(1+L852)</f>
        <v>1.46760968813473</v>
      </c>
      <c r="N852" s="0" t="n">
        <f aca="false">K852-M852</f>
        <v>47.1860325532446</v>
      </c>
      <c r="O852" s="0" t="n">
        <f aca="false">K852+M852</f>
        <v>50.121251929514</v>
      </c>
      <c r="P852" s="54" t="b">
        <f aca="false">AND(C852&gt;=01_因子設定!$L$5-0.000000001,C852&lt;=01_因子設定!$M$5+0.000000001,D852&gt;=01_因子設定!$L$6-0.000000001,D852&lt;=01_因子設定!$M$6+0.000000001,IF(01_因子設定!$B$20="Box-Behnken",C852^2+D852^2&lt;=2+0.000000001,TRUE()))</f>
        <v>1</v>
      </c>
      <c r="Q852" s="55" t="n">
        <f aca="false">IF(P852,IF(01_因子設定!$B$13="最大化",N852-01_因子設定!$B$14,IF(01_因子設定!$B$13="最小化",01_因子設定!$B$15-O852,MIN(N852-01_因子設定!$B$14,01_因子設定!$B$15-O852))),-1E+030)</f>
        <v>0.68603255324458</v>
      </c>
      <c r="R852" s="55" t="n">
        <f aca="false">IF(P852,IF(01_因子設定!$B$13="最大化",K852,IF(01_因子設定!$B$13="最小化",-K852,-ABS(K852-01_因子設定!$B$16))),-1E+030)</f>
        <v>48.6536422413793</v>
      </c>
      <c r="S852" s="55" t="n">
        <f aca="false">Q852+ROW()*0.000000001</f>
        <v>0.68603340524458</v>
      </c>
      <c r="T852" s="55" t="n">
        <f aca="false">R852+ROW()*0.000000001</f>
        <v>48.6536430933793</v>
      </c>
    </row>
    <row r="853" customFormat="false" ht="15" hidden="false" customHeight="false" outlineLevel="0" collapsed="false">
      <c r="A853" s="0" t="n">
        <v>20</v>
      </c>
      <c r="B853" s="0" t="n">
        <v>28</v>
      </c>
      <c r="C853" s="0" t="n">
        <f aca="false">-1+A853*0.05</f>
        <v>0</v>
      </c>
      <c r="D853" s="0" t="n">
        <f aca="false">-1+B853*0.05</f>
        <v>0.4</v>
      </c>
      <c r="E853" s="0" t="n">
        <f aca="false">1</f>
        <v>1</v>
      </c>
      <c r="F853" s="0" t="n">
        <f aca="false">C853</f>
        <v>0</v>
      </c>
      <c r="G853" s="0" t="n">
        <f aca="false">D853</f>
        <v>0.4</v>
      </c>
      <c r="H853" s="0" t="n">
        <f aca="false">C853*D853</f>
        <v>0</v>
      </c>
      <c r="I853" s="0" t="n">
        <f aca="false">C853*C853</f>
        <v>0</v>
      </c>
      <c r="J853" s="0" t="n">
        <f aca="false">D853*D853</f>
        <v>0.16</v>
      </c>
      <c r="K853" s="0" t="n">
        <f aca="false">SUMPRODUCT(E853:J853,_XtX!$B$53:$G$53)</f>
        <v>48.708275862069</v>
      </c>
      <c r="L853" s="0" t="n">
        <f aca="false">SUMPRODUCT(MMULT(E853:J853,_XtX!$B$44:$G$49),E853:J853)</f>
        <v>0.175245977011494</v>
      </c>
      <c r="M853" s="0" t="n">
        <f aca="false">04_回帰ANOVA!$K$19*04_回帰ANOVA!$K$14*SQRT(1+L853)</f>
        <v>1.46906482071072</v>
      </c>
      <c r="N853" s="0" t="n">
        <f aca="false">K853-M853</f>
        <v>47.2392110413582</v>
      </c>
      <c r="O853" s="0" t="n">
        <f aca="false">K853+M853</f>
        <v>50.1773406827797</v>
      </c>
      <c r="P853" s="54" t="b">
        <f aca="false">AND(C853&gt;=01_因子設定!$L$5-0.000000001,C853&lt;=01_因子設定!$M$5+0.000000001,D853&gt;=01_因子設定!$L$6-0.000000001,D853&lt;=01_因子設定!$M$6+0.000000001,IF(01_因子設定!$B$20="Box-Behnken",C853^2+D853^2&lt;=2+0.000000001,TRUE()))</f>
        <v>1</v>
      </c>
      <c r="Q853" s="55" t="n">
        <f aca="false">IF(P853,IF(01_因子設定!$B$13="最大化",N853-01_因子設定!$B$14,IF(01_因子設定!$B$13="最小化",01_因子設定!$B$15-O853,MIN(N853-01_因子設定!$B$14,01_因子設定!$B$15-O853))),-1E+030)</f>
        <v>0.739211041358246</v>
      </c>
      <c r="R853" s="55" t="n">
        <f aca="false">IF(P853,IF(01_因子設定!$B$13="最大化",K853,IF(01_因子設定!$B$13="最小化",-K853,-ABS(K853-01_因子設定!$B$16))),-1E+030)</f>
        <v>48.708275862069</v>
      </c>
      <c r="S853" s="55" t="n">
        <f aca="false">Q853+ROW()*0.000000001</f>
        <v>0.739211894358246</v>
      </c>
      <c r="T853" s="55" t="n">
        <f aca="false">R853+ROW()*0.000000001</f>
        <v>48.708276715069</v>
      </c>
    </row>
    <row r="854" customFormat="false" ht="15" hidden="false" customHeight="false" outlineLevel="0" collapsed="false">
      <c r="A854" s="0" t="n">
        <v>20</v>
      </c>
      <c r="B854" s="0" t="n">
        <v>29</v>
      </c>
      <c r="C854" s="0" t="n">
        <f aca="false">-1+A854*0.05</f>
        <v>0</v>
      </c>
      <c r="D854" s="0" t="n">
        <f aca="false">-1+B854*0.05</f>
        <v>0.45</v>
      </c>
      <c r="E854" s="0" t="n">
        <f aca="false">1</f>
        <v>1</v>
      </c>
      <c r="F854" s="0" t="n">
        <f aca="false">C854</f>
        <v>0</v>
      </c>
      <c r="G854" s="0" t="n">
        <f aca="false">D854</f>
        <v>0.45</v>
      </c>
      <c r="H854" s="0" t="n">
        <f aca="false">C854*D854</f>
        <v>0</v>
      </c>
      <c r="I854" s="0" t="n">
        <f aca="false">C854*C854</f>
        <v>0</v>
      </c>
      <c r="J854" s="0" t="n">
        <f aca="false">D854*D854</f>
        <v>0.2025</v>
      </c>
      <c r="K854" s="0" t="n">
        <f aca="false">SUMPRODUCT(E854:J854,_XtX!$B$53:$G$53)</f>
        <v>48.7551939655172</v>
      </c>
      <c r="L854" s="0" t="n">
        <f aca="false">SUMPRODUCT(MMULT(E854:J854,_XtX!$B$44:$G$49),E854:J854)</f>
        <v>0.179114331896552</v>
      </c>
      <c r="M854" s="0" t="n">
        <f aca="false">04_回帰ANOVA!$K$19*04_回帰ANOVA!$K$14*SQRT(1+L854)</f>
        <v>1.47148056836725</v>
      </c>
      <c r="N854" s="0" t="n">
        <f aca="false">K854-M854</f>
        <v>47.28371339715</v>
      </c>
      <c r="O854" s="0" t="n">
        <f aca="false">K854+M854</f>
        <v>50.2266745338845</v>
      </c>
      <c r="P854" s="54" t="b">
        <f aca="false">AND(C854&gt;=01_因子設定!$L$5-0.000000001,C854&lt;=01_因子設定!$M$5+0.000000001,D854&gt;=01_因子設定!$L$6-0.000000001,D854&lt;=01_因子設定!$M$6+0.000000001,IF(01_因子設定!$B$20="Box-Behnken",C854^2+D854^2&lt;=2+0.000000001,TRUE()))</f>
        <v>1</v>
      </c>
      <c r="Q854" s="55" t="n">
        <f aca="false">IF(P854,IF(01_因子設定!$B$13="最大化",N854-01_因子設定!$B$14,IF(01_因子設定!$B$13="最小化",01_因子設定!$B$15-O854,MIN(N854-01_因子設定!$B$14,01_因子設定!$B$15-O854))),-1E+030)</f>
        <v>0.783713397149988</v>
      </c>
      <c r="R854" s="55" t="n">
        <f aca="false">IF(P854,IF(01_因子設定!$B$13="最大化",K854,IF(01_因子設定!$B$13="最小化",-K854,-ABS(K854-01_因子設定!$B$16))),-1E+030)</f>
        <v>48.7551939655172</v>
      </c>
      <c r="S854" s="55" t="n">
        <f aca="false">Q854+ROW()*0.000000001</f>
        <v>0.783714251149988</v>
      </c>
      <c r="T854" s="55" t="n">
        <f aca="false">R854+ROW()*0.000000001</f>
        <v>48.7551948195172</v>
      </c>
    </row>
    <row r="855" customFormat="false" ht="15" hidden="false" customHeight="false" outlineLevel="0" collapsed="false">
      <c r="A855" s="0" t="n">
        <v>20</v>
      </c>
      <c r="B855" s="0" t="n">
        <v>30</v>
      </c>
      <c r="C855" s="0" t="n">
        <f aca="false">-1+A855*0.05</f>
        <v>0</v>
      </c>
      <c r="D855" s="0" t="n">
        <f aca="false">-1+B855*0.05</f>
        <v>0.5</v>
      </c>
      <c r="E855" s="0" t="n">
        <f aca="false">1</f>
        <v>1</v>
      </c>
      <c r="F855" s="0" t="n">
        <f aca="false">C855</f>
        <v>0</v>
      </c>
      <c r="G855" s="0" t="n">
        <f aca="false">D855</f>
        <v>0.5</v>
      </c>
      <c r="H855" s="0" t="n">
        <f aca="false">C855*D855</f>
        <v>0</v>
      </c>
      <c r="I855" s="0" t="n">
        <f aca="false">C855*C855</f>
        <v>0</v>
      </c>
      <c r="J855" s="0" t="n">
        <f aca="false">D855*D855</f>
        <v>0.25</v>
      </c>
      <c r="K855" s="0" t="n">
        <f aca="false">SUMPRODUCT(E855:J855,_XtX!$B$53:$G$53)</f>
        <v>48.7943965517241</v>
      </c>
      <c r="L855" s="0" t="n">
        <f aca="false">SUMPRODUCT(MMULT(E855:J855,_XtX!$B$44:$G$49),E855:J855)</f>
        <v>0.184985632183908</v>
      </c>
      <c r="M855" s="0" t="n">
        <f aca="false">04_回帰ANOVA!$K$19*04_回帰ANOVA!$K$14*SQRT(1+L855)</f>
        <v>1.47513957573552</v>
      </c>
      <c r="N855" s="0" t="n">
        <f aca="false">K855-M855</f>
        <v>47.3192569759886</v>
      </c>
      <c r="O855" s="0" t="n">
        <f aca="false">K855+M855</f>
        <v>50.2695361274597</v>
      </c>
      <c r="P855" s="54" t="b">
        <f aca="false">AND(C855&gt;=01_因子設定!$L$5-0.000000001,C855&lt;=01_因子設定!$M$5+0.000000001,D855&gt;=01_因子設定!$L$6-0.000000001,D855&lt;=01_因子設定!$M$6+0.000000001,IF(01_因子設定!$B$20="Box-Behnken",C855^2+D855^2&lt;=2+0.000000001,TRUE()))</f>
        <v>1</v>
      </c>
      <c r="Q855" s="55" t="n">
        <f aca="false">IF(P855,IF(01_因子設定!$B$13="最大化",N855-01_因子設定!$B$14,IF(01_因子設定!$B$13="最小化",01_因子設定!$B$15-O855,MIN(N855-01_因子設定!$B$14,01_因子設定!$B$15-O855))),-1E+030)</f>
        <v>0.819256975988616</v>
      </c>
      <c r="R855" s="55" t="n">
        <f aca="false">IF(P855,IF(01_因子設定!$B$13="最大化",K855,IF(01_因子設定!$B$13="最小化",-K855,-ABS(K855-01_因子設定!$B$16))),-1E+030)</f>
        <v>48.7943965517241</v>
      </c>
      <c r="S855" s="55" t="n">
        <f aca="false">Q855+ROW()*0.000000001</f>
        <v>0.819257830988616</v>
      </c>
      <c r="T855" s="55" t="n">
        <f aca="false">R855+ROW()*0.000000001</f>
        <v>48.7943974067241</v>
      </c>
    </row>
    <row r="856" customFormat="false" ht="15" hidden="false" customHeight="false" outlineLevel="0" collapsed="false">
      <c r="A856" s="0" t="n">
        <v>20</v>
      </c>
      <c r="B856" s="0" t="n">
        <v>31</v>
      </c>
      <c r="C856" s="0" t="n">
        <f aca="false">-1+A856*0.05</f>
        <v>0</v>
      </c>
      <c r="D856" s="0" t="n">
        <f aca="false">-1+B856*0.05</f>
        <v>0.55</v>
      </c>
      <c r="E856" s="0" t="n">
        <f aca="false">1</f>
        <v>1</v>
      </c>
      <c r="F856" s="0" t="n">
        <f aca="false">C856</f>
        <v>0</v>
      </c>
      <c r="G856" s="0" t="n">
        <f aca="false">D856</f>
        <v>0.55</v>
      </c>
      <c r="H856" s="0" t="n">
        <f aca="false">C856*D856</f>
        <v>0</v>
      </c>
      <c r="I856" s="0" t="n">
        <f aca="false">C856*C856</f>
        <v>0</v>
      </c>
      <c r="J856" s="0" t="n">
        <f aca="false">D856*D856</f>
        <v>0.3025</v>
      </c>
      <c r="K856" s="0" t="n">
        <f aca="false">SUMPRODUCT(E856:J856,_XtX!$B$53:$G$53)</f>
        <v>48.8258836206897</v>
      </c>
      <c r="L856" s="0" t="n">
        <f aca="false">SUMPRODUCT(MMULT(E856:J856,_XtX!$B$44:$G$49),E856:J856)</f>
        <v>0.193375826149425</v>
      </c>
      <c r="M856" s="0" t="n">
        <f aca="false">04_回帰ANOVA!$K$19*04_回帰ANOVA!$K$14*SQRT(1+L856)</f>
        <v>1.48035266692527</v>
      </c>
      <c r="N856" s="0" t="n">
        <f aca="false">K856-M856</f>
        <v>47.3455309537644</v>
      </c>
      <c r="O856" s="0" t="n">
        <f aca="false">K856+M856</f>
        <v>50.3062362876149</v>
      </c>
      <c r="P856" s="54" t="b">
        <f aca="false">AND(C856&gt;=01_因子設定!$L$5-0.000000001,C856&lt;=01_因子設定!$M$5+0.000000001,D856&gt;=01_因子設定!$L$6-0.000000001,D856&lt;=01_因子設定!$M$6+0.000000001,IF(01_因子設定!$B$20="Box-Behnken",C856^2+D856^2&lt;=2+0.000000001,TRUE()))</f>
        <v>1</v>
      </c>
      <c r="Q856" s="55" t="n">
        <f aca="false">IF(P856,IF(01_因子設定!$B$13="最大化",N856-01_因子設定!$B$14,IF(01_因子設定!$B$13="最小化",01_因子設定!$B$15-O856,MIN(N856-01_因子設定!$B$14,01_因子設定!$B$15-O856))),-1E+030)</f>
        <v>0.845530953764381</v>
      </c>
      <c r="R856" s="55" t="n">
        <f aca="false">IF(P856,IF(01_因子設定!$B$13="最大化",K856,IF(01_因子設定!$B$13="最小化",-K856,-ABS(K856-01_因子設定!$B$16))),-1E+030)</f>
        <v>48.8258836206897</v>
      </c>
      <c r="S856" s="55" t="n">
        <f aca="false">Q856+ROW()*0.000000001</f>
        <v>0.845531809764381</v>
      </c>
      <c r="T856" s="55" t="n">
        <f aca="false">R856+ROW()*0.000000001</f>
        <v>48.8258844766897</v>
      </c>
    </row>
    <row r="857" customFormat="false" ht="15" hidden="false" customHeight="false" outlineLevel="0" collapsed="false">
      <c r="A857" s="0" t="n">
        <v>20</v>
      </c>
      <c r="B857" s="0" t="n">
        <v>32</v>
      </c>
      <c r="C857" s="0" t="n">
        <f aca="false">-1+A857*0.05</f>
        <v>0</v>
      </c>
      <c r="D857" s="0" t="n">
        <f aca="false">-1+B857*0.05</f>
        <v>0.6</v>
      </c>
      <c r="E857" s="0" t="n">
        <f aca="false">1</f>
        <v>1</v>
      </c>
      <c r="F857" s="0" t="n">
        <f aca="false">C857</f>
        <v>0</v>
      </c>
      <c r="G857" s="0" t="n">
        <f aca="false">D857</f>
        <v>0.6</v>
      </c>
      <c r="H857" s="0" t="n">
        <f aca="false">C857*D857</f>
        <v>0</v>
      </c>
      <c r="I857" s="0" t="n">
        <f aca="false">C857*C857</f>
        <v>0</v>
      </c>
      <c r="J857" s="0" t="n">
        <f aca="false">D857*D857</f>
        <v>0.36</v>
      </c>
      <c r="K857" s="0" t="n">
        <f aca="false">SUMPRODUCT(E857:J857,_XtX!$B$53:$G$53)</f>
        <v>48.8496551724138</v>
      </c>
      <c r="L857" s="0" t="n">
        <f aca="false">SUMPRODUCT(MMULT(E857:J857,_XtX!$B$44:$G$49),E857:J857)</f>
        <v>0.204855172413793</v>
      </c>
      <c r="M857" s="0" t="n">
        <f aca="false">04_回帰ANOVA!$K$19*04_回帰ANOVA!$K$14*SQRT(1+L857)</f>
        <v>1.48745554677577</v>
      </c>
      <c r="N857" s="0" t="n">
        <f aca="false">K857-M857</f>
        <v>47.362199625638</v>
      </c>
      <c r="O857" s="0" t="n">
        <f aca="false">K857+M857</f>
        <v>50.3371107191896</v>
      </c>
      <c r="P857" s="54" t="b">
        <f aca="false">AND(C857&gt;=01_因子設定!$L$5-0.000000001,C857&lt;=01_因子設定!$M$5+0.000000001,D857&gt;=01_因子設定!$L$6-0.000000001,D857&lt;=01_因子設定!$M$6+0.000000001,IF(01_因子設定!$B$20="Box-Behnken",C857^2+D857^2&lt;=2+0.000000001,TRUE()))</f>
        <v>1</v>
      </c>
      <c r="Q857" s="55" t="n">
        <f aca="false">IF(P857,IF(01_因子設定!$B$13="最大化",N857-01_因子設定!$B$14,IF(01_因子設定!$B$13="最小化",01_因子設定!$B$15-O857,MIN(N857-01_因子設定!$B$14,01_因子設定!$B$15-O857))),-1E+030)</f>
        <v>0.86219962563802</v>
      </c>
      <c r="R857" s="55" t="n">
        <f aca="false">IF(P857,IF(01_因子設定!$B$13="最大化",K857,IF(01_因子設定!$B$13="最小化",-K857,-ABS(K857-01_因子設定!$B$16))),-1E+030)</f>
        <v>48.8496551724138</v>
      </c>
      <c r="S857" s="55" t="n">
        <f aca="false">Q857+ROW()*0.000000001</f>
        <v>0.86220048263802</v>
      </c>
      <c r="T857" s="55" t="n">
        <f aca="false">R857+ROW()*0.000000001</f>
        <v>48.8496560294138</v>
      </c>
    </row>
    <row r="858" customFormat="false" ht="15" hidden="false" customHeight="false" outlineLevel="0" collapsed="false">
      <c r="A858" s="0" t="n">
        <v>20</v>
      </c>
      <c r="B858" s="0" t="n">
        <v>33</v>
      </c>
      <c r="C858" s="0" t="n">
        <f aca="false">-1+A858*0.05</f>
        <v>0</v>
      </c>
      <c r="D858" s="0" t="n">
        <f aca="false">-1+B858*0.05</f>
        <v>0.65</v>
      </c>
      <c r="E858" s="0" t="n">
        <f aca="false">1</f>
        <v>1</v>
      </c>
      <c r="F858" s="0" t="n">
        <f aca="false">C858</f>
        <v>0</v>
      </c>
      <c r="G858" s="0" t="n">
        <f aca="false">D858</f>
        <v>0.65</v>
      </c>
      <c r="H858" s="0" t="n">
        <f aca="false">C858*D858</f>
        <v>0</v>
      </c>
      <c r="I858" s="0" t="n">
        <f aca="false">C858*C858</f>
        <v>0</v>
      </c>
      <c r="J858" s="0" t="n">
        <f aca="false">D858*D858</f>
        <v>0.4225</v>
      </c>
      <c r="K858" s="0" t="n">
        <f aca="false">SUMPRODUCT(E858:J858,_XtX!$B$53:$G$53)</f>
        <v>48.8657112068966</v>
      </c>
      <c r="L858" s="0" t="n">
        <f aca="false">SUMPRODUCT(MMULT(E858:J858,_XtX!$B$44:$G$49),E858:J858)</f>
        <v>0.220048239942529</v>
      </c>
      <c r="M858" s="0" t="n">
        <f aca="false">04_回帰ANOVA!$K$19*04_回帰ANOVA!$K$14*SQRT(1+L858)</f>
        <v>1.49680447770974</v>
      </c>
      <c r="N858" s="0" t="n">
        <f aca="false">K858-M858</f>
        <v>47.3689067291868</v>
      </c>
      <c r="O858" s="0" t="n">
        <f aca="false">K858+M858</f>
        <v>50.3625156846063</v>
      </c>
      <c r="P858" s="54" t="b">
        <f aca="false">AND(C858&gt;=01_因子設定!$L$5-0.000000001,C858&lt;=01_因子設定!$M$5+0.000000001,D858&gt;=01_因子設定!$L$6-0.000000001,D858&lt;=01_因子設定!$M$6+0.000000001,IF(01_因子設定!$B$20="Box-Behnken",C858^2+D858^2&lt;=2+0.000000001,TRUE()))</f>
        <v>1</v>
      </c>
      <c r="Q858" s="55" t="n">
        <f aca="false">IF(P858,IF(01_因子設定!$B$13="最大化",N858-01_因子設定!$B$14,IF(01_因子設定!$B$13="最小化",01_因子設定!$B$15-O858,MIN(N858-01_因子設定!$B$14,01_因子設定!$B$15-O858))),-1E+030)</f>
        <v>0.868906729186804</v>
      </c>
      <c r="R858" s="55" t="n">
        <f aca="false">IF(P858,IF(01_因子設定!$B$13="最大化",K858,IF(01_因子設定!$B$13="最小化",-K858,-ABS(K858-01_因子設定!$B$16))),-1E+030)</f>
        <v>48.8657112068966</v>
      </c>
      <c r="S858" s="55" t="n">
        <f aca="false">Q858+ROW()*0.000000001</f>
        <v>0.868907587186804</v>
      </c>
      <c r="T858" s="55" t="n">
        <f aca="false">R858+ROW()*0.000000001</f>
        <v>48.8657120648966</v>
      </c>
    </row>
    <row r="859" customFormat="false" ht="15" hidden="false" customHeight="false" outlineLevel="0" collapsed="false">
      <c r="A859" s="0" t="n">
        <v>20</v>
      </c>
      <c r="B859" s="0" t="n">
        <v>34</v>
      </c>
      <c r="C859" s="0" t="n">
        <f aca="false">-1+A859*0.05</f>
        <v>0</v>
      </c>
      <c r="D859" s="0" t="n">
        <f aca="false">-1+B859*0.05</f>
        <v>0.7</v>
      </c>
      <c r="E859" s="0" t="n">
        <f aca="false">1</f>
        <v>1</v>
      </c>
      <c r="F859" s="0" t="n">
        <f aca="false">C859</f>
        <v>0</v>
      </c>
      <c r="G859" s="0" t="n">
        <f aca="false">D859</f>
        <v>0.7</v>
      </c>
      <c r="H859" s="0" t="n">
        <f aca="false">C859*D859</f>
        <v>0</v>
      </c>
      <c r="I859" s="0" t="n">
        <f aca="false">C859*C859</f>
        <v>0</v>
      </c>
      <c r="J859" s="0" t="n">
        <f aca="false">D859*D859</f>
        <v>0.49</v>
      </c>
      <c r="K859" s="0" t="n">
        <f aca="false">SUMPRODUCT(E859:J859,_XtX!$B$53:$G$53)</f>
        <v>48.8740517241379</v>
      </c>
      <c r="L859" s="0" t="n">
        <f aca="false">SUMPRODUCT(MMULT(E859:J859,_XtX!$B$44:$G$49),E859:J859)</f>
        <v>0.239633908045977</v>
      </c>
      <c r="M859" s="0" t="n">
        <f aca="false">04_回帰ANOVA!$K$19*04_回帰ANOVA!$K$14*SQRT(1+L859)</f>
        <v>1.50877088864536</v>
      </c>
      <c r="N859" s="0" t="n">
        <f aca="false">K859-M859</f>
        <v>47.3652808354926</v>
      </c>
      <c r="O859" s="0" t="n">
        <f aca="false">K859+M859</f>
        <v>50.3828226127833</v>
      </c>
      <c r="P859" s="54" t="b">
        <f aca="false">AND(C859&gt;=01_因子設定!$L$5-0.000000001,C859&lt;=01_因子設定!$M$5+0.000000001,D859&gt;=01_因子設定!$L$6-0.000000001,D859&lt;=01_因子設定!$M$6+0.000000001,IF(01_因子設定!$B$20="Box-Behnken",C859^2+D859^2&lt;=2+0.000000001,TRUE()))</f>
        <v>1</v>
      </c>
      <c r="Q859" s="55" t="n">
        <f aca="false">IF(P859,IF(01_因子設定!$B$13="最大化",N859-01_因子設定!$B$14,IF(01_因子設定!$B$13="最小化",01_因子設定!$B$15-O859,MIN(N859-01_因子設定!$B$14,01_因子設定!$B$15-O859))),-1E+030)</f>
        <v>0.865280835492563</v>
      </c>
      <c r="R859" s="55" t="n">
        <f aca="false">IF(P859,IF(01_因子設定!$B$13="最大化",K859,IF(01_因子設定!$B$13="最小化",-K859,-ABS(K859-01_因子設定!$B$16))),-1E+030)</f>
        <v>48.8740517241379</v>
      </c>
      <c r="S859" s="55" t="n">
        <f aca="false">Q859+ROW()*0.000000001</f>
        <v>0.865281694492563</v>
      </c>
      <c r="T859" s="55" t="n">
        <f aca="false">R859+ROW()*0.000000001</f>
        <v>48.8740525831379</v>
      </c>
    </row>
    <row r="860" customFormat="false" ht="15" hidden="false" customHeight="false" outlineLevel="0" collapsed="false">
      <c r="A860" s="0" t="n">
        <v>20</v>
      </c>
      <c r="B860" s="0" t="n">
        <v>35</v>
      </c>
      <c r="C860" s="0" t="n">
        <f aca="false">-1+A860*0.05</f>
        <v>0</v>
      </c>
      <c r="D860" s="0" t="n">
        <f aca="false">-1+B860*0.05</f>
        <v>0.75</v>
      </c>
      <c r="E860" s="0" t="n">
        <f aca="false">1</f>
        <v>1</v>
      </c>
      <c r="F860" s="0" t="n">
        <f aca="false">C860</f>
        <v>0</v>
      </c>
      <c r="G860" s="0" t="n">
        <f aca="false">D860</f>
        <v>0.75</v>
      </c>
      <c r="H860" s="0" t="n">
        <f aca="false">C860*D860</f>
        <v>0</v>
      </c>
      <c r="I860" s="0" t="n">
        <f aca="false">C860*C860</f>
        <v>0</v>
      </c>
      <c r="J860" s="0" t="n">
        <f aca="false">D860*D860</f>
        <v>0.5625</v>
      </c>
      <c r="K860" s="0" t="n">
        <f aca="false">SUMPRODUCT(E860:J860,_XtX!$B$53:$G$53)</f>
        <v>48.8746767241379</v>
      </c>
      <c r="L860" s="0" t="n">
        <f aca="false">SUMPRODUCT(MMULT(E860:J860,_XtX!$B$44:$G$49),E860:J860)</f>
        <v>0.26434536637931</v>
      </c>
      <c r="M860" s="0" t="n">
        <f aca="false">04_回帰ANOVA!$K$19*04_回帰ANOVA!$K$14*SQRT(1+L860)</f>
        <v>1.52373496352769</v>
      </c>
      <c r="N860" s="0" t="n">
        <f aca="false">K860-M860</f>
        <v>47.3509417606102</v>
      </c>
      <c r="O860" s="0" t="n">
        <f aca="false">K860+M860</f>
        <v>50.3984116876656</v>
      </c>
      <c r="P860" s="54" t="b">
        <f aca="false">AND(C860&gt;=01_因子設定!$L$5-0.000000001,C860&lt;=01_因子設定!$M$5+0.000000001,D860&gt;=01_因子設定!$L$6-0.000000001,D860&lt;=01_因子設定!$M$6+0.000000001,IF(01_因子設定!$B$20="Box-Behnken",C860^2+D860^2&lt;=2+0.000000001,TRUE()))</f>
        <v>1</v>
      </c>
      <c r="Q860" s="55" t="n">
        <f aca="false">IF(P860,IF(01_因子設定!$B$13="最大化",N860-01_因子設定!$B$14,IF(01_因子設定!$B$13="最小化",01_因子設定!$B$15-O860,MIN(N860-01_因子設定!$B$14,01_因子設定!$B$15-O860))),-1E+030)</f>
        <v>0.85094176061024</v>
      </c>
      <c r="R860" s="55" t="n">
        <f aca="false">IF(P860,IF(01_因子設定!$B$13="最大化",K860,IF(01_因子設定!$B$13="最小化",-K860,-ABS(K860-01_因子設定!$B$16))),-1E+030)</f>
        <v>48.8746767241379</v>
      </c>
      <c r="S860" s="55" t="n">
        <f aca="false">Q860+ROW()*0.000000001</f>
        <v>0.85094262061024</v>
      </c>
      <c r="T860" s="55" t="n">
        <f aca="false">R860+ROW()*0.000000001</f>
        <v>48.8746775841379</v>
      </c>
    </row>
    <row r="861" customFormat="false" ht="15" hidden="false" customHeight="false" outlineLevel="0" collapsed="false">
      <c r="A861" s="0" t="n">
        <v>20</v>
      </c>
      <c r="B861" s="0" t="n">
        <v>36</v>
      </c>
      <c r="C861" s="0" t="n">
        <f aca="false">-1+A861*0.05</f>
        <v>0</v>
      </c>
      <c r="D861" s="0" t="n">
        <f aca="false">-1+B861*0.05</f>
        <v>0.8</v>
      </c>
      <c r="E861" s="0" t="n">
        <f aca="false">1</f>
        <v>1</v>
      </c>
      <c r="F861" s="0" t="n">
        <f aca="false">C861</f>
        <v>0</v>
      </c>
      <c r="G861" s="0" t="n">
        <f aca="false">D861</f>
        <v>0.8</v>
      </c>
      <c r="H861" s="0" t="n">
        <f aca="false">C861*D861</f>
        <v>0</v>
      </c>
      <c r="I861" s="0" t="n">
        <f aca="false">C861*C861</f>
        <v>0</v>
      </c>
      <c r="J861" s="0" t="n">
        <f aca="false">D861*D861</f>
        <v>0.64</v>
      </c>
      <c r="K861" s="0" t="n">
        <f aca="false">SUMPRODUCT(E861:J861,_XtX!$B$53:$G$53)</f>
        <v>48.8675862068966</v>
      </c>
      <c r="L861" s="0" t="n">
        <f aca="false">SUMPRODUCT(MMULT(E861:J861,_XtX!$B$44:$G$49),E861:J861)</f>
        <v>0.294970114942529</v>
      </c>
      <c r="M861" s="0" t="n">
        <f aca="false">04_回帰ANOVA!$K$19*04_回帰ANOVA!$K$14*SQRT(1+L861)</f>
        <v>1.54207836907483</v>
      </c>
      <c r="N861" s="0" t="n">
        <f aca="false">K861-M861</f>
        <v>47.3255078378217</v>
      </c>
      <c r="O861" s="0" t="n">
        <f aca="false">K861+M861</f>
        <v>50.4096645759714</v>
      </c>
      <c r="P861" s="54" t="b">
        <f aca="false">AND(C861&gt;=01_因子設定!$L$5-0.000000001,C861&lt;=01_因子設定!$M$5+0.000000001,D861&gt;=01_因子設定!$L$6-0.000000001,D861&lt;=01_因子設定!$M$6+0.000000001,IF(01_因子設定!$B$20="Box-Behnken",C861^2+D861^2&lt;=2+0.000000001,TRUE()))</f>
        <v>1</v>
      </c>
      <c r="Q861" s="55" t="n">
        <f aca="false">IF(P861,IF(01_因子設定!$B$13="最大化",N861-01_因子設定!$B$14,IF(01_因子設定!$B$13="最小化",01_因子設定!$B$15-O861,MIN(N861-01_因子設定!$B$14,01_因子設定!$B$15-O861))),-1E+030)</f>
        <v>0.825507837821725</v>
      </c>
      <c r="R861" s="55" t="n">
        <f aca="false">IF(P861,IF(01_因子設定!$B$13="最大化",K861,IF(01_因子設定!$B$13="最小化",-K861,-ABS(K861-01_因子設定!$B$16))),-1E+030)</f>
        <v>48.8675862068966</v>
      </c>
      <c r="S861" s="55" t="n">
        <f aca="false">Q861+ROW()*0.000000001</f>
        <v>0.825508698821725</v>
      </c>
      <c r="T861" s="55" t="n">
        <f aca="false">R861+ROW()*0.000000001</f>
        <v>48.8675870678966</v>
      </c>
    </row>
    <row r="862" customFormat="false" ht="15" hidden="false" customHeight="false" outlineLevel="0" collapsed="false">
      <c r="A862" s="0" t="n">
        <v>20</v>
      </c>
      <c r="B862" s="0" t="n">
        <v>37</v>
      </c>
      <c r="C862" s="0" t="n">
        <f aca="false">-1+A862*0.05</f>
        <v>0</v>
      </c>
      <c r="D862" s="0" t="n">
        <f aca="false">-1+B862*0.05</f>
        <v>0.85</v>
      </c>
      <c r="E862" s="0" t="n">
        <f aca="false">1</f>
        <v>1</v>
      </c>
      <c r="F862" s="0" t="n">
        <f aca="false">C862</f>
        <v>0</v>
      </c>
      <c r="G862" s="0" t="n">
        <f aca="false">D862</f>
        <v>0.85</v>
      </c>
      <c r="H862" s="0" t="n">
        <f aca="false">C862*D862</f>
        <v>0</v>
      </c>
      <c r="I862" s="0" t="n">
        <f aca="false">C862*C862</f>
        <v>0</v>
      </c>
      <c r="J862" s="0" t="n">
        <f aca="false">D862*D862</f>
        <v>0.7225</v>
      </c>
      <c r="K862" s="0" t="n">
        <f aca="false">SUMPRODUCT(E862:J862,_XtX!$B$53:$G$53)</f>
        <v>48.8527801724138</v>
      </c>
      <c r="L862" s="0" t="n">
        <f aca="false">SUMPRODUCT(MMULT(E862:J862,_XtX!$B$44:$G$49),E862:J862)</f>
        <v>0.33234996408046</v>
      </c>
      <c r="M862" s="0" t="n">
        <f aca="false">04_回帰ANOVA!$K$19*04_回帰ANOVA!$K$14*SQRT(1+L862)</f>
        <v>1.5641764019722</v>
      </c>
      <c r="N862" s="0" t="n">
        <f aca="false">K862-M862</f>
        <v>47.2886037704416</v>
      </c>
      <c r="O862" s="0" t="n">
        <f aca="false">K862+M862</f>
        <v>50.416956574386</v>
      </c>
      <c r="P862" s="54" t="b">
        <f aca="false">AND(C862&gt;=01_因子設定!$L$5-0.000000001,C862&lt;=01_因子設定!$M$5+0.000000001,D862&gt;=01_因子設定!$L$6-0.000000001,D862&lt;=01_因子設定!$M$6+0.000000001,IF(01_因子設定!$B$20="Box-Behnken",C862^2+D862^2&lt;=2+0.000000001,TRUE()))</f>
        <v>1</v>
      </c>
      <c r="Q862" s="55" t="n">
        <f aca="false">IF(P862,IF(01_因子設定!$B$13="最大化",N862-01_因子設定!$B$14,IF(01_因子設定!$B$13="最小化",01_因子設定!$B$15-O862,MIN(N862-01_因子設定!$B$14,01_因子設定!$B$15-O862))),-1E+030)</f>
        <v>0.78860377044159</v>
      </c>
      <c r="R862" s="55" t="n">
        <f aca="false">IF(P862,IF(01_因子設定!$B$13="最大化",K862,IF(01_因子設定!$B$13="最小化",-K862,-ABS(K862-01_因子設定!$B$16))),-1E+030)</f>
        <v>48.8527801724138</v>
      </c>
      <c r="S862" s="55" t="n">
        <f aca="false">Q862+ROW()*0.000000001</f>
        <v>0.78860463244159</v>
      </c>
      <c r="T862" s="55" t="n">
        <f aca="false">R862+ROW()*0.000000001</f>
        <v>48.8527810344138</v>
      </c>
    </row>
    <row r="863" customFormat="false" ht="15" hidden="false" customHeight="false" outlineLevel="0" collapsed="false">
      <c r="A863" s="0" t="n">
        <v>20</v>
      </c>
      <c r="B863" s="0" t="n">
        <v>38</v>
      </c>
      <c r="C863" s="0" t="n">
        <f aca="false">-1+A863*0.05</f>
        <v>0</v>
      </c>
      <c r="D863" s="0" t="n">
        <f aca="false">-1+B863*0.05</f>
        <v>0.9</v>
      </c>
      <c r="E863" s="0" t="n">
        <f aca="false">1</f>
        <v>1</v>
      </c>
      <c r="F863" s="0" t="n">
        <f aca="false">C863</f>
        <v>0</v>
      </c>
      <c r="G863" s="0" t="n">
        <f aca="false">D863</f>
        <v>0.9</v>
      </c>
      <c r="H863" s="0" t="n">
        <f aca="false">C863*D863</f>
        <v>0</v>
      </c>
      <c r="I863" s="0" t="n">
        <f aca="false">C863*C863</f>
        <v>0</v>
      </c>
      <c r="J863" s="0" t="n">
        <f aca="false">D863*D863</f>
        <v>0.81</v>
      </c>
      <c r="K863" s="0" t="n">
        <f aca="false">SUMPRODUCT(E863:J863,_XtX!$B$53:$G$53)</f>
        <v>48.8302586206897</v>
      </c>
      <c r="L863" s="0" t="n">
        <f aca="false">SUMPRODUCT(MMULT(E863:J863,_XtX!$B$44:$G$49),E863:J863)</f>
        <v>0.377381034482759</v>
      </c>
      <c r="M863" s="0" t="n">
        <f aca="false">04_回帰ANOVA!$K$19*04_回帰ANOVA!$K$14*SQRT(1+L863)</f>
        <v>1.59038994648774</v>
      </c>
      <c r="N863" s="0" t="n">
        <f aca="false">K863-M863</f>
        <v>47.2398686742019</v>
      </c>
      <c r="O863" s="0" t="n">
        <f aca="false">K863+M863</f>
        <v>50.4206485671774</v>
      </c>
      <c r="P863" s="54" t="b">
        <f aca="false">AND(C863&gt;=01_因子設定!$L$5-0.000000001,C863&lt;=01_因子設定!$M$5+0.000000001,D863&gt;=01_因子設定!$L$6-0.000000001,D863&lt;=01_因子設定!$M$6+0.000000001,IF(01_因子設定!$B$20="Box-Behnken",C863^2+D863^2&lt;=2+0.000000001,TRUE()))</f>
        <v>1</v>
      </c>
      <c r="Q863" s="55" t="n">
        <f aca="false">IF(P863,IF(01_因子設定!$B$13="最大化",N863-01_因子設定!$B$14,IF(01_因子設定!$B$13="最小化",01_因子設定!$B$15-O863,MIN(N863-01_因子設定!$B$14,01_因子設定!$B$15-O863))),-1E+030)</f>
        <v>0.739868674201915</v>
      </c>
      <c r="R863" s="55" t="n">
        <f aca="false">IF(P863,IF(01_因子設定!$B$13="最大化",K863,IF(01_因子設定!$B$13="最小化",-K863,-ABS(K863-01_因子設定!$B$16))),-1E+030)</f>
        <v>48.8302586206897</v>
      </c>
      <c r="S863" s="55" t="n">
        <f aca="false">Q863+ROW()*0.000000001</f>
        <v>0.739869537201915</v>
      </c>
      <c r="T863" s="55" t="n">
        <f aca="false">R863+ROW()*0.000000001</f>
        <v>48.8302594836897</v>
      </c>
    </row>
    <row r="864" customFormat="false" ht="15" hidden="false" customHeight="false" outlineLevel="0" collapsed="false">
      <c r="A864" s="0" t="n">
        <v>20</v>
      </c>
      <c r="B864" s="0" t="n">
        <v>39</v>
      </c>
      <c r="C864" s="0" t="n">
        <f aca="false">-1+A864*0.05</f>
        <v>0</v>
      </c>
      <c r="D864" s="0" t="n">
        <f aca="false">-1+B864*0.05</f>
        <v>0.95</v>
      </c>
      <c r="E864" s="0" t="n">
        <f aca="false">1</f>
        <v>1</v>
      </c>
      <c r="F864" s="0" t="n">
        <f aca="false">C864</f>
        <v>0</v>
      </c>
      <c r="G864" s="0" t="n">
        <f aca="false">D864</f>
        <v>0.95</v>
      </c>
      <c r="H864" s="0" t="n">
        <f aca="false">C864*D864</f>
        <v>0</v>
      </c>
      <c r="I864" s="0" t="n">
        <f aca="false">C864*C864</f>
        <v>0</v>
      </c>
      <c r="J864" s="0" t="n">
        <f aca="false">D864*D864</f>
        <v>0.9025</v>
      </c>
      <c r="K864" s="0" t="n">
        <f aca="false">SUMPRODUCT(E864:J864,_XtX!$B$53:$G$53)</f>
        <v>48.8000215517241</v>
      </c>
      <c r="L864" s="0" t="n">
        <f aca="false">SUMPRODUCT(MMULT(E864:J864,_XtX!$B$44:$G$49),E864:J864)</f>
        <v>0.431013757183908</v>
      </c>
      <c r="M864" s="0" t="n">
        <f aca="false">04_回帰ANOVA!$K$19*04_回帰ANOVA!$K$14*SQRT(1+L864)</f>
        <v>1.62105771251497</v>
      </c>
      <c r="N864" s="0" t="n">
        <f aca="false">K864-M864</f>
        <v>47.1789638392092</v>
      </c>
      <c r="O864" s="0" t="n">
        <f aca="false">K864+M864</f>
        <v>50.4210792642391</v>
      </c>
      <c r="P864" s="54" t="b">
        <f aca="false">AND(C864&gt;=01_因子設定!$L$5-0.000000001,C864&lt;=01_因子設定!$M$5+0.000000001,D864&gt;=01_因子設定!$L$6-0.000000001,D864&lt;=01_因子設定!$M$6+0.000000001,IF(01_因子設定!$B$20="Box-Behnken",C864^2+D864^2&lt;=2+0.000000001,TRUE()))</f>
        <v>1</v>
      </c>
      <c r="Q864" s="55" t="n">
        <f aca="false">IF(P864,IF(01_因子設定!$B$13="最大化",N864-01_因子設定!$B$14,IF(01_因子設定!$B$13="最小化",01_因子設定!$B$15-O864,MIN(N864-01_因子設定!$B$14,01_因子設定!$B$15-O864))),-1E+030)</f>
        <v>0.678963839209168</v>
      </c>
      <c r="R864" s="55" t="n">
        <f aca="false">IF(P864,IF(01_因子設定!$B$13="最大化",K864,IF(01_因子設定!$B$13="最小化",-K864,-ABS(K864-01_因子設定!$B$16))),-1E+030)</f>
        <v>48.8000215517241</v>
      </c>
      <c r="S864" s="55" t="n">
        <f aca="false">Q864+ROW()*0.000000001</f>
        <v>0.678964703209168</v>
      </c>
      <c r="T864" s="55" t="n">
        <f aca="false">R864+ROW()*0.000000001</f>
        <v>48.8000224157241</v>
      </c>
    </row>
    <row r="865" customFormat="false" ht="15" hidden="false" customHeight="false" outlineLevel="0" collapsed="false">
      <c r="A865" s="0" t="n">
        <v>20</v>
      </c>
      <c r="B865" s="0" t="n">
        <v>40</v>
      </c>
      <c r="C865" s="0" t="n">
        <f aca="false">-1+A865*0.05</f>
        <v>0</v>
      </c>
      <c r="D865" s="0" t="n">
        <f aca="false">-1+B865*0.05</f>
        <v>1</v>
      </c>
      <c r="E865" s="0" t="n">
        <f aca="false">1</f>
        <v>1</v>
      </c>
      <c r="F865" s="0" t="n">
        <f aca="false">C865</f>
        <v>0</v>
      </c>
      <c r="G865" s="0" t="n">
        <f aca="false">D865</f>
        <v>1</v>
      </c>
      <c r="H865" s="0" t="n">
        <f aca="false">C865*D865</f>
        <v>0</v>
      </c>
      <c r="I865" s="0" t="n">
        <f aca="false">C865*C865</f>
        <v>0</v>
      </c>
      <c r="J865" s="0" t="n">
        <f aca="false">D865*D865</f>
        <v>1</v>
      </c>
      <c r="K865" s="0" t="n">
        <f aca="false">SUMPRODUCT(E865:J865,_XtX!$B$53:$G$53)</f>
        <v>48.7620689655172</v>
      </c>
      <c r="L865" s="0" t="n">
        <f aca="false">SUMPRODUCT(MMULT(E865:J865,_XtX!$B$44:$G$49),E865:J865)</f>
        <v>0.494252873563218</v>
      </c>
      <c r="M865" s="0" t="n">
        <f aca="false">04_回帰ANOVA!$K$19*04_回帰ANOVA!$K$14*SQRT(1+L865)</f>
        <v>1.65648925131734</v>
      </c>
      <c r="N865" s="0" t="n">
        <f aca="false">K865-M865</f>
        <v>47.1055797141999</v>
      </c>
      <c r="O865" s="0" t="n">
        <f aca="false">K865+M865</f>
        <v>50.4185582168346</v>
      </c>
      <c r="P865" s="54" t="b">
        <f aca="false">AND(C865&gt;=01_因子設定!$L$5-0.000000001,C865&lt;=01_因子設定!$M$5+0.000000001,D865&gt;=01_因子設定!$L$6-0.000000001,D865&lt;=01_因子設定!$M$6+0.000000001,IF(01_因子設定!$B$20="Box-Behnken",C865^2+D865^2&lt;=2+0.000000001,TRUE()))</f>
        <v>1</v>
      </c>
      <c r="Q865" s="55" t="n">
        <f aca="false">IF(P865,IF(01_因子設定!$B$13="最大化",N865-01_因子設定!$B$14,IF(01_因子設定!$B$13="最小化",01_因子設定!$B$15-O865,MIN(N865-01_因子設定!$B$14,01_因子設定!$B$15-O865))),-1E+030)</f>
        <v>0.605579714199905</v>
      </c>
      <c r="R865" s="55" t="n">
        <f aca="false">IF(P865,IF(01_因子設定!$B$13="最大化",K865,IF(01_因子設定!$B$13="最小化",-K865,-ABS(K865-01_因子設定!$B$16))),-1E+030)</f>
        <v>48.7620689655172</v>
      </c>
      <c r="S865" s="55" t="n">
        <f aca="false">Q865+ROW()*0.000000001</f>
        <v>0.605580579199905</v>
      </c>
      <c r="T865" s="55" t="n">
        <f aca="false">R865+ROW()*0.000000001</f>
        <v>48.7620698305172</v>
      </c>
    </row>
    <row r="866" customFormat="false" ht="15" hidden="false" customHeight="false" outlineLevel="0" collapsed="false">
      <c r="A866" s="0" t="n">
        <v>21</v>
      </c>
      <c r="B866" s="0" t="n">
        <v>0</v>
      </c>
      <c r="C866" s="0" t="n">
        <f aca="false">-1+A866*0.05</f>
        <v>0.05</v>
      </c>
      <c r="D866" s="0" t="n">
        <f aca="false">-1+B866*0.05</f>
        <v>-1</v>
      </c>
      <c r="E866" s="0" t="n">
        <f aca="false">1</f>
        <v>1</v>
      </c>
      <c r="F866" s="0" t="n">
        <f aca="false">C866</f>
        <v>0.05</v>
      </c>
      <c r="G866" s="0" t="n">
        <f aca="false">D866</f>
        <v>-1</v>
      </c>
      <c r="H866" s="0" t="n">
        <f aca="false">C866*D866</f>
        <v>-0.05</v>
      </c>
      <c r="I866" s="0" t="n">
        <f aca="false">C866*C866</f>
        <v>0.0025</v>
      </c>
      <c r="J866" s="0" t="n">
        <f aca="false">D866*D866</f>
        <v>1</v>
      </c>
      <c r="K866" s="0" t="n">
        <f aca="false">SUMPRODUCT(E866:J866,_XtX!$B$53:$G$53)</f>
        <v>44.3347945402299</v>
      </c>
      <c r="L866" s="0" t="n">
        <f aca="false">SUMPRODUCT(MMULT(E866:J866,_XtX!$B$44:$G$49),E866:J866)</f>
        <v>0.494089906609195</v>
      </c>
      <c r="M866" s="0" t="n">
        <f aca="false">04_回帰ANOVA!$K$19*04_回帰ANOVA!$K$14*SQRT(1+L866)</f>
        <v>1.6563989184248</v>
      </c>
      <c r="N866" s="0" t="n">
        <f aca="false">K866-M866</f>
        <v>42.6783956218051</v>
      </c>
      <c r="O866" s="0" t="n">
        <f aca="false">K866+M866</f>
        <v>45.9911934586547</v>
      </c>
      <c r="P866" s="54" t="b">
        <f aca="false">AND(C866&gt;=01_因子設定!$L$5-0.000000001,C866&lt;=01_因子設定!$M$5+0.000000001,D866&gt;=01_因子設定!$L$6-0.000000001,D866&lt;=01_因子設定!$M$6+0.000000001,IF(01_因子設定!$B$20="Box-Behnken",C866^2+D866^2&lt;=2+0.000000001,TRUE()))</f>
        <v>1</v>
      </c>
      <c r="Q866" s="55" t="n">
        <f aca="false">IF(P866,IF(01_因子設定!$B$13="最大化",N866-01_因子設定!$B$14,IF(01_因子設定!$B$13="最小化",01_因子設定!$B$15-O866,MIN(N866-01_因子設定!$B$14,01_因子設定!$B$15-O866))),-1E+030)</f>
        <v>-3.82160437819492</v>
      </c>
      <c r="R866" s="55" t="n">
        <f aca="false">IF(P866,IF(01_因子設定!$B$13="最大化",K866,IF(01_因子設定!$B$13="最小化",-K866,-ABS(K866-01_因子設定!$B$16))),-1E+030)</f>
        <v>44.3347945402299</v>
      </c>
      <c r="S866" s="55" t="n">
        <f aca="false">Q866+ROW()*0.000000001</f>
        <v>-3.82160351219492</v>
      </c>
      <c r="T866" s="55" t="n">
        <f aca="false">R866+ROW()*0.000000001</f>
        <v>44.3347954062299</v>
      </c>
    </row>
    <row r="867" customFormat="false" ht="15" hidden="false" customHeight="false" outlineLevel="0" collapsed="false">
      <c r="A867" s="0" t="n">
        <v>21</v>
      </c>
      <c r="B867" s="0" t="n">
        <v>1</v>
      </c>
      <c r="C867" s="0" t="n">
        <f aca="false">-1+A867*0.05</f>
        <v>0.05</v>
      </c>
      <c r="D867" s="0" t="n">
        <f aca="false">-1+B867*0.05</f>
        <v>-0.95</v>
      </c>
      <c r="E867" s="0" t="n">
        <f aca="false">1</f>
        <v>1</v>
      </c>
      <c r="F867" s="0" t="n">
        <f aca="false">C867</f>
        <v>0.05</v>
      </c>
      <c r="G867" s="0" t="n">
        <f aca="false">D867</f>
        <v>-0.95</v>
      </c>
      <c r="H867" s="0" t="n">
        <f aca="false">C867*D867</f>
        <v>-0.0475</v>
      </c>
      <c r="I867" s="0" t="n">
        <f aca="false">C867*C867</f>
        <v>0.0025</v>
      </c>
      <c r="J867" s="0" t="n">
        <f aca="false">D867*D867</f>
        <v>0.9025</v>
      </c>
      <c r="K867" s="0" t="n">
        <f aca="false">SUMPRODUCT(E867:J867,_XtX!$B$53:$G$53)</f>
        <v>44.5990596264368</v>
      </c>
      <c r="L867" s="0" t="n">
        <f aca="false">SUMPRODUCT(MMULT(E867:J867,_XtX!$B$44:$G$49),E867:J867)</f>
        <v>0.430857094109195</v>
      </c>
      <c r="M867" s="0" t="n">
        <f aca="false">04_回帰ANOVA!$K$19*04_回帰ANOVA!$K$14*SQRT(1+L867)</f>
        <v>1.62096897582906</v>
      </c>
      <c r="N867" s="0" t="n">
        <f aca="false">K867-M867</f>
        <v>42.9780906506077</v>
      </c>
      <c r="O867" s="0" t="n">
        <f aca="false">K867+M867</f>
        <v>46.2200286022658</v>
      </c>
      <c r="P867" s="54" t="b">
        <f aca="false">AND(C867&gt;=01_因子設定!$L$5-0.000000001,C867&lt;=01_因子設定!$M$5+0.000000001,D867&gt;=01_因子設定!$L$6-0.000000001,D867&lt;=01_因子設定!$M$6+0.000000001,IF(01_因子設定!$B$20="Box-Behnken",C867^2+D867^2&lt;=2+0.000000001,TRUE()))</f>
        <v>1</v>
      </c>
      <c r="Q867" s="55" t="n">
        <f aca="false">IF(P867,IF(01_因子設定!$B$13="最大化",N867-01_因子設定!$B$14,IF(01_因子設定!$B$13="最小化",01_因子設定!$B$15-O867,MIN(N867-01_因子設定!$B$14,01_因子設定!$B$15-O867))),-1E+030)</f>
        <v>-3.52190934939227</v>
      </c>
      <c r="R867" s="55" t="n">
        <f aca="false">IF(P867,IF(01_因子設定!$B$13="最大化",K867,IF(01_因子設定!$B$13="最小化",-K867,-ABS(K867-01_因子設定!$B$16))),-1E+030)</f>
        <v>44.5990596264368</v>
      </c>
      <c r="S867" s="55" t="n">
        <f aca="false">Q867+ROW()*0.000000001</f>
        <v>-3.52190848239227</v>
      </c>
      <c r="T867" s="55" t="n">
        <f aca="false">R867+ROW()*0.000000001</f>
        <v>44.5990604934368</v>
      </c>
    </row>
    <row r="868" customFormat="false" ht="15" hidden="false" customHeight="false" outlineLevel="0" collapsed="false">
      <c r="A868" s="0" t="n">
        <v>21</v>
      </c>
      <c r="B868" s="0" t="n">
        <v>2</v>
      </c>
      <c r="C868" s="0" t="n">
        <f aca="false">-1+A868*0.05</f>
        <v>0.05</v>
      </c>
      <c r="D868" s="0" t="n">
        <f aca="false">-1+B868*0.05</f>
        <v>-0.9</v>
      </c>
      <c r="E868" s="0" t="n">
        <f aca="false">1</f>
        <v>1</v>
      </c>
      <c r="F868" s="0" t="n">
        <f aca="false">C868</f>
        <v>0.05</v>
      </c>
      <c r="G868" s="0" t="n">
        <f aca="false">D868</f>
        <v>-0.9</v>
      </c>
      <c r="H868" s="0" t="n">
        <f aca="false">C868*D868</f>
        <v>-0.045</v>
      </c>
      <c r="I868" s="0" t="n">
        <f aca="false">C868*C868</f>
        <v>0.0025</v>
      </c>
      <c r="J868" s="0" t="n">
        <f aca="false">D868*D868</f>
        <v>0.81</v>
      </c>
      <c r="K868" s="0" t="n">
        <f aca="false">SUMPRODUCT(E868:J868,_XtX!$B$53:$G$53)</f>
        <v>44.8556091954023</v>
      </c>
      <c r="L868" s="0" t="n">
        <f aca="false">SUMPRODUCT(MMULT(E868:J868,_XtX!$B$44:$G$49),E868:J868)</f>
        <v>0.377230352011494</v>
      </c>
      <c r="M868" s="0" t="n">
        <f aca="false">04_回帰ANOVA!$K$19*04_回帰ANOVA!$K$14*SQRT(1+L868)</f>
        <v>1.59030295151834</v>
      </c>
      <c r="N868" s="0" t="n">
        <f aca="false">K868-M868</f>
        <v>43.265306243884</v>
      </c>
      <c r="O868" s="0" t="n">
        <f aca="false">K868+M868</f>
        <v>46.4459121469206</v>
      </c>
      <c r="P868" s="54" t="b">
        <f aca="false">AND(C868&gt;=01_因子設定!$L$5-0.000000001,C868&lt;=01_因子設定!$M$5+0.000000001,D868&gt;=01_因子設定!$L$6-0.000000001,D868&lt;=01_因子設定!$M$6+0.000000001,IF(01_因子設定!$B$20="Box-Behnken",C868^2+D868^2&lt;=2+0.000000001,TRUE()))</f>
        <v>1</v>
      </c>
      <c r="Q868" s="55" t="n">
        <f aca="false">IF(P868,IF(01_因子設定!$B$13="最大化",N868-01_因子設定!$B$14,IF(01_因子設定!$B$13="最小化",01_因子設定!$B$15-O868,MIN(N868-01_因子設定!$B$14,01_因子設定!$B$15-O868))),-1E+030)</f>
        <v>-3.23469375611604</v>
      </c>
      <c r="R868" s="55" t="n">
        <f aca="false">IF(P868,IF(01_因子設定!$B$13="最大化",K868,IF(01_因子設定!$B$13="最小化",-K868,-ABS(K868-01_因子設定!$B$16))),-1E+030)</f>
        <v>44.8556091954023</v>
      </c>
      <c r="S868" s="55" t="n">
        <f aca="false">Q868+ROW()*0.000000001</f>
        <v>-3.23469288811604</v>
      </c>
      <c r="T868" s="55" t="n">
        <f aca="false">R868+ROW()*0.000000001</f>
        <v>44.8556100634023</v>
      </c>
    </row>
    <row r="869" customFormat="false" ht="15" hidden="false" customHeight="false" outlineLevel="0" collapsed="false">
      <c r="A869" s="0" t="n">
        <v>21</v>
      </c>
      <c r="B869" s="0" t="n">
        <v>3</v>
      </c>
      <c r="C869" s="0" t="n">
        <f aca="false">-1+A869*0.05</f>
        <v>0.05</v>
      </c>
      <c r="D869" s="0" t="n">
        <f aca="false">-1+B869*0.05</f>
        <v>-0.85</v>
      </c>
      <c r="E869" s="0" t="n">
        <f aca="false">1</f>
        <v>1</v>
      </c>
      <c r="F869" s="0" t="n">
        <f aca="false">C869</f>
        <v>0.05</v>
      </c>
      <c r="G869" s="0" t="n">
        <f aca="false">D869</f>
        <v>-0.85</v>
      </c>
      <c r="H869" s="0" t="n">
        <f aca="false">C869*D869</f>
        <v>-0.0425</v>
      </c>
      <c r="I869" s="0" t="n">
        <f aca="false">C869*C869</f>
        <v>0.0025</v>
      </c>
      <c r="J869" s="0" t="n">
        <f aca="false">D869*D869</f>
        <v>0.7225</v>
      </c>
      <c r="K869" s="0" t="n">
        <f aca="false">SUMPRODUCT(E869:J869,_XtX!$B$53:$G$53)</f>
        <v>45.1044432471264</v>
      </c>
      <c r="L869" s="0" t="n">
        <f aca="false">SUMPRODUCT(MMULT(E869:J869,_XtX!$B$44:$G$49),E869:J869)</f>
        <v>0.332204938936782</v>
      </c>
      <c r="M869" s="0" t="n">
        <f aca="false">04_回帰ANOVA!$K$19*04_回帰ANOVA!$K$14*SQRT(1+L869)</f>
        <v>1.56409127002983</v>
      </c>
      <c r="N869" s="0" t="n">
        <f aca="false">K869-M869</f>
        <v>43.5403519770966</v>
      </c>
      <c r="O869" s="0" t="n">
        <f aca="false">K869+M869</f>
        <v>46.6685345171563</v>
      </c>
      <c r="P869" s="54" t="b">
        <f aca="false">AND(C869&gt;=01_因子設定!$L$5-0.000000001,C869&lt;=01_因子設定!$M$5+0.000000001,D869&gt;=01_因子設定!$L$6-0.000000001,D869&lt;=01_因子設定!$M$6+0.000000001,IF(01_因子設定!$B$20="Box-Behnken",C869^2+D869^2&lt;=2+0.000000001,TRUE()))</f>
        <v>1</v>
      </c>
      <c r="Q869" s="55" t="n">
        <f aca="false">IF(P869,IF(01_因子設定!$B$13="最大化",N869-01_因子設定!$B$14,IF(01_因子設定!$B$13="最小化",01_因子設定!$B$15-O869,MIN(N869-01_因子設定!$B$14,01_因子設定!$B$15-O869))),-1E+030)</f>
        <v>-2.95964802290339</v>
      </c>
      <c r="R869" s="55" t="n">
        <f aca="false">IF(P869,IF(01_因子設定!$B$13="最大化",K869,IF(01_因子設定!$B$13="最小化",-K869,-ABS(K869-01_因子設定!$B$16))),-1E+030)</f>
        <v>45.1044432471264</v>
      </c>
      <c r="S869" s="55" t="n">
        <f aca="false">Q869+ROW()*0.000000001</f>
        <v>-2.95964715390339</v>
      </c>
      <c r="T869" s="55" t="n">
        <f aca="false">R869+ROW()*0.000000001</f>
        <v>45.1044441161264</v>
      </c>
    </row>
    <row r="870" customFormat="false" ht="15" hidden="false" customHeight="false" outlineLevel="0" collapsed="false">
      <c r="A870" s="0" t="n">
        <v>21</v>
      </c>
      <c r="B870" s="0" t="n">
        <v>4</v>
      </c>
      <c r="C870" s="0" t="n">
        <f aca="false">-1+A870*0.05</f>
        <v>0.05</v>
      </c>
      <c r="D870" s="0" t="n">
        <f aca="false">-1+B870*0.05</f>
        <v>-0.8</v>
      </c>
      <c r="E870" s="0" t="n">
        <f aca="false">1</f>
        <v>1</v>
      </c>
      <c r="F870" s="0" t="n">
        <f aca="false">C870</f>
        <v>0.05</v>
      </c>
      <c r="G870" s="0" t="n">
        <f aca="false">D870</f>
        <v>-0.8</v>
      </c>
      <c r="H870" s="0" t="n">
        <f aca="false">C870*D870</f>
        <v>-0.04</v>
      </c>
      <c r="I870" s="0" t="n">
        <f aca="false">C870*C870</f>
        <v>0.0025</v>
      </c>
      <c r="J870" s="0" t="n">
        <f aca="false">D870*D870</f>
        <v>0.64</v>
      </c>
      <c r="K870" s="0" t="n">
        <f aca="false">SUMPRODUCT(E870:J870,_XtX!$B$53:$G$53)</f>
        <v>45.3455617816092</v>
      </c>
      <c r="L870" s="0" t="n">
        <f aca="false">SUMPRODUCT(MMULT(E870:J870,_XtX!$B$44:$G$49),E870:J870)</f>
        <v>0.294830423850575</v>
      </c>
      <c r="M870" s="0" t="n">
        <f aca="false">04_回帰ANOVA!$K$19*04_回帰ANOVA!$K$14*SQRT(1+L870)</f>
        <v>1.54199519324769</v>
      </c>
      <c r="N870" s="0" t="n">
        <f aca="false">K870-M870</f>
        <v>43.8035665883615</v>
      </c>
      <c r="O870" s="0" t="n">
        <f aca="false">K870+M870</f>
        <v>46.8875569748569</v>
      </c>
      <c r="P870" s="54" t="b">
        <f aca="false">AND(C870&gt;=01_因子設定!$L$5-0.000000001,C870&lt;=01_因子設定!$M$5+0.000000001,D870&gt;=01_因子設定!$L$6-0.000000001,D870&lt;=01_因子設定!$M$6+0.000000001,IF(01_因子設定!$B$20="Box-Behnken",C870^2+D870^2&lt;=2+0.000000001,TRUE()))</f>
        <v>1</v>
      </c>
      <c r="Q870" s="55" t="n">
        <f aca="false">IF(P870,IF(01_因子設定!$B$13="最大化",N870-01_因子設定!$B$14,IF(01_因子設定!$B$13="最小化",01_因子設定!$B$15-O870,MIN(N870-01_因子設定!$B$14,01_因子設定!$B$15-O870))),-1E+030)</f>
        <v>-2.69643341163849</v>
      </c>
      <c r="R870" s="55" t="n">
        <f aca="false">IF(P870,IF(01_因子設定!$B$13="最大化",K870,IF(01_因子設定!$B$13="最小化",-K870,-ABS(K870-01_因子設定!$B$16))),-1E+030)</f>
        <v>45.3455617816092</v>
      </c>
      <c r="S870" s="55" t="n">
        <f aca="false">Q870+ROW()*0.000000001</f>
        <v>-2.69643254163849</v>
      </c>
      <c r="T870" s="55" t="n">
        <f aca="false">R870+ROW()*0.000000001</f>
        <v>45.3455626516092</v>
      </c>
    </row>
    <row r="871" customFormat="false" ht="15" hidden="false" customHeight="false" outlineLevel="0" collapsed="false">
      <c r="A871" s="0" t="n">
        <v>21</v>
      </c>
      <c r="B871" s="0" t="n">
        <v>5</v>
      </c>
      <c r="C871" s="0" t="n">
        <f aca="false">-1+A871*0.05</f>
        <v>0.05</v>
      </c>
      <c r="D871" s="0" t="n">
        <f aca="false">-1+B871*0.05</f>
        <v>-0.75</v>
      </c>
      <c r="E871" s="0" t="n">
        <f aca="false">1</f>
        <v>1</v>
      </c>
      <c r="F871" s="0" t="n">
        <f aca="false">C871</f>
        <v>0.05</v>
      </c>
      <c r="G871" s="0" t="n">
        <f aca="false">D871</f>
        <v>-0.75</v>
      </c>
      <c r="H871" s="0" t="n">
        <f aca="false">C871*D871</f>
        <v>-0.0375</v>
      </c>
      <c r="I871" s="0" t="n">
        <f aca="false">C871*C871</f>
        <v>0.0025</v>
      </c>
      <c r="J871" s="0" t="n">
        <f aca="false">D871*D871</f>
        <v>0.5625</v>
      </c>
      <c r="K871" s="0" t="n">
        <f aca="false">SUMPRODUCT(E871:J871,_XtX!$B$53:$G$53)</f>
        <v>45.5789647988506</v>
      </c>
      <c r="L871" s="0" t="n">
        <f aca="false">SUMPRODUCT(MMULT(E871:J871,_XtX!$B$44:$G$49),E871:J871)</f>
        <v>0.264210686063218</v>
      </c>
      <c r="M871" s="0" t="n">
        <f aca="false">04_回帰ANOVA!$K$19*04_回帰ANOVA!$K$14*SQRT(1+L871)</f>
        <v>1.52365380588781</v>
      </c>
      <c r="N871" s="0" t="n">
        <f aca="false">K871-M871</f>
        <v>44.0553109929628</v>
      </c>
      <c r="O871" s="0" t="n">
        <f aca="false">K871+M871</f>
        <v>47.1026186047384</v>
      </c>
      <c r="P871" s="54" t="b">
        <f aca="false">AND(C871&gt;=01_因子設定!$L$5-0.000000001,C871&lt;=01_因子設定!$M$5+0.000000001,D871&gt;=01_因子設定!$L$6-0.000000001,D871&lt;=01_因子設定!$M$6+0.000000001,IF(01_因子設定!$B$20="Box-Behnken",C871^2+D871^2&lt;=2+0.000000001,TRUE()))</f>
        <v>1</v>
      </c>
      <c r="Q871" s="55" t="n">
        <f aca="false">IF(P871,IF(01_因子設定!$B$13="最大化",N871-01_因子設定!$B$14,IF(01_因子設定!$B$13="最小化",01_因子設定!$B$15-O871,MIN(N871-01_因子設定!$B$14,01_因子設定!$B$15-O871))),-1E+030)</f>
        <v>-2.44468900703723</v>
      </c>
      <c r="R871" s="55" t="n">
        <f aca="false">IF(P871,IF(01_因子設定!$B$13="最大化",K871,IF(01_因子設定!$B$13="最小化",-K871,-ABS(K871-01_因子設定!$B$16))),-1E+030)</f>
        <v>45.5789647988506</v>
      </c>
      <c r="S871" s="55" t="n">
        <f aca="false">Q871+ROW()*0.000000001</f>
        <v>-2.44468813603723</v>
      </c>
      <c r="T871" s="55" t="n">
        <f aca="false">R871+ROW()*0.000000001</f>
        <v>45.5789656698506</v>
      </c>
    </row>
    <row r="872" customFormat="false" ht="15" hidden="false" customHeight="false" outlineLevel="0" collapsed="false">
      <c r="A872" s="0" t="n">
        <v>21</v>
      </c>
      <c r="B872" s="0" t="n">
        <v>6</v>
      </c>
      <c r="C872" s="0" t="n">
        <f aca="false">-1+A872*0.05</f>
        <v>0.05</v>
      </c>
      <c r="D872" s="0" t="n">
        <f aca="false">-1+B872*0.05</f>
        <v>-0.7</v>
      </c>
      <c r="E872" s="0" t="n">
        <f aca="false">1</f>
        <v>1</v>
      </c>
      <c r="F872" s="0" t="n">
        <f aca="false">C872</f>
        <v>0.05</v>
      </c>
      <c r="G872" s="0" t="n">
        <f aca="false">D872</f>
        <v>-0.7</v>
      </c>
      <c r="H872" s="0" t="n">
        <f aca="false">C872*D872</f>
        <v>-0.035</v>
      </c>
      <c r="I872" s="0" t="n">
        <f aca="false">C872*C872</f>
        <v>0.0025</v>
      </c>
      <c r="J872" s="0" t="n">
        <f aca="false">D872*D872</f>
        <v>0.49</v>
      </c>
      <c r="K872" s="0" t="n">
        <f aca="false">SUMPRODUCT(E872:J872,_XtX!$B$53:$G$53)</f>
        <v>45.8046522988506</v>
      </c>
      <c r="L872" s="0" t="n">
        <f aca="false">SUMPRODUCT(MMULT(E872:J872,_XtX!$B$44:$G$49),E872:J872)</f>
        <v>0.239503915229885</v>
      </c>
      <c r="M872" s="0" t="n">
        <f aca="false">04_回帰ANOVA!$K$19*04_回帰ANOVA!$K$14*SQRT(1+L872)</f>
        <v>1.50869177878988</v>
      </c>
      <c r="N872" s="0" t="n">
        <f aca="false">K872-M872</f>
        <v>44.2959605200607</v>
      </c>
      <c r="O872" s="0" t="n">
        <f aca="false">K872+M872</f>
        <v>47.3133440776405</v>
      </c>
      <c r="P872" s="54" t="b">
        <f aca="false">AND(C872&gt;=01_因子設定!$L$5-0.000000001,C872&lt;=01_因子設定!$M$5+0.000000001,D872&gt;=01_因子設定!$L$6-0.000000001,D872&lt;=01_因子設定!$M$6+0.000000001,IF(01_因子設定!$B$20="Box-Behnken",C872^2+D872^2&lt;=2+0.000000001,TRUE()))</f>
        <v>1</v>
      </c>
      <c r="Q872" s="55" t="n">
        <f aca="false">IF(P872,IF(01_因子設定!$B$13="最大化",N872-01_因子設定!$B$14,IF(01_因子設定!$B$13="最小化",01_因子設定!$B$15-O872,MIN(N872-01_因子設定!$B$14,01_因子設定!$B$15-O872))),-1E+030)</f>
        <v>-2.2040394799393</v>
      </c>
      <c r="R872" s="55" t="n">
        <f aca="false">IF(P872,IF(01_因子設定!$B$13="最大化",K872,IF(01_因子設定!$B$13="最小化",-K872,-ABS(K872-01_因子設定!$B$16))),-1E+030)</f>
        <v>45.8046522988506</v>
      </c>
      <c r="S872" s="55" t="n">
        <f aca="false">Q872+ROW()*0.000000001</f>
        <v>-2.2040386079393</v>
      </c>
      <c r="T872" s="55" t="n">
        <f aca="false">R872+ROW()*0.000000001</f>
        <v>45.8046531708506</v>
      </c>
    </row>
    <row r="873" customFormat="false" ht="15" hidden="false" customHeight="false" outlineLevel="0" collapsed="false">
      <c r="A873" s="0" t="n">
        <v>21</v>
      </c>
      <c r="B873" s="0" t="n">
        <v>7</v>
      </c>
      <c r="C873" s="0" t="n">
        <f aca="false">-1+A873*0.05</f>
        <v>0.05</v>
      </c>
      <c r="D873" s="0" t="n">
        <f aca="false">-1+B873*0.05</f>
        <v>-0.65</v>
      </c>
      <c r="E873" s="0" t="n">
        <f aca="false">1</f>
        <v>1</v>
      </c>
      <c r="F873" s="0" t="n">
        <f aca="false">C873</f>
        <v>0.05</v>
      </c>
      <c r="G873" s="0" t="n">
        <f aca="false">D873</f>
        <v>-0.65</v>
      </c>
      <c r="H873" s="0" t="n">
        <f aca="false">C873*D873</f>
        <v>-0.0325</v>
      </c>
      <c r="I873" s="0" t="n">
        <f aca="false">C873*C873</f>
        <v>0.0025</v>
      </c>
      <c r="J873" s="0" t="n">
        <f aca="false">D873*D873</f>
        <v>0.4225</v>
      </c>
      <c r="K873" s="0" t="n">
        <f aca="false">SUMPRODUCT(E873:J873,_XtX!$B$53:$G$53)</f>
        <v>46.0226242816092</v>
      </c>
      <c r="L873" s="0" t="n">
        <f aca="false">SUMPRODUCT(MMULT(E873:J873,_XtX!$B$44:$G$49),E873:J873)</f>
        <v>0.219922611350575</v>
      </c>
      <c r="M873" s="0" t="n">
        <f aca="false">04_回帰ANOVA!$K$19*04_回帰ANOVA!$K$14*SQRT(1+L873)</f>
        <v>1.49672741260948</v>
      </c>
      <c r="N873" s="0" t="n">
        <f aca="false">K873-M873</f>
        <v>44.5258968689997</v>
      </c>
      <c r="O873" s="0" t="n">
        <f aca="false">K873+M873</f>
        <v>47.5193516942187</v>
      </c>
      <c r="P873" s="54" t="b">
        <f aca="false">AND(C873&gt;=01_因子設定!$L$5-0.000000001,C873&lt;=01_因子設定!$M$5+0.000000001,D873&gt;=01_因子設定!$L$6-0.000000001,D873&lt;=01_因子設定!$M$6+0.000000001,IF(01_因子設定!$B$20="Box-Behnken",C873^2+D873^2&lt;=2+0.000000001,TRUE()))</f>
        <v>1</v>
      </c>
      <c r="Q873" s="55" t="n">
        <f aca="false">IF(P873,IF(01_因子設定!$B$13="最大化",N873-01_因子設定!$B$14,IF(01_因子設定!$B$13="最小化",01_因子設定!$B$15-O873,MIN(N873-01_因子設定!$B$14,01_因子設定!$B$15-O873))),-1E+030)</f>
        <v>-1.97410313100028</v>
      </c>
      <c r="R873" s="55" t="n">
        <f aca="false">IF(P873,IF(01_因子設定!$B$13="最大化",K873,IF(01_因子設定!$B$13="最小化",-K873,-ABS(K873-01_因子設定!$B$16))),-1E+030)</f>
        <v>46.0226242816092</v>
      </c>
      <c r="S873" s="55" t="n">
        <f aca="false">Q873+ROW()*0.000000001</f>
        <v>-1.97410225800028</v>
      </c>
      <c r="T873" s="55" t="n">
        <f aca="false">R873+ROW()*0.000000001</f>
        <v>46.0226251546092</v>
      </c>
    </row>
    <row r="874" customFormat="false" ht="15" hidden="false" customHeight="false" outlineLevel="0" collapsed="false">
      <c r="A874" s="0" t="n">
        <v>21</v>
      </c>
      <c r="B874" s="0" t="n">
        <v>8</v>
      </c>
      <c r="C874" s="0" t="n">
        <f aca="false">-1+A874*0.05</f>
        <v>0.05</v>
      </c>
      <c r="D874" s="0" t="n">
        <f aca="false">-1+B874*0.05</f>
        <v>-0.6</v>
      </c>
      <c r="E874" s="0" t="n">
        <f aca="false">1</f>
        <v>1</v>
      </c>
      <c r="F874" s="0" t="n">
        <f aca="false">C874</f>
        <v>0.05</v>
      </c>
      <c r="G874" s="0" t="n">
        <f aca="false">D874</f>
        <v>-0.6</v>
      </c>
      <c r="H874" s="0" t="n">
        <f aca="false">C874*D874</f>
        <v>-0.03</v>
      </c>
      <c r="I874" s="0" t="n">
        <f aca="false">C874*C874</f>
        <v>0.0025</v>
      </c>
      <c r="J874" s="0" t="n">
        <f aca="false">D874*D874</f>
        <v>0.36</v>
      </c>
      <c r="K874" s="0" t="n">
        <f aca="false">SUMPRODUCT(E874:J874,_XtX!$B$53:$G$53)</f>
        <v>46.2328807471264</v>
      </c>
      <c r="L874" s="0" t="n">
        <f aca="false">SUMPRODUCT(MMULT(E874:J874,_XtX!$B$44:$G$49),E874:J874)</f>
        <v>0.204733584770115</v>
      </c>
      <c r="M874" s="0" t="n">
        <f aca="false">04_回帰ANOVA!$K$19*04_回帰ANOVA!$K$14*SQRT(1+L874)</f>
        <v>1.48738049178902</v>
      </c>
      <c r="N874" s="0" t="n">
        <f aca="false">K874-M874</f>
        <v>44.7455002553374</v>
      </c>
      <c r="O874" s="0" t="n">
        <f aca="false">K874+M874</f>
        <v>47.7202612389155</v>
      </c>
      <c r="P874" s="54" t="b">
        <f aca="false">AND(C874&gt;=01_因子設定!$L$5-0.000000001,C874&lt;=01_因子設定!$M$5+0.000000001,D874&gt;=01_因子設定!$L$6-0.000000001,D874&lt;=01_因子設定!$M$6+0.000000001,IF(01_因子設定!$B$20="Box-Behnken",C874^2+D874^2&lt;=2+0.000000001,TRUE()))</f>
        <v>1</v>
      </c>
      <c r="Q874" s="55" t="n">
        <f aca="false">IF(P874,IF(01_因子設定!$B$13="最大化",N874-01_因子設定!$B$14,IF(01_因子設定!$B$13="最小化",01_因子設定!$B$15-O874,MIN(N874-01_因子設定!$B$14,01_因子設定!$B$15-O874))),-1E+030)</f>
        <v>-1.75449974466258</v>
      </c>
      <c r="R874" s="55" t="n">
        <f aca="false">IF(P874,IF(01_因子設定!$B$13="最大化",K874,IF(01_因子設定!$B$13="最小化",-K874,-ABS(K874-01_因子設定!$B$16))),-1E+030)</f>
        <v>46.2328807471264</v>
      </c>
      <c r="S874" s="55" t="n">
        <f aca="false">Q874+ROW()*0.000000001</f>
        <v>-1.75449887066258</v>
      </c>
      <c r="T874" s="55" t="n">
        <f aca="false">R874+ROW()*0.000000001</f>
        <v>46.2328816211264</v>
      </c>
    </row>
    <row r="875" customFormat="false" ht="15" hidden="false" customHeight="false" outlineLevel="0" collapsed="false">
      <c r="A875" s="0" t="n">
        <v>21</v>
      </c>
      <c r="B875" s="0" t="n">
        <v>9</v>
      </c>
      <c r="C875" s="0" t="n">
        <f aca="false">-1+A875*0.05</f>
        <v>0.05</v>
      </c>
      <c r="D875" s="0" t="n">
        <f aca="false">-1+B875*0.05</f>
        <v>-0.55</v>
      </c>
      <c r="E875" s="0" t="n">
        <f aca="false">1</f>
        <v>1</v>
      </c>
      <c r="F875" s="0" t="n">
        <f aca="false">C875</f>
        <v>0.05</v>
      </c>
      <c r="G875" s="0" t="n">
        <f aca="false">D875</f>
        <v>-0.55</v>
      </c>
      <c r="H875" s="0" t="n">
        <f aca="false">C875*D875</f>
        <v>-0.0275</v>
      </c>
      <c r="I875" s="0" t="n">
        <f aca="false">C875*C875</f>
        <v>0.0025</v>
      </c>
      <c r="J875" s="0" t="n">
        <f aca="false">D875*D875</f>
        <v>0.3025</v>
      </c>
      <c r="K875" s="0" t="n">
        <f aca="false">SUMPRODUCT(E875:J875,_XtX!$B$53:$G$53)</f>
        <v>46.4354216954023</v>
      </c>
      <c r="L875" s="0" t="n">
        <f aca="false">SUMPRODUCT(MMULT(E875:J875,_XtX!$B$44:$G$49),E875:J875)</f>
        <v>0.193257956178161</v>
      </c>
      <c r="M875" s="0" t="n">
        <f aca="false">04_回帰ANOVA!$K$19*04_回帰ANOVA!$K$14*SQRT(1+L875)</f>
        <v>1.48027955775409</v>
      </c>
      <c r="N875" s="0" t="n">
        <f aca="false">K875-M875</f>
        <v>44.9551421376482</v>
      </c>
      <c r="O875" s="0" t="n">
        <f aca="false">K875+M875</f>
        <v>47.9157012531564</v>
      </c>
      <c r="P875" s="54" t="b">
        <f aca="false">AND(C875&gt;=01_因子設定!$L$5-0.000000001,C875&lt;=01_因子設定!$M$5+0.000000001,D875&gt;=01_因子設定!$L$6-0.000000001,D875&lt;=01_因子設定!$M$6+0.000000001,IF(01_因子設定!$B$20="Box-Behnken",C875^2+D875^2&lt;=2+0.000000001,TRUE()))</f>
        <v>1</v>
      </c>
      <c r="Q875" s="55" t="n">
        <f aca="false">IF(P875,IF(01_因子設定!$B$13="最大化",N875-01_因子設定!$B$14,IF(01_因子設定!$B$13="最小化",01_因子設定!$B$15-O875,MIN(N875-01_因子設定!$B$14,01_因子設定!$B$15-O875))),-1E+030)</f>
        <v>-1.54485786235179</v>
      </c>
      <c r="R875" s="55" t="n">
        <f aca="false">IF(P875,IF(01_因子設定!$B$13="最大化",K875,IF(01_因子設定!$B$13="最小化",-K875,-ABS(K875-01_因子設定!$B$16))),-1E+030)</f>
        <v>46.4354216954023</v>
      </c>
      <c r="S875" s="55" t="n">
        <f aca="false">Q875+ROW()*0.000000001</f>
        <v>-1.54485698735179</v>
      </c>
      <c r="T875" s="55" t="n">
        <f aca="false">R875+ROW()*0.000000001</f>
        <v>46.4354225704023</v>
      </c>
    </row>
    <row r="876" customFormat="false" ht="15" hidden="false" customHeight="false" outlineLevel="0" collapsed="false">
      <c r="A876" s="0" t="n">
        <v>21</v>
      </c>
      <c r="B876" s="0" t="n">
        <v>10</v>
      </c>
      <c r="C876" s="0" t="n">
        <f aca="false">-1+A876*0.05</f>
        <v>0.05</v>
      </c>
      <c r="D876" s="0" t="n">
        <f aca="false">-1+B876*0.05</f>
        <v>-0.5</v>
      </c>
      <c r="E876" s="0" t="n">
        <f aca="false">1</f>
        <v>1</v>
      </c>
      <c r="F876" s="0" t="n">
        <f aca="false">C876</f>
        <v>0.05</v>
      </c>
      <c r="G876" s="0" t="n">
        <f aca="false">D876</f>
        <v>-0.5</v>
      </c>
      <c r="H876" s="0" t="n">
        <f aca="false">C876*D876</f>
        <v>-0.025</v>
      </c>
      <c r="I876" s="0" t="n">
        <f aca="false">C876*C876</f>
        <v>0.0025</v>
      </c>
      <c r="J876" s="0" t="n">
        <f aca="false">D876*D876</f>
        <v>0.25</v>
      </c>
      <c r="K876" s="0" t="n">
        <f aca="false">SUMPRODUCT(E876:J876,_XtX!$B$53:$G$53)</f>
        <v>46.6302471264368</v>
      </c>
      <c r="L876" s="0" t="n">
        <f aca="false">SUMPRODUCT(MMULT(E876:J876,_XtX!$B$44:$G$49),E876:J876)</f>
        <v>0.184871156609195</v>
      </c>
      <c r="M876" s="0" t="n">
        <f aca="false">04_回帰ANOVA!$K$19*04_回帰ANOVA!$K$14*SQRT(1+L876)</f>
        <v>1.47506832106176</v>
      </c>
      <c r="N876" s="0" t="n">
        <f aca="false">K876-M876</f>
        <v>45.155178805375</v>
      </c>
      <c r="O876" s="0" t="n">
        <f aca="false">K876+M876</f>
        <v>48.1053154474985</v>
      </c>
      <c r="P876" s="54" t="b">
        <f aca="false">AND(C876&gt;=01_因子設定!$L$5-0.000000001,C876&lt;=01_因子設定!$M$5+0.000000001,D876&gt;=01_因子設定!$L$6-0.000000001,D876&lt;=01_因子設定!$M$6+0.000000001,IF(01_因子設定!$B$20="Box-Behnken",C876^2+D876^2&lt;=2+0.000000001,TRUE()))</f>
        <v>1</v>
      </c>
      <c r="Q876" s="55" t="n">
        <f aca="false">IF(P876,IF(01_因子設定!$B$13="最大化",N876-01_因子設定!$B$14,IF(01_因子設定!$B$13="最小化",01_因子設定!$B$15-O876,MIN(N876-01_因子設定!$B$14,01_因子設定!$B$15-O876))),-1E+030)</f>
        <v>-1.34482119462497</v>
      </c>
      <c r="R876" s="55" t="n">
        <f aca="false">IF(P876,IF(01_因子設定!$B$13="最大化",K876,IF(01_因子設定!$B$13="最小化",-K876,-ABS(K876-01_因子設定!$B$16))),-1E+030)</f>
        <v>46.6302471264368</v>
      </c>
      <c r="S876" s="55" t="n">
        <f aca="false">Q876+ROW()*0.000000001</f>
        <v>-1.34482031862497</v>
      </c>
      <c r="T876" s="55" t="n">
        <f aca="false">R876+ROW()*0.000000001</f>
        <v>46.6302480024368</v>
      </c>
    </row>
    <row r="877" customFormat="false" ht="15" hidden="false" customHeight="false" outlineLevel="0" collapsed="false">
      <c r="A877" s="0" t="n">
        <v>21</v>
      </c>
      <c r="B877" s="0" t="n">
        <v>11</v>
      </c>
      <c r="C877" s="0" t="n">
        <f aca="false">-1+A877*0.05</f>
        <v>0.05</v>
      </c>
      <c r="D877" s="0" t="n">
        <f aca="false">-1+B877*0.05</f>
        <v>-0.45</v>
      </c>
      <c r="E877" s="0" t="n">
        <f aca="false">1</f>
        <v>1</v>
      </c>
      <c r="F877" s="0" t="n">
        <f aca="false">C877</f>
        <v>0.05</v>
      </c>
      <c r="G877" s="0" t="n">
        <f aca="false">D877</f>
        <v>-0.45</v>
      </c>
      <c r="H877" s="0" t="n">
        <f aca="false">C877*D877</f>
        <v>-0.0225</v>
      </c>
      <c r="I877" s="0" t="n">
        <f aca="false">C877*C877</f>
        <v>0.0025</v>
      </c>
      <c r="J877" s="0" t="n">
        <f aca="false">D877*D877</f>
        <v>0.2025</v>
      </c>
      <c r="K877" s="0" t="n">
        <f aca="false">SUMPRODUCT(E877:J877,_XtX!$B$53:$G$53)</f>
        <v>46.8173570402299</v>
      </c>
      <c r="L877" s="0" t="n">
        <f aca="false">SUMPRODUCT(MMULT(E877:J877,_XtX!$B$44:$G$49),E877:J877)</f>
        <v>0.179002927442529</v>
      </c>
      <c r="M877" s="0" t="n">
        <f aca="false">04_回帰ANOVA!$K$19*04_回帰ANOVA!$K$14*SQRT(1+L877)</f>
        <v>1.47141105290249</v>
      </c>
      <c r="N877" s="0" t="n">
        <f aca="false">K877-M877</f>
        <v>45.3459459873274</v>
      </c>
      <c r="O877" s="0" t="n">
        <f aca="false">K877+M877</f>
        <v>48.2887680931324</v>
      </c>
      <c r="P877" s="54" t="b">
        <f aca="false">AND(C877&gt;=01_因子設定!$L$5-0.000000001,C877&lt;=01_因子設定!$M$5+0.000000001,D877&gt;=01_因子設定!$L$6-0.000000001,D877&lt;=01_因子設定!$M$6+0.000000001,IF(01_因子設定!$B$20="Box-Behnken",C877^2+D877^2&lt;=2+0.000000001,TRUE()))</f>
        <v>1</v>
      </c>
      <c r="Q877" s="55" t="n">
        <f aca="false">IF(P877,IF(01_因子設定!$B$13="最大化",N877-01_因子設定!$B$14,IF(01_因子設定!$B$13="最小化",01_因子設定!$B$15-O877,MIN(N877-01_因子設定!$B$14,01_因子設定!$B$15-O877))),-1E+030)</f>
        <v>-1.1540540126726</v>
      </c>
      <c r="R877" s="55" t="n">
        <f aca="false">IF(P877,IF(01_因子設定!$B$13="最大化",K877,IF(01_因子設定!$B$13="最小化",-K877,-ABS(K877-01_因子設定!$B$16))),-1E+030)</f>
        <v>46.8173570402299</v>
      </c>
      <c r="S877" s="55" t="n">
        <f aca="false">Q877+ROW()*0.000000001</f>
        <v>-1.1540531356726</v>
      </c>
      <c r="T877" s="55" t="n">
        <f aca="false">R877+ROW()*0.000000001</f>
        <v>46.8173579172299</v>
      </c>
    </row>
    <row r="878" customFormat="false" ht="15" hidden="false" customHeight="false" outlineLevel="0" collapsed="false">
      <c r="A878" s="0" t="n">
        <v>21</v>
      </c>
      <c r="B878" s="0" t="n">
        <v>12</v>
      </c>
      <c r="C878" s="0" t="n">
        <f aca="false">-1+A878*0.05</f>
        <v>0.05</v>
      </c>
      <c r="D878" s="0" t="n">
        <f aca="false">-1+B878*0.05</f>
        <v>-0.4</v>
      </c>
      <c r="E878" s="0" t="n">
        <f aca="false">1</f>
        <v>1</v>
      </c>
      <c r="F878" s="0" t="n">
        <f aca="false">C878</f>
        <v>0.05</v>
      </c>
      <c r="G878" s="0" t="n">
        <f aca="false">D878</f>
        <v>-0.4</v>
      </c>
      <c r="H878" s="0" t="n">
        <f aca="false">C878*D878</f>
        <v>-0.02</v>
      </c>
      <c r="I878" s="0" t="n">
        <f aca="false">C878*C878</f>
        <v>0.0025</v>
      </c>
      <c r="J878" s="0" t="n">
        <f aca="false">D878*D878</f>
        <v>0.16</v>
      </c>
      <c r="K878" s="0" t="n">
        <f aca="false">SUMPRODUCT(E878:J878,_XtX!$B$53:$G$53)</f>
        <v>46.9967514367816</v>
      </c>
      <c r="L878" s="0" t="n">
        <f aca="false">SUMPRODUCT(MMULT(E878:J878,_XtX!$B$44:$G$49),E878:J878)</f>
        <v>0.175137320402299</v>
      </c>
      <c r="M878" s="0" t="n">
        <f aca="false">04_回帰ANOVA!$K$19*04_回帰ANOVA!$K$14*SQRT(1+L878)</f>
        <v>1.4689969084205</v>
      </c>
      <c r="N878" s="0" t="n">
        <f aca="false">K878-M878</f>
        <v>45.5277545283611</v>
      </c>
      <c r="O878" s="0" t="n">
        <f aca="false">K878+M878</f>
        <v>48.4657483452021</v>
      </c>
      <c r="P878" s="54" t="b">
        <f aca="false">AND(C878&gt;=01_因子設定!$L$5-0.000000001,C878&lt;=01_因子設定!$M$5+0.000000001,D878&gt;=01_因子設定!$L$6-0.000000001,D878&lt;=01_因子設定!$M$6+0.000000001,IF(01_因子設定!$B$20="Box-Behnken",C878^2+D878^2&lt;=2+0.000000001,TRUE()))</f>
        <v>1</v>
      </c>
      <c r="Q878" s="55" t="n">
        <f aca="false">IF(P878,IF(01_因子設定!$B$13="最大化",N878-01_因子設定!$B$14,IF(01_因子設定!$B$13="最小化",01_因子設定!$B$15-O878,MIN(N878-01_因子設定!$B$14,01_因子設定!$B$15-O878))),-1E+030)</f>
        <v>-0.972245471638885</v>
      </c>
      <c r="R878" s="55" t="n">
        <f aca="false">IF(P878,IF(01_因子設定!$B$13="最大化",K878,IF(01_因子設定!$B$13="最小化",-K878,-ABS(K878-01_因子設定!$B$16))),-1E+030)</f>
        <v>46.9967514367816</v>
      </c>
      <c r="S878" s="55" t="n">
        <f aca="false">Q878+ROW()*0.000000001</f>
        <v>-0.972244593638885</v>
      </c>
      <c r="T878" s="55" t="n">
        <f aca="false">R878+ROW()*0.000000001</f>
        <v>46.9967523147816</v>
      </c>
    </row>
    <row r="879" customFormat="false" ht="15" hidden="false" customHeight="false" outlineLevel="0" collapsed="false">
      <c r="A879" s="0" t="n">
        <v>21</v>
      </c>
      <c r="B879" s="0" t="n">
        <v>13</v>
      </c>
      <c r="C879" s="0" t="n">
        <f aca="false">-1+A879*0.05</f>
        <v>0.05</v>
      </c>
      <c r="D879" s="0" t="n">
        <f aca="false">-1+B879*0.05</f>
        <v>-0.35</v>
      </c>
      <c r="E879" s="0" t="n">
        <f aca="false">1</f>
        <v>1</v>
      </c>
      <c r="F879" s="0" t="n">
        <f aca="false">C879</f>
        <v>0.05</v>
      </c>
      <c r="G879" s="0" t="n">
        <f aca="false">D879</f>
        <v>-0.35</v>
      </c>
      <c r="H879" s="0" t="n">
        <f aca="false">C879*D879</f>
        <v>-0.0175</v>
      </c>
      <c r="I879" s="0" t="n">
        <f aca="false">C879*C879</f>
        <v>0.0025</v>
      </c>
      <c r="J879" s="0" t="n">
        <f aca="false">D879*D879</f>
        <v>0.1225</v>
      </c>
      <c r="K879" s="0" t="n">
        <f aca="false">SUMPRODUCT(E879:J879,_XtX!$B$53:$G$53)</f>
        <v>47.168430316092</v>
      </c>
      <c r="L879" s="0" t="n">
        <f aca="false">SUMPRODUCT(MMULT(E879:J879,_XtX!$B$44:$G$49),E879:J879)</f>
        <v>0.172812697557471</v>
      </c>
      <c r="M879" s="0" t="n">
        <f aca="false">04_回帰ANOVA!$K$19*04_回帰ANOVA!$K$14*SQRT(1+L879)</f>
        <v>1.46754322544161</v>
      </c>
      <c r="N879" s="0" t="n">
        <f aca="false">K879-M879</f>
        <v>45.7008870906504</v>
      </c>
      <c r="O879" s="0" t="n">
        <f aca="false">K879+M879</f>
        <v>48.6359735415336</v>
      </c>
      <c r="P879" s="54" t="b">
        <f aca="false">AND(C879&gt;=01_因子設定!$L$5-0.000000001,C879&lt;=01_因子設定!$M$5+0.000000001,D879&gt;=01_因子設定!$L$6-0.000000001,D879&lt;=01_因子設定!$M$6+0.000000001,IF(01_因子設定!$B$20="Box-Behnken",C879^2+D879^2&lt;=2+0.000000001,TRUE()))</f>
        <v>1</v>
      </c>
      <c r="Q879" s="55" t="n">
        <f aca="false">IF(P879,IF(01_因子設定!$B$13="最大化",N879-01_因子設定!$B$14,IF(01_因子設定!$B$13="最小化",01_因子設定!$B$15-O879,MIN(N879-01_因子設定!$B$14,01_因子設定!$B$15-O879))),-1E+030)</f>
        <v>-0.799112909349653</v>
      </c>
      <c r="R879" s="55" t="n">
        <f aca="false">IF(P879,IF(01_因子設定!$B$13="最大化",K879,IF(01_因子設定!$B$13="最小化",-K879,-ABS(K879-01_因子設定!$B$16))),-1E+030)</f>
        <v>47.168430316092</v>
      </c>
      <c r="S879" s="55" t="n">
        <f aca="false">Q879+ROW()*0.000000001</f>
        <v>-0.799112030349653</v>
      </c>
      <c r="T879" s="55" t="n">
        <f aca="false">R879+ROW()*0.000000001</f>
        <v>47.168431195092</v>
      </c>
    </row>
    <row r="880" customFormat="false" ht="15" hidden="false" customHeight="false" outlineLevel="0" collapsed="false">
      <c r="A880" s="0" t="n">
        <v>21</v>
      </c>
      <c r="B880" s="0" t="n">
        <v>14</v>
      </c>
      <c r="C880" s="0" t="n">
        <f aca="false">-1+A880*0.05</f>
        <v>0.05</v>
      </c>
      <c r="D880" s="0" t="n">
        <f aca="false">-1+B880*0.05</f>
        <v>-0.3</v>
      </c>
      <c r="E880" s="0" t="n">
        <f aca="false">1</f>
        <v>1</v>
      </c>
      <c r="F880" s="0" t="n">
        <f aca="false">C880</f>
        <v>0.05</v>
      </c>
      <c r="G880" s="0" t="n">
        <f aca="false">D880</f>
        <v>-0.3</v>
      </c>
      <c r="H880" s="0" t="n">
        <f aca="false">C880*D880</f>
        <v>-0.015</v>
      </c>
      <c r="I880" s="0" t="n">
        <f aca="false">C880*C880</f>
        <v>0.0025</v>
      </c>
      <c r="J880" s="0" t="n">
        <f aca="false">D880*D880</f>
        <v>0.09</v>
      </c>
      <c r="K880" s="0" t="n">
        <f aca="false">SUMPRODUCT(E880:J880,_XtX!$B$53:$G$53)</f>
        <v>47.3323936781609</v>
      </c>
      <c r="L880" s="0" t="n">
        <f aca="false">SUMPRODUCT(MMULT(E880:J880,_XtX!$B$44:$G$49),E880:J880)</f>
        <v>0.171621731321839</v>
      </c>
      <c r="M880" s="0" t="n">
        <f aca="false">04_回帰ANOVA!$K$19*04_回帰ANOVA!$K$14*SQRT(1+L880)</f>
        <v>1.46679790678507</v>
      </c>
      <c r="N880" s="0" t="n">
        <f aca="false">K880-M880</f>
        <v>45.8655957713759</v>
      </c>
      <c r="O880" s="0" t="n">
        <f aca="false">K880+M880</f>
        <v>48.799191584946</v>
      </c>
      <c r="P880" s="54" t="b">
        <f aca="false">AND(C880&gt;=01_因子設定!$L$5-0.000000001,C880&lt;=01_因子設定!$M$5+0.000000001,D880&gt;=01_因子設定!$L$6-0.000000001,D880&lt;=01_因子設定!$M$6+0.000000001,IF(01_因子設定!$B$20="Box-Behnken",C880^2+D880^2&lt;=2+0.000000001,TRUE()))</f>
        <v>1</v>
      </c>
      <c r="Q880" s="55" t="n">
        <f aca="false">IF(P880,IF(01_因子設定!$B$13="最大化",N880-01_因子設定!$B$14,IF(01_因子設定!$B$13="最小化",01_因子設定!$B$15-O880,MIN(N880-01_因子設定!$B$14,01_因子設定!$B$15-O880))),-1E+030)</f>
        <v>-0.634404228624149</v>
      </c>
      <c r="R880" s="55" t="n">
        <f aca="false">IF(P880,IF(01_因子設定!$B$13="最大化",K880,IF(01_因子設定!$B$13="最小化",-K880,-ABS(K880-01_因子設定!$B$16))),-1E+030)</f>
        <v>47.3323936781609</v>
      </c>
      <c r="S880" s="55" t="n">
        <f aca="false">Q880+ROW()*0.000000001</f>
        <v>-0.634403348624149</v>
      </c>
      <c r="T880" s="55" t="n">
        <f aca="false">R880+ROW()*0.000000001</f>
        <v>47.3323945581609</v>
      </c>
    </row>
    <row r="881" customFormat="false" ht="15" hidden="false" customHeight="false" outlineLevel="0" collapsed="false">
      <c r="A881" s="0" t="n">
        <v>21</v>
      </c>
      <c r="B881" s="0" t="n">
        <v>15</v>
      </c>
      <c r="C881" s="0" t="n">
        <f aca="false">-1+A881*0.05</f>
        <v>0.05</v>
      </c>
      <c r="D881" s="0" t="n">
        <f aca="false">-1+B881*0.05</f>
        <v>-0.25</v>
      </c>
      <c r="E881" s="0" t="n">
        <f aca="false">1</f>
        <v>1</v>
      </c>
      <c r="F881" s="0" t="n">
        <f aca="false">C881</f>
        <v>0.05</v>
      </c>
      <c r="G881" s="0" t="n">
        <f aca="false">D881</f>
        <v>-0.25</v>
      </c>
      <c r="H881" s="0" t="n">
        <f aca="false">C881*D881</f>
        <v>-0.0125</v>
      </c>
      <c r="I881" s="0" t="n">
        <f aca="false">C881*C881</f>
        <v>0.0025</v>
      </c>
      <c r="J881" s="0" t="n">
        <f aca="false">D881*D881</f>
        <v>0.0625</v>
      </c>
      <c r="K881" s="0" t="n">
        <f aca="false">SUMPRODUCT(E881:J881,_XtX!$B$53:$G$53)</f>
        <v>47.4886415229885</v>
      </c>
      <c r="L881" s="0" t="n">
        <f aca="false">SUMPRODUCT(MMULT(E881:J881,_XtX!$B$44:$G$49),E881:J881)</f>
        <v>0.171211404454023</v>
      </c>
      <c r="M881" s="0" t="n">
        <f aca="false">04_回帰ANOVA!$K$19*04_回帰ANOVA!$K$14*SQRT(1+L881)</f>
        <v>1.46654103236879</v>
      </c>
      <c r="N881" s="0" t="n">
        <f aca="false">K881-M881</f>
        <v>46.0221004906197</v>
      </c>
      <c r="O881" s="0" t="n">
        <f aca="false">K881+M881</f>
        <v>48.9551825553573</v>
      </c>
      <c r="P881" s="54" t="b">
        <f aca="false">AND(C881&gt;=01_因子設定!$L$5-0.000000001,C881&lt;=01_因子設定!$M$5+0.000000001,D881&gt;=01_因子設定!$L$6-0.000000001,D881&lt;=01_因子設定!$M$6+0.000000001,IF(01_因子設定!$B$20="Box-Behnken",C881^2+D881^2&lt;=2+0.000000001,TRUE()))</f>
        <v>1</v>
      </c>
      <c r="Q881" s="55" t="n">
        <f aca="false">IF(P881,IF(01_因子設定!$B$13="最大化",N881-01_因子設定!$B$14,IF(01_因子設定!$B$13="最小化",01_因子設定!$B$15-O881,MIN(N881-01_因子設定!$B$14,01_因子設定!$B$15-O881))),-1E+030)</f>
        <v>-0.477899509380286</v>
      </c>
      <c r="R881" s="55" t="n">
        <f aca="false">IF(P881,IF(01_因子設定!$B$13="最大化",K881,IF(01_因子設定!$B$13="最小化",-K881,-ABS(K881-01_因子設定!$B$16))),-1E+030)</f>
        <v>47.4886415229885</v>
      </c>
      <c r="S881" s="55" t="n">
        <f aca="false">Q881+ROW()*0.000000001</f>
        <v>-0.477898628380286</v>
      </c>
      <c r="T881" s="55" t="n">
        <f aca="false">R881+ROW()*0.000000001</f>
        <v>47.4886424039885</v>
      </c>
    </row>
    <row r="882" customFormat="false" ht="15" hidden="false" customHeight="false" outlineLevel="0" collapsed="false">
      <c r="A882" s="0" t="n">
        <v>21</v>
      </c>
      <c r="B882" s="0" t="n">
        <v>16</v>
      </c>
      <c r="C882" s="0" t="n">
        <f aca="false">-1+A882*0.05</f>
        <v>0.05</v>
      </c>
      <c r="D882" s="0" t="n">
        <f aca="false">-1+B882*0.05</f>
        <v>-0.2</v>
      </c>
      <c r="E882" s="0" t="n">
        <f aca="false">1</f>
        <v>1</v>
      </c>
      <c r="F882" s="0" t="n">
        <f aca="false">C882</f>
        <v>0.05</v>
      </c>
      <c r="G882" s="0" t="n">
        <f aca="false">D882</f>
        <v>-0.2</v>
      </c>
      <c r="H882" s="0" t="n">
        <f aca="false">C882*D882</f>
        <v>-0.01</v>
      </c>
      <c r="I882" s="0" t="n">
        <f aca="false">C882*C882</f>
        <v>0.0025</v>
      </c>
      <c r="J882" s="0" t="n">
        <f aca="false">D882*D882</f>
        <v>0.04</v>
      </c>
      <c r="K882" s="0" t="n">
        <f aca="false">SUMPRODUCT(E882:J882,_XtX!$B$53:$G$53)</f>
        <v>47.6371738505747</v>
      </c>
      <c r="L882" s="0" t="n">
        <f aca="false">SUMPRODUCT(MMULT(E882:J882,_XtX!$B$44:$G$49),E882:J882)</f>
        <v>0.171283010057471</v>
      </c>
      <c r="M882" s="0" t="n">
        <f aca="false">04_回帰ANOVA!$K$19*04_回帰ANOVA!$K$14*SQRT(1+L882)</f>
        <v>1.46658586242687</v>
      </c>
      <c r="N882" s="0" t="n">
        <f aca="false">K882-M882</f>
        <v>46.1705879881478</v>
      </c>
      <c r="O882" s="0" t="n">
        <f aca="false">K882+M882</f>
        <v>49.1037597130016</v>
      </c>
      <c r="P882" s="54" t="b">
        <f aca="false">AND(C882&gt;=01_因子設定!$L$5-0.000000001,C882&lt;=01_因子設定!$M$5+0.000000001,D882&gt;=01_因子設定!$L$6-0.000000001,D882&lt;=01_因子設定!$M$6+0.000000001,IF(01_因子設定!$B$20="Box-Behnken",C882^2+D882^2&lt;=2+0.000000001,TRUE()))</f>
        <v>1</v>
      </c>
      <c r="Q882" s="55" t="n">
        <f aca="false">IF(P882,IF(01_因子設定!$B$13="最大化",N882-01_因子設定!$B$14,IF(01_因子設定!$B$13="最小化",01_因子設定!$B$15-O882,MIN(N882-01_因子設定!$B$14,01_因子設定!$B$15-O882))),-1E+030)</f>
        <v>-0.329412011852163</v>
      </c>
      <c r="R882" s="55" t="n">
        <f aca="false">IF(P882,IF(01_因子設定!$B$13="最大化",K882,IF(01_因子設定!$B$13="最小化",-K882,-ABS(K882-01_因子設定!$B$16))),-1E+030)</f>
        <v>47.6371738505747</v>
      </c>
      <c r="S882" s="55" t="n">
        <f aca="false">Q882+ROW()*0.000000001</f>
        <v>-0.329411129852163</v>
      </c>
      <c r="T882" s="55" t="n">
        <f aca="false">R882+ROW()*0.000000001</f>
        <v>47.6371747325747</v>
      </c>
    </row>
    <row r="883" customFormat="false" ht="15" hidden="false" customHeight="false" outlineLevel="0" collapsed="false">
      <c r="A883" s="0" t="n">
        <v>21</v>
      </c>
      <c r="B883" s="0" t="n">
        <v>17</v>
      </c>
      <c r="C883" s="0" t="n">
        <f aca="false">-1+A883*0.05</f>
        <v>0.05</v>
      </c>
      <c r="D883" s="0" t="n">
        <f aca="false">-1+B883*0.05</f>
        <v>-0.15</v>
      </c>
      <c r="E883" s="0" t="n">
        <f aca="false">1</f>
        <v>1</v>
      </c>
      <c r="F883" s="0" t="n">
        <f aca="false">C883</f>
        <v>0.05</v>
      </c>
      <c r="G883" s="0" t="n">
        <f aca="false">D883</f>
        <v>-0.15</v>
      </c>
      <c r="H883" s="0" t="n">
        <f aca="false">C883*D883</f>
        <v>-0.0075</v>
      </c>
      <c r="I883" s="0" t="n">
        <f aca="false">C883*C883</f>
        <v>0.0025</v>
      </c>
      <c r="J883" s="0" t="n">
        <f aca="false">D883*D883</f>
        <v>0.0225</v>
      </c>
      <c r="K883" s="0" t="n">
        <f aca="false">SUMPRODUCT(E883:J883,_XtX!$B$53:$G$53)</f>
        <v>47.7779906609195</v>
      </c>
      <c r="L883" s="0" t="n">
        <f aca="false">SUMPRODUCT(MMULT(E883:J883,_XtX!$B$44:$G$49),E883:J883)</f>
        <v>0.17159215158046</v>
      </c>
      <c r="M883" s="0" t="n">
        <f aca="false">04_回帰ANOVA!$K$19*04_回帰ANOVA!$K$14*SQRT(1+L883)</f>
        <v>1.4667793906653</v>
      </c>
      <c r="N883" s="0" t="n">
        <f aca="false">K883-M883</f>
        <v>46.3112112702542</v>
      </c>
      <c r="O883" s="0" t="n">
        <f aca="false">K883+M883</f>
        <v>49.2447700515848</v>
      </c>
      <c r="P883" s="54" t="b">
        <f aca="false">AND(C883&gt;=01_因子設定!$L$5-0.000000001,C883&lt;=01_因子設定!$M$5+0.000000001,D883&gt;=01_因子設定!$L$6-0.000000001,D883&lt;=01_因子設定!$M$6+0.000000001,IF(01_因子設定!$B$20="Box-Behnken",C883^2+D883^2&lt;=2+0.000000001,TRUE()))</f>
        <v>1</v>
      </c>
      <c r="Q883" s="55" t="n">
        <f aca="false">IF(P883,IF(01_因子設定!$B$13="最大化",N883-01_因子設定!$B$14,IF(01_因子設定!$B$13="最小化",01_因子設定!$B$15-O883,MIN(N883-01_因子設定!$B$14,01_因子設定!$B$15-O883))),-1E+030)</f>
        <v>-0.18878872974576</v>
      </c>
      <c r="R883" s="55" t="n">
        <f aca="false">IF(P883,IF(01_因子設定!$B$13="最大化",K883,IF(01_因子設定!$B$13="最小化",-K883,-ABS(K883-01_因子設定!$B$16))),-1E+030)</f>
        <v>47.7779906609195</v>
      </c>
      <c r="S883" s="55" t="n">
        <f aca="false">Q883+ROW()*0.000000001</f>
        <v>-0.18878784674576</v>
      </c>
      <c r="T883" s="55" t="n">
        <f aca="false">R883+ROW()*0.000000001</f>
        <v>47.7779915439195</v>
      </c>
    </row>
    <row r="884" customFormat="false" ht="15" hidden="false" customHeight="false" outlineLevel="0" collapsed="false">
      <c r="A884" s="0" t="n">
        <v>21</v>
      </c>
      <c r="B884" s="0" t="n">
        <v>18</v>
      </c>
      <c r="C884" s="0" t="n">
        <f aca="false">-1+A884*0.05</f>
        <v>0.05</v>
      </c>
      <c r="D884" s="0" t="n">
        <f aca="false">-1+B884*0.05</f>
        <v>-0.1</v>
      </c>
      <c r="E884" s="0" t="n">
        <f aca="false">1</f>
        <v>1</v>
      </c>
      <c r="F884" s="0" t="n">
        <f aca="false">C884</f>
        <v>0.05</v>
      </c>
      <c r="G884" s="0" t="n">
        <f aca="false">D884</f>
        <v>-0.1</v>
      </c>
      <c r="H884" s="0" t="n">
        <f aca="false">C884*D884</f>
        <v>-0.005</v>
      </c>
      <c r="I884" s="0" t="n">
        <f aca="false">C884*C884</f>
        <v>0.0025</v>
      </c>
      <c r="J884" s="0" t="n">
        <f aca="false">D884*D884</f>
        <v>0.01</v>
      </c>
      <c r="K884" s="0" t="n">
        <f aca="false">SUMPRODUCT(E884:J884,_XtX!$B$53:$G$53)</f>
        <v>47.911091954023</v>
      </c>
      <c r="L884" s="0" t="n">
        <f aca="false">SUMPRODUCT(MMULT(E884:J884,_XtX!$B$44:$G$49),E884:J884)</f>
        <v>0.171948742816092</v>
      </c>
      <c r="M884" s="0" t="n">
        <f aca="false">04_回帰ANOVA!$K$19*04_回帰ANOVA!$K$14*SQRT(1+L884)</f>
        <v>1.46700259158121</v>
      </c>
      <c r="N884" s="0" t="n">
        <f aca="false">K884-M884</f>
        <v>46.4440893624418</v>
      </c>
      <c r="O884" s="0" t="n">
        <f aca="false">K884+M884</f>
        <v>49.3780945456042</v>
      </c>
      <c r="P884" s="54" t="b">
        <f aca="false">AND(C884&gt;=01_因子設定!$L$5-0.000000001,C884&lt;=01_因子設定!$M$5+0.000000001,D884&gt;=01_因子設定!$L$6-0.000000001,D884&lt;=01_因子設定!$M$6+0.000000001,IF(01_因子設定!$B$20="Box-Behnken",C884^2+D884^2&lt;=2+0.000000001,TRUE()))</f>
        <v>1</v>
      </c>
      <c r="Q884" s="55" t="n">
        <f aca="false">IF(P884,IF(01_因子設定!$B$13="最大化",N884-01_因子設定!$B$14,IF(01_因子設定!$B$13="最小化",01_因子設定!$B$15-O884,MIN(N884-01_因子設定!$B$14,01_因子設定!$B$15-O884))),-1E+030)</f>
        <v>-0.0559106375582203</v>
      </c>
      <c r="R884" s="55" t="n">
        <f aca="false">IF(P884,IF(01_因子設定!$B$13="最大化",K884,IF(01_因子設定!$B$13="最小化",-K884,-ABS(K884-01_因子設定!$B$16))),-1E+030)</f>
        <v>47.911091954023</v>
      </c>
      <c r="S884" s="55" t="n">
        <f aca="false">Q884+ROW()*0.000000001</f>
        <v>-0.0559097535582203</v>
      </c>
      <c r="T884" s="55" t="n">
        <f aca="false">R884+ROW()*0.000000001</f>
        <v>47.911092838023</v>
      </c>
    </row>
    <row r="885" customFormat="false" ht="15" hidden="false" customHeight="false" outlineLevel="0" collapsed="false">
      <c r="A885" s="0" t="n">
        <v>21</v>
      </c>
      <c r="B885" s="0" t="n">
        <v>19</v>
      </c>
      <c r="C885" s="0" t="n">
        <f aca="false">-1+A885*0.05</f>
        <v>0.05</v>
      </c>
      <c r="D885" s="0" t="n">
        <f aca="false">-1+B885*0.05</f>
        <v>-0.0499999999999999</v>
      </c>
      <c r="E885" s="0" t="n">
        <f aca="false">1</f>
        <v>1</v>
      </c>
      <c r="F885" s="0" t="n">
        <f aca="false">C885</f>
        <v>0.05</v>
      </c>
      <c r="G885" s="0" t="n">
        <f aca="false">D885</f>
        <v>-0.0499999999999999</v>
      </c>
      <c r="H885" s="0" t="n">
        <f aca="false">C885*D885</f>
        <v>-0.0025</v>
      </c>
      <c r="I885" s="0" t="n">
        <f aca="false">C885*C885</f>
        <v>0.0025</v>
      </c>
      <c r="J885" s="0" t="n">
        <f aca="false">D885*D885</f>
        <v>0.00249999999999999</v>
      </c>
      <c r="K885" s="0" t="n">
        <f aca="false">SUMPRODUCT(E885:J885,_XtX!$B$53:$G$53)</f>
        <v>48.0364777298851</v>
      </c>
      <c r="L885" s="0" t="n">
        <f aca="false">SUMPRODUCT(MMULT(E885:J885,_XtX!$B$44:$G$49),E885:J885)</f>
        <v>0.172217007902299</v>
      </c>
      <c r="M885" s="0" t="n">
        <f aca="false">04_回帰ANOVA!$K$19*04_回帰ANOVA!$K$14*SQRT(1+L885)</f>
        <v>1.46717048418766</v>
      </c>
      <c r="N885" s="0" t="n">
        <f aca="false">K885-M885</f>
        <v>46.5693072456974</v>
      </c>
      <c r="O885" s="0" t="n">
        <f aca="false">K885+M885</f>
        <v>49.5036482140727</v>
      </c>
      <c r="P885" s="54" t="b">
        <f aca="false">AND(C885&gt;=01_因子設定!$L$5-0.000000001,C885&lt;=01_因子設定!$M$5+0.000000001,D885&gt;=01_因子設定!$L$6-0.000000001,D885&lt;=01_因子設定!$M$6+0.000000001,IF(01_因子設定!$B$20="Box-Behnken",C885^2+D885^2&lt;=2+0.000000001,TRUE()))</f>
        <v>1</v>
      </c>
      <c r="Q885" s="55" t="n">
        <f aca="false">IF(P885,IF(01_因子設定!$B$13="最大化",N885-01_因子設定!$B$14,IF(01_因子設定!$B$13="最小化",01_因子設定!$B$15-O885,MIN(N885-01_因子設定!$B$14,01_因子設定!$B$15-O885))),-1E+030)</f>
        <v>0.0693072456973951</v>
      </c>
      <c r="R885" s="55" t="n">
        <f aca="false">IF(P885,IF(01_因子設定!$B$13="最大化",K885,IF(01_因子設定!$B$13="最小化",-K885,-ABS(K885-01_因子設定!$B$16))),-1E+030)</f>
        <v>48.0364777298851</v>
      </c>
      <c r="S885" s="55" t="n">
        <f aca="false">Q885+ROW()*0.000000001</f>
        <v>0.0693081306973951</v>
      </c>
      <c r="T885" s="55" t="n">
        <f aca="false">R885+ROW()*0.000000001</f>
        <v>48.0364786148851</v>
      </c>
    </row>
    <row r="886" customFormat="false" ht="15" hidden="false" customHeight="false" outlineLevel="0" collapsed="false">
      <c r="A886" s="0" t="n">
        <v>21</v>
      </c>
      <c r="B886" s="0" t="n">
        <v>20</v>
      </c>
      <c r="C886" s="0" t="n">
        <f aca="false">-1+A886*0.05</f>
        <v>0.05</v>
      </c>
      <c r="D886" s="0" t="n">
        <f aca="false">-1+B886*0.05</f>
        <v>0</v>
      </c>
      <c r="E886" s="0" t="n">
        <f aca="false">1</f>
        <v>1</v>
      </c>
      <c r="F886" s="0" t="n">
        <f aca="false">C886</f>
        <v>0.05</v>
      </c>
      <c r="G886" s="0" t="n">
        <f aca="false">D886</f>
        <v>0</v>
      </c>
      <c r="H886" s="0" t="n">
        <f aca="false">C886*D886</f>
        <v>0</v>
      </c>
      <c r="I886" s="0" t="n">
        <f aca="false">C886*C886</f>
        <v>0.0025</v>
      </c>
      <c r="J886" s="0" t="n">
        <f aca="false">D886*D886</f>
        <v>0</v>
      </c>
      <c r="K886" s="0" t="n">
        <f aca="false">SUMPRODUCT(E886:J886,_XtX!$B$53:$G$53)</f>
        <v>48.1541479885058</v>
      </c>
      <c r="L886" s="0" t="n">
        <f aca="false">SUMPRODUCT(MMULT(E886:J886,_XtX!$B$44:$G$49),E886:J886)</f>
        <v>0.172315481321839</v>
      </c>
      <c r="M886" s="0" t="n">
        <f aca="false">04_回帰ANOVA!$K$19*04_回帰ANOVA!$K$14*SQRT(1+L886)</f>
        <v>1.46723210855394</v>
      </c>
      <c r="N886" s="0" t="n">
        <f aca="false">K886-M886</f>
        <v>46.6869158799518</v>
      </c>
      <c r="O886" s="0" t="n">
        <f aca="false">K886+M886</f>
        <v>49.6213800970597</v>
      </c>
      <c r="P886" s="54" t="b">
        <f aca="false">AND(C886&gt;=01_因子設定!$L$5-0.000000001,C886&lt;=01_因子設定!$M$5+0.000000001,D886&gt;=01_因子設定!$L$6-0.000000001,D886&lt;=01_因子設定!$M$6+0.000000001,IF(01_因子設定!$B$20="Box-Behnken",C886^2+D886^2&lt;=2+0.000000001,TRUE()))</f>
        <v>1</v>
      </c>
      <c r="Q886" s="55" t="n">
        <f aca="false">IF(P886,IF(01_因子設定!$B$13="最大化",N886-01_因子設定!$B$14,IF(01_因子設定!$B$13="最小化",01_因子設定!$B$15-O886,MIN(N886-01_因子設定!$B$14,01_因子設定!$B$15-O886))),-1E+030)</f>
        <v>0.186915879951812</v>
      </c>
      <c r="R886" s="55" t="n">
        <f aca="false">IF(P886,IF(01_因子設定!$B$13="最大化",K886,IF(01_因子設定!$B$13="最小化",-K886,-ABS(K886-01_因子設定!$B$16))),-1E+030)</f>
        <v>48.1541479885058</v>
      </c>
      <c r="S886" s="55" t="n">
        <f aca="false">Q886+ROW()*0.000000001</f>
        <v>0.186916765951812</v>
      </c>
      <c r="T886" s="55" t="n">
        <f aca="false">R886+ROW()*0.000000001</f>
        <v>48.1541488745058</v>
      </c>
    </row>
    <row r="887" customFormat="false" ht="15" hidden="false" customHeight="false" outlineLevel="0" collapsed="false">
      <c r="A887" s="0" t="n">
        <v>21</v>
      </c>
      <c r="B887" s="0" t="n">
        <v>21</v>
      </c>
      <c r="C887" s="0" t="n">
        <f aca="false">-1+A887*0.05</f>
        <v>0.05</v>
      </c>
      <c r="D887" s="0" t="n">
        <f aca="false">-1+B887*0.05</f>
        <v>0.05</v>
      </c>
      <c r="E887" s="0" t="n">
        <f aca="false">1</f>
        <v>1</v>
      </c>
      <c r="F887" s="0" t="n">
        <f aca="false">C887</f>
        <v>0.05</v>
      </c>
      <c r="G887" s="0" t="n">
        <f aca="false">D887</f>
        <v>0.05</v>
      </c>
      <c r="H887" s="0" t="n">
        <f aca="false">C887*D887</f>
        <v>0.0025</v>
      </c>
      <c r="I887" s="0" t="n">
        <f aca="false">C887*C887</f>
        <v>0.0025</v>
      </c>
      <c r="J887" s="0" t="n">
        <f aca="false">D887*D887</f>
        <v>0.0025</v>
      </c>
      <c r="K887" s="0" t="n">
        <f aca="false">SUMPRODUCT(E887:J887,_XtX!$B$53:$G$53)</f>
        <v>48.2641027298851</v>
      </c>
      <c r="L887" s="0" t="n">
        <f aca="false">SUMPRODUCT(MMULT(E887:J887,_XtX!$B$44:$G$49),E887:J887)</f>
        <v>0.172217007902299</v>
      </c>
      <c r="M887" s="0" t="n">
        <f aca="false">04_回帰ANOVA!$K$19*04_回帰ANOVA!$K$14*SQRT(1+L887)</f>
        <v>1.46717048418766</v>
      </c>
      <c r="N887" s="0" t="n">
        <f aca="false">K887-M887</f>
        <v>46.7969322456974</v>
      </c>
      <c r="O887" s="0" t="n">
        <f aca="false">K887+M887</f>
        <v>49.7312732140727</v>
      </c>
      <c r="P887" s="54" t="b">
        <f aca="false">AND(C887&gt;=01_因子設定!$L$5-0.000000001,C887&lt;=01_因子設定!$M$5+0.000000001,D887&gt;=01_因子設定!$L$6-0.000000001,D887&lt;=01_因子設定!$M$6+0.000000001,IF(01_因子設定!$B$20="Box-Behnken",C887^2+D887^2&lt;=2+0.000000001,TRUE()))</f>
        <v>1</v>
      </c>
      <c r="Q887" s="55" t="n">
        <f aca="false">IF(P887,IF(01_因子設定!$B$13="最大化",N887-01_因子設定!$B$14,IF(01_因子設定!$B$13="最小化",01_因子設定!$B$15-O887,MIN(N887-01_因子設定!$B$14,01_因子設定!$B$15-O887))),-1E+030)</f>
        <v>0.296932245697391</v>
      </c>
      <c r="R887" s="55" t="n">
        <f aca="false">IF(P887,IF(01_因子設定!$B$13="最大化",K887,IF(01_因子設定!$B$13="最小化",-K887,-ABS(K887-01_因子設定!$B$16))),-1E+030)</f>
        <v>48.2641027298851</v>
      </c>
      <c r="S887" s="55" t="n">
        <f aca="false">Q887+ROW()*0.000000001</f>
        <v>0.296933132697391</v>
      </c>
      <c r="T887" s="55" t="n">
        <f aca="false">R887+ROW()*0.000000001</f>
        <v>48.2641036168851</v>
      </c>
    </row>
    <row r="888" customFormat="false" ht="15" hidden="false" customHeight="false" outlineLevel="0" collapsed="false">
      <c r="A888" s="0" t="n">
        <v>21</v>
      </c>
      <c r="B888" s="0" t="n">
        <v>22</v>
      </c>
      <c r="C888" s="0" t="n">
        <f aca="false">-1+A888*0.05</f>
        <v>0.05</v>
      </c>
      <c r="D888" s="0" t="n">
        <f aca="false">-1+B888*0.05</f>
        <v>0.1</v>
      </c>
      <c r="E888" s="0" t="n">
        <f aca="false">1</f>
        <v>1</v>
      </c>
      <c r="F888" s="0" t="n">
        <f aca="false">C888</f>
        <v>0.05</v>
      </c>
      <c r="G888" s="0" t="n">
        <f aca="false">D888</f>
        <v>0.1</v>
      </c>
      <c r="H888" s="0" t="n">
        <f aca="false">C888*D888</f>
        <v>0.00500000000000001</v>
      </c>
      <c r="I888" s="0" t="n">
        <f aca="false">C888*C888</f>
        <v>0.0025</v>
      </c>
      <c r="J888" s="0" t="n">
        <f aca="false">D888*D888</f>
        <v>0.01</v>
      </c>
      <c r="K888" s="0" t="n">
        <f aca="false">SUMPRODUCT(E888:J888,_XtX!$B$53:$G$53)</f>
        <v>48.366341954023</v>
      </c>
      <c r="L888" s="0" t="n">
        <f aca="false">SUMPRODUCT(MMULT(E888:J888,_XtX!$B$44:$G$49),E888:J888)</f>
        <v>0.171948742816092</v>
      </c>
      <c r="M888" s="0" t="n">
        <f aca="false">04_回帰ANOVA!$K$19*04_回帰ANOVA!$K$14*SQRT(1+L888)</f>
        <v>1.46700259158121</v>
      </c>
      <c r="N888" s="0" t="n">
        <f aca="false">K888-M888</f>
        <v>46.8993393624418</v>
      </c>
      <c r="O888" s="0" t="n">
        <f aca="false">K888+M888</f>
        <v>49.8333445456042</v>
      </c>
      <c r="P888" s="54" t="b">
        <f aca="false">AND(C888&gt;=01_因子設定!$L$5-0.000000001,C888&lt;=01_因子設定!$M$5+0.000000001,D888&gt;=01_因子設定!$L$6-0.000000001,D888&lt;=01_因子設定!$M$6+0.000000001,IF(01_因子設定!$B$20="Box-Behnken",C888^2+D888^2&lt;=2+0.000000001,TRUE()))</f>
        <v>1</v>
      </c>
      <c r="Q888" s="55" t="n">
        <f aca="false">IF(P888,IF(01_因子設定!$B$13="最大化",N888-01_因子設定!$B$14,IF(01_因子設定!$B$13="最小化",01_因子設定!$B$15-O888,MIN(N888-01_因子設定!$B$14,01_因子設定!$B$15-O888))),-1E+030)</f>
        <v>0.399339362441779</v>
      </c>
      <c r="R888" s="55" t="n">
        <f aca="false">IF(P888,IF(01_因子設定!$B$13="最大化",K888,IF(01_因子設定!$B$13="最小化",-K888,-ABS(K888-01_因子設定!$B$16))),-1E+030)</f>
        <v>48.366341954023</v>
      </c>
      <c r="S888" s="55" t="n">
        <f aca="false">Q888+ROW()*0.000000001</f>
        <v>0.399340250441779</v>
      </c>
      <c r="T888" s="55" t="n">
        <f aca="false">R888+ROW()*0.000000001</f>
        <v>48.366342842023</v>
      </c>
    </row>
    <row r="889" customFormat="false" ht="15" hidden="false" customHeight="false" outlineLevel="0" collapsed="false">
      <c r="A889" s="0" t="n">
        <v>21</v>
      </c>
      <c r="B889" s="0" t="n">
        <v>23</v>
      </c>
      <c r="C889" s="0" t="n">
        <f aca="false">-1+A889*0.05</f>
        <v>0.05</v>
      </c>
      <c r="D889" s="0" t="n">
        <f aca="false">-1+B889*0.05</f>
        <v>0.15</v>
      </c>
      <c r="E889" s="0" t="n">
        <f aca="false">1</f>
        <v>1</v>
      </c>
      <c r="F889" s="0" t="n">
        <f aca="false">C889</f>
        <v>0.05</v>
      </c>
      <c r="G889" s="0" t="n">
        <f aca="false">D889</f>
        <v>0.15</v>
      </c>
      <c r="H889" s="0" t="n">
        <f aca="false">C889*D889</f>
        <v>0.00750000000000001</v>
      </c>
      <c r="I889" s="0" t="n">
        <f aca="false">C889*C889</f>
        <v>0.0025</v>
      </c>
      <c r="J889" s="0" t="n">
        <f aca="false">D889*D889</f>
        <v>0.0225</v>
      </c>
      <c r="K889" s="0" t="n">
        <f aca="false">SUMPRODUCT(E889:J889,_XtX!$B$53:$G$53)</f>
        <v>48.4608656609195</v>
      </c>
      <c r="L889" s="0" t="n">
        <f aca="false">SUMPRODUCT(MMULT(E889:J889,_XtX!$B$44:$G$49),E889:J889)</f>
        <v>0.17159215158046</v>
      </c>
      <c r="M889" s="0" t="n">
        <f aca="false">04_回帰ANOVA!$K$19*04_回帰ANOVA!$K$14*SQRT(1+L889)</f>
        <v>1.4667793906653</v>
      </c>
      <c r="N889" s="0" t="n">
        <f aca="false">K889-M889</f>
        <v>46.9940862702542</v>
      </c>
      <c r="O889" s="0" t="n">
        <f aca="false">K889+M889</f>
        <v>49.9276450515848</v>
      </c>
      <c r="P889" s="54" t="b">
        <f aca="false">AND(C889&gt;=01_因子設定!$L$5-0.000000001,C889&lt;=01_因子設定!$M$5+0.000000001,D889&gt;=01_因子設定!$L$6-0.000000001,D889&lt;=01_因子設定!$M$6+0.000000001,IF(01_因子設定!$B$20="Box-Behnken",C889^2+D889^2&lt;=2+0.000000001,TRUE()))</f>
        <v>1</v>
      </c>
      <c r="Q889" s="55" t="n">
        <f aca="false">IF(P889,IF(01_因子設定!$B$13="最大化",N889-01_因子設定!$B$14,IF(01_因子設定!$B$13="最小化",01_因子設定!$B$15-O889,MIN(N889-01_因子設定!$B$14,01_因子設定!$B$15-O889))),-1E+030)</f>
        <v>0.494086270254236</v>
      </c>
      <c r="R889" s="55" t="n">
        <f aca="false">IF(P889,IF(01_因子設定!$B$13="最大化",K889,IF(01_因子設定!$B$13="最小化",-K889,-ABS(K889-01_因子設定!$B$16))),-1E+030)</f>
        <v>48.4608656609195</v>
      </c>
      <c r="S889" s="55" t="n">
        <f aca="false">Q889+ROW()*0.000000001</f>
        <v>0.494087159254236</v>
      </c>
      <c r="T889" s="55" t="n">
        <f aca="false">R889+ROW()*0.000000001</f>
        <v>48.4608665499195</v>
      </c>
    </row>
    <row r="890" customFormat="false" ht="15" hidden="false" customHeight="false" outlineLevel="0" collapsed="false">
      <c r="A890" s="0" t="n">
        <v>21</v>
      </c>
      <c r="B890" s="0" t="n">
        <v>24</v>
      </c>
      <c r="C890" s="0" t="n">
        <f aca="false">-1+A890*0.05</f>
        <v>0.05</v>
      </c>
      <c r="D890" s="0" t="n">
        <f aca="false">-1+B890*0.05</f>
        <v>0.2</v>
      </c>
      <c r="E890" s="0" t="n">
        <f aca="false">1</f>
        <v>1</v>
      </c>
      <c r="F890" s="0" t="n">
        <f aca="false">C890</f>
        <v>0.05</v>
      </c>
      <c r="G890" s="0" t="n">
        <f aca="false">D890</f>
        <v>0.2</v>
      </c>
      <c r="H890" s="0" t="n">
        <f aca="false">C890*D890</f>
        <v>0.01</v>
      </c>
      <c r="I890" s="0" t="n">
        <f aca="false">C890*C890</f>
        <v>0.0025</v>
      </c>
      <c r="J890" s="0" t="n">
        <f aca="false">D890*D890</f>
        <v>0.0400000000000001</v>
      </c>
      <c r="K890" s="0" t="n">
        <f aca="false">SUMPRODUCT(E890:J890,_XtX!$B$53:$G$53)</f>
        <v>48.5476738505747</v>
      </c>
      <c r="L890" s="0" t="n">
        <f aca="false">SUMPRODUCT(MMULT(E890:J890,_XtX!$B$44:$G$49),E890:J890)</f>
        <v>0.171283010057471</v>
      </c>
      <c r="M890" s="0" t="n">
        <f aca="false">04_回帰ANOVA!$K$19*04_回帰ANOVA!$K$14*SQRT(1+L890)</f>
        <v>1.46658586242687</v>
      </c>
      <c r="N890" s="0" t="n">
        <f aca="false">K890-M890</f>
        <v>47.0810879881478</v>
      </c>
      <c r="O890" s="0" t="n">
        <f aca="false">K890+M890</f>
        <v>50.0142597130016</v>
      </c>
      <c r="P890" s="54" t="b">
        <f aca="false">AND(C890&gt;=01_因子設定!$L$5-0.000000001,C890&lt;=01_因子設定!$M$5+0.000000001,D890&gt;=01_因子設定!$L$6-0.000000001,D890&lt;=01_因子設定!$M$6+0.000000001,IF(01_因子設定!$B$20="Box-Behnken",C890^2+D890^2&lt;=2+0.000000001,TRUE()))</f>
        <v>1</v>
      </c>
      <c r="Q890" s="55" t="n">
        <f aca="false">IF(P890,IF(01_因子設定!$B$13="最大化",N890-01_因子設定!$B$14,IF(01_因子設定!$B$13="最小化",01_因子設定!$B$15-O890,MIN(N890-01_因子設定!$B$14,01_因子設定!$B$15-O890))),-1E+030)</f>
        <v>0.581087988147836</v>
      </c>
      <c r="R890" s="55" t="n">
        <f aca="false">IF(P890,IF(01_因子設定!$B$13="最大化",K890,IF(01_因子設定!$B$13="最小化",-K890,-ABS(K890-01_因子設定!$B$16))),-1E+030)</f>
        <v>48.5476738505747</v>
      </c>
      <c r="S890" s="55" t="n">
        <f aca="false">Q890+ROW()*0.000000001</f>
        <v>0.581088878147836</v>
      </c>
      <c r="T890" s="55" t="n">
        <f aca="false">R890+ROW()*0.000000001</f>
        <v>48.5476747405747</v>
      </c>
    </row>
    <row r="891" customFormat="false" ht="15" hidden="false" customHeight="false" outlineLevel="0" collapsed="false">
      <c r="A891" s="0" t="n">
        <v>21</v>
      </c>
      <c r="B891" s="0" t="n">
        <v>25</v>
      </c>
      <c r="C891" s="0" t="n">
        <f aca="false">-1+A891*0.05</f>
        <v>0.05</v>
      </c>
      <c r="D891" s="0" t="n">
        <f aca="false">-1+B891*0.05</f>
        <v>0.25</v>
      </c>
      <c r="E891" s="0" t="n">
        <f aca="false">1</f>
        <v>1</v>
      </c>
      <c r="F891" s="0" t="n">
        <f aca="false">C891</f>
        <v>0.05</v>
      </c>
      <c r="G891" s="0" t="n">
        <f aca="false">D891</f>
        <v>0.25</v>
      </c>
      <c r="H891" s="0" t="n">
        <f aca="false">C891*D891</f>
        <v>0.0125</v>
      </c>
      <c r="I891" s="0" t="n">
        <f aca="false">C891*C891</f>
        <v>0.0025</v>
      </c>
      <c r="J891" s="0" t="n">
        <f aca="false">D891*D891</f>
        <v>0.0625</v>
      </c>
      <c r="K891" s="0" t="n">
        <f aca="false">SUMPRODUCT(E891:J891,_XtX!$B$53:$G$53)</f>
        <v>48.6267665229885</v>
      </c>
      <c r="L891" s="0" t="n">
        <f aca="false">SUMPRODUCT(MMULT(E891:J891,_XtX!$B$44:$G$49),E891:J891)</f>
        <v>0.171211404454023</v>
      </c>
      <c r="M891" s="0" t="n">
        <f aca="false">04_回帰ANOVA!$K$19*04_回帰ANOVA!$K$14*SQRT(1+L891)</f>
        <v>1.46654103236879</v>
      </c>
      <c r="N891" s="0" t="n">
        <f aca="false">K891-M891</f>
        <v>47.1602254906197</v>
      </c>
      <c r="O891" s="0" t="n">
        <f aca="false">K891+M891</f>
        <v>50.0933075553573</v>
      </c>
      <c r="P891" s="54" t="b">
        <f aca="false">AND(C891&gt;=01_因子設定!$L$5-0.000000001,C891&lt;=01_因子設定!$M$5+0.000000001,D891&gt;=01_因子設定!$L$6-0.000000001,D891&lt;=01_因子設定!$M$6+0.000000001,IF(01_因子設定!$B$20="Box-Behnken",C891^2+D891^2&lt;=2+0.000000001,TRUE()))</f>
        <v>1</v>
      </c>
      <c r="Q891" s="55" t="n">
        <f aca="false">IF(P891,IF(01_因子設定!$B$13="最大化",N891-01_因子設定!$B$14,IF(01_因子設定!$B$13="最小化",01_因子設定!$B$15-O891,MIN(N891-01_因子設定!$B$14,01_因子設定!$B$15-O891))),-1E+030)</f>
        <v>0.660225490619716</v>
      </c>
      <c r="R891" s="55" t="n">
        <f aca="false">IF(P891,IF(01_因子設定!$B$13="最大化",K891,IF(01_因子設定!$B$13="最小化",-K891,-ABS(K891-01_因子設定!$B$16))),-1E+030)</f>
        <v>48.6267665229885</v>
      </c>
      <c r="S891" s="55" t="n">
        <f aca="false">Q891+ROW()*0.000000001</f>
        <v>0.660226381619716</v>
      </c>
      <c r="T891" s="55" t="n">
        <f aca="false">R891+ROW()*0.000000001</f>
        <v>48.6267674139885</v>
      </c>
    </row>
    <row r="892" customFormat="false" ht="15" hidden="false" customHeight="false" outlineLevel="0" collapsed="false">
      <c r="A892" s="0" t="n">
        <v>21</v>
      </c>
      <c r="B892" s="0" t="n">
        <v>26</v>
      </c>
      <c r="C892" s="0" t="n">
        <f aca="false">-1+A892*0.05</f>
        <v>0.05</v>
      </c>
      <c r="D892" s="0" t="n">
        <f aca="false">-1+B892*0.05</f>
        <v>0.3</v>
      </c>
      <c r="E892" s="0" t="n">
        <f aca="false">1</f>
        <v>1</v>
      </c>
      <c r="F892" s="0" t="n">
        <f aca="false">C892</f>
        <v>0.05</v>
      </c>
      <c r="G892" s="0" t="n">
        <f aca="false">D892</f>
        <v>0.3</v>
      </c>
      <c r="H892" s="0" t="n">
        <f aca="false">C892*D892</f>
        <v>0.015</v>
      </c>
      <c r="I892" s="0" t="n">
        <f aca="false">C892*C892</f>
        <v>0.0025</v>
      </c>
      <c r="J892" s="0" t="n">
        <f aca="false">D892*D892</f>
        <v>0.09</v>
      </c>
      <c r="K892" s="0" t="n">
        <f aca="false">SUMPRODUCT(E892:J892,_XtX!$B$53:$G$53)</f>
        <v>48.6981436781609</v>
      </c>
      <c r="L892" s="0" t="n">
        <f aca="false">SUMPRODUCT(MMULT(E892:J892,_XtX!$B$44:$G$49),E892:J892)</f>
        <v>0.171621731321839</v>
      </c>
      <c r="M892" s="0" t="n">
        <f aca="false">04_回帰ANOVA!$K$19*04_回帰ANOVA!$K$14*SQRT(1+L892)</f>
        <v>1.46679790678507</v>
      </c>
      <c r="N892" s="0" t="n">
        <f aca="false">K892-M892</f>
        <v>47.2313457713759</v>
      </c>
      <c r="O892" s="0" t="n">
        <f aca="false">K892+M892</f>
        <v>50.164941584946</v>
      </c>
      <c r="P892" s="54" t="b">
        <f aca="false">AND(C892&gt;=01_因子設定!$L$5-0.000000001,C892&lt;=01_因子設定!$M$5+0.000000001,D892&gt;=01_因子設定!$L$6-0.000000001,D892&lt;=01_因子設定!$M$6+0.000000001,IF(01_因子設定!$B$20="Box-Behnken",C892^2+D892^2&lt;=2+0.000000001,TRUE()))</f>
        <v>1</v>
      </c>
      <c r="Q892" s="55" t="n">
        <f aca="false">IF(P892,IF(01_因子設定!$B$13="最大化",N892-01_因子設定!$B$14,IF(01_因子設定!$B$13="最小化",01_因子設定!$B$15-O892,MIN(N892-01_因子設定!$B$14,01_因子設定!$B$15-O892))),-1E+030)</f>
        <v>0.73134577137585</v>
      </c>
      <c r="R892" s="55" t="n">
        <f aca="false">IF(P892,IF(01_因子設定!$B$13="最大化",K892,IF(01_因子設定!$B$13="最小化",-K892,-ABS(K892-01_因子設定!$B$16))),-1E+030)</f>
        <v>48.6981436781609</v>
      </c>
      <c r="S892" s="55" t="n">
        <f aca="false">Q892+ROW()*0.000000001</f>
        <v>0.73134666337585</v>
      </c>
      <c r="T892" s="55" t="n">
        <f aca="false">R892+ROW()*0.000000001</f>
        <v>48.6981445701609</v>
      </c>
    </row>
    <row r="893" customFormat="false" ht="15" hidden="false" customHeight="false" outlineLevel="0" collapsed="false">
      <c r="A893" s="0" t="n">
        <v>21</v>
      </c>
      <c r="B893" s="0" t="n">
        <v>27</v>
      </c>
      <c r="C893" s="0" t="n">
        <f aca="false">-1+A893*0.05</f>
        <v>0.05</v>
      </c>
      <c r="D893" s="0" t="n">
        <f aca="false">-1+B893*0.05</f>
        <v>0.35</v>
      </c>
      <c r="E893" s="0" t="n">
        <f aca="false">1</f>
        <v>1</v>
      </c>
      <c r="F893" s="0" t="n">
        <f aca="false">C893</f>
        <v>0.05</v>
      </c>
      <c r="G893" s="0" t="n">
        <f aca="false">D893</f>
        <v>0.35</v>
      </c>
      <c r="H893" s="0" t="n">
        <f aca="false">C893*D893</f>
        <v>0.0175</v>
      </c>
      <c r="I893" s="0" t="n">
        <f aca="false">C893*C893</f>
        <v>0.0025</v>
      </c>
      <c r="J893" s="0" t="n">
        <f aca="false">D893*D893</f>
        <v>0.1225</v>
      </c>
      <c r="K893" s="0" t="n">
        <f aca="false">SUMPRODUCT(E893:J893,_XtX!$B$53:$G$53)</f>
        <v>48.761805316092</v>
      </c>
      <c r="L893" s="0" t="n">
        <f aca="false">SUMPRODUCT(MMULT(E893:J893,_XtX!$B$44:$G$49),E893:J893)</f>
        <v>0.172812697557471</v>
      </c>
      <c r="M893" s="0" t="n">
        <f aca="false">04_回帰ANOVA!$K$19*04_回帰ANOVA!$K$14*SQRT(1+L893)</f>
        <v>1.46754322544161</v>
      </c>
      <c r="N893" s="0" t="n">
        <f aca="false">K893-M893</f>
        <v>47.2942620906503</v>
      </c>
      <c r="O893" s="0" t="n">
        <f aca="false">K893+M893</f>
        <v>50.2293485415336</v>
      </c>
      <c r="P893" s="54" t="b">
        <f aca="false">AND(C893&gt;=01_因子設定!$L$5-0.000000001,C893&lt;=01_因子設定!$M$5+0.000000001,D893&gt;=01_因子設定!$L$6-0.000000001,D893&lt;=01_因子設定!$M$6+0.000000001,IF(01_因子設定!$B$20="Box-Behnken",C893^2+D893^2&lt;=2+0.000000001,TRUE()))</f>
        <v>1</v>
      </c>
      <c r="Q893" s="55" t="n">
        <f aca="false">IF(P893,IF(01_因子設定!$B$13="最大化",N893-01_因子設定!$B$14,IF(01_因子設定!$B$13="最小化",01_因子設定!$B$15-O893,MIN(N893-01_因子設定!$B$14,01_因子設定!$B$15-O893))),-1E+030)</f>
        <v>0.794262090650342</v>
      </c>
      <c r="R893" s="55" t="n">
        <f aca="false">IF(P893,IF(01_因子設定!$B$13="最大化",K893,IF(01_因子設定!$B$13="最小化",-K893,-ABS(K893-01_因子設定!$B$16))),-1E+030)</f>
        <v>48.761805316092</v>
      </c>
      <c r="S893" s="55" t="n">
        <f aca="false">Q893+ROW()*0.000000001</f>
        <v>0.794262983650342</v>
      </c>
      <c r="T893" s="55" t="n">
        <f aca="false">R893+ROW()*0.000000001</f>
        <v>48.761806209092</v>
      </c>
    </row>
    <row r="894" customFormat="false" ht="15" hidden="false" customHeight="false" outlineLevel="0" collapsed="false">
      <c r="A894" s="0" t="n">
        <v>21</v>
      </c>
      <c r="B894" s="0" t="n">
        <v>28</v>
      </c>
      <c r="C894" s="0" t="n">
        <f aca="false">-1+A894*0.05</f>
        <v>0.05</v>
      </c>
      <c r="D894" s="0" t="n">
        <f aca="false">-1+B894*0.05</f>
        <v>0.4</v>
      </c>
      <c r="E894" s="0" t="n">
        <f aca="false">1</f>
        <v>1</v>
      </c>
      <c r="F894" s="0" t="n">
        <f aca="false">C894</f>
        <v>0.05</v>
      </c>
      <c r="G894" s="0" t="n">
        <f aca="false">D894</f>
        <v>0.4</v>
      </c>
      <c r="H894" s="0" t="n">
        <f aca="false">C894*D894</f>
        <v>0.02</v>
      </c>
      <c r="I894" s="0" t="n">
        <f aca="false">C894*C894</f>
        <v>0.0025</v>
      </c>
      <c r="J894" s="0" t="n">
        <f aca="false">D894*D894</f>
        <v>0.16</v>
      </c>
      <c r="K894" s="0" t="n">
        <f aca="false">SUMPRODUCT(E894:J894,_XtX!$B$53:$G$53)</f>
        <v>48.8177514367816</v>
      </c>
      <c r="L894" s="0" t="n">
        <f aca="false">SUMPRODUCT(MMULT(E894:J894,_XtX!$B$44:$G$49),E894:J894)</f>
        <v>0.175137320402299</v>
      </c>
      <c r="M894" s="0" t="n">
        <f aca="false">04_回帰ANOVA!$K$19*04_回帰ANOVA!$K$14*SQRT(1+L894)</f>
        <v>1.4689969084205</v>
      </c>
      <c r="N894" s="0" t="n">
        <f aca="false">K894-M894</f>
        <v>47.3487545283611</v>
      </c>
      <c r="O894" s="0" t="n">
        <f aca="false">K894+M894</f>
        <v>50.2867483452021</v>
      </c>
      <c r="P894" s="54" t="b">
        <f aca="false">AND(C894&gt;=01_因子設定!$L$5-0.000000001,C894&lt;=01_因子設定!$M$5+0.000000001,D894&gt;=01_因子設定!$L$6-0.000000001,D894&lt;=01_因子設定!$M$6+0.000000001,IF(01_因子設定!$B$20="Box-Behnken",C894^2+D894^2&lt;=2+0.000000001,TRUE()))</f>
        <v>1</v>
      </c>
      <c r="Q894" s="55" t="n">
        <f aca="false">IF(P894,IF(01_因子設定!$B$13="最大化",N894-01_因子設定!$B$14,IF(01_因子設定!$B$13="最小化",01_因子設定!$B$15-O894,MIN(N894-01_因子設定!$B$14,01_因子設定!$B$15-O894))),-1E+030)</f>
        <v>0.848754528361113</v>
      </c>
      <c r="R894" s="55" t="n">
        <f aca="false">IF(P894,IF(01_因子設定!$B$13="最大化",K894,IF(01_因子設定!$B$13="最小化",-K894,-ABS(K894-01_因子設定!$B$16))),-1E+030)</f>
        <v>48.8177514367816</v>
      </c>
      <c r="S894" s="55" t="n">
        <f aca="false">Q894+ROW()*0.000000001</f>
        <v>0.848755422361113</v>
      </c>
      <c r="T894" s="55" t="n">
        <f aca="false">R894+ROW()*0.000000001</f>
        <v>48.8177523307816</v>
      </c>
    </row>
    <row r="895" customFormat="false" ht="15" hidden="false" customHeight="false" outlineLevel="0" collapsed="false">
      <c r="A895" s="0" t="n">
        <v>21</v>
      </c>
      <c r="B895" s="0" t="n">
        <v>29</v>
      </c>
      <c r="C895" s="0" t="n">
        <f aca="false">-1+A895*0.05</f>
        <v>0.05</v>
      </c>
      <c r="D895" s="0" t="n">
        <f aca="false">-1+B895*0.05</f>
        <v>0.45</v>
      </c>
      <c r="E895" s="0" t="n">
        <f aca="false">1</f>
        <v>1</v>
      </c>
      <c r="F895" s="0" t="n">
        <f aca="false">C895</f>
        <v>0.05</v>
      </c>
      <c r="G895" s="0" t="n">
        <f aca="false">D895</f>
        <v>0.45</v>
      </c>
      <c r="H895" s="0" t="n">
        <f aca="false">C895*D895</f>
        <v>0.0225</v>
      </c>
      <c r="I895" s="0" t="n">
        <f aca="false">C895*C895</f>
        <v>0.0025</v>
      </c>
      <c r="J895" s="0" t="n">
        <f aca="false">D895*D895</f>
        <v>0.2025</v>
      </c>
      <c r="K895" s="0" t="n">
        <f aca="false">SUMPRODUCT(E895:J895,_XtX!$B$53:$G$53)</f>
        <v>48.8659820402299</v>
      </c>
      <c r="L895" s="0" t="n">
        <f aca="false">SUMPRODUCT(MMULT(E895:J895,_XtX!$B$44:$G$49),E895:J895)</f>
        <v>0.179002927442529</v>
      </c>
      <c r="M895" s="0" t="n">
        <f aca="false">04_回帰ANOVA!$K$19*04_回帰ANOVA!$K$14*SQRT(1+L895)</f>
        <v>1.47141105290249</v>
      </c>
      <c r="N895" s="0" t="n">
        <f aca="false">K895-M895</f>
        <v>47.3945709873274</v>
      </c>
      <c r="O895" s="0" t="n">
        <f aca="false">K895+M895</f>
        <v>50.3373930931324</v>
      </c>
      <c r="P895" s="54" t="b">
        <f aca="false">AND(C895&gt;=01_因子設定!$L$5-0.000000001,C895&lt;=01_因子設定!$M$5+0.000000001,D895&gt;=01_因子設定!$L$6-0.000000001,D895&lt;=01_因子設定!$M$6+0.000000001,IF(01_因子設定!$B$20="Box-Behnken",C895^2+D895^2&lt;=2+0.000000001,TRUE()))</f>
        <v>1</v>
      </c>
      <c r="Q895" s="55" t="n">
        <f aca="false">IF(P895,IF(01_因子設定!$B$13="最大化",N895-01_因子設定!$B$14,IF(01_因子設定!$B$13="最小化",01_因子設定!$B$15-O895,MIN(N895-01_因子設定!$B$14,01_因子設定!$B$15-O895))),-1E+030)</f>
        <v>0.894570987327391</v>
      </c>
      <c r="R895" s="55" t="n">
        <f aca="false">IF(P895,IF(01_因子設定!$B$13="最大化",K895,IF(01_因子設定!$B$13="最小化",-K895,-ABS(K895-01_因子設定!$B$16))),-1E+030)</f>
        <v>48.8659820402299</v>
      </c>
      <c r="S895" s="55" t="n">
        <f aca="false">Q895+ROW()*0.000000001</f>
        <v>0.894571882327391</v>
      </c>
      <c r="T895" s="55" t="n">
        <f aca="false">R895+ROW()*0.000000001</f>
        <v>48.8659829352299</v>
      </c>
    </row>
    <row r="896" customFormat="false" ht="15" hidden="false" customHeight="false" outlineLevel="0" collapsed="false">
      <c r="A896" s="0" t="n">
        <v>21</v>
      </c>
      <c r="B896" s="0" t="n">
        <v>30</v>
      </c>
      <c r="C896" s="0" t="n">
        <f aca="false">-1+A896*0.05</f>
        <v>0.05</v>
      </c>
      <c r="D896" s="0" t="n">
        <f aca="false">-1+B896*0.05</f>
        <v>0.5</v>
      </c>
      <c r="E896" s="0" t="n">
        <f aca="false">1</f>
        <v>1</v>
      </c>
      <c r="F896" s="0" t="n">
        <f aca="false">C896</f>
        <v>0.05</v>
      </c>
      <c r="G896" s="0" t="n">
        <f aca="false">D896</f>
        <v>0.5</v>
      </c>
      <c r="H896" s="0" t="n">
        <f aca="false">C896*D896</f>
        <v>0.025</v>
      </c>
      <c r="I896" s="0" t="n">
        <f aca="false">C896*C896</f>
        <v>0.0025</v>
      </c>
      <c r="J896" s="0" t="n">
        <f aca="false">D896*D896</f>
        <v>0.25</v>
      </c>
      <c r="K896" s="0" t="n">
        <f aca="false">SUMPRODUCT(E896:J896,_XtX!$B$53:$G$53)</f>
        <v>48.9064971264368</v>
      </c>
      <c r="L896" s="0" t="n">
        <f aca="false">SUMPRODUCT(MMULT(E896:J896,_XtX!$B$44:$G$49),E896:J896)</f>
        <v>0.184871156609195</v>
      </c>
      <c r="M896" s="0" t="n">
        <f aca="false">04_回帰ANOVA!$K$19*04_回帰ANOVA!$K$14*SQRT(1+L896)</f>
        <v>1.47506832106176</v>
      </c>
      <c r="N896" s="0" t="n">
        <f aca="false">K896-M896</f>
        <v>47.431428805375</v>
      </c>
      <c r="O896" s="0" t="n">
        <f aca="false">K896+M896</f>
        <v>50.3815654474985</v>
      </c>
      <c r="P896" s="54" t="b">
        <f aca="false">AND(C896&gt;=01_因子設定!$L$5-0.000000001,C896&lt;=01_因子設定!$M$5+0.000000001,D896&gt;=01_因子設定!$L$6-0.000000001,D896&lt;=01_因子設定!$M$6+0.000000001,IF(01_因子設定!$B$20="Box-Behnken",C896^2+D896^2&lt;=2+0.000000001,TRUE()))</f>
        <v>1</v>
      </c>
      <c r="Q896" s="55" t="n">
        <f aca="false">IF(P896,IF(01_因子設定!$B$13="最大化",N896-01_因子設定!$B$14,IF(01_因子設定!$B$13="最小化",01_因子設定!$B$15-O896,MIN(N896-01_因子設定!$B$14,01_因子設定!$B$15-O896))),-1E+030)</f>
        <v>0.931428805375028</v>
      </c>
      <c r="R896" s="55" t="n">
        <f aca="false">IF(P896,IF(01_因子設定!$B$13="最大化",K896,IF(01_因子設定!$B$13="最小化",-K896,-ABS(K896-01_因子設定!$B$16))),-1E+030)</f>
        <v>48.9064971264368</v>
      </c>
      <c r="S896" s="55" t="n">
        <f aca="false">Q896+ROW()*0.000000001</f>
        <v>0.931429701375028</v>
      </c>
      <c r="T896" s="55" t="n">
        <f aca="false">R896+ROW()*0.000000001</f>
        <v>48.9064980224368</v>
      </c>
    </row>
    <row r="897" customFormat="false" ht="15" hidden="false" customHeight="false" outlineLevel="0" collapsed="false">
      <c r="A897" s="0" t="n">
        <v>21</v>
      </c>
      <c r="B897" s="0" t="n">
        <v>31</v>
      </c>
      <c r="C897" s="0" t="n">
        <f aca="false">-1+A897*0.05</f>
        <v>0.05</v>
      </c>
      <c r="D897" s="0" t="n">
        <f aca="false">-1+B897*0.05</f>
        <v>0.55</v>
      </c>
      <c r="E897" s="0" t="n">
        <f aca="false">1</f>
        <v>1</v>
      </c>
      <c r="F897" s="0" t="n">
        <f aca="false">C897</f>
        <v>0.05</v>
      </c>
      <c r="G897" s="0" t="n">
        <f aca="false">D897</f>
        <v>0.55</v>
      </c>
      <c r="H897" s="0" t="n">
        <f aca="false">C897*D897</f>
        <v>0.0275</v>
      </c>
      <c r="I897" s="0" t="n">
        <f aca="false">C897*C897</f>
        <v>0.0025</v>
      </c>
      <c r="J897" s="0" t="n">
        <f aca="false">D897*D897</f>
        <v>0.3025</v>
      </c>
      <c r="K897" s="0" t="n">
        <f aca="false">SUMPRODUCT(E897:J897,_XtX!$B$53:$G$53)</f>
        <v>48.9392966954023</v>
      </c>
      <c r="L897" s="0" t="n">
        <f aca="false">SUMPRODUCT(MMULT(E897:J897,_XtX!$B$44:$G$49),E897:J897)</f>
        <v>0.193257956178161</v>
      </c>
      <c r="M897" s="0" t="n">
        <f aca="false">04_回帰ANOVA!$K$19*04_回帰ANOVA!$K$14*SQRT(1+L897)</f>
        <v>1.48027955775409</v>
      </c>
      <c r="N897" s="0" t="n">
        <f aca="false">K897-M897</f>
        <v>47.4590171376482</v>
      </c>
      <c r="O897" s="0" t="n">
        <f aca="false">K897+M897</f>
        <v>50.4195762531564</v>
      </c>
      <c r="P897" s="54" t="b">
        <f aca="false">AND(C897&gt;=01_因子設定!$L$5-0.000000001,C897&lt;=01_因子設定!$M$5+0.000000001,D897&gt;=01_因子設定!$L$6-0.000000001,D897&lt;=01_因子設定!$M$6+0.000000001,IF(01_因子設定!$B$20="Box-Behnken",C897^2+D897^2&lt;=2+0.000000001,TRUE()))</f>
        <v>1</v>
      </c>
      <c r="Q897" s="55" t="n">
        <f aca="false">IF(P897,IF(01_因子設定!$B$13="最大化",N897-01_因子設定!$B$14,IF(01_因子設定!$B$13="最小化",01_因子設定!$B$15-O897,MIN(N897-01_因子設定!$B$14,01_因子設定!$B$15-O897))),-1E+030)</f>
        <v>0.959017137648203</v>
      </c>
      <c r="R897" s="55" t="n">
        <f aca="false">IF(P897,IF(01_因子設定!$B$13="最大化",K897,IF(01_因子設定!$B$13="最小化",-K897,-ABS(K897-01_因子設定!$B$16))),-1E+030)</f>
        <v>48.9392966954023</v>
      </c>
      <c r="S897" s="55" t="n">
        <f aca="false">Q897+ROW()*0.000000001</f>
        <v>0.959018034648203</v>
      </c>
      <c r="T897" s="55" t="n">
        <f aca="false">R897+ROW()*0.000000001</f>
        <v>48.9392975924023</v>
      </c>
    </row>
    <row r="898" customFormat="false" ht="15" hidden="false" customHeight="false" outlineLevel="0" collapsed="false">
      <c r="A898" s="0" t="n">
        <v>21</v>
      </c>
      <c r="B898" s="0" t="n">
        <v>32</v>
      </c>
      <c r="C898" s="0" t="n">
        <f aca="false">-1+A898*0.05</f>
        <v>0.05</v>
      </c>
      <c r="D898" s="0" t="n">
        <f aca="false">-1+B898*0.05</f>
        <v>0.6</v>
      </c>
      <c r="E898" s="0" t="n">
        <f aca="false">1</f>
        <v>1</v>
      </c>
      <c r="F898" s="0" t="n">
        <f aca="false">C898</f>
        <v>0.05</v>
      </c>
      <c r="G898" s="0" t="n">
        <f aca="false">D898</f>
        <v>0.6</v>
      </c>
      <c r="H898" s="0" t="n">
        <f aca="false">C898*D898</f>
        <v>0.03</v>
      </c>
      <c r="I898" s="0" t="n">
        <f aca="false">C898*C898</f>
        <v>0.0025</v>
      </c>
      <c r="J898" s="0" t="n">
        <f aca="false">D898*D898</f>
        <v>0.36</v>
      </c>
      <c r="K898" s="0" t="n">
        <f aca="false">SUMPRODUCT(E898:J898,_XtX!$B$53:$G$53)</f>
        <v>48.9643807471264</v>
      </c>
      <c r="L898" s="0" t="n">
        <f aca="false">SUMPRODUCT(MMULT(E898:J898,_XtX!$B$44:$G$49),E898:J898)</f>
        <v>0.204733584770115</v>
      </c>
      <c r="M898" s="0" t="n">
        <f aca="false">04_回帰ANOVA!$K$19*04_回帰ANOVA!$K$14*SQRT(1+L898)</f>
        <v>1.48738049178902</v>
      </c>
      <c r="N898" s="0" t="n">
        <f aca="false">K898-M898</f>
        <v>47.4770002553374</v>
      </c>
      <c r="O898" s="0" t="n">
        <f aca="false">K898+M898</f>
        <v>50.4517612389155</v>
      </c>
      <c r="P898" s="54" t="b">
        <f aca="false">AND(C898&gt;=01_因子設定!$L$5-0.000000001,C898&lt;=01_因子設定!$M$5+0.000000001,D898&gt;=01_因子設定!$L$6-0.000000001,D898&lt;=01_因子設定!$M$6+0.000000001,IF(01_因子設定!$B$20="Box-Behnken",C898^2+D898^2&lt;=2+0.000000001,TRUE()))</f>
        <v>1</v>
      </c>
      <c r="Q898" s="55" t="n">
        <f aca="false">IF(P898,IF(01_因子設定!$B$13="最大化",N898-01_因子設定!$B$14,IF(01_因子設定!$B$13="最小化",01_因子設定!$B$15-O898,MIN(N898-01_因子設定!$B$14,01_因子設定!$B$15-O898))),-1E+030)</f>
        <v>0.977000255337416</v>
      </c>
      <c r="R898" s="55" t="n">
        <f aca="false">IF(P898,IF(01_因子設定!$B$13="最大化",K898,IF(01_因子設定!$B$13="最小化",-K898,-ABS(K898-01_因子設定!$B$16))),-1E+030)</f>
        <v>48.9643807471264</v>
      </c>
      <c r="S898" s="55" t="n">
        <f aca="false">Q898+ROW()*0.000000001</f>
        <v>0.977001153337416</v>
      </c>
      <c r="T898" s="55" t="n">
        <f aca="false">R898+ROW()*0.000000001</f>
        <v>48.9643816451264</v>
      </c>
    </row>
    <row r="899" customFormat="false" ht="15" hidden="false" customHeight="false" outlineLevel="0" collapsed="false">
      <c r="A899" s="0" t="n">
        <v>21</v>
      </c>
      <c r="B899" s="0" t="n">
        <v>33</v>
      </c>
      <c r="C899" s="0" t="n">
        <f aca="false">-1+A899*0.05</f>
        <v>0.05</v>
      </c>
      <c r="D899" s="0" t="n">
        <f aca="false">-1+B899*0.05</f>
        <v>0.65</v>
      </c>
      <c r="E899" s="0" t="n">
        <f aca="false">1</f>
        <v>1</v>
      </c>
      <c r="F899" s="0" t="n">
        <f aca="false">C899</f>
        <v>0.05</v>
      </c>
      <c r="G899" s="0" t="n">
        <f aca="false">D899</f>
        <v>0.65</v>
      </c>
      <c r="H899" s="0" t="n">
        <f aca="false">C899*D899</f>
        <v>0.0325</v>
      </c>
      <c r="I899" s="0" t="n">
        <f aca="false">C899*C899</f>
        <v>0.0025</v>
      </c>
      <c r="J899" s="0" t="n">
        <f aca="false">D899*D899</f>
        <v>0.4225</v>
      </c>
      <c r="K899" s="0" t="n">
        <f aca="false">SUMPRODUCT(E899:J899,_XtX!$B$53:$G$53)</f>
        <v>48.9817492816092</v>
      </c>
      <c r="L899" s="0" t="n">
        <f aca="false">SUMPRODUCT(MMULT(E899:J899,_XtX!$B$44:$G$49),E899:J899)</f>
        <v>0.219922611350575</v>
      </c>
      <c r="M899" s="0" t="n">
        <f aca="false">04_回帰ANOVA!$K$19*04_回帰ANOVA!$K$14*SQRT(1+L899)</f>
        <v>1.49672741260948</v>
      </c>
      <c r="N899" s="0" t="n">
        <f aca="false">K899-M899</f>
        <v>47.4850218689997</v>
      </c>
      <c r="O899" s="0" t="n">
        <f aca="false">K899+M899</f>
        <v>50.4784766942187</v>
      </c>
      <c r="P899" s="54" t="b">
        <f aca="false">AND(C899&gt;=01_因子設定!$L$5-0.000000001,C899&lt;=01_因子設定!$M$5+0.000000001,D899&gt;=01_因子設定!$L$6-0.000000001,D899&lt;=01_因子設定!$M$6+0.000000001,IF(01_因子設定!$B$20="Box-Behnken",C899^2+D899^2&lt;=2+0.000000001,TRUE()))</f>
        <v>1</v>
      </c>
      <c r="Q899" s="55" t="n">
        <f aca="false">IF(P899,IF(01_因子設定!$B$13="最大化",N899-01_因子設定!$B$14,IF(01_因子設定!$B$13="最小化",01_因子設定!$B$15-O899,MIN(N899-01_因子設定!$B$14,01_因子設定!$B$15-O899))),-1E+030)</f>
        <v>0.985021868999723</v>
      </c>
      <c r="R899" s="55" t="n">
        <f aca="false">IF(P899,IF(01_因子設定!$B$13="最大化",K899,IF(01_因子設定!$B$13="最小化",-K899,-ABS(K899-01_因子設定!$B$16))),-1E+030)</f>
        <v>48.9817492816092</v>
      </c>
      <c r="S899" s="55" t="n">
        <f aca="false">Q899+ROW()*0.000000001</f>
        <v>0.985022767999723</v>
      </c>
      <c r="T899" s="55" t="n">
        <f aca="false">R899+ROW()*0.000000001</f>
        <v>48.9817501806092</v>
      </c>
    </row>
    <row r="900" customFormat="false" ht="15" hidden="false" customHeight="false" outlineLevel="0" collapsed="false">
      <c r="A900" s="0" t="n">
        <v>21</v>
      </c>
      <c r="B900" s="0" t="n">
        <v>34</v>
      </c>
      <c r="C900" s="0" t="n">
        <f aca="false">-1+A900*0.05</f>
        <v>0.05</v>
      </c>
      <c r="D900" s="0" t="n">
        <f aca="false">-1+B900*0.05</f>
        <v>0.7</v>
      </c>
      <c r="E900" s="0" t="n">
        <f aca="false">1</f>
        <v>1</v>
      </c>
      <c r="F900" s="0" t="n">
        <f aca="false">C900</f>
        <v>0.05</v>
      </c>
      <c r="G900" s="0" t="n">
        <f aca="false">D900</f>
        <v>0.7</v>
      </c>
      <c r="H900" s="0" t="n">
        <f aca="false">C900*D900</f>
        <v>0.035</v>
      </c>
      <c r="I900" s="0" t="n">
        <f aca="false">C900*C900</f>
        <v>0.0025</v>
      </c>
      <c r="J900" s="0" t="n">
        <f aca="false">D900*D900</f>
        <v>0.49</v>
      </c>
      <c r="K900" s="0" t="n">
        <f aca="false">SUMPRODUCT(E900:J900,_XtX!$B$53:$G$53)</f>
        <v>48.9914022988506</v>
      </c>
      <c r="L900" s="0" t="n">
        <f aca="false">SUMPRODUCT(MMULT(E900:J900,_XtX!$B$44:$G$49),E900:J900)</f>
        <v>0.239503915229885</v>
      </c>
      <c r="M900" s="0" t="n">
        <f aca="false">04_回帰ANOVA!$K$19*04_回帰ANOVA!$K$14*SQRT(1+L900)</f>
        <v>1.50869177878988</v>
      </c>
      <c r="N900" s="0" t="n">
        <f aca="false">K900-M900</f>
        <v>47.4827105200607</v>
      </c>
      <c r="O900" s="0" t="n">
        <f aca="false">K900+M900</f>
        <v>50.5000940776405</v>
      </c>
      <c r="P900" s="54" t="b">
        <f aca="false">AND(C900&gt;=01_因子設定!$L$5-0.000000001,C900&lt;=01_因子設定!$M$5+0.000000001,D900&gt;=01_因子設定!$L$6-0.000000001,D900&lt;=01_因子設定!$M$6+0.000000001,IF(01_因子設定!$B$20="Box-Behnken",C900^2+D900^2&lt;=2+0.000000001,TRUE()))</f>
        <v>1</v>
      </c>
      <c r="Q900" s="55" t="n">
        <f aca="false">IF(P900,IF(01_因子設定!$B$13="最大化",N900-01_因子設定!$B$14,IF(01_因子設定!$B$13="最小化",01_因子設定!$B$15-O900,MIN(N900-01_因子設定!$B$14,01_因子設定!$B$15-O900))),-1E+030)</f>
        <v>0.982710520060699</v>
      </c>
      <c r="R900" s="55" t="n">
        <f aca="false">IF(P900,IF(01_因子設定!$B$13="最大化",K900,IF(01_因子設定!$B$13="最小化",-K900,-ABS(K900-01_因子設定!$B$16))),-1E+030)</f>
        <v>48.9914022988506</v>
      </c>
      <c r="S900" s="55" t="n">
        <f aca="false">Q900+ROW()*0.000000001</f>
        <v>0.982711420060699</v>
      </c>
      <c r="T900" s="55" t="n">
        <f aca="false">R900+ROW()*0.000000001</f>
        <v>48.9914031988506</v>
      </c>
    </row>
    <row r="901" customFormat="false" ht="15" hidden="false" customHeight="false" outlineLevel="0" collapsed="false">
      <c r="A901" s="0" t="n">
        <v>21</v>
      </c>
      <c r="B901" s="0" t="n">
        <v>35</v>
      </c>
      <c r="C901" s="0" t="n">
        <f aca="false">-1+A901*0.05</f>
        <v>0.05</v>
      </c>
      <c r="D901" s="0" t="n">
        <f aca="false">-1+B901*0.05</f>
        <v>0.75</v>
      </c>
      <c r="E901" s="0" t="n">
        <f aca="false">1</f>
        <v>1</v>
      </c>
      <c r="F901" s="0" t="n">
        <f aca="false">C901</f>
        <v>0.05</v>
      </c>
      <c r="G901" s="0" t="n">
        <f aca="false">D901</f>
        <v>0.75</v>
      </c>
      <c r="H901" s="0" t="n">
        <f aca="false">C901*D901</f>
        <v>0.0375</v>
      </c>
      <c r="I901" s="0" t="n">
        <f aca="false">C901*C901</f>
        <v>0.0025</v>
      </c>
      <c r="J901" s="0" t="n">
        <f aca="false">D901*D901</f>
        <v>0.5625</v>
      </c>
      <c r="K901" s="0" t="n">
        <f aca="false">SUMPRODUCT(E901:J901,_XtX!$B$53:$G$53)</f>
        <v>48.9933397988506</v>
      </c>
      <c r="L901" s="0" t="n">
        <f aca="false">SUMPRODUCT(MMULT(E901:J901,_XtX!$B$44:$G$49),E901:J901)</f>
        <v>0.264210686063218</v>
      </c>
      <c r="M901" s="0" t="n">
        <f aca="false">04_回帰ANOVA!$K$19*04_回帰ANOVA!$K$14*SQRT(1+L901)</f>
        <v>1.52365380588781</v>
      </c>
      <c r="N901" s="0" t="n">
        <f aca="false">K901-M901</f>
        <v>47.4696859929628</v>
      </c>
      <c r="O901" s="0" t="n">
        <f aca="false">K901+M901</f>
        <v>50.5169936047384</v>
      </c>
      <c r="P901" s="54" t="b">
        <f aca="false">AND(C901&gt;=01_因子設定!$L$5-0.000000001,C901&lt;=01_因子設定!$M$5+0.000000001,D901&gt;=01_因子設定!$L$6-0.000000001,D901&lt;=01_因子設定!$M$6+0.000000001,IF(01_因子設定!$B$20="Box-Behnken",C901^2+D901^2&lt;=2+0.000000001,TRUE()))</f>
        <v>1</v>
      </c>
      <c r="Q901" s="55" t="n">
        <f aca="false">IF(P901,IF(01_因子設定!$B$13="最大化",N901-01_因子設定!$B$14,IF(01_因子設定!$B$13="最小化",01_因子設定!$B$15-O901,MIN(N901-01_因子設定!$B$14,01_因子設定!$B$15-O901))),-1E+030)</f>
        <v>0.969685992962766</v>
      </c>
      <c r="R901" s="55" t="n">
        <f aca="false">IF(P901,IF(01_因子設定!$B$13="最大化",K901,IF(01_因子設定!$B$13="最小化",-K901,-ABS(K901-01_因子設定!$B$16))),-1E+030)</f>
        <v>48.9933397988506</v>
      </c>
      <c r="S901" s="55" t="n">
        <f aca="false">Q901+ROW()*0.000000001</f>
        <v>0.969686893962766</v>
      </c>
      <c r="T901" s="55" t="n">
        <f aca="false">R901+ROW()*0.000000001</f>
        <v>48.9933406998506</v>
      </c>
    </row>
    <row r="902" customFormat="false" ht="15" hidden="false" customHeight="false" outlineLevel="0" collapsed="false">
      <c r="A902" s="0" t="n">
        <v>21</v>
      </c>
      <c r="B902" s="0" t="n">
        <v>36</v>
      </c>
      <c r="C902" s="0" t="n">
        <f aca="false">-1+A902*0.05</f>
        <v>0.05</v>
      </c>
      <c r="D902" s="0" t="n">
        <f aca="false">-1+B902*0.05</f>
        <v>0.8</v>
      </c>
      <c r="E902" s="0" t="n">
        <f aca="false">1</f>
        <v>1</v>
      </c>
      <c r="F902" s="0" t="n">
        <f aca="false">C902</f>
        <v>0.05</v>
      </c>
      <c r="G902" s="0" t="n">
        <f aca="false">D902</f>
        <v>0.8</v>
      </c>
      <c r="H902" s="0" t="n">
        <f aca="false">C902*D902</f>
        <v>0.04</v>
      </c>
      <c r="I902" s="0" t="n">
        <f aca="false">C902*C902</f>
        <v>0.0025</v>
      </c>
      <c r="J902" s="0" t="n">
        <f aca="false">D902*D902</f>
        <v>0.64</v>
      </c>
      <c r="K902" s="0" t="n">
        <f aca="false">SUMPRODUCT(E902:J902,_XtX!$B$53:$G$53)</f>
        <v>48.9875617816092</v>
      </c>
      <c r="L902" s="0" t="n">
        <f aca="false">SUMPRODUCT(MMULT(E902:J902,_XtX!$B$44:$G$49),E902:J902)</f>
        <v>0.294830423850575</v>
      </c>
      <c r="M902" s="0" t="n">
        <f aca="false">04_回帰ANOVA!$K$19*04_回帰ANOVA!$K$14*SQRT(1+L902)</f>
        <v>1.54199519324769</v>
      </c>
      <c r="N902" s="0" t="n">
        <f aca="false">K902-M902</f>
        <v>47.4455665883615</v>
      </c>
      <c r="O902" s="0" t="n">
        <f aca="false">K902+M902</f>
        <v>50.5295569748569</v>
      </c>
      <c r="P902" s="54" t="b">
        <f aca="false">AND(C902&gt;=01_因子設定!$L$5-0.000000001,C902&lt;=01_因子設定!$M$5+0.000000001,D902&gt;=01_因子設定!$L$6-0.000000001,D902&lt;=01_因子設定!$M$6+0.000000001,IF(01_因子設定!$B$20="Box-Behnken",C902^2+D902^2&lt;=2+0.000000001,TRUE()))</f>
        <v>1</v>
      </c>
      <c r="Q902" s="55" t="n">
        <f aca="false">IF(P902,IF(01_因子設定!$B$13="最大化",N902-01_因子設定!$B$14,IF(01_因子設定!$B$13="最小化",01_因子設定!$B$15-O902,MIN(N902-01_因子設定!$B$14,01_因子設定!$B$15-O902))),-1E+030)</f>
        <v>0.945566588361508</v>
      </c>
      <c r="R902" s="55" t="n">
        <f aca="false">IF(P902,IF(01_因子設定!$B$13="最大化",K902,IF(01_因子設定!$B$13="最小化",-K902,-ABS(K902-01_因子設定!$B$16))),-1E+030)</f>
        <v>48.9875617816092</v>
      </c>
      <c r="S902" s="55" t="n">
        <f aca="false">Q902+ROW()*0.000000001</f>
        <v>0.945567490361508</v>
      </c>
      <c r="T902" s="55" t="n">
        <f aca="false">R902+ROW()*0.000000001</f>
        <v>48.9875626836092</v>
      </c>
    </row>
    <row r="903" customFormat="false" ht="15" hidden="false" customHeight="false" outlineLevel="0" collapsed="false">
      <c r="A903" s="0" t="n">
        <v>21</v>
      </c>
      <c r="B903" s="0" t="n">
        <v>37</v>
      </c>
      <c r="C903" s="0" t="n">
        <f aca="false">-1+A903*0.05</f>
        <v>0.05</v>
      </c>
      <c r="D903" s="0" t="n">
        <f aca="false">-1+B903*0.05</f>
        <v>0.85</v>
      </c>
      <c r="E903" s="0" t="n">
        <f aca="false">1</f>
        <v>1</v>
      </c>
      <c r="F903" s="0" t="n">
        <f aca="false">C903</f>
        <v>0.05</v>
      </c>
      <c r="G903" s="0" t="n">
        <f aca="false">D903</f>
        <v>0.85</v>
      </c>
      <c r="H903" s="0" t="n">
        <f aca="false">C903*D903</f>
        <v>0.0425</v>
      </c>
      <c r="I903" s="0" t="n">
        <f aca="false">C903*C903</f>
        <v>0.0025</v>
      </c>
      <c r="J903" s="0" t="n">
        <f aca="false">D903*D903</f>
        <v>0.7225</v>
      </c>
      <c r="K903" s="0" t="n">
        <f aca="false">SUMPRODUCT(E903:J903,_XtX!$B$53:$G$53)</f>
        <v>48.9740682471264</v>
      </c>
      <c r="L903" s="0" t="n">
        <f aca="false">SUMPRODUCT(MMULT(E903:J903,_XtX!$B$44:$G$49),E903:J903)</f>
        <v>0.332204938936782</v>
      </c>
      <c r="M903" s="0" t="n">
        <f aca="false">04_回帰ANOVA!$K$19*04_回帰ANOVA!$K$14*SQRT(1+L903)</f>
        <v>1.56409127002983</v>
      </c>
      <c r="N903" s="0" t="n">
        <f aca="false">K903-M903</f>
        <v>47.4099769770966</v>
      </c>
      <c r="O903" s="0" t="n">
        <f aca="false">K903+M903</f>
        <v>50.5381595171563</v>
      </c>
      <c r="P903" s="54" t="b">
        <f aca="false">AND(C903&gt;=01_因子設定!$L$5-0.000000001,C903&lt;=01_因子設定!$M$5+0.000000001,D903&gt;=01_因子設定!$L$6-0.000000001,D903&lt;=01_因子設定!$M$6+0.000000001,IF(01_因子設定!$B$20="Box-Behnken",C903^2+D903^2&lt;=2+0.000000001,TRUE()))</f>
        <v>1</v>
      </c>
      <c r="Q903" s="55" t="n">
        <f aca="false">IF(P903,IF(01_因子設定!$B$13="最大化",N903-01_因子設定!$B$14,IF(01_因子設定!$B$13="最小化",01_因子設定!$B$15-O903,MIN(N903-01_因子設定!$B$14,01_因子設定!$B$15-O903))),-1E+030)</f>
        <v>0.909976977096612</v>
      </c>
      <c r="R903" s="55" t="n">
        <f aca="false">IF(P903,IF(01_因子設定!$B$13="最大化",K903,IF(01_因子設定!$B$13="最小化",-K903,-ABS(K903-01_因子設定!$B$16))),-1E+030)</f>
        <v>48.9740682471264</v>
      </c>
      <c r="S903" s="55" t="n">
        <f aca="false">Q903+ROW()*0.000000001</f>
        <v>0.909977880096612</v>
      </c>
      <c r="T903" s="55" t="n">
        <f aca="false">R903+ROW()*0.000000001</f>
        <v>48.9740691501264</v>
      </c>
    </row>
    <row r="904" customFormat="false" ht="15" hidden="false" customHeight="false" outlineLevel="0" collapsed="false">
      <c r="A904" s="0" t="n">
        <v>21</v>
      </c>
      <c r="B904" s="0" t="n">
        <v>38</v>
      </c>
      <c r="C904" s="0" t="n">
        <f aca="false">-1+A904*0.05</f>
        <v>0.05</v>
      </c>
      <c r="D904" s="0" t="n">
        <f aca="false">-1+B904*0.05</f>
        <v>0.9</v>
      </c>
      <c r="E904" s="0" t="n">
        <f aca="false">1</f>
        <v>1</v>
      </c>
      <c r="F904" s="0" t="n">
        <f aca="false">C904</f>
        <v>0.05</v>
      </c>
      <c r="G904" s="0" t="n">
        <f aca="false">D904</f>
        <v>0.9</v>
      </c>
      <c r="H904" s="0" t="n">
        <f aca="false">C904*D904</f>
        <v>0.0450000000000001</v>
      </c>
      <c r="I904" s="0" t="n">
        <f aca="false">C904*C904</f>
        <v>0.0025</v>
      </c>
      <c r="J904" s="0" t="n">
        <f aca="false">D904*D904</f>
        <v>0.81</v>
      </c>
      <c r="K904" s="0" t="n">
        <f aca="false">SUMPRODUCT(E904:J904,_XtX!$B$53:$G$53)</f>
        <v>48.9528591954023</v>
      </c>
      <c r="L904" s="0" t="n">
        <f aca="false">SUMPRODUCT(MMULT(E904:J904,_XtX!$B$44:$G$49),E904:J904)</f>
        <v>0.377230352011494</v>
      </c>
      <c r="M904" s="0" t="n">
        <f aca="false">04_回帰ANOVA!$K$19*04_回帰ANOVA!$K$14*SQRT(1+L904)</f>
        <v>1.59030295151834</v>
      </c>
      <c r="N904" s="0" t="n">
        <f aca="false">K904-M904</f>
        <v>47.362556243884</v>
      </c>
      <c r="O904" s="0" t="n">
        <f aca="false">K904+M904</f>
        <v>50.5431621469206</v>
      </c>
      <c r="P904" s="54" t="b">
        <f aca="false">AND(C904&gt;=01_因子設定!$L$5-0.000000001,C904&lt;=01_因子設定!$M$5+0.000000001,D904&gt;=01_因子設定!$L$6-0.000000001,D904&lt;=01_因子設定!$M$6+0.000000001,IF(01_因子設定!$B$20="Box-Behnken",C904^2+D904^2&lt;=2+0.000000001,TRUE()))</f>
        <v>1</v>
      </c>
      <c r="Q904" s="55" t="n">
        <f aca="false">IF(P904,IF(01_因子設定!$B$13="最大化",N904-01_因子設定!$B$14,IF(01_因子設定!$B$13="最小化",01_因子設定!$B$15-O904,MIN(N904-01_因子設定!$B$14,01_因子設定!$B$15-O904))),-1E+030)</f>
        <v>0.862556243883958</v>
      </c>
      <c r="R904" s="55" t="n">
        <f aca="false">IF(P904,IF(01_因子設定!$B$13="最大化",K904,IF(01_因子設定!$B$13="最小化",-K904,-ABS(K904-01_因子設定!$B$16))),-1E+030)</f>
        <v>48.9528591954023</v>
      </c>
      <c r="S904" s="55" t="n">
        <f aca="false">Q904+ROW()*0.000000001</f>
        <v>0.862557147883958</v>
      </c>
      <c r="T904" s="55" t="n">
        <f aca="false">R904+ROW()*0.000000001</f>
        <v>48.9528600994023</v>
      </c>
    </row>
    <row r="905" customFormat="false" ht="15" hidden="false" customHeight="false" outlineLevel="0" collapsed="false">
      <c r="A905" s="0" t="n">
        <v>21</v>
      </c>
      <c r="B905" s="0" t="n">
        <v>39</v>
      </c>
      <c r="C905" s="0" t="n">
        <f aca="false">-1+A905*0.05</f>
        <v>0.05</v>
      </c>
      <c r="D905" s="0" t="n">
        <f aca="false">-1+B905*0.05</f>
        <v>0.95</v>
      </c>
      <c r="E905" s="0" t="n">
        <f aca="false">1</f>
        <v>1</v>
      </c>
      <c r="F905" s="0" t="n">
        <f aca="false">C905</f>
        <v>0.05</v>
      </c>
      <c r="G905" s="0" t="n">
        <f aca="false">D905</f>
        <v>0.95</v>
      </c>
      <c r="H905" s="0" t="n">
        <f aca="false">C905*D905</f>
        <v>0.0475000000000001</v>
      </c>
      <c r="I905" s="0" t="n">
        <f aca="false">C905*C905</f>
        <v>0.0025</v>
      </c>
      <c r="J905" s="0" t="n">
        <f aca="false">D905*D905</f>
        <v>0.9025</v>
      </c>
      <c r="K905" s="0" t="n">
        <f aca="false">SUMPRODUCT(E905:J905,_XtX!$B$53:$G$53)</f>
        <v>48.9239346264368</v>
      </c>
      <c r="L905" s="0" t="n">
        <f aca="false">SUMPRODUCT(MMULT(E905:J905,_XtX!$B$44:$G$49),E905:J905)</f>
        <v>0.430857094109196</v>
      </c>
      <c r="M905" s="0" t="n">
        <f aca="false">04_回帰ANOVA!$K$19*04_回帰ANOVA!$K$14*SQRT(1+L905)</f>
        <v>1.62096897582906</v>
      </c>
      <c r="N905" s="0" t="n">
        <f aca="false">K905-M905</f>
        <v>47.3029656506077</v>
      </c>
      <c r="O905" s="0" t="n">
        <f aca="false">K905+M905</f>
        <v>50.5449036022658</v>
      </c>
      <c r="P905" s="54" t="b">
        <f aca="false">AND(C905&gt;=01_因子設定!$L$5-0.000000001,C905&lt;=01_因子設定!$M$5+0.000000001,D905&gt;=01_因子設定!$L$6-0.000000001,D905&lt;=01_因子設定!$M$6+0.000000001,IF(01_因子設定!$B$20="Box-Behnken",C905^2+D905^2&lt;=2+0.000000001,TRUE()))</f>
        <v>1</v>
      </c>
      <c r="Q905" s="55" t="n">
        <f aca="false">IF(P905,IF(01_因子設定!$B$13="最大化",N905-01_因子設定!$B$14,IF(01_因子設定!$B$13="最小化",01_因子設定!$B$15-O905,MIN(N905-01_因子設定!$B$14,01_因子設定!$B$15-O905))),-1E+030)</f>
        <v>0.802965650607725</v>
      </c>
      <c r="R905" s="55" t="n">
        <f aca="false">IF(P905,IF(01_因子設定!$B$13="最大化",K905,IF(01_因子設定!$B$13="最小化",-K905,-ABS(K905-01_因子設定!$B$16))),-1E+030)</f>
        <v>48.9239346264368</v>
      </c>
      <c r="S905" s="55" t="n">
        <f aca="false">Q905+ROW()*0.000000001</f>
        <v>0.802966555607725</v>
      </c>
      <c r="T905" s="55" t="n">
        <f aca="false">R905+ROW()*0.000000001</f>
        <v>48.9239355314368</v>
      </c>
    </row>
    <row r="906" customFormat="false" ht="15" hidden="false" customHeight="false" outlineLevel="0" collapsed="false">
      <c r="A906" s="0" t="n">
        <v>21</v>
      </c>
      <c r="B906" s="0" t="n">
        <v>40</v>
      </c>
      <c r="C906" s="0" t="n">
        <f aca="false">-1+A906*0.05</f>
        <v>0.05</v>
      </c>
      <c r="D906" s="0" t="n">
        <f aca="false">-1+B906*0.05</f>
        <v>1</v>
      </c>
      <c r="E906" s="0" t="n">
        <f aca="false">1</f>
        <v>1</v>
      </c>
      <c r="F906" s="0" t="n">
        <f aca="false">C906</f>
        <v>0.05</v>
      </c>
      <c r="G906" s="0" t="n">
        <f aca="false">D906</f>
        <v>1</v>
      </c>
      <c r="H906" s="0" t="n">
        <f aca="false">C906*D906</f>
        <v>0.05</v>
      </c>
      <c r="I906" s="0" t="n">
        <f aca="false">C906*C906</f>
        <v>0.0025</v>
      </c>
      <c r="J906" s="0" t="n">
        <f aca="false">D906*D906</f>
        <v>1</v>
      </c>
      <c r="K906" s="0" t="n">
        <f aca="false">SUMPRODUCT(E906:J906,_XtX!$B$53:$G$53)</f>
        <v>48.8872945402299</v>
      </c>
      <c r="L906" s="0" t="n">
        <f aca="false">SUMPRODUCT(MMULT(E906:J906,_XtX!$B$44:$G$49),E906:J906)</f>
        <v>0.494089906609195</v>
      </c>
      <c r="M906" s="0" t="n">
        <f aca="false">04_回帰ANOVA!$K$19*04_回帰ANOVA!$K$14*SQRT(1+L906)</f>
        <v>1.6563989184248</v>
      </c>
      <c r="N906" s="0" t="n">
        <f aca="false">K906-M906</f>
        <v>47.2308956218051</v>
      </c>
      <c r="O906" s="0" t="n">
        <f aca="false">K906+M906</f>
        <v>50.5436934586547</v>
      </c>
      <c r="P906" s="54" t="b">
        <f aca="false">AND(C906&gt;=01_因子設定!$L$5-0.000000001,C906&lt;=01_因子設定!$M$5+0.000000001,D906&gt;=01_因子設定!$L$6-0.000000001,D906&lt;=01_因子設定!$M$6+0.000000001,IF(01_因子設定!$B$20="Box-Behnken",C906^2+D906^2&lt;=2+0.000000001,TRUE()))</f>
        <v>1</v>
      </c>
      <c r="Q906" s="55" t="n">
        <f aca="false">IF(P906,IF(01_因子設定!$B$13="最大化",N906-01_因子設定!$B$14,IF(01_因子設定!$B$13="最小化",01_因子設定!$B$15-O906,MIN(N906-01_因子設定!$B$14,01_因子設定!$B$15-O906))),-1E+030)</f>
        <v>0.730895621805082</v>
      </c>
      <c r="R906" s="55" t="n">
        <f aca="false">IF(P906,IF(01_因子設定!$B$13="最大化",K906,IF(01_因子設定!$B$13="最小化",-K906,-ABS(K906-01_因子設定!$B$16))),-1E+030)</f>
        <v>48.8872945402299</v>
      </c>
      <c r="S906" s="55" t="n">
        <f aca="false">Q906+ROW()*0.000000001</f>
        <v>0.730896527805082</v>
      </c>
      <c r="T906" s="55" t="n">
        <f aca="false">R906+ROW()*0.000000001</f>
        <v>48.8872954462299</v>
      </c>
    </row>
    <row r="907" customFormat="false" ht="15" hidden="false" customHeight="false" outlineLevel="0" collapsed="false">
      <c r="A907" s="0" t="n">
        <v>22</v>
      </c>
      <c r="B907" s="0" t="n">
        <v>0</v>
      </c>
      <c r="C907" s="0" t="n">
        <f aca="false">-1+A907*0.05</f>
        <v>0.1</v>
      </c>
      <c r="D907" s="0" t="n">
        <f aca="false">-1+B907*0.05</f>
        <v>-1</v>
      </c>
      <c r="E907" s="0" t="n">
        <f aca="false">1</f>
        <v>1</v>
      </c>
      <c r="F907" s="0" t="n">
        <f aca="false">C907</f>
        <v>0.1</v>
      </c>
      <c r="G907" s="0" t="n">
        <f aca="false">D907</f>
        <v>-1</v>
      </c>
      <c r="H907" s="0" t="n">
        <f aca="false">C907*D907</f>
        <v>-0.1</v>
      </c>
      <c r="I907" s="0" t="n">
        <f aca="false">C907*C907</f>
        <v>0.01</v>
      </c>
      <c r="J907" s="0" t="n">
        <f aca="false">D907*D907</f>
        <v>1</v>
      </c>
      <c r="K907" s="0" t="n">
        <f aca="false">SUMPRODUCT(E907:J907,_XtX!$B$53:$G$53)</f>
        <v>44.3938045977012</v>
      </c>
      <c r="L907" s="0" t="n">
        <f aca="false">SUMPRODUCT(MMULT(E907:J907,_XtX!$B$44:$G$49),E907:J907)</f>
        <v>0.49362816091954</v>
      </c>
      <c r="M907" s="0" t="n">
        <f aca="false">04_回帰ANOVA!$K$19*04_回帰ANOVA!$K$14*SQRT(1+L907)</f>
        <v>1.65614294515325</v>
      </c>
      <c r="N907" s="0" t="n">
        <f aca="false">K907-M907</f>
        <v>42.7376616525479</v>
      </c>
      <c r="O907" s="0" t="n">
        <f aca="false">K907+M907</f>
        <v>46.0499475428544</v>
      </c>
      <c r="P907" s="54" t="b">
        <f aca="false">AND(C907&gt;=01_因子設定!$L$5-0.000000001,C907&lt;=01_因子設定!$M$5+0.000000001,D907&gt;=01_因子設定!$L$6-0.000000001,D907&lt;=01_因子設定!$M$6+0.000000001,IF(01_因子設定!$B$20="Box-Behnken",C907^2+D907^2&lt;=2+0.000000001,TRUE()))</f>
        <v>1</v>
      </c>
      <c r="Q907" s="55" t="n">
        <f aca="false">IF(P907,IF(01_因子設定!$B$13="最大化",N907-01_因子設定!$B$14,IF(01_因子設定!$B$13="最小化",01_因子設定!$B$15-O907,MIN(N907-01_因子設定!$B$14,01_因子設定!$B$15-O907))),-1E+030)</f>
        <v>-3.76233834745209</v>
      </c>
      <c r="R907" s="55" t="n">
        <f aca="false">IF(P907,IF(01_因子設定!$B$13="最大化",K907,IF(01_因子設定!$B$13="最小化",-K907,-ABS(K907-01_因子設定!$B$16))),-1E+030)</f>
        <v>44.3938045977012</v>
      </c>
      <c r="S907" s="55" t="n">
        <f aca="false">Q907+ROW()*0.000000001</f>
        <v>-3.76233744045209</v>
      </c>
      <c r="T907" s="55" t="n">
        <f aca="false">R907+ROW()*0.000000001</f>
        <v>44.3938055047012</v>
      </c>
    </row>
    <row r="908" customFormat="false" ht="15" hidden="false" customHeight="false" outlineLevel="0" collapsed="false">
      <c r="A908" s="0" t="n">
        <v>22</v>
      </c>
      <c r="B908" s="0" t="n">
        <v>1</v>
      </c>
      <c r="C908" s="0" t="n">
        <f aca="false">-1+A908*0.05</f>
        <v>0.1</v>
      </c>
      <c r="D908" s="0" t="n">
        <f aca="false">-1+B908*0.05</f>
        <v>-0.95</v>
      </c>
      <c r="E908" s="0" t="n">
        <f aca="false">1</f>
        <v>1</v>
      </c>
      <c r="F908" s="0" t="n">
        <f aca="false">C908</f>
        <v>0.1</v>
      </c>
      <c r="G908" s="0" t="n">
        <f aca="false">D908</f>
        <v>-0.95</v>
      </c>
      <c r="H908" s="0" t="n">
        <f aca="false">C908*D908</f>
        <v>-0.0950000000000001</v>
      </c>
      <c r="I908" s="0" t="n">
        <f aca="false">C908*C908</f>
        <v>0.01</v>
      </c>
      <c r="J908" s="0" t="n">
        <f aca="false">D908*D908</f>
        <v>0.9025</v>
      </c>
      <c r="K908" s="0" t="n">
        <f aca="false">SUMPRODUCT(E908:J908,_XtX!$B$53:$G$53)</f>
        <v>44.6593821839081</v>
      </c>
      <c r="L908" s="0" t="n">
        <f aca="false">SUMPRODUCT(MMULT(E908:J908,_XtX!$B$44:$G$49),E908:J908)</f>
        <v>0.430414260057471</v>
      </c>
      <c r="M908" s="0" t="n">
        <f aca="false">04_回帰ANOVA!$K$19*04_回帰ANOVA!$K$14*SQRT(1+L908)</f>
        <v>1.62071812065626</v>
      </c>
      <c r="N908" s="0" t="n">
        <f aca="false">K908-M908</f>
        <v>43.0386640632518</v>
      </c>
      <c r="O908" s="0" t="n">
        <f aca="false">K908+M908</f>
        <v>46.2801003045643</v>
      </c>
      <c r="P908" s="54" t="b">
        <f aca="false">AND(C908&gt;=01_因子設定!$L$5-0.000000001,C908&lt;=01_因子設定!$M$5+0.000000001,D908&gt;=01_因子設定!$L$6-0.000000001,D908&lt;=01_因子設定!$M$6+0.000000001,IF(01_因子設定!$B$20="Box-Behnken",C908^2+D908^2&lt;=2+0.000000001,TRUE()))</f>
        <v>1</v>
      </c>
      <c r="Q908" s="55" t="n">
        <f aca="false">IF(P908,IF(01_因子設定!$B$13="最大化",N908-01_因子設定!$B$14,IF(01_因子設定!$B$13="最小化",01_因子設定!$B$15-O908,MIN(N908-01_因子設定!$B$14,01_因子設定!$B$15-O908))),-1E+030)</f>
        <v>-3.46133593674821</v>
      </c>
      <c r="R908" s="55" t="n">
        <f aca="false">IF(P908,IF(01_因子設定!$B$13="最大化",K908,IF(01_因子設定!$B$13="最小化",-K908,-ABS(K908-01_因子設定!$B$16))),-1E+030)</f>
        <v>44.6593821839081</v>
      </c>
      <c r="S908" s="55" t="n">
        <f aca="false">Q908+ROW()*0.000000001</f>
        <v>-3.46133502874821</v>
      </c>
      <c r="T908" s="55" t="n">
        <f aca="false">R908+ROW()*0.000000001</f>
        <v>44.6593830919081</v>
      </c>
    </row>
    <row r="909" customFormat="false" ht="15" hidden="false" customHeight="false" outlineLevel="0" collapsed="false">
      <c r="A909" s="0" t="n">
        <v>22</v>
      </c>
      <c r="B909" s="0" t="n">
        <v>2</v>
      </c>
      <c r="C909" s="0" t="n">
        <f aca="false">-1+A909*0.05</f>
        <v>0.1</v>
      </c>
      <c r="D909" s="0" t="n">
        <f aca="false">-1+B909*0.05</f>
        <v>-0.9</v>
      </c>
      <c r="E909" s="0" t="n">
        <f aca="false">1</f>
        <v>1</v>
      </c>
      <c r="F909" s="0" t="n">
        <f aca="false">C909</f>
        <v>0.1</v>
      </c>
      <c r="G909" s="0" t="n">
        <f aca="false">D909</f>
        <v>-0.9</v>
      </c>
      <c r="H909" s="0" t="n">
        <f aca="false">C909*D909</f>
        <v>-0.0900000000000001</v>
      </c>
      <c r="I909" s="0" t="n">
        <f aca="false">C909*C909</f>
        <v>0.01</v>
      </c>
      <c r="J909" s="0" t="n">
        <f aca="false">D909*D909</f>
        <v>0.81</v>
      </c>
      <c r="K909" s="0" t="n">
        <f aca="false">SUMPRODUCT(E909:J909,_XtX!$B$53:$G$53)</f>
        <v>44.9172442528736</v>
      </c>
      <c r="L909" s="0" t="n">
        <f aca="false">SUMPRODUCT(MMULT(E909:J909,_XtX!$B$44:$G$49),E909:J909)</f>
        <v>0.376805459770115</v>
      </c>
      <c r="M909" s="0" t="n">
        <f aca="false">04_回帰ANOVA!$K$19*04_回帰ANOVA!$K$14*SQRT(1+L909)</f>
        <v>1.59005761873556</v>
      </c>
      <c r="N909" s="0" t="n">
        <f aca="false">K909-M909</f>
        <v>43.327186634138</v>
      </c>
      <c r="O909" s="0" t="n">
        <f aca="false">K909+M909</f>
        <v>46.5073018716091</v>
      </c>
      <c r="P909" s="54" t="b">
        <f aca="false">AND(C909&gt;=01_因子設定!$L$5-0.000000001,C909&lt;=01_因子設定!$M$5+0.000000001,D909&gt;=01_因子設定!$L$6-0.000000001,D909&lt;=01_因子設定!$M$6+0.000000001,IF(01_因子設定!$B$20="Box-Behnken",C909^2+D909^2&lt;=2+0.000000001,TRUE()))</f>
        <v>1</v>
      </c>
      <c r="Q909" s="55" t="n">
        <f aca="false">IF(P909,IF(01_因子設定!$B$13="最大化",N909-01_因子設定!$B$14,IF(01_因子設定!$B$13="最小化",01_因子設定!$B$15-O909,MIN(N909-01_因子設定!$B$14,01_因子設定!$B$15-O909))),-1E+030)</f>
        <v>-3.172813365862</v>
      </c>
      <c r="R909" s="55" t="n">
        <f aca="false">IF(P909,IF(01_因子設定!$B$13="最大化",K909,IF(01_因子設定!$B$13="最小化",-K909,-ABS(K909-01_因子設定!$B$16))),-1E+030)</f>
        <v>44.9172442528736</v>
      </c>
      <c r="S909" s="55" t="n">
        <f aca="false">Q909+ROW()*0.000000001</f>
        <v>-3.172812456862</v>
      </c>
      <c r="T909" s="55" t="n">
        <f aca="false">R909+ROW()*0.000000001</f>
        <v>44.9172451618736</v>
      </c>
    </row>
    <row r="910" customFormat="false" ht="15" hidden="false" customHeight="false" outlineLevel="0" collapsed="false">
      <c r="A910" s="0" t="n">
        <v>22</v>
      </c>
      <c r="B910" s="0" t="n">
        <v>3</v>
      </c>
      <c r="C910" s="0" t="n">
        <f aca="false">-1+A910*0.05</f>
        <v>0.1</v>
      </c>
      <c r="D910" s="0" t="n">
        <f aca="false">-1+B910*0.05</f>
        <v>-0.85</v>
      </c>
      <c r="E910" s="0" t="n">
        <f aca="false">1</f>
        <v>1</v>
      </c>
      <c r="F910" s="0" t="n">
        <f aca="false">C910</f>
        <v>0.1</v>
      </c>
      <c r="G910" s="0" t="n">
        <f aca="false">D910</f>
        <v>-0.85</v>
      </c>
      <c r="H910" s="0" t="n">
        <f aca="false">C910*D910</f>
        <v>-0.0850000000000001</v>
      </c>
      <c r="I910" s="0" t="n">
        <f aca="false">C910*C910</f>
        <v>0.01</v>
      </c>
      <c r="J910" s="0" t="n">
        <f aca="false">D910*D910</f>
        <v>0.7225</v>
      </c>
      <c r="K910" s="0" t="n">
        <f aca="false">SUMPRODUCT(E910:J910,_XtX!$B$53:$G$53)</f>
        <v>45.1673908045977</v>
      </c>
      <c r="L910" s="0" t="n">
        <f aca="false">SUMPRODUCT(MMULT(E910:J910,_XtX!$B$44:$G$49),E910:J910)</f>
        <v>0.331797018678161</v>
      </c>
      <c r="M910" s="0" t="n">
        <f aca="false">04_回帰ANOVA!$K$19*04_回帰ANOVA!$K$14*SQRT(1+L910)</f>
        <v>1.56385178984743</v>
      </c>
      <c r="N910" s="0" t="n">
        <f aca="false">K910-M910</f>
        <v>43.6035390147503</v>
      </c>
      <c r="O910" s="0" t="n">
        <f aca="false">K910+M910</f>
        <v>46.7312425944451</v>
      </c>
      <c r="P910" s="54" t="b">
        <f aca="false">AND(C910&gt;=01_因子設定!$L$5-0.000000001,C910&lt;=01_因子設定!$M$5+0.000000001,D910&gt;=01_因子設定!$L$6-0.000000001,D910&lt;=01_因子設定!$M$6+0.000000001,IF(01_因子設定!$B$20="Box-Behnken",C910^2+D910^2&lt;=2+0.000000001,TRUE()))</f>
        <v>1</v>
      </c>
      <c r="Q910" s="55" t="n">
        <f aca="false">IF(P910,IF(01_因子設定!$B$13="最大化",N910-01_因子設定!$B$14,IF(01_因子設定!$B$13="最小化",01_因子設定!$B$15-O910,MIN(N910-01_因子設定!$B$14,01_因子設定!$B$15-O910))),-1E+030)</f>
        <v>-2.89646098524973</v>
      </c>
      <c r="R910" s="55" t="n">
        <f aca="false">IF(P910,IF(01_因子設定!$B$13="最大化",K910,IF(01_因子設定!$B$13="最小化",-K910,-ABS(K910-01_因子設定!$B$16))),-1E+030)</f>
        <v>45.1673908045977</v>
      </c>
      <c r="S910" s="55" t="n">
        <f aca="false">Q910+ROW()*0.000000001</f>
        <v>-2.89646007524973</v>
      </c>
      <c r="T910" s="55" t="n">
        <f aca="false">R910+ROW()*0.000000001</f>
        <v>45.1673917145977</v>
      </c>
    </row>
    <row r="911" customFormat="false" ht="15" hidden="false" customHeight="false" outlineLevel="0" collapsed="false">
      <c r="A911" s="0" t="n">
        <v>22</v>
      </c>
      <c r="B911" s="0" t="n">
        <v>4</v>
      </c>
      <c r="C911" s="0" t="n">
        <f aca="false">-1+A911*0.05</f>
        <v>0.1</v>
      </c>
      <c r="D911" s="0" t="n">
        <f aca="false">-1+B911*0.05</f>
        <v>-0.8</v>
      </c>
      <c r="E911" s="0" t="n">
        <f aca="false">1</f>
        <v>1</v>
      </c>
      <c r="F911" s="0" t="n">
        <f aca="false">C911</f>
        <v>0.1</v>
      </c>
      <c r="G911" s="0" t="n">
        <f aca="false">D911</f>
        <v>-0.8</v>
      </c>
      <c r="H911" s="0" t="n">
        <f aca="false">C911*D911</f>
        <v>-0.0800000000000001</v>
      </c>
      <c r="I911" s="0" t="n">
        <f aca="false">C911*C911</f>
        <v>0.01</v>
      </c>
      <c r="J911" s="0" t="n">
        <f aca="false">D911*D911</f>
        <v>0.64</v>
      </c>
      <c r="K911" s="0" t="n">
        <f aca="false">SUMPRODUCT(E911:J911,_XtX!$B$53:$G$53)</f>
        <v>45.4098218390805</v>
      </c>
      <c r="L911" s="0" t="n">
        <f aca="false">SUMPRODUCT(MMULT(E911:J911,_XtX!$B$44:$G$49),E911:J911)</f>
        <v>0.294438505747126</v>
      </c>
      <c r="M911" s="0" t="n">
        <f aca="false">04_回帰ANOVA!$K$19*04_回帰ANOVA!$K$14*SQRT(1+L911)</f>
        <v>1.54176181073002</v>
      </c>
      <c r="N911" s="0" t="n">
        <f aca="false">K911-M911</f>
        <v>43.8680600283505</v>
      </c>
      <c r="O911" s="0" t="n">
        <f aca="false">K911+M911</f>
        <v>46.9515836498105</v>
      </c>
      <c r="P911" s="54" t="b">
        <f aca="false">AND(C911&gt;=01_因子設定!$L$5-0.000000001,C911&lt;=01_因子設定!$M$5+0.000000001,D911&gt;=01_因子設定!$L$6-0.000000001,D911&lt;=01_因子設定!$M$6+0.000000001,IF(01_因子設定!$B$20="Box-Behnken",C911^2+D911^2&lt;=2+0.000000001,TRUE()))</f>
        <v>1</v>
      </c>
      <c r="Q911" s="55" t="n">
        <f aca="false">IF(P911,IF(01_因子設定!$B$13="最大化",N911-01_因子設定!$B$14,IF(01_因子設定!$B$13="最小化",01_因子設定!$B$15-O911,MIN(N911-01_因子設定!$B$14,01_因子設定!$B$15-O911))),-1E+030)</f>
        <v>-2.63193997164955</v>
      </c>
      <c r="R911" s="55" t="n">
        <f aca="false">IF(P911,IF(01_因子設定!$B$13="最大化",K911,IF(01_因子設定!$B$13="最小化",-K911,-ABS(K911-01_因子設定!$B$16))),-1E+030)</f>
        <v>45.4098218390805</v>
      </c>
      <c r="S911" s="55" t="n">
        <f aca="false">Q911+ROW()*0.000000001</f>
        <v>-2.63193906064955</v>
      </c>
      <c r="T911" s="55" t="n">
        <f aca="false">R911+ROW()*0.000000001</f>
        <v>45.4098227500805</v>
      </c>
    </row>
    <row r="912" customFormat="false" ht="15" hidden="false" customHeight="false" outlineLevel="0" collapsed="false">
      <c r="A912" s="0" t="n">
        <v>22</v>
      </c>
      <c r="B912" s="0" t="n">
        <v>5</v>
      </c>
      <c r="C912" s="0" t="n">
        <f aca="false">-1+A912*0.05</f>
        <v>0.1</v>
      </c>
      <c r="D912" s="0" t="n">
        <f aca="false">-1+B912*0.05</f>
        <v>-0.75</v>
      </c>
      <c r="E912" s="0" t="n">
        <f aca="false">1</f>
        <v>1</v>
      </c>
      <c r="F912" s="0" t="n">
        <f aca="false">C912</f>
        <v>0.1</v>
      </c>
      <c r="G912" s="0" t="n">
        <f aca="false">D912</f>
        <v>-0.75</v>
      </c>
      <c r="H912" s="0" t="n">
        <f aca="false">C912*D912</f>
        <v>-0.0750000000000001</v>
      </c>
      <c r="I912" s="0" t="n">
        <f aca="false">C912*C912</f>
        <v>0.01</v>
      </c>
      <c r="J912" s="0" t="n">
        <f aca="false">D912*D912</f>
        <v>0.5625</v>
      </c>
      <c r="K912" s="0" t="n">
        <f aca="false">SUMPRODUCT(E912:J912,_XtX!$B$53:$G$53)</f>
        <v>45.6445373563218</v>
      </c>
      <c r="L912" s="0" t="n">
        <f aca="false">SUMPRODUCT(MMULT(E912:J912,_XtX!$B$44:$G$49),E912:J912)</f>
        <v>0.263833800287356</v>
      </c>
      <c r="M912" s="0" t="n">
        <f aca="false">04_回帰ANOVA!$K$19*04_回帰ANOVA!$K$14*SQRT(1+L912)</f>
        <v>1.52342667355229</v>
      </c>
      <c r="N912" s="0" t="n">
        <f aca="false">K912-M912</f>
        <v>44.1211106827696</v>
      </c>
      <c r="O912" s="0" t="n">
        <f aca="false">K912+M912</f>
        <v>47.1679640298741</v>
      </c>
      <c r="P912" s="54" t="b">
        <f aca="false">AND(C912&gt;=01_因子設定!$L$5-0.000000001,C912&lt;=01_因子設定!$M$5+0.000000001,D912&gt;=01_因子設定!$L$6-0.000000001,D912&lt;=01_因子設定!$M$6+0.000000001,IF(01_因子設定!$B$20="Box-Behnken",C912^2+D912^2&lt;=2+0.000000001,TRUE()))</f>
        <v>1</v>
      </c>
      <c r="Q912" s="55" t="n">
        <f aca="false">IF(P912,IF(01_因子設定!$B$13="最大化",N912-01_因子設定!$B$14,IF(01_因子設定!$B$13="最小化",01_因子設定!$B$15-O912,MIN(N912-01_因子設定!$B$14,01_因子設定!$B$15-O912))),-1E+030)</f>
        <v>-2.37888931723045</v>
      </c>
      <c r="R912" s="55" t="n">
        <f aca="false">IF(P912,IF(01_因子設定!$B$13="最大化",K912,IF(01_因子設定!$B$13="最小化",-K912,-ABS(K912-01_因子設定!$B$16))),-1E+030)</f>
        <v>45.6445373563218</v>
      </c>
      <c r="S912" s="55" t="n">
        <f aca="false">Q912+ROW()*0.000000001</f>
        <v>-2.37888840523045</v>
      </c>
      <c r="T912" s="55" t="n">
        <f aca="false">R912+ROW()*0.000000001</f>
        <v>45.6445382683218</v>
      </c>
    </row>
    <row r="913" customFormat="false" ht="15" hidden="false" customHeight="false" outlineLevel="0" collapsed="false">
      <c r="A913" s="0" t="n">
        <v>22</v>
      </c>
      <c r="B913" s="0" t="n">
        <v>6</v>
      </c>
      <c r="C913" s="0" t="n">
        <f aca="false">-1+A913*0.05</f>
        <v>0.1</v>
      </c>
      <c r="D913" s="0" t="n">
        <f aca="false">-1+B913*0.05</f>
        <v>-0.7</v>
      </c>
      <c r="E913" s="0" t="n">
        <f aca="false">1</f>
        <v>1</v>
      </c>
      <c r="F913" s="0" t="n">
        <f aca="false">C913</f>
        <v>0.1</v>
      </c>
      <c r="G913" s="0" t="n">
        <f aca="false">D913</f>
        <v>-0.7</v>
      </c>
      <c r="H913" s="0" t="n">
        <f aca="false">C913*D913</f>
        <v>-0.0700000000000001</v>
      </c>
      <c r="I913" s="0" t="n">
        <f aca="false">C913*C913</f>
        <v>0.01</v>
      </c>
      <c r="J913" s="0" t="n">
        <f aca="false">D913*D913</f>
        <v>0.49</v>
      </c>
      <c r="K913" s="0" t="n">
        <f aca="false">SUMPRODUCT(E913:J913,_XtX!$B$53:$G$53)</f>
        <v>45.8715373563218</v>
      </c>
      <c r="L913" s="0" t="n">
        <f aca="false">SUMPRODUCT(MMULT(E913:J913,_XtX!$B$44:$G$49),E913:J913)</f>
        <v>0.239141091954023</v>
      </c>
      <c r="M913" s="0" t="n">
        <f aca="false">04_回帰ANOVA!$K$19*04_回帰ANOVA!$K$14*SQRT(1+L913)</f>
        <v>1.50847095312325</v>
      </c>
      <c r="N913" s="0" t="n">
        <f aca="false">K913-M913</f>
        <v>44.3630664031986</v>
      </c>
      <c r="O913" s="0" t="n">
        <f aca="false">K913+M913</f>
        <v>47.3800083094451</v>
      </c>
      <c r="P913" s="54" t="b">
        <f aca="false">AND(C913&gt;=01_因子設定!$L$5-0.000000001,C913&lt;=01_因子設定!$M$5+0.000000001,D913&gt;=01_因子設定!$L$6-0.000000001,D913&lt;=01_因子設定!$M$6+0.000000001,IF(01_因子設定!$B$20="Box-Behnken",C913^2+D913^2&lt;=2+0.000000001,TRUE()))</f>
        <v>1</v>
      </c>
      <c r="Q913" s="55" t="n">
        <f aca="false">IF(P913,IF(01_因子設定!$B$13="最大化",N913-01_因子設定!$B$14,IF(01_因子設定!$B$13="最小化",01_因子設定!$B$15-O913,MIN(N913-01_因子設定!$B$14,01_因子設定!$B$15-O913))),-1E+030)</f>
        <v>-2.13693359680141</v>
      </c>
      <c r="R913" s="55" t="n">
        <f aca="false">IF(P913,IF(01_因子設定!$B$13="最大化",K913,IF(01_因子設定!$B$13="最小化",-K913,-ABS(K913-01_因子設定!$B$16))),-1E+030)</f>
        <v>45.8715373563218</v>
      </c>
      <c r="S913" s="55" t="n">
        <f aca="false">Q913+ROW()*0.000000001</f>
        <v>-2.13693268380141</v>
      </c>
      <c r="T913" s="55" t="n">
        <f aca="false">R913+ROW()*0.000000001</f>
        <v>45.8715382693218</v>
      </c>
    </row>
    <row r="914" customFormat="false" ht="15" hidden="false" customHeight="false" outlineLevel="0" collapsed="false">
      <c r="A914" s="0" t="n">
        <v>22</v>
      </c>
      <c r="B914" s="0" t="n">
        <v>7</v>
      </c>
      <c r="C914" s="0" t="n">
        <f aca="false">-1+A914*0.05</f>
        <v>0.1</v>
      </c>
      <c r="D914" s="0" t="n">
        <f aca="false">-1+B914*0.05</f>
        <v>-0.65</v>
      </c>
      <c r="E914" s="0" t="n">
        <f aca="false">1</f>
        <v>1</v>
      </c>
      <c r="F914" s="0" t="n">
        <f aca="false">C914</f>
        <v>0.1</v>
      </c>
      <c r="G914" s="0" t="n">
        <f aca="false">D914</f>
        <v>-0.65</v>
      </c>
      <c r="H914" s="0" t="n">
        <f aca="false">C914*D914</f>
        <v>-0.065</v>
      </c>
      <c r="I914" s="0" t="n">
        <f aca="false">C914*C914</f>
        <v>0.01</v>
      </c>
      <c r="J914" s="0" t="n">
        <f aca="false">D914*D914</f>
        <v>0.4225</v>
      </c>
      <c r="K914" s="0" t="n">
        <f aca="false">SUMPRODUCT(E914:J914,_XtX!$B$53:$G$53)</f>
        <v>46.0908218390805</v>
      </c>
      <c r="L914" s="0" t="n">
        <f aca="false">SUMPRODUCT(MMULT(E914:J914,_XtX!$B$44:$G$49),E914:J914)</f>
        <v>0.219572880747126</v>
      </c>
      <c r="M914" s="0" t="n">
        <f aca="false">04_回帰ANOVA!$K$19*04_回帰ANOVA!$K$14*SQRT(1+L914)</f>
        <v>1.49651285436709</v>
      </c>
      <c r="N914" s="0" t="n">
        <f aca="false">K914-M914</f>
        <v>44.5943089847134</v>
      </c>
      <c r="O914" s="0" t="n">
        <f aca="false">K914+M914</f>
        <v>47.5873346934475</v>
      </c>
      <c r="P914" s="54" t="b">
        <f aca="false">AND(C914&gt;=01_因子設定!$L$5-0.000000001,C914&lt;=01_因子設定!$M$5+0.000000001,D914&gt;=01_因子設定!$L$6-0.000000001,D914&lt;=01_因子設定!$M$6+0.000000001,IF(01_因子設定!$B$20="Box-Behnken",C914^2+D914^2&lt;=2+0.000000001,TRUE()))</f>
        <v>1</v>
      </c>
      <c r="Q914" s="55" t="n">
        <f aca="false">IF(P914,IF(01_因子設定!$B$13="最大化",N914-01_因子設定!$B$14,IF(01_因子設定!$B$13="最小化",01_因子設定!$B$15-O914,MIN(N914-01_因子設定!$B$14,01_因子設定!$B$15-O914))),-1E+030)</f>
        <v>-1.90569101528662</v>
      </c>
      <c r="R914" s="55" t="n">
        <f aca="false">IF(P914,IF(01_因子設定!$B$13="最大化",K914,IF(01_因子設定!$B$13="最小化",-K914,-ABS(K914-01_因子設定!$B$16))),-1E+030)</f>
        <v>46.0908218390805</v>
      </c>
      <c r="S914" s="55" t="n">
        <f aca="false">Q914+ROW()*0.000000001</f>
        <v>-1.90569010128662</v>
      </c>
      <c r="T914" s="55" t="n">
        <f aca="false">R914+ROW()*0.000000001</f>
        <v>46.0908227530805</v>
      </c>
    </row>
    <row r="915" customFormat="false" ht="15" hidden="false" customHeight="false" outlineLevel="0" collapsed="false">
      <c r="A915" s="0" t="n">
        <v>22</v>
      </c>
      <c r="B915" s="0" t="n">
        <v>8</v>
      </c>
      <c r="C915" s="0" t="n">
        <f aca="false">-1+A915*0.05</f>
        <v>0.1</v>
      </c>
      <c r="D915" s="0" t="n">
        <f aca="false">-1+B915*0.05</f>
        <v>-0.6</v>
      </c>
      <c r="E915" s="0" t="n">
        <f aca="false">1</f>
        <v>1</v>
      </c>
      <c r="F915" s="0" t="n">
        <f aca="false">C915</f>
        <v>0.1</v>
      </c>
      <c r="G915" s="0" t="n">
        <f aca="false">D915</f>
        <v>-0.6</v>
      </c>
      <c r="H915" s="0" t="n">
        <f aca="false">C915*D915</f>
        <v>-0.0600000000000001</v>
      </c>
      <c r="I915" s="0" t="n">
        <f aca="false">C915*C915</f>
        <v>0.01</v>
      </c>
      <c r="J915" s="0" t="n">
        <f aca="false">D915*D915</f>
        <v>0.36</v>
      </c>
      <c r="K915" s="0" t="n">
        <f aca="false">SUMPRODUCT(E915:J915,_XtX!$B$53:$G$53)</f>
        <v>46.3023908045977</v>
      </c>
      <c r="L915" s="0" t="n">
        <f aca="false">SUMPRODUCT(MMULT(E915:J915,_XtX!$B$44:$G$49),E915:J915)</f>
        <v>0.204395977011494</v>
      </c>
      <c r="M915" s="0" t="n">
        <f aca="false">04_回帰ANOVA!$K$19*04_回帰ANOVA!$K$14*SQRT(1+L915)</f>
        <v>1.48717206961779</v>
      </c>
      <c r="N915" s="0" t="n">
        <f aca="false">K915-M915</f>
        <v>44.8152187349799</v>
      </c>
      <c r="O915" s="0" t="n">
        <f aca="false">K915+M915</f>
        <v>47.7895628742155</v>
      </c>
      <c r="P915" s="54" t="b">
        <f aca="false">AND(C915&gt;=01_因子設定!$L$5-0.000000001,C915&lt;=01_因子設定!$M$5+0.000000001,D915&gt;=01_因子設定!$L$6-0.000000001,D915&lt;=01_因子設定!$M$6+0.000000001,IF(01_因子設定!$B$20="Box-Behnken",C915^2+D915^2&lt;=2+0.000000001,TRUE()))</f>
        <v>1</v>
      </c>
      <c r="Q915" s="55" t="n">
        <f aca="false">IF(P915,IF(01_因子設定!$B$13="最大化",N915-01_因子設定!$B$14,IF(01_因子設定!$B$13="最小化",01_因子設定!$B$15-O915,MIN(N915-01_因子設定!$B$14,01_因子設定!$B$15-O915))),-1E+030)</f>
        <v>-1.68478126502009</v>
      </c>
      <c r="R915" s="55" t="n">
        <f aca="false">IF(P915,IF(01_因子設定!$B$13="最大化",K915,IF(01_因子設定!$B$13="最小化",-K915,-ABS(K915-01_因子設定!$B$16))),-1E+030)</f>
        <v>46.3023908045977</v>
      </c>
      <c r="S915" s="55" t="n">
        <f aca="false">Q915+ROW()*0.000000001</f>
        <v>-1.68478035002009</v>
      </c>
      <c r="T915" s="55" t="n">
        <f aca="false">R915+ROW()*0.000000001</f>
        <v>46.3023917195977</v>
      </c>
    </row>
    <row r="916" customFormat="false" ht="15" hidden="false" customHeight="false" outlineLevel="0" collapsed="false">
      <c r="A916" s="0" t="n">
        <v>22</v>
      </c>
      <c r="B916" s="0" t="n">
        <v>9</v>
      </c>
      <c r="C916" s="0" t="n">
        <f aca="false">-1+A916*0.05</f>
        <v>0.1</v>
      </c>
      <c r="D916" s="0" t="n">
        <f aca="false">-1+B916*0.05</f>
        <v>-0.55</v>
      </c>
      <c r="E916" s="0" t="n">
        <f aca="false">1</f>
        <v>1</v>
      </c>
      <c r="F916" s="0" t="n">
        <f aca="false">C916</f>
        <v>0.1</v>
      </c>
      <c r="G916" s="0" t="n">
        <f aca="false">D916</f>
        <v>-0.55</v>
      </c>
      <c r="H916" s="0" t="n">
        <f aca="false">C916*D916</f>
        <v>-0.0550000000000001</v>
      </c>
      <c r="I916" s="0" t="n">
        <f aca="false">C916*C916</f>
        <v>0.01</v>
      </c>
      <c r="J916" s="0" t="n">
        <f aca="false">D916*D916</f>
        <v>0.3025</v>
      </c>
      <c r="K916" s="0" t="n">
        <f aca="false">SUMPRODUCT(E916:J916,_XtX!$B$53:$G$53)</f>
        <v>46.5062442528736</v>
      </c>
      <c r="L916" s="0" t="n">
        <f aca="false">SUMPRODUCT(MMULT(E916:J916,_XtX!$B$44:$G$49),E916:J916)</f>
        <v>0.192931501436782</v>
      </c>
      <c r="M916" s="0" t="n">
        <f aca="false">04_回帰ANOVA!$K$19*04_回帰ANOVA!$K$14*SQRT(1+L916)</f>
        <v>1.48007705445879</v>
      </c>
      <c r="N916" s="0" t="n">
        <f aca="false">K916-M916</f>
        <v>45.0261671984148</v>
      </c>
      <c r="O916" s="0" t="n">
        <f aca="false">K916+M916</f>
        <v>47.9863213073324</v>
      </c>
      <c r="P916" s="54" t="b">
        <f aca="false">AND(C916&gt;=01_因子設定!$L$5-0.000000001,C916&lt;=01_因子設定!$M$5+0.000000001,D916&gt;=01_因子設定!$L$6-0.000000001,D916&lt;=01_因子設定!$M$6+0.000000001,IF(01_因子設定!$B$20="Box-Behnken",C916^2+D916^2&lt;=2+0.000000001,TRUE()))</f>
        <v>1</v>
      </c>
      <c r="Q916" s="55" t="n">
        <f aca="false">IF(P916,IF(01_因子設定!$B$13="最大化",N916-01_因子設定!$B$14,IF(01_因子設定!$B$13="最小化",01_因子設定!$B$15-O916,MIN(N916-01_因子設定!$B$14,01_因子設定!$B$15-O916))),-1E+030)</f>
        <v>-1.47383280158522</v>
      </c>
      <c r="R916" s="55" t="n">
        <f aca="false">IF(P916,IF(01_因子設定!$B$13="最大化",K916,IF(01_因子設定!$B$13="最小化",-K916,-ABS(K916-01_因子設定!$B$16))),-1E+030)</f>
        <v>46.5062442528736</v>
      </c>
      <c r="S916" s="55" t="n">
        <f aca="false">Q916+ROW()*0.000000001</f>
        <v>-1.47383188558522</v>
      </c>
      <c r="T916" s="55" t="n">
        <f aca="false">R916+ROW()*0.000000001</f>
        <v>46.5062451688736</v>
      </c>
    </row>
    <row r="917" customFormat="false" ht="15" hidden="false" customHeight="false" outlineLevel="0" collapsed="false">
      <c r="A917" s="0" t="n">
        <v>22</v>
      </c>
      <c r="B917" s="0" t="n">
        <v>10</v>
      </c>
      <c r="C917" s="0" t="n">
        <f aca="false">-1+A917*0.05</f>
        <v>0.1</v>
      </c>
      <c r="D917" s="0" t="n">
        <f aca="false">-1+B917*0.05</f>
        <v>-0.5</v>
      </c>
      <c r="E917" s="0" t="n">
        <f aca="false">1</f>
        <v>1</v>
      </c>
      <c r="F917" s="0" t="n">
        <f aca="false">C917</f>
        <v>0.1</v>
      </c>
      <c r="G917" s="0" t="n">
        <f aca="false">D917</f>
        <v>-0.5</v>
      </c>
      <c r="H917" s="0" t="n">
        <f aca="false">C917*D917</f>
        <v>-0.05</v>
      </c>
      <c r="I917" s="0" t="n">
        <f aca="false">C917*C917</f>
        <v>0.01</v>
      </c>
      <c r="J917" s="0" t="n">
        <f aca="false">D917*D917</f>
        <v>0.25</v>
      </c>
      <c r="K917" s="0" t="n">
        <f aca="false">SUMPRODUCT(E917:J917,_XtX!$B$53:$G$53)</f>
        <v>46.702382183908</v>
      </c>
      <c r="L917" s="0" t="n">
        <f aca="false">SUMPRODUCT(MMULT(E917:J917,_XtX!$B$44:$G$49),E917:J917)</f>
        <v>0.184554885057471</v>
      </c>
      <c r="M917" s="0" t="n">
        <f aca="false">04_回帰ANOVA!$K$19*04_回帰ANOVA!$K$14*SQRT(1+L917)</f>
        <v>1.47487144173022</v>
      </c>
      <c r="N917" s="0" t="n">
        <f aca="false">K917-M917</f>
        <v>45.2275107421778</v>
      </c>
      <c r="O917" s="0" t="n">
        <f aca="false">K917+M917</f>
        <v>48.1772536256383</v>
      </c>
      <c r="P917" s="54" t="b">
        <f aca="false">AND(C917&gt;=01_因子設定!$L$5-0.000000001,C917&lt;=01_因子設定!$M$5+0.000000001,D917&gt;=01_因子設定!$L$6-0.000000001,D917&lt;=01_因子設定!$M$6+0.000000001,IF(01_因子設定!$B$20="Box-Behnken",C917^2+D917^2&lt;=2+0.000000001,TRUE()))</f>
        <v>1</v>
      </c>
      <c r="Q917" s="55" t="n">
        <f aca="false">IF(P917,IF(01_因子設定!$B$13="最大化",N917-01_因子設定!$B$14,IF(01_因子設定!$B$13="最小化",01_因子設定!$B$15-O917,MIN(N917-01_因子設定!$B$14,01_因子設定!$B$15-O917))),-1E+030)</f>
        <v>-1.27248925782217</v>
      </c>
      <c r="R917" s="55" t="n">
        <f aca="false">IF(P917,IF(01_因子設定!$B$13="最大化",K917,IF(01_因子設定!$B$13="最小化",-K917,-ABS(K917-01_因子設定!$B$16))),-1E+030)</f>
        <v>46.702382183908</v>
      </c>
      <c r="S917" s="55" t="n">
        <f aca="false">Q917+ROW()*0.000000001</f>
        <v>-1.27248834082217</v>
      </c>
      <c r="T917" s="55" t="n">
        <f aca="false">R917+ROW()*0.000000001</f>
        <v>46.702383100908</v>
      </c>
    </row>
    <row r="918" customFormat="false" ht="15" hidden="false" customHeight="false" outlineLevel="0" collapsed="false">
      <c r="A918" s="0" t="n">
        <v>22</v>
      </c>
      <c r="B918" s="0" t="n">
        <v>11</v>
      </c>
      <c r="C918" s="0" t="n">
        <f aca="false">-1+A918*0.05</f>
        <v>0.1</v>
      </c>
      <c r="D918" s="0" t="n">
        <f aca="false">-1+B918*0.05</f>
        <v>-0.45</v>
      </c>
      <c r="E918" s="0" t="n">
        <f aca="false">1</f>
        <v>1</v>
      </c>
      <c r="F918" s="0" t="n">
        <f aca="false">C918</f>
        <v>0.1</v>
      </c>
      <c r="G918" s="0" t="n">
        <f aca="false">D918</f>
        <v>-0.45</v>
      </c>
      <c r="H918" s="0" t="n">
        <f aca="false">C918*D918</f>
        <v>-0.045</v>
      </c>
      <c r="I918" s="0" t="n">
        <f aca="false">C918*C918</f>
        <v>0.01</v>
      </c>
      <c r="J918" s="0" t="n">
        <f aca="false">D918*D918</f>
        <v>0.2025</v>
      </c>
      <c r="K918" s="0" t="n">
        <f aca="false">SUMPRODUCT(E918:J918,_XtX!$B$53:$G$53)</f>
        <v>46.8908045977012</v>
      </c>
      <c r="L918" s="0" t="n">
        <f aca="false">SUMPRODUCT(MMULT(E918:J918,_XtX!$B$44:$G$49),E918:J918)</f>
        <v>0.178695869252874</v>
      </c>
      <c r="M918" s="0" t="n">
        <f aca="false">04_回帰ANOVA!$K$19*04_回帰ANOVA!$K$14*SQRT(1+L918)</f>
        <v>1.47121943410978</v>
      </c>
      <c r="N918" s="0" t="n">
        <f aca="false">K918-M918</f>
        <v>45.4195851635914</v>
      </c>
      <c r="O918" s="0" t="n">
        <f aca="false">K918+M918</f>
        <v>48.3620240318109</v>
      </c>
      <c r="P918" s="54" t="b">
        <f aca="false">AND(C918&gt;=01_因子設定!$L$5-0.000000001,C918&lt;=01_因子設定!$M$5+0.000000001,D918&gt;=01_因子設定!$L$6-0.000000001,D918&lt;=01_因子設定!$M$6+0.000000001,IF(01_因子設定!$B$20="Box-Behnken",C918^2+D918^2&lt;=2+0.000000001,TRUE()))</f>
        <v>1</v>
      </c>
      <c r="Q918" s="55" t="n">
        <f aca="false">IF(P918,IF(01_因子設定!$B$13="最大化",N918-01_因子設定!$B$14,IF(01_因子設定!$B$13="最小化",01_因子設定!$B$15-O918,MIN(N918-01_因子設定!$B$14,01_因子設定!$B$15-O918))),-1E+030)</f>
        <v>-1.08041483640863</v>
      </c>
      <c r="R918" s="55" t="n">
        <f aca="false">IF(P918,IF(01_因子設定!$B$13="最大化",K918,IF(01_因子設定!$B$13="最小化",-K918,-ABS(K918-01_因子設定!$B$16))),-1E+030)</f>
        <v>46.8908045977012</v>
      </c>
      <c r="S918" s="55" t="n">
        <f aca="false">Q918+ROW()*0.000000001</f>
        <v>-1.08041391840863</v>
      </c>
      <c r="T918" s="55" t="n">
        <f aca="false">R918+ROW()*0.000000001</f>
        <v>46.8908055157011</v>
      </c>
    </row>
    <row r="919" customFormat="false" ht="15" hidden="false" customHeight="false" outlineLevel="0" collapsed="false">
      <c r="A919" s="0" t="n">
        <v>22</v>
      </c>
      <c r="B919" s="0" t="n">
        <v>12</v>
      </c>
      <c r="C919" s="0" t="n">
        <f aca="false">-1+A919*0.05</f>
        <v>0.1</v>
      </c>
      <c r="D919" s="0" t="n">
        <f aca="false">-1+B919*0.05</f>
        <v>-0.4</v>
      </c>
      <c r="E919" s="0" t="n">
        <f aca="false">1</f>
        <v>1</v>
      </c>
      <c r="F919" s="0" t="n">
        <f aca="false">C919</f>
        <v>0.1</v>
      </c>
      <c r="G919" s="0" t="n">
        <f aca="false">D919</f>
        <v>-0.4</v>
      </c>
      <c r="H919" s="0" t="n">
        <f aca="false">C919*D919</f>
        <v>-0.04</v>
      </c>
      <c r="I919" s="0" t="n">
        <f aca="false">C919*C919</f>
        <v>0.01</v>
      </c>
      <c r="J919" s="0" t="n">
        <f aca="false">D919*D919</f>
        <v>0.16</v>
      </c>
      <c r="K919" s="0" t="n">
        <f aca="false">SUMPRODUCT(E919:J919,_XtX!$B$53:$G$53)</f>
        <v>47.0715114942529</v>
      </c>
      <c r="L919" s="0" t="n">
        <f aca="false">SUMPRODUCT(MMULT(E919:J919,_XtX!$B$44:$G$49),E919:J919)</f>
        <v>0.174838505747126</v>
      </c>
      <c r="M919" s="0" t="n">
        <f aca="false">04_回帰ANOVA!$K$19*04_回帰ANOVA!$K$14*SQRT(1+L919)</f>
        <v>1.46881012781827</v>
      </c>
      <c r="N919" s="0" t="n">
        <f aca="false">K919-M919</f>
        <v>45.6027013664346</v>
      </c>
      <c r="O919" s="0" t="n">
        <f aca="false">K919+M919</f>
        <v>48.5403216220712</v>
      </c>
      <c r="P919" s="54" t="b">
        <f aca="false">AND(C919&gt;=01_因子設定!$L$5-0.000000001,C919&lt;=01_因子設定!$M$5+0.000000001,D919&gt;=01_因子設定!$L$6-0.000000001,D919&lt;=01_因子設定!$M$6+0.000000001,IF(01_因子設定!$B$20="Box-Behnken",C919^2+D919^2&lt;=2+0.000000001,TRUE()))</f>
        <v>1</v>
      </c>
      <c r="Q919" s="55" t="n">
        <f aca="false">IF(P919,IF(01_因子設定!$B$13="最大化",N919-01_因子設定!$B$14,IF(01_因子設定!$B$13="最小化",01_因子設定!$B$15-O919,MIN(N919-01_因子設定!$B$14,01_因子設定!$B$15-O919))),-1E+030)</f>
        <v>-0.897298633565399</v>
      </c>
      <c r="R919" s="55" t="n">
        <f aca="false">IF(P919,IF(01_因子設定!$B$13="最大化",K919,IF(01_因子設定!$B$13="最小化",-K919,-ABS(K919-01_因子設定!$B$16))),-1E+030)</f>
        <v>47.0715114942529</v>
      </c>
      <c r="S919" s="55" t="n">
        <f aca="false">Q919+ROW()*0.000000001</f>
        <v>-0.897297714565399</v>
      </c>
      <c r="T919" s="55" t="n">
        <f aca="false">R919+ROW()*0.000000001</f>
        <v>47.0715124132529</v>
      </c>
    </row>
    <row r="920" customFormat="false" ht="15" hidden="false" customHeight="false" outlineLevel="0" collapsed="false">
      <c r="A920" s="0" t="n">
        <v>22</v>
      </c>
      <c r="B920" s="0" t="n">
        <v>13</v>
      </c>
      <c r="C920" s="0" t="n">
        <f aca="false">-1+A920*0.05</f>
        <v>0.1</v>
      </c>
      <c r="D920" s="0" t="n">
        <f aca="false">-1+B920*0.05</f>
        <v>-0.35</v>
      </c>
      <c r="E920" s="0" t="n">
        <f aca="false">1</f>
        <v>1</v>
      </c>
      <c r="F920" s="0" t="n">
        <f aca="false">C920</f>
        <v>0.1</v>
      </c>
      <c r="G920" s="0" t="n">
        <f aca="false">D920</f>
        <v>-0.35</v>
      </c>
      <c r="H920" s="0" t="n">
        <f aca="false">C920*D920</f>
        <v>-0.035</v>
      </c>
      <c r="I920" s="0" t="n">
        <f aca="false">C920*C920</f>
        <v>0.01</v>
      </c>
      <c r="J920" s="0" t="n">
        <f aca="false">D920*D920</f>
        <v>0.1225</v>
      </c>
      <c r="K920" s="0" t="n">
        <f aca="false">SUMPRODUCT(E920:J920,_XtX!$B$53:$G$53)</f>
        <v>47.2445028735632</v>
      </c>
      <c r="L920" s="0" t="n">
        <f aca="false">SUMPRODUCT(MMULT(E920:J920,_XtX!$B$44:$G$49),E920:J920)</f>
        <v>0.172521156609195</v>
      </c>
      <c r="M920" s="0" t="n">
        <f aca="false">04_回帰ANOVA!$K$19*04_回帰ANOVA!$K$14*SQRT(1+L920)</f>
        <v>1.46736081117514</v>
      </c>
      <c r="N920" s="0" t="n">
        <f aca="false">K920-M920</f>
        <v>45.7771420623881</v>
      </c>
      <c r="O920" s="0" t="n">
        <f aca="false">K920+M920</f>
        <v>48.7118636847384</v>
      </c>
      <c r="P920" s="54" t="b">
        <f aca="false">AND(C920&gt;=01_因子設定!$L$5-0.000000001,C920&lt;=01_因子設定!$M$5+0.000000001,D920&gt;=01_因子設定!$L$6-0.000000001,D920&lt;=01_因子設定!$M$6+0.000000001,IF(01_因子設定!$B$20="Box-Behnken",C920^2+D920^2&lt;=2+0.000000001,TRUE()))</f>
        <v>1</v>
      </c>
      <c r="Q920" s="55" t="n">
        <f aca="false">IF(P920,IF(01_因子設定!$B$13="最大化",N920-01_因子設定!$B$14,IF(01_因子設定!$B$13="最小化",01_因子設定!$B$15-O920,MIN(N920-01_因子設定!$B$14,01_因子設定!$B$15-O920))),-1E+030)</f>
        <v>-0.722857937611927</v>
      </c>
      <c r="R920" s="55" t="n">
        <f aca="false">IF(P920,IF(01_因子設定!$B$13="最大化",K920,IF(01_因子設定!$B$13="最小化",-K920,-ABS(K920-01_因子設定!$B$16))),-1E+030)</f>
        <v>47.2445028735632</v>
      </c>
      <c r="S920" s="55" t="n">
        <f aca="false">Q920+ROW()*0.000000001</f>
        <v>-0.722857017611927</v>
      </c>
      <c r="T920" s="55" t="n">
        <f aca="false">R920+ROW()*0.000000001</f>
        <v>47.2445037935632</v>
      </c>
    </row>
    <row r="921" customFormat="false" ht="15" hidden="false" customHeight="false" outlineLevel="0" collapsed="false">
      <c r="A921" s="0" t="n">
        <v>22</v>
      </c>
      <c r="B921" s="0" t="n">
        <v>14</v>
      </c>
      <c r="C921" s="0" t="n">
        <f aca="false">-1+A921*0.05</f>
        <v>0.1</v>
      </c>
      <c r="D921" s="0" t="n">
        <f aca="false">-1+B921*0.05</f>
        <v>-0.3</v>
      </c>
      <c r="E921" s="0" t="n">
        <f aca="false">1</f>
        <v>1</v>
      </c>
      <c r="F921" s="0" t="n">
        <f aca="false">C921</f>
        <v>0.1</v>
      </c>
      <c r="G921" s="0" t="n">
        <f aca="false">D921</f>
        <v>-0.3</v>
      </c>
      <c r="H921" s="0" t="n">
        <f aca="false">C921*D921</f>
        <v>-0.03</v>
      </c>
      <c r="I921" s="0" t="n">
        <f aca="false">C921*C921</f>
        <v>0.01</v>
      </c>
      <c r="J921" s="0" t="n">
        <f aca="false">D921*D921</f>
        <v>0.09</v>
      </c>
      <c r="K921" s="0" t="n">
        <f aca="false">SUMPRODUCT(E921:J921,_XtX!$B$53:$G$53)</f>
        <v>47.4097787356322</v>
      </c>
      <c r="L921" s="0" t="n">
        <f aca="false">SUMPRODUCT(MMULT(E921:J921,_XtX!$B$44:$G$49),E921:J921)</f>
        <v>0.171336494252874</v>
      </c>
      <c r="M921" s="0" t="n">
        <f aca="false">04_回帰ANOVA!$K$19*04_回帰ANOVA!$K$14*SQRT(1+L921)</f>
        <v>1.46661934633672</v>
      </c>
      <c r="N921" s="0" t="n">
        <f aca="false">K921-M921</f>
        <v>45.9431593892955</v>
      </c>
      <c r="O921" s="0" t="n">
        <f aca="false">K921+M921</f>
        <v>48.8763980819689</v>
      </c>
      <c r="P921" s="54" t="b">
        <f aca="false">AND(C921&gt;=01_因子設定!$L$5-0.000000001,C921&lt;=01_因子設定!$M$5+0.000000001,D921&gt;=01_因子設定!$L$6-0.000000001,D921&lt;=01_因子設定!$M$6+0.000000001,IF(01_因子設定!$B$20="Box-Behnken",C921^2+D921^2&lt;=2+0.000000001,TRUE()))</f>
        <v>1</v>
      </c>
      <c r="Q921" s="55" t="n">
        <f aca="false">IF(P921,IF(01_因子設定!$B$13="最大化",N921-01_因子設定!$B$14,IF(01_因子設定!$B$13="最小化",01_因子設定!$B$15-O921,MIN(N921-01_因子設定!$B$14,01_因子設定!$B$15-O921))),-1E+030)</f>
        <v>-0.556840610704541</v>
      </c>
      <c r="R921" s="55" t="n">
        <f aca="false">IF(P921,IF(01_因子設定!$B$13="最大化",K921,IF(01_因子設定!$B$13="最小化",-K921,-ABS(K921-01_因子設定!$B$16))),-1E+030)</f>
        <v>47.4097787356322</v>
      </c>
      <c r="S921" s="55" t="n">
        <f aca="false">Q921+ROW()*0.000000001</f>
        <v>-0.556839689704541</v>
      </c>
      <c r="T921" s="55" t="n">
        <f aca="false">R921+ROW()*0.000000001</f>
        <v>47.4097796566322</v>
      </c>
    </row>
    <row r="922" customFormat="false" ht="15" hidden="false" customHeight="false" outlineLevel="0" collapsed="false">
      <c r="A922" s="0" t="n">
        <v>22</v>
      </c>
      <c r="B922" s="0" t="n">
        <v>15</v>
      </c>
      <c r="C922" s="0" t="n">
        <f aca="false">-1+A922*0.05</f>
        <v>0.1</v>
      </c>
      <c r="D922" s="0" t="n">
        <f aca="false">-1+B922*0.05</f>
        <v>-0.25</v>
      </c>
      <c r="E922" s="0" t="n">
        <f aca="false">1</f>
        <v>1</v>
      </c>
      <c r="F922" s="0" t="n">
        <f aca="false">C922</f>
        <v>0.1</v>
      </c>
      <c r="G922" s="0" t="n">
        <f aca="false">D922</f>
        <v>-0.25</v>
      </c>
      <c r="H922" s="0" t="n">
        <f aca="false">C922*D922</f>
        <v>-0.025</v>
      </c>
      <c r="I922" s="0" t="n">
        <f aca="false">C922*C922</f>
        <v>0.01</v>
      </c>
      <c r="J922" s="0" t="n">
        <f aca="false">D922*D922</f>
        <v>0.0625</v>
      </c>
      <c r="K922" s="0" t="n">
        <f aca="false">SUMPRODUCT(E922:J922,_XtX!$B$53:$G$53)</f>
        <v>47.5673390804598</v>
      </c>
      <c r="L922" s="0" t="n">
        <f aca="false">SUMPRODUCT(MMULT(E922:J922,_XtX!$B$44:$G$49),E922:J922)</f>
        <v>0.170931501436782</v>
      </c>
      <c r="M922" s="0" t="n">
        <f aca="false">04_回帰ANOVA!$K$19*04_回帰ANOVA!$K$14*SQRT(1+L922)</f>
        <v>1.46636578057969</v>
      </c>
      <c r="N922" s="0" t="n">
        <f aca="false">K922-M922</f>
        <v>46.1009732998801</v>
      </c>
      <c r="O922" s="0" t="n">
        <f aca="false">K922+M922</f>
        <v>49.0337048610395</v>
      </c>
      <c r="P922" s="54" t="b">
        <f aca="false">AND(C922&gt;=01_因子設定!$L$5-0.000000001,C922&lt;=01_因子設定!$M$5+0.000000001,D922&gt;=01_因子設定!$L$6-0.000000001,D922&lt;=01_因子設定!$M$6+0.000000001,IF(01_因子設定!$B$20="Box-Behnken",C922^2+D922^2&lt;=2+0.000000001,TRUE()))</f>
        <v>1</v>
      </c>
      <c r="Q922" s="55" t="n">
        <f aca="false">IF(P922,IF(01_因子設定!$B$13="最大化",N922-01_因子設定!$B$14,IF(01_因子設定!$B$13="最小化",01_因子設定!$B$15-O922,MIN(N922-01_因子設定!$B$14,01_因子設定!$B$15-O922))),-1E+030)</f>
        <v>-0.399026700119919</v>
      </c>
      <c r="R922" s="55" t="n">
        <f aca="false">IF(P922,IF(01_因子設定!$B$13="最大化",K922,IF(01_因子設定!$B$13="最小化",-K922,-ABS(K922-01_因子設定!$B$16))),-1E+030)</f>
        <v>47.5673390804598</v>
      </c>
      <c r="S922" s="55" t="n">
        <f aca="false">Q922+ROW()*0.000000001</f>
        <v>-0.399025778119919</v>
      </c>
      <c r="T922" s="55" t="n">
        <f aca="false">R922+ROW()*0.000000001</f>
        <v>47.5673400024598</v>
      </c>
    </row>
    <row r="923" customFormat="false" ht="15" hidden="false" customHeight="false" outlineLevel="0" collapsed="false">
      <c r="A923" s="0" t="n">
        <v>22</v>
      </c>
      <c r="B923" s="0" t="n">
        <v>16</v>
      </c>
      <c r="C923" s="0" t="n">
        <f aca="false">-1+A923*0.05</f>
        <v>0.1</v>
      </c>
      <c r="D923" s="0" t="n">
        <f aca="false">-1+B923*0.05</f>
        <v>-0.2</v>
      </c>
      <c r="E923" s="0" t="n">
        <f aca="false">1</f>
        <v>1</v>
      </c>
      <c r="F923" s="0" t="n">
        <f aca="false">C923</f>
        <v>0.1</v>
      </c>
      <c r="G923" s="0" t="n">
        <f aca="false">D923</f>
        <v>-0.2</v>
      </c>
      <c r="H923" s="0" t="n">
        <f aca="false">C923*D923</f>
        <v>-0.02</v>
      </c>
      <c r="I923" s="0" t="n">
        <f aca="false">C923*C923</f>
        <v>0.01</v>
      </c>
      <c r="J923" s="0" t="n">
        <f aca="false">D923*D923</f>
        <v>0.04</v>
      </c>
      <c r="K923" s="0" t="n">
        <f aca="false">SUMPRODUCT(E923:J923,_XtX!$B$53:$G$53)</f>
        <v>47.717183908046</v>
      </c>
      <c r="L923" s="0" t="n">
        <f aca="false">SUMPRODUCT(MMULT(E923:J923,_XtX!$B$44:$G$49),E923:J923)</f>
        <v>0.171007471264368</v>
      </c>
      <c r="M923" s="0" t="n">
        <f aca="false">04_回帰ANOVA!$K$19*04_回帰ANOVA!$K$14*SQRT(1+L923)</f>
        <v>1.46641334858369</v>
      </c>
      <c r="N923" s="0" t="n">
        <f aca="false">K923-M923</f>
        <v>46.2507705594623</v>
      </c>
      <c r="O923" s="0" t="n">
        <f aca="false">K923+M923</f>
        <v>49.1835972566297</v>
      </c>
      <c r="P923" s="54" t="b">
        <f aca="false">AND(C923&gt;=01_因子設定!$L$5-0.000000001,C923&lt;=01_因子設定!$M$5+0.000000001,D923&gt;=01_因子設定!$L$6-0.000000001,D923&lt;=01_因子設定!$M$6+0.000000001,IF(01_因子設定!$B$20="Box-Behnken",C923^2+D923^2&lt;=2+0.000000001,TRUE()))</f>
        <v>1</v>
      </c>
      <c r="Q923" s="55" t="n">
        <f aca="false">IF(P923,IF(01_因子設定!$B$13="最大化",N923-01_因子設定!$B$14,IF(01_因子設定!$B$13="最小化",01_因子設定!$B$15-O923,MIN(N923-01_因子設定!$B$14,01_因子設定!$B$15-O923))),-1E+030)</f>
        <v>-0.249229440537718</v>
      </c>
      <c r="R923" s="55" t="n">
        <f aca="false">IF(P923,IF(01_因子設定!$B$13="最大化",K923,IF(01_因子設定!$B$13="最小化",-K923,-ABS(K923-01_因子設定!$B$16))),-1E+030)</f>
        <v>47.717183908046</v>
      </c>
      <c r="S923" s="55" t="n">
        <f aca="false">Q923+ROW()*0.000000001</f>
        <v>-0.249228517537718</v>
      </c>
      <c r="T923" s="55" t="n">
        <f aca="false">R923+ROW()*0.000000001</f>
        <v>47.717184831046</v>
      </c>
    </row>
    <row r="924" customFormat="false" ht="15" hidden="false" customHeight="false" outlineLevel="0" collapsed="false">
      <c r="A924" s="0" t="n">
        <v>22</v>
      </c>
      <c r="B924" s="0" t="n">
        <v>17</v>
      </c>
      <c r="C924" s="0" t="n">
        <f aca="false">-1+A924*0.05</f>
        <v>0.1</v>
      </c>
      <c r="D924" s="0" t="n">
        <f aca="false">-1+B924*0.05</f>
        <v>-0.15</v>
      </c>
      <c r="E924" s="0" t="n">
        <f aca="false">1</f>
        <v>1</v>
      </c>
      <c r="F924" s="0" t="n">
        <f aca="false">C924</f>
        <v>0.1</v>
      </c>
      <c r="G924" s="0" t="n">
        <f aca="false">D924</f>
        <v>-0.15</v>
      </c>
      <c r="H924" s="0" t="n">
        <f aca="false">C924*D924</f>
        <v>-0.015</v>
      </c>
      <c r="I924" s="0" t="n">
        <f aca="false">C924*C924</f>
        <v>0.01</v>
      </c>
      <c r="J924" s="0" t="n">
        <f aca="false">D924*D924</f>
        <v>0.0225</v>
      </c>
      <c r="K924" s="0" t="n">
        <f aca="false">SUMPRODUCT(E924:J924,_XtX!$B$53:$G$53)</f>
        <v>47.8593132183908</v>
      </c>
      <c r="L924" s="0" t="n">
        <f aca="false">SUMPRODUCT(MMULT(E924:J924,_XtX!$B$44:$G$49),E924:J924)</f>
        <v>0.171320007183908</v>
      </c>
      <c r="M924" s="0" t="n">
        <f aca="false">04_回帰ANOVA!$K$19*04_回帰ANOVA!$K$14*SQRT(1+L924)</f>
        <v>1.46660902464884</v>
      </c>
      <c r="N924" s="0" t="n">
        <f aca="false">K924-M924</f>
        <v>46.392704193742</v>
      </c>
      <c r="O924" s="0" t="n">
        <f aca="false">K924+M924</f>
        <v>49.3259222430396</v>
      </c>
      <c r="P924" s="54" t="b">
        <f aca="false">AND(C924&gt;=01_因子設定!$L$5-0.000000001,C924&lt;=01_因子設定!$M$5+0.000000001,D924&gt;=01_因子設定!$L$6-0.000000001,D924&lt;=01_因子設定!$M$6+0.000000001,IF(01_因子設定!$B$20="Box-Behnken",C924^2+D924^2&lt;=2+0.000000001,TRUE()))</f>
        <v>1</v>
      </c>
      <c r="Q924" s="55" t="n">
        <f aca="false">IF(P924,IF(01_因子設定!$B$13="最大化",N924-01_因子設定!$B$14,IF(01_因子設定!$B$13="最小化",01_因子設定!$B$15-O924,MIN(N924-01_因子設定!$B$14,01_因子設定!$B$15-O924))),-1E+030)</f>
        <v>-0.107295806258037</v>
      </c>
      <c r="R924" s="55" t="n">
        <f aca="false">IF(P924,IF(01_因子設定!$B$13="最大化",K924,IF(01_因子設定!$B$13="最小化",-K924,-ABS(K924-01_因子設定!$B$16))),-1E+030)</f>
        <v>47.8593132183908</v>
      </c>
      <c r="S924" s="55" t="n">
        <f aca="false">Q924+ROW()*0.000000001</f>
        <v>-0.107294882258037</v>
      </c>
      <c r="T924" s="55" t="n">
        <f aca="false">R924+ROW()*0.000000001</f>
        <v>47.8593141423908</v>
      </c>
    </row>
    <row r="925" customFormat="false" ht="15" hidden="false" customHeight="false" outlineLevel="0" collapsed="false">
      <c r="A925" s="0" t="n">
        <v>22</v>
      </c>
      <c r="B925" s="0" t="n">
        <v>18</v>
      </c>
      <c r="C925" s="0" t="n">
        <f aca="false">-1+A925*0.05</f>
        <v>0.1</v>
      </c>
      <c r="D925" s="0" t="n">
        <f aca="false">-1+B925*0.05</f>
        <v>-0.1</v>
      </c>
      <c r="E925" s="0" t="n">
        <f aca="false">1</f>
        <v>1</v>
      </c>
      <c r="F925" s="0" t="n">
        <f aca="false">C925</f>
        <v>0.1</v>
      </c>
      <c r="G925" s="0" t="n">
        <f aca="false">D925</f>
        <v>-0.1</v>
      </c>
      <c r="H925" s="0" t="n">
        <f aca="false">C925*D925</f>
        <v>-0.01</v>
      </c>
      <c r="I925" s="0" t="n">
        <f aca="false">C925*C925</f>
        <v>0.01</v>
      </c>
      <c r="J925" s="0" t="n">
        <f aca="false">D925*D925</f>
        <v>0.01</v>
      </c>
      <c r="K925" s="0" t="n">
        <f aca="false">SUMPRODUCT(E925:J925,_XtX!$B$53:$G$53)</f>
        <v>47.9937270114943</v>
      </c>
      <c r="L925" s="0" t="n">
        <f aca="false">SUMPRODUCT(MMULT(E925:J925,_XtX!$B$44:$G$49),E925:J925)</f>
        <v>0.171679022988506</v>
      </c>
      <c r="M925" s="0" t="n">
        <f aca="false">04_回帰ANOVA!$K$19*04_回帰ANOVA!$K$14*SQRT(1+L925)</f>
        <v>1.46683376915737</v>
      </c>
      <c r="N925" s="0" t="n">
        <f aca="false">K925-M925</f>
        <v>46.5268932423369</v>
      </c>
      <c r="O925" s="0" t="n">
        <f aca="false">K925+M925</f>
        <v>49.4605607806516</v>
      </c>
      <c r="P925" s="54" t="b">
        <f aca="false">AND(C925&gt;=01_因子設定!$L$5-0.000000001,C925&lt;=01_因子設定!$M$5+0.000000001,D925&gt;=01_因子設定!$L$6-0.000000001,D925&lt;=01_因子設定!$M$6+0.000000001,IF(01_因子設定!$B$20="Box-Behnken",C925^2+D925^2&lt;=2+0.000000001,TRUE()))</f>
        <v>1</v>
      </c>
      <c r="Q925" s="55" t="n">
        <f aca="false">IF(P925,IF(01_因子設定!$B$13="最大化",N925-01_因子設定!$B$14,IF(01_因子設定!$B$13="最小化",01_因子設定!$B$15-O925,MIN(N925-01_因子設定!$B$14,01_因子設定!$B$15-O925))),-1E+030)</f>
        <v>0.0268932423368824</v>
      </c>
      <c r="R925" s="55" t="n">
        <f aca="false">IF(P925,IF(01_因子設定!$B$13="最大化",K925,IF(01_因子設定!$B$13="最小化",-K925,-ABS(K925-01_因子設定!$B$16))),-1E+030)</f>
        <v>47.9937270114943</v>
      </c>
      <c r="S925" s="55" t="n">
        <f aca="false">Q925+ROW()*0.000000001</f>
        <v>0.0268941673368824</v>
      </c>
      <c r="T925" s="55" t="n">
        <f aca="false">R925+ROW()*0.000000001</f>
        <v>47.9937279364943</v>
      </c>
    </row>
    <row r="926" customFormat="false" ht="15" hidden="false" customHeight="false" outlineLevel="0" collapsed="false">
      <c r="A926" s="0" t="n">
        <v>22</v>
      </c>
      <c r="B926" s="0" t="n">
        <v>19</v>
      </c>
      <c r="C926" s="0" t="n">
        <f aca="false">-1+A926*0.05</f>
        <v>0.1</v>
      </c>
      <c r="D926" s="0" t="n">
        <f aca="false">-1+B926*0.05</f>
        <v>-0.0499999999999999</v>
      </c>
      <c r="E926" s="0" t="n">
        <f aca="false">1</f>
        <v>1</v>
      </c>
      <c r="F926" s="0" t="n">
        <f aca="false">C926</f>
        <v>0.1</v>
      </c>
      <c r="G926" s="0" t="n">
        <f aca="false">D926</f>
        <v>-0.0499999999999999</v>
      </c>
      <c r="H926" s="0" t="n">
        <f aca="false">C926*D926</f>
        <v>-0.005</v>
      </c>
      <c r="I926" s="0" t="n">
        <f aca="false">C926*C926</f>
        <v>0.01</v>
      </c>
      <c r="J926" s="0" t="n">
        <f aca="false">D926*D926</f>
        <v>0.00249999999999999</v>
      </c>
      <c r="K926" s="0" t="n">
        <f aca="false">SUMPRODUCT(E926:J926,_XtX!$B$53:$G$53)</f>
        <v>48.1204252873563</v>
      </c>
      <c r="L926" s="0" t="n">
        <f aca="false">SUMPRODUCT(MMULT(E926:J926,_XtX!$B$44:$G$49),E926:J926)</f>
        <v>0.171948742816092</v>
      </c>
      <c r="M926" s="0" t="n">
        <f aca="false">04_回帰ANOVA!$K$19*04_回帰ANOVA!$K$14*SQRT(1+L926)</f>
        <v>1.46700259158121</v>
      </c>
      <c r="N926" s="0" t="n">
        <f aca="false">K926-M926</f>
        <v>46.6534226957751</v>
      </c>
      <c r="O926" s="0" t="n">
        <f aca="false">K926+M926</f>
        <v>49.5874278789375</v>
      </c>
      <c r="P926" s="54" t="b">
        <f aca="false">AND(C926&gt;=01_因子設定!$L$5-0.000000001,C926&lt;=01_因子設定!$M$5+0.000000001,D926&gt;=01_因子設定!$L$6-0.000000001,D926&lt;=01_因子設定!$M$6+0.000000001,IF(01_因子設定!$B$20="Box-Behnken",C926^2+D926^2&lt;=2+0.000000001,TRUE()))</f>
        <v>1</v>
      </c>
      <c r="Q926" s="55" t="n">
        <f aca="false">IF(P926,IF(01_因子設定!$B$13="最大化",N926-01_因子設定!$B$14,IF(01_因子設定!$B$13="最小化",01_因子設定!$B$15-O926,MIN(N926-01_因子設定!$B$14,01_因子設定!$B$15-O926))),-1E+030)</f>
        <v>0.153422695775113</v>
      </c>
      <c r="R926" s="55" t="n">
        <f aca="false">IF(P926,IF(01_因子設定!$B$13="最大化",K926,IF(01_因子設定!$B$13="最小化",-K926,-ABS(K926-01_因子設定!$B$16))),-1E+030)</f>
        <v>48.1204252873563</v>
      </c>
      <c r="S926" s="55" t="n">
        <f aca="false">Q926+ROW()*0.000000001</f>
        <v>0.153423621775113</v>
      </c>
      <c r="T926" s="55" t="n">
        <f aca="false">R926+ROW()*0.000000001</f>
        <v>48.1204262133563</v>
      </c>
    </row>
    <row r="927" customFormat="false" ht="15" hidden="false" customHeight="false" outlineLevel="0" collapsed="false">
      <c r="A927" s="0" t="n">
        <v>22</v>
      </c>
      <c r="B927" s="0" t="n">
        <v>20</v>
      </c>
      <c r="C927" s="0" t="n">
        <f aca="false">-1+A927*0.05</f>
        <v>0.1</v>
      </c>
      <c r="D927" s="0" t="n">
        <f aca="false">-1+B927*0.05</f>
        <v>0</v>
      </c>
      <c r="E927" s="0" t="n">
        <f aca="false">1</f>
        <v>1</v>
      </c>
      <c r="F927" s="0" t="n">
        <f aca="false">C927</f>
        <v>0.1</v>
      </c>
      <c r="G927" s="0" t="n">
        <f aca="false">D927</f>
        <v>0</v>
      </c>
      <c r="H927" s="0" t="n">
        <f aca="false">C927*D927</f>
        <v>0</v>
      </c>
      <c r="I927" s="0" t="n">
        <f aca="false">C927*C927</f>
        <v>0.01</v>
      </c>
      <c r="J927" s="0" t="n">
        <f aca="false">D927*D927</f>
        <v>0</v>
      </c>
      <c r="K927" s="0" t="n">
        <f aca="false">SUMPRODUCT(E927:J927,_XtX!$B$53:$G$53)</f>
        <v>48.239408045977</v>
      </c>
      <c r="L927" s="0" t="n">
        <f aca="false">SUMPRODUCT(MMULT(E927:J927,_XtX!$B$44:$G$49),E927:J927)</f>
        <v>0.172047701149425</v>
      </c>
      <c r="M927" s="0" t="n">
        <f aca="false">04_回帰ANOVA!$K$19*04_回帰ANOVA!$K$14*SQRT(1+L927)</f>
        <v>1.46706452648575</v>
      </c>
      <c r="N927" s="0" t="n">
        <f aca="false">K927-M927</f>
        <v>46.7723435194913</v>
      </c>
      <c r="O927" s="0" t="n">
        <f aca="false">K927+M927</f>
        <v>49.7064725724628</v>
      </c>
      <c r="P927" s="54" t="b">
        <f aca="false">AND(C927&gt;=01_因子設定!$L$5-0.000000001,C927&lt;=01_因子設定!$M$5+0.000000001,D927&gt;=01_因子設定!$L$6-0.000000001,D927&lt;=01_因子設定!$M$6+0.000000001,IF(01_因子設定!$B$20="Box-Behnken",C927^2+D927^2&lt;=2+0.000000001,TRUE()))</f>
        <v>1</v>
      </c>
      <c r="Q927" s="55" t="n">
        <f aca="false">IF(P927,IF(01_因子設定!$B$13="最大化",N927-01_因子設定!$B$14,IF(01_因子設定!$B$13="最小化",01_因子設定!$B$15-O927,MIN(N927-01_因子設定!$B$14,01_因子設定!$B$15-O927))),-1E+030)</f>
        <v>0.272343519491258</v>
      </c>
      <c r="R927" s="55" t="n">
        <f aca="false">IF(P927,IF(01_因子設定!$B$13="最大化",K927,IF(01_因子設定!$B$13="最小化",-K927,-ABS(K927-01_因子設定!$B$16))),-1E+030)</f>
        <v>48.239408045977</v>
      </c>
      <c r="S927" s="55" t="n">
        <f aca="false">Q927+ROW()*0.000000001</f>
        <v>0.272344446491258</v>
      </c>
      <c r="T927" s="55" t="n">
        <f aca="false">R927+ROW()*0.000000001</f>
        <v>48.239408972977</v>
      </c>
    </row>
    <row r="928" customFormat="false" ht="15" hidden="false" customHeight="false" outlineLevel="0" collapsed="false">
      <c r="A928" s="0" t="n">
        <v>22</v>
      </c>
      <c r="B928" s="0" t="n">
        <v>21</v>
      </c>
      <c r="C928" s="0" t="n">
        <f aca="false">-1+A928*0.05</f>
        <v>0.1</v>
      </c>
      <c r="D928" s="0" t="n">
        <f aca="false">-1+B928*0.05</f>
        <v>0.05</v>
      </c>
      <c r="E928" s="0" t="n">
        <f aca="false">1</f>
        <v>1</v>
      </c>
      <c r="F928" s="0" t="n">
        <f aca="false">C928</f>
        <v>0.1</v>
      </c>
      <c r="G928" s="0" t="n">
        <f aca="false">D928</f>
        <v>0.05</v>
      </c>
      <c r="H928" s="0" t="n">
        <f aca="false">C928*D928</f>
        <v>0.00500000000000001</v>
      </c>
      <c r="I928" s="0" t="n">
        <f aca="false">C928*C928</f>
        <v>0.01</v>
      </c>
      <c r="J928" s="0" t="n">
        <f aca="false">D928*D928</f>
        <v>0.0025</v>
      </c>
      <c r="K928" s="0" t="n">
        <f aca="false">SUMPRODUCT(E928:J928,_XtX!$B$53:$G$53)</f>
        <v>48.3506752873563</v>
      </c>
      <c r="L928" s="0" t="n">
        <f aca="false">SUMPRODUCT(MMULT(E928:J928,_XtX!$B$44:$G$49),E928:J928)</f>
        <v>0.171948742816092</v>
      </c>
      <c r="M928" s="0" t="n">
        <f aca="false">04_回帰ANOVA!$K$19*04_回帰ANOVA!$K$14*SQRT(1+L928)</f>
        <v>1.46700259158121</v>
      </c>
      <c r="N928" s="0" t="n">
        <f aca="false">K928-M928</f>
        <v>46.8836726957751</v>
      </c>
      <c r="O928" s="0" t="n">
        <f aca="false">K928+M928</f>
        <v>49.8176778789375</v>
      </c>
      <c r="P928" s="54" t="b">
        <f aca="false">AND(C928&gt;=01_因子設定!$L$5-0.000000001,C928&lt;=01_因子設定!$M$5+0.000000001,D928&gt;=01_因子設定!$L$6-0.000000001,D928&lt;=01_因子設定!$M$6+0.000000001,IF(01_因子設定!$B$20="Box-Behnken",C928^2+D928^2&lt;=2+0.000000001,TRUE()))</f>
        <v>1</v>
      </c>
      <c r="Q928" s="55" t="n">
        <f aca="false">IF(P928,IF(01_因子設定!$B$13="最大化",N928-01_因子設定!$B$14,IF(01_因子設定!$B$13="最小化",01_因子設定!$B$15-O928,MIN(N928-01_因子設定!$B$14,01_因子設定!$B$15-O928))),-1E+030)</f>
        <v>0.383672695775111</v>
      </c>
      <c r="R928" s="55" t="n">
        <f aca="false">IF(P928,IF(01_因子設定!$B$13="最大化",K928,IF(01_因子設定!$B$13="最小化",-K928,-ABS(K928-01_因子設定!$B$16))),-1E+030)</f>
        <v>48.3506752873563</v>
      </c>
      <c r="S928" s="55" t="n">
        <f aca="false">Q928+ROW()*0.000000001</f>
        <v>0.383673623775111</v>
      </c>
      <c r="T928" s="55" t="n">
        <f aca="false">R928+ROW()*0.000000001</f>
        <v>48.3506762153563</v>
      </c>
    </row>
    <row r="929" customFormat="false" ht="15" hidden="false" customHeight="false" outlineLevel="0" collapsed="false">
      <c r="A929" s="0" t="n">
        <v>22</v>
      </c>
      <c r="B929" s="0" t="n">
        <v>22</v>
      </c>
      <c r="C929" s="0" t="n">
        <f aca="false">-1+A929*0.05</f>
        <v>0.1</v>
      </c>
      <c r="D929" s="0" t="n">
        <f aca="false">-1+B929*0.05</f>
        <v>0.1</v>
      </c>
      <c r="E929" s="0" t="n">
        <f aca="false">1</f>
        <v>1</v>
      </c>
      <c r="F929" s="0" t="n">
        <f aca="false">C929</f>
        <v>0.1</v>
      </c>
      <c r="G929" s="0" t="n">
        <f aca="false">D929</f>
        <v>0.1</v>
      </c>
      <c r="H929" s="0" t="n">
        <f aca="false">C929*D929</f>
        <v>0.01</v>
      </c>
      <c r="I929" s="0" t="n">
        <f aca="false">C929*C929</f>
        <v>0.01</v>
      </c>
      <c r="J929" s="0" t="n">
        <f aca="false">D929*D929</f>
        <v>0.01</v>
      </c>
      <c r="K929" s="0" t="n">
        <f aca="false">SUMPRODUCT(E929:J929,_XtX!$B$53:$G$53)</f>
        <v>48.4542270114943</v>
      </c>
      <c r="L929" s="0" t="n">
        <f aca="false">SUMPRODUCT(MMULT(E929:J929,_XtX!$B$44:$G$49),E929:J929)</f>
        <v>0.171679022988506</v>
      </c>
      <c r="M929" s="0" t="n">
        <f aca="false">04_回帰ANOVA!$K$19*04_回帰ANOVA!$K$14*SQRT(1+L929)</f>
        <v>1.46683376915737</v>
      </c>
      <c r="N929" s="0" t="n">
        <f aca="false">K929-M929</f>
        <v>46.9873932423369</v>
      </c>
      <c r="O929" s="0" t="n">
        <f aca="false">K929+M929</f>
        <v>49.9210607806516</v>
      </c>
      <c r="P929" s="54" t="b">
        <f aca="false">AND(C929&gt;=01_因子設定!$L$5-0.000000001,C929&lt;=01_因子設定!$M$5+0.000000001,D929&gt;=01_因子設定!$L$6-0.000000001,D929&lt;=01_因子設定!$M$6+0.000000001,IF(01_因子設定!$B$20="Box-Behnken",C929^2+D929^2&lt;=2+0.000000001,TRUE()))</f>
        <v>1</v>
      </c>
      <c r="Q929" s="55" t="n">
        <f aca="false">IF(P929,IF(01_因子設定!$B$13="最大化",N929-01_因子設定!$B$14,IF(01_因子設定!$B$13="最小化",01_因子設定!$B$15-O929,MIN(N929-01_因子設定!$B$14,01_因子設定!$B$15-O929))),-1E+030)</f>
        <v>0.487393242336886</v>
      </c>
      <c r="R929" s="55" t="n">
        <f aca="false">IF(P929,IF(01_因子設定!$B$13="最大化",K929,IF(01_因子設定!$B$13="最小化",-K929,-ABS(K929-01_因子設定!$B$16))),-1E+030)</f>
        <v>48.4542270114943</v>
      </c>
      <c r="S929" s="55" t="n">
        <f aca="false">Q929+ROW()*0.000000001</f>
        <v>0.487394171336886</v>
      </c>
      <c r="T929" s="55" t="n">
        <f aca="false">R929+ROW()*0.000000001</f>
        <v>48.4542279404943</v>
      </c>
    </row>
    <row r="930" customFormat="false" ht="15" hidden="false" customHeight="false" outlineLevel="0" collapsed="false">
      <c r="A930" s="0" t="n">
        <v>22</v>
      </c>
      <c r="B930" s="0" t="n">
        <v>23</v>
      </c>
      <c r="C930" s="0" t="n">
        <f aca="false">-1+A930*0.05</f>
        <v>0.1</v>
      </c>
      <c r="D930" s="0" t="n">
        <f aca="false">-1+B930*0.05</f>
        <v>0.15</v>
      </c>
      <c r="E930" s="0" t="n">
        <f aca="false">1</f>
        <v>1</v>
      </c>
      <c r="F930" s="0" t="n">
        <f aca="false">C930</f>
        <v>0.1</v>
      </c>
      <c r="G930" s="0" t="n">
        <f aca="false">D930</f>
        <v>0.15</v>
      </c>
      <c r="H930" s="0" t="n">
        <f aca="false">C930*D930</f>
        <v>0.015</v>
      </c>
      <c r="I930" s="0" t="n">
        <f aca="false">C930*C930</f>
        <v>0.01</v>
      </c>
      <c r="J930" s="0" t="n">
        <f aca="false">D930*D930</f>
        <v>0.0225</v>
      </c>
      <c r="K930" s="0" t="n">
        <f aca="false">SUMPRODUCT(E930:J930,_XtX!$B$53:$G$53)</f>
        <v>48.5500632183908</v>
      </c>
      <c r="L930" s="0" t="n">
        <f aca="false">SUMPRODUCT(MMULT(E930:J930,_XtX!$B$44:$G$49),E930:J930)</f>
        <v>0.171320007183908</v>
      </c>
      <c r="M930" s="0" t="n">
        <f aca="false">04_回帰ANOVA!$K$19*04_回帰ANOVA!$K$14*SQRT(1+L930)</f>
        <v>1.46660902464884</v>
      </c>
      <c r="N930" s="0" t="n">
        <f aca="false">K930-M930</f>
        <v>47.083454193742</v>
      </c>
      <c r="O930" s="0" t="n">
        <f aca="false">K930+M930</f>
        <v>50.0166722430396</v>
      </c>
      <c r="P930" s="54" t="b">
        <f aca="false">AND(C930&gt;=01_因子設定!$L$5-0.000000001,C930&lt;=01_因子設定!$M$5+0.000000001,D930&gt;=01_因子設定!$L$6-0.000000001,D930&lt;=01_因子設定!$M$6+0.000000001,IF(01_因子設定!$B$20="Box-Behnken",C930^2+D930^2&lt;=2+0.000000001,TRUE()))</f>
        <v>1</v>
      </c>
      <c r="Q930" s="55" t="n">
        <f aca="false">IF(P930,IF(01_因子設定!$B$13="最大化",N930-01_因子設定!$B$14,IF(01_因子設定!$B$13="最小化",01_因子設定!$B$15-O930,MIN(N930-01_因子設定!$B$14,01_因子設定!$B$15-O930))),-1E+030)</f>
        <v>0.583454193741964</v>
      </c>
      <c r="R930" s="55" t="n">
        <f aca="false">IF(P930,IF(01_因子設定!$B$13="最大化",K930,IF(01_因子設定!$B$13="最小化",-K930,-ABS(K930-01_因子設定!$B$16))),-1E+030)</f>
        <v>48.5500632183908</v>
      </c>
      <c r="S930" s="55" t="n">
        <f aca="false">Q930+ROW()*0.000000001</f>
        <v>0.583455123741964</v>
      </c>
      <c r="T930" s="55" t="n">
        <f aca="false">R930+ROW()*0.000000001</f>
        <v>48.5500641483908</v>
      </c>
    </row>
    <row r="931" customFormat="false" ht="15" hidden="false" customHeight="false" outlineLevel="0" collapsed="false">
      <c r="A931" s="0" t="n">
        <v>22</v>
      </c>
      <c r="B931" s="0" t="n">
        <v>24</v>
      </c>
      <c r="C931" s="0" t="n">
        <f aca="false">-1+A931*0.05</f>
        <v>0.1</v>
      </c>
      <c r="D931" s="0" t="n">
        <f aca="false">-1+B931*0.05</f>
        <v>0.2</v>
      </c>
      <c r="E931" s="0" t="n">
        <f aca="false">1</f>
        <v>1</v>
      </c>
      <c r="F931" s="0" t="n">
        <f aca="false">C931</f>
        <v>0.1</v>
      </c>
      <c r="G931" s="0" t="n">
        <f aca="false">D931</f>
        <v>0.2</v>
      </c>
      <c r="H931" s="0" t="n">
        <f aca="false">C931*D931</f>
        <v>0.02</v>
      </c>
      <c r="I931" s="0" t="n">
        <f aca="false">C931*C931</f>
        <v>0.01</v>
      </c>
      <c r="J931" s="0" t="n">
        <f aca="false">D931*D931</f>
        <v>0.0400000000000001</v>
      </c>
      <c r="K931" s="0" t="n">
        <f aca="false">SUMPRODUCT(E931:J931,_XtX!$B$53:$G$53)</f>
        <v>48.638183908046</v>
      </c>
      <c r="L931" s="0" t="n">
        <f aca="false">SUMPRODUCT(MMULT(E931:J931,_XtX!$B$44:$G$49),E931:J931)</f>
        <v>0.171007471264368</v>
      </c>
      <c r="M931" s="0" t="n">
        <f aca="false">04_回帰ANOVA!$K$19*04_回帰ANOVA!$K$14*SQRT(1+L931)</f>
        <v>1.46641334858369</v>
      </c>
      <c r="N931" s="0" t="n">
        <f aca="false">K931-M931</f>
        <v>47.1717705594623</v>
      </c>
      <c r="O931" s="0" t="n">
        <f aca="false">K931+M931</f>
        <v>50.1045972566297</v>
      </c>
      <c r="P931" s="54" t="b">
        <f aca="false">AND(C931&gt;=01_因子設定!$L$5-0.000000001,C931&lt;=01_因子設定!$M$5+0.000000001,D931&gt;=01_因子設定!$L$6-0.000000001,D931&lt;=01_因子設定!$M$6+0.000000001,IF(01_因子設定!$B$20="Box-Behnken",C931^2+D931^2&lt;=2+0.000000001,TRUE()))</f>
        <v>1</v>
      </c>
      <c r="Q931" s="55" t="n">
        <f aca="false">IF(P931,IF(01_因子設定!$B$13="最大化",N931-01_因子設定!$B$14,IF(01_因子設定!$B$13="最小化",01_因子設定!$B$15-O931,MIN(N931-01_因子設定!$B$14,01_因子設定!$B$15-O931))),-1E+030)</f>
        <v>0.671770559462281</v>
      </c>
      <c r="R931" s="55" t="n">
        <f aca="false">IF(P931,IF(01_因子設定!$B$13="最大化",K931,IF(01_因子設定!$B$13="最小化",-K931,-ABS(K931-01_因子設定!$B$16))),-1E+030)</f>
        <v>48.638183908046</v>
      </c>
      <c r="S931" s="55" t="n">
        <f aca="false">Q931+ROW()*0.000000001</f>
        <v>0.671771490462281</v>
      </c>
      <c r="T931" s="55" t="n">
        <f aca="false">R931+ROW()*0.000000001</f>
        <v>48.638184839046</v>
      </c>
    </row>
    <row r="932" customFormat="false" ht="15" hidden="false" customHeight="false" outlineLevel="0" collapsed="false">
      <c r="A932" s="0" t="n">
        <v>22</v>
      </c>
      <c r="B932" s="0" t="n">
        <v>25</v>
      </c>
      <c r="C932" s="0" t="n">
        <f aca="false">-1+A932*0.05</f>
        <v>0.1</v>
      </c>
      <c r="D932" s="0" t="n">
        <f aca="false">-1+B932*0.05</f>
        <v>0.25</v>
      </c>
      <c r="E932" s="0" t="n">
        <f aca="false">1</f>
        <v>1</v>
      </c>
      <c r="F932" s="0" t="n">
        <f aca="false">C932</f>
        <v>0.1</v>
      </c>
      <c r="G932" s="0" t="n">
        <f aca="false">D932</f>
        <v>0.25</v>
      </c>
      <c r="H932" s="0" t="n">
        <f aca="false">C932*D932</f>
        <v>0.025</v>
      </c>
      <c r="I932" s="0" t="n">
        <f aca="false">C932*C932</f>
        <v>0.01</v>
      </c>
      <c r="J932" s="0" t="n">
        <f aca="false">D932*D932</f>
        <v>0.0625</v>
      </c>
      <c r="K932" s="0" t="n">
        <f aca="false">SUMPRODUCT(E932:J932,_XtX!$B$53:$G$53)</f>
        <v>48.7185890804598</v>
      </c>
      <c r="L932" s="0" t="n">
        <f aca="false">SUMPRODUCT(MMULT(E932:J932,_XtX!$B$44:$G$49),E932:J932)</f>
        <v>0.170931501436782</v>
      </c>
      <c r="M932" s="0" t="n">
        <f aca="false">04_回帰ANOVA!$K$19*04_回帰ANOVA!$K$14*SQRT(1+L932)</f>
        <v>1.46636578057969</v>
      </c>
      <c r="N932" s="0" t="n">
        <f aca="false">K932-M932</f>
        <v>47.2522232998801</v>
      </c>
      <c r="O932" s="0" t="n">
        <f aca="false">K932+M932</f>
        <v>50.1849548610395</v>
      </c>
      <c r="P932" s="54" t="b">
        <f aca="false">AND(C932&gt;=01_因子設定!$L$5-0.000000001,C932&lt;=01_因子設定!$M$5+0.000000001,D932&gt;=01_因子設定!$L$6-0.000000001,D932&lt;=01_因子設定!$M$6+0.000000001,IF(01_因子設定!$B$20="Box-Behnken",C932^2+D932^2&lt;=2+0.000000001,TRUE()))</f>
        <v>1</v>
      </c>
      <c r="Q932" s="55" t="n">
        <f aca="false">IF(P932,IF(01_因子設定!$B$13="最大化",N932-01_因子設定!$B$14,IF(01_因子設定!$B$13="最小化",01_因子設定!$B$15-O932,MIN(N932-01_因子設定!$B$14,01_因子設定!$B$15-O932))),-1E+030)</f>
        <v>0.752223299880086</v>
      </c>
      <c r="R932" s="55" t="n">
        <f aca="false">IF(P932,IF(01_因子設定!$B$13="最大化",K932,IF(01_因子設定!$B$13="最小化",-K932,-ABS(K932-01_因子設定!$B$16))),-1E+030)</f>
        <v>48.7185890804598</v>
      </c>
      <c r="S932" s="55" t="n">
        <f aca="false">Q932+ROW()*0.000000001</f>
        <v>0.752224231880086</v>
      </c>
      <c r="T932" s="55" t="n">
        <f aca="false">R932+ROW()*0.000000001</f>
        <v>48.7185900124598</v>
      </c>
    </row>
    <row r="933" customFormat="false" ht="15" hidden="false" customHeight="false" outlineLevel="0" collapsed="false">
      <c r="A933" s="0" t="n">
        <v>22</v>
      </c>
      <c r="B933" s="0" t="n">
        <v>26</v>
      </c>
      <c r="C933" s="0" t="n">
        <f aca="false">-1+A933*0.05</f>
        <v>0.1</v>
      </c>
      <c r="D933" s="0" t="n">
        <f aca="false">-1+B933*0.05</f>
        <v>0.3</v>
      </c>
      <c r="E933" s="0" t="n">
        <f aca="false">1</f>
        <v>1</v>
      </c>
      <c r="F933" s="0" t="n">
        <f aca="false">C933</f>
        <v>0.1</v>
      </c>
      <c r="G933" s="0" t="n">
        <f aca="false">D933</f>
        <v>0.3</v>
      </c>
      <c r="H933" s="0" t="n">
        <f aca="false">C933*D933</f>
        <v>0.03</v>
      </c>
      <c r="I933" s="0" t="n">
        <f aca="false">C933*C933</f>
        <v>0.01</v>
      </c>
      <c r="J933" s="0" t="n">
        <f aca="false">D933*D933</f>
        <v>0.09</v>
      </c>
      <c r="K933" s="0" t="n">
        <f aca="false">SUMPRODUCT(E933:J933,_XtX!$B$53:$G$53)</f>
        <v>48.7912787356322</v>
      </c>
      <c r="L933" s="0" t="n">
        <f aca="false">SUMPRODUCT(MMULT(E933:J933,_XtX!$B$44:$G$49),E933:J933)</f>
        <v>0.171336494252874</v>
      </c>
      <c r="M933" s="0" t="n">
        <f aca="false">04_回帰ANOVA!$K$19*04_回帰ANOVA!$K$14*SQRT(1+L933)</f>
        <v>1.46661934633672</v>
      </c>
      <c r="N933" s="0" t="n">
        <f aca="false">K933-M933</f>
        <v>47.3246593892955</v>
      </c>
      <c r="O933" s="0" t="n">
        <f aca="false">K933+M933</f>
        <v>50.2578980819689</v>
      </c>
      <c r="P933" s="54" t="b">
        <f aca="false">AND(C933&gt;=01_因子設定!$L$5-0.000000001,C933&lt;=01_因子設定!$M$5+0.000000001,D933&gt;=01_因子設定!$L$6-0.000000001,D933&lt;=01_因子設定!$M$6+0.000000001,IF(01_因子設定!$B$20="Box-Behnken",C933^2+D933^2&lt;=2+0.000000001,TRUE()))</f>
        <v>1</v>
      </c>
      <c r="Q933" s="55" t="n">
        <f aca="false">IF(P933,IF(01_因子設定!$B$13="最大化",N933-01_因子設定!$B$14,IF(01_因子設定!$B$13="最小化",01_因子設定!$B$15-O933,MIN(N933-01_因子設定!$B$14,01_因子設定!$B$15-O933))),-1E+030)</f>
        <v>0.824659389295462</v>
      </c>
      <c r="R933" s="55" t="n">
        <f aca="false">IF(P933,IF(01_因子設定!$B$13="最大化",K933,IF(01_因子設定!$B$13="最小化",-K933,-ABS(K933-01_因子設定!$B$16))),-1E+030)</f>
        <v>48.7912787356322</v>
      </c>
      <c r="S933" s="55" t="n">
        <f aca="false">Q933+ROW()*0.000000001</f>
        <v>0.824660322295462</v>
      </c>
      <c r="T933" s="55" t="n">
        <f aca="false">R933+ROW()*0.000000001</f>
        <v>48.7912796686322</v>
      </c>
    </row>
    <row r="934" customFormat="false" ht="15" hidden="false" customHeight="false" outlineLevel="0" collapsed="false">
      <c r="A934" s="0" t="n">
        <v>22</v>
      </c>
      <c r="B934" s="0" t="n">
        <v>27</v>
      </c>
      <c r="C934" s="0" t="n">
        <f aca="false">-1+A934*0.05</f>
        <v>0.1</v>
      </c>
      <c r="D934" s="0" t="n">
        <f aca="false">-1+B934*0.05</f>
        <v>0.35</v>
      </c>
      <c r="E934" s="0" t="n">
        <f aca="false">1</f>
        <v>1</v>
      </c>
      <c r="F934" s="0" t="n">
        <f aca="false">C934</f>
        <v>0.1</v>
      </c>
      <c r="G934" s="0" t="n">
        <f aca="false">D934</f>
        <v>0.35</v>
      </c>
      <c r="H934" s="0" t="n">
        <f aca="false">C934*D934</f>
        <v>0.035</v>
      </c>
      <c r="I934" s="0" t="n">
        <f aca="false">C934*C934</f>
        <v>0.01</v>
      </c>
      <c r="J934" s="0" t="n">
        <f aca="false">D934*D934</f>
        <v>0.1225</v>
      </c>
      <c r="K934" s="0" t="n">
        <f aca="false">SUMPRODUCT(E934:J934,_XtX!$B$53:$G$53)</f>
        <v>48.8562528735632</v>
      </c>
      <c r="L934" s="0" t="n">
        <f aca="false">SUMPRODUCT(MMULT(E934:J934,_XtX!$B$44:$G$49),E934:J934)</f>
        <v>0.172521156609195</v>
      </c>
      <c r="M934" s="0" t="n">
        <f aca="false">04_回帰ANOVA!$K$19*04_回帰ANOVA!$K$14*SQRT(1+L934)</f>
        <v>1.46736081117514</v>
      </c>
      <c r="N934" s="0" t="n">
        <f aca="false">K934-M934</f>
        <v>47.3888920623881</v>
      </c>
      <c r="O934" s="0" t="n">
        <f aca="false">K934+M934</f>
        <v>50.3236136847384</v>
      </c>
      <c r="P934" s="54" t="b">
        <f aca="false">AND(C934&gt;=01_因子設定!$L$5-0.000000001,C934&lt;=01_因子設定!$M$5+0.000000001,D934&gt;=01_因子設定!$L$6-0.000000001,D934&lt;=01_因子設定!$M$6+0.000000001,IF(01_因子設定!$B$20="Box-Behnken",C934^2+D934^2&lt;=2+0.000000001,TRUE()))</f>
        <v>1</v>
      </c>
      <c r="Q934" s="55" t="n">
        <f aca="false">IF(P934,IF(01_因子設定!$B$13="最大化",N934-01_因子設定!$B$14,IF(01_因子設定!$B$13="最小化",01_因子設定!$B$15-O934,MIN(N934-01_因子設定!$B$14,01_因子設定!$B$15-O934))),-1E+030)</f>
        <v>0.888892062388067</v>
      </c>
      <c r="R934" s="55" t="n">
        <f aca="false">IF(P934,IF(01_因子設定!$B$13="最大化",K934,IF(01_因子設定!$B$13="最小化",-K934,-ABS(K934-01_因子設定!$B$16))),-1E+030)</f>
        <v>48.8562528735632</v>
      </c>
      <c r="S934" s="55" t="n">
        <f aca="false">Q934+ROW()*0.000000001</f>
        <v>0.888892996388067</v>
      </c>
      <c r="T934" s="55" t="n">
        <f aca="false">R934+ROW()*0.000000001</f>
        <v>48.8562538075632</v>
      </c>
    </row>
    <row r="935" customFormat="false" ht="15" hidden="false" customHeight="false" outlineLevel="0" collapsed="false">
      <c r="A935" s="0" t="n">
        <v>22</v>
      </c>
      <c r="B935" s="0" t="n">
        <v>28</v>
      </c>
      <c r="C935" s="0" t="n">
        <f aca="false">-1+A935*0.05</f>
        <v>0.1</v>
      </c>
      <c r="D935" s="0" t="n">
        <f aca="false">-1+B935*0.05</f>
        <v>0.4</v>
      </c>
      <c r="E935" s="0" t="n">
        <f aca="false">1</f>
        <v>1</v>
      </c>
      <c r="F935" s="0" t="n">
        <f aca="false">C935</f>
        <v>0.1</v>
      </c>
      <c r="G935" s="0" t="n">
        <f aca="false">D935</f>
        <v>0.4</v>
      </c>
      <c r="H935" s="0" t="n">
        <f aca="false">C935*D935</f>
        <v>0.0400000000000001</v>
      </c>
      <c r="I935" s="0" t="n">
        <f aca="false">C935*C935</f>
        <v>0.01</v>
      </c>
      <c r="J935" s="0" t="n">
        <f aca="false">D935*D935</f>
        <v>0.16</v>
      </c>
      <c r="K935" s="0" t="n">
        <f aca="false">SUMPRODUCT(E935:J935,_XtX!$B$53:$G$53)</f>
        <v>48.9135114942529</v>
      </c>
      <c r="L935" s="0" t="n">
        <f aca="false">SUMPRODUCT(MMULT(E935:J935,_XtX!$B$44:$G$49),E935:J935)</f>
        <v>0.174838505747126</v>
      </c>
      <c r="M935" s="0" t="n">
        <f aca="false">04_回帰ANOVA!$K$19*04_回帰ANOVA!$K$14*SQRT(1+L935)</f>
        <v>1.46881012781827</v>
      </c>
      <c r="N935" s="0" t="n">
        <f aca="false">K935-M935</f>
        <v>47.4447013664346</v>
      </c>
      <c r="O935" s="0" t="n">
        <f aca="false">K935+M935</f>
        <v>50.3823216220711</v>
      </c>
      <c r="P935" s="54" t="b">
        <f aca="false">AND(C935&gt;=01_因子設定!$L$5-0.000000001,C935&lt;=01_因子設定!$M$5+0.000000001,D935&gt;=01_因子設定!$L$6-0.000000001,D935&lt;=01_因子設定!$M$6+0.000000001,IF(01_因子設定!$B$20="Box-Behnken",C935^2+D935^2&lt;=2+0.000000001,TRUE()))</f>
        <v>1</v>
      </c>
      <c r="Q935" s="55" t="n">
        <f aca="false">IF(P935,IF(01_因子設定!$B$13="最大化",N935-01_因子設定!$B$14,IF(01_因子設定!$B$13="最小化",01_因子設定!$B$15-O935,MIN(N935-01_因子設定!$B$14,01_因子設定!$B$15-O935))),-1E+030)</f>
        <v>0.9447013664346</v>
      </c>
      <c r="R935" s="55" t="n">
        <f aca="false">IF(P935,IF(01_因子設定!$B$13="最大化",K935,IF(01_因子設定!$B$13="最小化",-K935,-ABS(K935-01_因子設定!$B$16))),-1E+030)</f>
        <v>48.9135114942529</v>
      </c>
      <c r="S935" s="55" t="n">
        <f aca="false">Q935+ROW()*0.000000001</f>
        <v>0.9447023014346</v>
      </c>
      <c r="T935" s="55" t="n">
        <f aca="false">R935+ROW()*0.000000001</f>
        <v>48.9135124292529</v>
      </c>
    </row>
    <row r="936" customFormat="false" ht="15" hidden="false" customHeight="false" outlineLevel="0" collapsed="false">
      <c r="A936" s="0" t="n">
        <v>22</v>
      </c>
      <c r="B936" s="0" t="n">
        <v>29</v>
      </c>
      <c r="C936" s="0" t="n">
        <f aca="false">-1+A936*0.05</f>
        <v>0.1</v>
      </c>
      <c r="D936" s="0" t="n">
        <f aca="false">-1+B936*0.05</f>
        <v>0.45</v>
      </c>
      <c r="E936" s="0" t="n">
        <f aca="false">1</f>
        <v>1</v>
      </c>
      <c r="F936" s="0" t="n">
        <f aca="false">C936</f>
        <v>0.1</v>
      </c>
      <c r="G936" s="0" t="n">
        <f aca="false">D936</f>
        <v>0.45</v>
      </c>
      <c r="H936" s="0" t="n">
        <f aca="false">C936*D936</f>
        <v>0.0450000000000001</v>
      </c>
      <c r="I936" s="0" t="n">
        <f aca="false">C936*C936</f>
        <v>0.01</v>
      </c>
      <c r="J936" s="0" t="n">
        <f aca="false">D936*D936</f>
        <v>0.2025</v>
      </c>
      <c r="K936" s="0" t="n">
        <f aca="false">SUMPRODUCT(E936:J936,_XtX!$B$53:$G$53)</f>
        <v>48.9630545977011</v>
      </c>
      <c r="L936" s="0" t="n">
        <f aca="false">SUMPRODUCT(MMULT(E936:J936,_XtX!$B$44:$G$49),E936:J936)</f>
        <v>0.178695869252874</v>
      </c>
      <c r="M936" s="0" t="n">
        <f aca="false">04_回帰ANOVA!$K$19*04_回帰ANOVA!$K$14*SQRT(1+L936)</f>
        <v>1.47121943410978</v>
      </c>
      <c r="N936" s="0" t="n">
        <f aca="false">K936-M936</f>
        <v>47.4918351635914</v>
      </c>
      <c r="O936" s="0" t="n">
        <f aca="false">K936+M936</f>
        <v>50.4342740318109</v>
      </c>
      <c r="P936" s="54" t="b">
        <f aca="false">AND(C936&gt;=01_因子設定!$L$5-0.000000001,C936&lt;=01_因子設定!$M$5+0.000000001,D936&gt;=01_因子設定!$L$6-0.000000001,D936&lt;=01_因子設定!$M$6+0.000000001,IF(01_因子設定!$B$20="Box-Behnken",C936^2+D936^2&lt;=2+0.000000001,TRUE()))</f>
        <v>1</v>
      </c>
      <c r="Q936" s="55" t="n">
        <f aca="false">IF(P936,IF(01_因子設定!$B$13="最大化",N936-01_因子設定!$B$14,IF(01_因子設定!$B$13="最小化",01_因子設定!$B$15-O936,MIN(N936-01_因子設定!$B$14,01_因子設定!$B$15-O936))),-1E+030)</f>
        <v>0.991835163591368</v>
      </c>
      <c r="R936" s="55" t="n">
        <f aca="false">IF(P936,IF(01_因子設定!$B$13="最大化",K936,IF(01_因子設定!$B$13="最小化",-K936,-ABS(K936-01_因子設定!$B$16))),-1E+030)</f>
        <v>48.9630545977011</v>
      </c>
      <c r="S936" s="55" t="n">
        <f aca="false">Q936+ROW()*0.000000001</f>
        <v>0.991836099591368</v>
      </c>
      <c r="T936" s="55" t="n">
        <f aca="false">R936+ROW()*0.000000001</f>
        <v>48.9630555337011</v>
      </c>
    </row>
    <row r="937" customFormat="false" ht="15" hidden="false" customHeight="false" outlineLevel="0" collapsed="false">
      <c r="A937" s="0" t="n">
        <v>22</v>
      </c>
      <c r="B937" s="0" t="n">
        <v>30</v>
      </c>
      <c r="C937" s="0" t="n">
        <f aca="false">-1+A937*0.05</f>
        <v>0.1</v>
      </c>
      <c r="D937" s="0" t="n">
        <f aca="false">-1+B937*0.05</f>
        <v>0.5</v>
      </c>
      <c r="E937" s="0" t="n">
        <f aca="false">1</f>
        <v>1</v>
      </c>
      <c r="F937" s="0" t="n">
        <f aca="false">C937</f>
        <v>0.1</v>
      </c>
      <c r="G937" s="0" t="n">
        <f aca="false">D937</f>
        <v>0.5</v>
      </c>
      <c r="H937" s="0" t="n">
        <f aca="false">C937*D937</f>
        <v>0.05</v>
      </c>
      <c r="I937" s="0" t="n">
        <f aca="false">C937*C937</f>
        <v>0.01</v>
      </c>
      <c r="J937" s="0" t="n">
        <f aca="false">D937*D937</f>
        <v>0.25</v>
      </c>
      <c r="K937" s="0" t="n">
        <f aca="false">SUMPRODUCT(E937:J937,_XtX!$B$53:$G$53)</f>
        <v>49.004882183908</v>
      </c>
      <c r="L937" s="0" t="n">
        <f aca="false">SUMPRODUCT(MMULT(E937:J937,_XtX!$B$44:$G$49),E937:J937)</f>
        <v>0.184554885057471</v>
      </c>
      <c r="M937" s="0" t="n">
        <f aca="false">04_回帰ANOVA!$K$19*04_回帰ANOVA!$K$14*SQRT(1+L937)</f>
        <v>1.47487144173022</v>
      </c>
      <c r="N937" s="0" t="n">
        <f aca="false">K937-M937</f>
        <v>47.5300107421778</v>
      </c>
      <c r="O937" s="0" t="n">
        <f aca="false">K937+M937</f>
        <v>50.4797536256383</v>
      </c>
      <c r="P937" s="54" t="b">
        <f aca="false">AND(C937&gt;=01_因子設定!$L$5-0.000000001,C937&lt;=01_因子設定!$M$5+0.000000001,D937&gt;=01_因子設定!$L$6-0.000000001,D937&lt;=01_因子設定!$M$6+0.000000001,IF(01_因子設定!$B$20="Box-Behnken",C937^2+D937^2&lt;=2+0.000000001,TRUE()))</f>
        <v>1</v>
      </c>
      <c r="Q937" s="55" t="n">
        <f aca="false">IF(P937,IF(01_因子設定!$B$13="最大化",N937-01_因子設定!$B$14,IF(01_因子設定!$B$13="最小化",01_因子設定!$B$15-O937,MIN(N937-01_因子設定!$B$14,01_因子設定!$B$15-O937))),-1E+030)</f>
        <v>1.03001074217783</v>
      </c>
      <c r="R937" s="55" t="n">
        <f aca="false">IF(P937,IF(01_因子設定!$B$13="最大化",K937,IF(01_因子設定!$B$13="最小化",-K937,-ABS(K937-01_因子設定!$B$16))),-1E+030)</f>
        <v>49.004882183908</v>
      </c>
      <c r="S937" s="55" t="n">
        <f aca="false">Q937+ROW()*0.000000001</f>
        <v>1.03001167917783</v>
      </c>
      <c r="T937" s="55" t="n">
        <f aca="false">R937+ROW()*0.000000001</f>
        <v>49.0048831209081</v>
      </c>
    </row>
    <row r="938" customFormat="false" ht="15" hidden="false" customHeight="false" outlineLevel="0" collapsed="false">
      <c r="A938" s="0" t="n">
        <v>22</v>
      </c>
      <c r="B938" s="0" t="n">
        <v>31</v>
      </c>
      <c r="C938" s="0" t="n">
        <f aca="false">-1+A938*0.05</f>
        <v>0.1</v>
      </c>
      <c r="D938" s="0" t="n">
        <f aca="false">-1+B938*0.05</f>
        <v>0.55</v>
      </c>
      <c r="E938" s="0" t="n">
        <f aca="false">1</f>
        <v>1</v>
      </c>
      <c r="F938" s="0" t="n">
        <f aca="false">C938</f>
        <v>0.1</v>
      </c>
      <c r="G938" s="0" t="n">
        <f aca="false">D938</f>
        <v>0.55</v>
      </c>
      <c r="H938" s="0" t="n">
        <f aca="false">C938*D938</f>
        <v>0.0550000000000001</v>
      </c>
      <c r="I938" s="0" t="n">
        <f aca="false">C938*C938</f>
        <v>0.01</v>
      </c>
      <c r="J938" s="0" t="n">
        <f aca="false">D938*D938</f>
        <v>0.3025</v>
      </c>
      <c r="K938" s="0" t="n">
        <f aca="false">SUMPRODUCT(E938:J938,_XtX!$B$53:$G$53)</f>
        <v>49.0389942528736</v>
      </c>
      <c r="L938" s="0" t="n">
        <f aca="false">SUMPRODUCT(MMULT(E938:J938,_XtX!$B$44:$G$49),E938:J938)</f>
        <v>0.192931501436782</v>
      </c>
      <c r="M938" s="0" t="n">
        <f aca="false">04_回帰ANOVA!$K$19*04_回帰ANOVA!$K$14*SQRT(1+L938)</f>
        <v>1.48007705445879</v>
      </c>
      <c r="N938" s="0" t="n">
        <f aca="false">K938-M938</f>
        <v>47.5589171984148</v>
      </c>
      <c r="O938" s="0" t="n">
        <f aca="false">K938+M938</f>
        <v>50.5190713073324</v>
      </c>
      <c r="P938" s="54" t="b">
        <f aca="false">AND(C938&gt;=01_因子設定!$L$5-0.000000001,C938&lt;=01_因子設定!$M$5+0.000000001,D938&gt;=01_因子設定!$L$6-0.000000001,D938&lt;=01_因子設定!$M$6+0.000000001,IF(01_因子設定!$B$20="Box-Behnken",C938^2+D938^2&lt;=2+0.000000001,TRUE()))</f>
        <v>1</v>
      </c>
      <c r="Q938" s="55" t="n">
        <f aca="false">IF(P938,IF(01_因子設定!$B$13="最大化",N938-01_因子設定!$B$14,IF(01_因子設定!$B$13="最小化",01_因子設定!$B$15-O938,MIN(N938-01_因子設定!$B$14,01_因子設定!$B$15-O938))),-1E+030)</f>
        <v>1.05891719841478</v>
      </c>
      <c r="R938" s="55" t="n">
        <f aca="false">IF(P938,IF(01_因子設定!$B$13="最大化",K938,IF(01_因子設定!$B$13="最小化",-K938,-ABS(K938-01_因子設定!$B$16))),-1E+030)</f>
        <v>49.0389942528736</v>
      </c>
      <c r="S938" s="55" t="n">
        <f aca="false">Q938+ROW()*0.000000001</f>
        <v>1.05891813641478</v>
      </c>
      <c r="T938" s="55" t="n">
        <f aca="false">R938+ROW()*0.000000001</f>
        <v>49.0389951908736</v>
      </c>
    </row>
    <row r="939" customFormat="false" ht="15" hidden="false" customHeight="false" outlineLevel="0" collapsed="false">
      <c r="A939" s="0" t="n">
        <v>22</v>
      </c>
      <c r="B939" s="0" t="n">
        <v>32</v>
      </c>
      <c r="C939" s="0" t="n">
        <f aca="false">-1+A939*0.05</f>
        <v>0.1</v>
      </c>
      <c r="D939" s="0" t="n">
        <f aca="false">-1+B939*0.05</f>
        <v>0.6</v>
      </c>
      <c r="E939" s="0" t="n">
        <f aca="false">1</f>
        <v>1</v>
      </c>
      <c r="F939" s="0" t="n">
        <f aca="false">C939</f>
        <v>0.1</v>
      </c>
      <c r="G939" s="0" t="n">
        <f aca="false">D939</f>
        <v>0.6</v>
      </c>
      <c r="H939" s="0" t="n">
        <f aca="false">C939*D939</f>
        <v>0.0600000000000001</v>
      </c>
      <c r="I939" s="0" t="n">
        <f aca="false">C939*C939</f>
        <v>0.01</v>
      </c>
      <c r="J939" s="0" t="n">
        <f aca="false">D939*D939</f>
        <v>0.36</v>
      </c>
      <c r="K939" s="0" t="n">
        <f aca="false">SUMPRODUCT(E939:J939,_XtX!$B$53:$G$53)</f>
        <v>49.0653908045977</v>
      </c>
      <c r="L939" s="0" t="n">
        <f aca="false">SUMPRODUCT(MMULT(E939:J939,_XtX!$B$44:$G$49),E939:J939)</f>
        <v>0.204395977011494</v>
      </c>
      <c r="M939" s="0" t="n">
        <f aca="false">04_回帰ANOVA!$K$19*04_回帰ANOVA!$K$14*SQRT(1+L939)</f>
        <v>1.48717206961779</v>
      </c>
      <c r="N939" s="0" t="n">
        <f aca="false">K939-M939</f>
        <v>47.5782187349799</v>
      </c>
      <c r="O939" s="0" t="n">
        <f aca="false">K939+M939</f>
        <v>50.5525628742155</v>
      </c>
      <c r="P939" s="54" t="b">
        <f aca="false">AND(C939&gt;=01_因子設定!$L$5-0.000000001,C939&lt;=01_因子設定!$M$5+0.000000001,D939&gt;=01_因子設定!$L$6-0.000000001,D939&lt;=01_因子設定!$M$6+0.000000001,IF(01_因子設定!$B$20="Box-Behnken",C939^2+D939^2&lt;=2+0.000000001,TRUE()))</f>
        <v>1</v>
      </c>
      <c r="Q939" s="55" t="n">
        <f aca="false">IF(P939,IF(01_因子設定!$B$13="最大化",N939-01_因子設定!$B$14,IF(01_因子設定!$B$13="最小化",01_因子設定!$B$15-O939,MIN(N939-01_因子設定!$B$14,01_因子設定!$B$15-O939))),-1E+030)</f>
        <v>1.07821873497991</v>
      </c>
      <c r="R939" s="55" t="n">
        <f aca="false">IF(P939,IF(01_因子設定!$B$13="最大化",K939,IF(01_因子設定!$B$13="最小化",-K939,-ABS(K939-01_因子設定!$B$16))),-1E+030)</f>
        <v>49.0653908045977</v>
      </c>
      <c r="S939" s="55" t="n">
        <f aca="false">Q939+ROW()*0.000000001</f>
        <v>1.07821967397991</v>
      </c>
      <c r="T939" s="55" t="n">
        <f aca="false">R939+ROW()*0.000000001</f>
        <v>49.0653917435977</v>
      </c>
    </row>
    <row r="940" customFormat="false" ht="15" hidden="false" customHeight="false" outlineLevel="0" collapsed="false">
      <c r="A940" s="0" t="n">
        <v>22</v>
      </c>
      <c r="B940" s="0" t="n">
        <v>33</v>
      </c>
      <c r="C940" s="0" t="n">
        <f aca="false">-1+A940*0.05</f>
        <v>0.1</v>
      </c>
      <c r="D940" s="0" t="n">
        <f aca="false">-1+B940*0.05</f>
        <v>0.65</v>
      </c>
      <c r="E940" s="0" t="n">
        <f aca="false">1</f>
        <v>1</v>
      </c>
      <c r="F940" s="0" t="n">
        <f aca="false">C940</f>
        <v>0.1</v>
      </c>
      <c r="G940" s="0" t="n">
        <f aca="false">D940</f>
        <v>0.65</v>
      </c>
      <c r="H940" s="0" t="n">
        <f aca="false">C940*D940</f>
        <v>0.0650000000000001</v>
      </c>
      <c r="I940" s="0" t="n">
        <f aca="false">C940*C940</f>
        <v>0.01</v>
      </c>
      <c r="J940" s="0" t="n">
        <f aca="false">D940*D940</f>
        <v>0.4225</v>
      </c>
      <c r="K940" s="0" t="n">
        <f aca="false">SUMPRODUCT(E940:J940,_XtX!$B$53:$G$53)</f>
        <v>49.0840718390805</v>
      </c>
      <c r="L940" s="0" t="n">
        <f aca="false">SUMPRODUCT(MMULT(E940:J940,_XtX!$B$44:$G$49),E940:J940)</f>
        <v>0.219572880747126</v>
      </c>
      <c r="M940" s="0" t="n">
        <f aca="false">04_回帰ANOVA!$K$19*04_回帰ANOVA!$K$14*SQRT(1+L940)</f>
        <v>1.49651285436709</v>
      </c>
      <c r="N940" s="0" t="n">
        <f aca="false">K940-M940</f>
        <v>47.5875589847134</v>
      </c>
      <c r="O940" s="0" t="n">
        <f aca="false">K940+M940</f>
        <v>50.5805846934475</v>
      </c>
      <c r="P940" s="54" t="b">
        <f aca="false">AND(C940&gt;=01_因子設定!$L$5-0.000000001,C940&lt;=01_因子設定!$M$5+0.000000001,D940&gt;=01_因子設定!$L$6-0.000000001,D940&lt;=01_因子設定!$M$6+0.000000001,IF(01_因子設定!$B$20="Box-Behnken",C940^2+D940^2&lt;=2+0.000000001,TRUE()))</f>
        <v>1</v>
      </c>
      <c r="Q940" s="55" t="n">
        <f aca="false">IF(P940,IF(01_因子設定!$B$13="最大化",N940-01_因子設定!$B$14,IF(01_因子設定!$B$13="最小化",01_因子設定!$B$15-O940,MIN(N940-01_因子設定!$B$14,01_因子設定!$B$15-O940))),-1E+030)</f>
        <v>1.08755898471338</v>
      </c>
      <c r="R940" s="55" t="n">
        <f aca="false">IF(P940,IF(01_因子設定!$B$13="最大化",K940,IF(01_因子設定!$B$13="最小化",-K940,-ABS(K940-01_因子設定!$B$16))),-1E+030)</f>
        <v>49.0840718390805</v>
      </c>
      <c r="S940" s="55" t="n">
        <f aca="false">Q940+ROW()*0.000000001</f>
        <v>1.08755992471338</v>
      </c>
      <c r="T940" s="55" t="n">
        <f aca="false">R940+ROW()*0.000000001</f>
        <v>49.0840727790805</v>
      </c>
    </row>
    <row r="941" customFormat="false" ht="15" hidden="false" customHeight="false" outlineLevel="0" collapsed="false">
      <c r="A941" s="0" t="n">
        <v>22</v>
      </c>
      <c r="B941" s="0" t="n">
        <v>34</v>
      </c>
      <c r="C941" s="0" t="n">
        <f aca="false">-1+A941*0.05</f>
        <v>0.1</v>
      </c>
      <c r="D941" s="0" t="n">
        <f aca="false">-1+B941*0.05</f>
        <v>0.7</v>
      </c>
      <c r="E941" s="0" t="n">
        <f aca="false">1</f>
        <v>1</v>
      </c>
      <c r="F941" s="0" t="n">
        <f aca="false">C941</f>
        <v>0.1</v>
      </c>
      <c r="G941" s="0" t="n">
        <f aca="false">D941</f>
        <v>0.7</v>
      </c>
      <c r="H941" s="0" t="n">
        <f aca="false">C941*D941</f>
        <v>0.0700000000000001</v>
      </c>
      <c r="I941" s="0" t="n">
        <f aca="false">C941*C941</f>
        <v>0.01</v>
      </c>
      <c r="J941" s="0" t="n">
        <f aca="false">D941*D941</f>
        <v>0.49</v>
      </c>
      <c r="K941" s="0" t="n">
        <f aca="false">SUMPRODUCT(E941:J941,_XtX!$B$53:$G$53)</f>
        <v>49.0950373563218</v>
      </c>
      <c r="L941" s="0" t="n">
        <f aca="false">SUMPRODUCT(MMULT(E941:J941,_XtX!$B$44:$G$49),E941:J941)</f>
        <v>0.239141091954023</v>
      </c>
      <c r="M941" s="0" t="n">
        <f aca="false">04_回帰ANOVA!$K$19*04_回帰ANOVA!$K$14*SQRT(1+L941)</f>
        <v>1.50847095312325</v>
      </c>
      <c r="N941" s="0" t="n">
        <f aca="false">K941-M941</f>
        <v>47.5865664031986</v>
      </c>
      <c r="O941" s="0" t="n">
        <f aca="false">K941+M941</f>
        <v>50.6035083094451</v>
      </c>
      <c r="P941" s="54" t="b">
        <f aca="false">AND(C941&gt;=01_因子設定!$L$5-0.000000001,C941&lt;=01_因子設定!$M$5+0.000000001,D941&gt;=01_因子設定!$L$6-0.000000001,D941&lt;=01_因子設定!$M$6+0.000000001,IF(01_因子設定!$B$20="Box-Behnken",C941^2+D941^2&lt;=2+0.000000001,TRUE()))</f>
        <v>1</v>
      </c>
      <c r="Q941" s="55" t="n">
        <f aca="false">IF(P941,IF(01_因子設定!$B$13="最大化",N941-01_因子設定!$B$14,IF(01_因子設定!$B$13="最小化",01_因子設定!$B$15-O941,MIN(N941-01_因子設定!$B$14,01_因子設定!$B$15-O941))),-1E+030)</f>
        <v>1.08656640319859</v>
      </c>
      <c r="R941" s="55" t="n">
        <f aca="false">IF(P941,IF(01_因子設定!$B$13="最大化",K941,IF(01_因子設定!$B$13="最小化",-K941,-ABS(K941-01_因子設定!$B$16))),-1E+030)</f>
        <v>49.0950373563218</v>
      </c>
      <c r="S941" s="55" t="n">
        <f aca="false">Q941+ROW()*0.000000001</f>
        <v>1.08656734419859</v>
      </c>
      <c r="T941" s="55" t="n">
        <f aca="false">R941+ROW()*0.000000001</f>
        <v>49.0950382973218</v>
      </c>
    </row>
    <row r="942" customFormat="false" ht="15" hidden="false" customHeight="false" outlineLevel="0" collapsed="false">
      <c r="A942" s="0" t="n">
        <v>22</v>
      </c>
      <c r="B942" s="0" t="n">
        <v>35</v>
      </c>
      <c r="C942" s="0" t="n">
        <f aca="false">-1+A942*0.05</f>
        <v>0.1</v>
      </c>
      <c r="D942" s="0" t="n">
        <f aca="false">-1+B942*0.05</f>
        <v>0.75</v>
      </c>
      <c r="E942" s="0" t="n">
        <f aca="false">1</f>
        <v>1</v>
      </c>
      <c r="F942" s="0" t="n">
        <f aca="false">C942</f>
        <v>0.1</v>
      </c>
      <c r="G942" s="0" t="n">
        <f aca="false">D942</f>
        <v>0.75</v>
      </c>
      <c r="H942" s="0" t="n">
        <f aca="false">C942*D942</f>
        <v>0.0750000000000001</v>
      </c>
      <c r="I942" s="0" t="n">
        <f aca="false">C942*C942</f>
        <v>0.01</v>
      </c>
      <c r="J942" s="0" t="n">
        <f aca="false">D942*D942</f>
        <v>0.5625</v>
      </c>
      <c r="K942" s="0" t="n">
        <f aca="false">SUMPRODUCT(E942:J942,_XtX!$B$53:$G$53)</f>
        <v>49.0982873563218</v>
      </c>
      <c r="L942" s="0" t="n">
        <f aca="false">SUMPRODUCT(MMULT(E942:J942,_XtX!$B$44:$G$49),E942:J942)</f>
        <v>0.263833800287356</v>
      </c>
      <c r="M942" s="0" t="n">
        <f aca="false">04_回帰ANOVA!$K$19*04_回帰ANOVA!$K$14*SQRT(1+L942)</f>
        <v>1.52342667355229</v>
      </c>
      <c r="N942" s="0" t="n">
        <f aca="false">K942-M942</f>
        <v>47.5748606827696</v>
      </c>
      <c r="O942" s="0" t="n">
        <f aca="false">K942+M942</f>
        <v>50.6217140298741</v>
      </c>
      <c r="P942" s="54" t="b">
        <f aca="false">AND(C942&gt;=01_因子設定!$L$5-0.000000001,C942&lt;=01_因子設定!$M$5+0.000000001,D942&gt;=01_因子設定!$L$6-0.000000001,D942&lt;=01_因子設定!$M$6+0.000000001,IF(01_因子設定!$B$20="Box-Behnken",C942^2+D942^2&lt;=2+0.000000001,TRUE()))</f>
        <v>1</v>
      </c>
      <c r="Q942" s="55" t="n">
        <f aca="false">IF(P942,IF(01_因子設定!$B$13="最大化",N942-01_因子設定!$B$14,IF(01_因子設定!$B$13="最小化",01_因子設定!$B$15-O942,MIN(N942-01_因子設定!$B$14,01_因子設定!$B$15-O942))),-1E+030)</f>
        <v>1.07486068276955</v>
      </c>
      <c r="R942" s="55" t="n">
        <f aca="false">IF(P942,IF(01_因子設定!$B$13="最大化",K942,IF(01_因子設定!$B$13="最小化",-K942,-ABS(K942-01_因子設定!$B$16))),-1E+030)</f>
        <v>49.0982873563218</v>
      </c>
      <c r="S942" s="55" t="n">
        <f aca="false">Q942+ROW()*0.000000001</f>
        <v>1.07486162476955</v>
      </c>
      <c r="T942" s="55" t="n">
        <f aca="false">R942+ROW()*0.000000001</f>
        <v>49.0982882983218</v>
      </c>
    </row>
    <row r="943" customFormat="false" ht="15" hidden="false" customHeight="false" outlineLevel="0" collapsed="false">
      <c r="A943" s="0" t="n">
        <v>22</v>
      </c>
      <c r="B943" s="0" t="n">
        <v>36</v>
      </c>
      <c r="C943" s="0" t="n">
        <f aca="false">-1+A943*0.05</f>
        <v>0.1</v>
      </c>
      <c r="D943" s="0" t="n">
        <f aca="false">-1+B943*0.05</f>
        <v>0.8</v>
      </c>
      <c r="E943" s="0" t="n">
        <f aca="false">1</f>
        <v>1</v>
      </c>
      <c r="F943" s="0" t="n">
        <f aca="false">C943</f>
        <v>0.1</v>
      </c>
      <c r="G943" s="0" t="n">
        <f aca="false">D943</f>
        <v>0.8</v>
      </c>
      <c r="H943" s="0" t="n">
        <f aca="false">C943*D943</f>
        <v>0.0800000000000001</v>
      </c>
      <c r="I943" s="0" t="n">
        <f aca="false">C943*C943</f>
        <v>0.01</v>
      </c>
      <c r="J943" s="0" t="n">
        <f aca="false">D943*D943</f>
        <v>0.64</v>
      </c>
      <c r="K943" s="0" t="n">
        <f aca="false">SUMPRODUCT(E943:J943,_XtX!$B$53:$G$53)</f>
        <v>49.0938218390805</v>
      </c>
      <c r="L943" s="0" t="n">
        <f aca="false">SUMPRODUCT(MMULT(E943:J943,_XtX!$B$44:$G$49),E943:J943)</f>
        <v>0.294438505747126</v>
      </c>
      <c r="M943" s="0" t="n">
        <f aca="false">04_回帰ANOVA!$K$19*04_回帰ANOVA!$K$14*SQRT(1+L943)</f>
        <v>1.54176181073002</v>
      </c>
      <c r="N943" s="0" t="n">
        <f aca="false">K943-M943</f>
        <v>47.5520600283504</v>
      </c>
      <c r="O943" s="0" t="n">
        <f aca="false">K943+M943</f>
        <v>50.6355836498105</v>
      </c>
      <c r="P943" s="54" t="b">
        <f aca="false">AND(C943&gt;=01_因子設定!$L$5-0.000000001,C943&lt;=01_因子設定!$M$5+0.000000001,D943&gt;=01_因子設定!$L$6-0.000000001,D943&lt;=01_因子設定!$M$6+0.000000001,IF(01_因子設定!$B$20="Box-Behnken",C943^2+D943^2&lt;=2+0.000000001,TRUE()))</f>
        <v>1</v>
      </c>
      <c r="Q943" s="55" t="n">
        <f aca="false">IF(P943,IF(01_因子設定!$B$13="最大化",N943-01_因子設定!$B$14,IF(01_因子設定!$B$13="最小化",01_因子設定!$B$15-O943,MIN(N943-01_因子設定!$B$14,01_因子設定!$B$15-O943))),-1E+030)</f>
        <v>1.05206002835045</v>
      </c>
      <c r="R943" s="55" t="n">
        <f aca="false">IF(P943,IF(01_因子設定!$B$13="最大化",K943,IF(01_因子設定!$B$13="最小化",-K943,-ABS(K943-01_因子設定!$B$16))),-1E+030)</f>
        <v>49.0938218390805</v>
      </c>
      <c r="S943" s="55" t="n">
        <f aca="false">Q943+ROW()*0.000000001</f>
        <v>1.05206097135045</v>
      </c>
      <c r="T943" s="55" t="n">
        <f aca="false">R943+ROW()*0.000000001</f>
        <v>49.0938227820805</v>
      </c>
    </row>
    <row r="944" customFormat="false" ht="15" hidden="false" customHeight="false" outlineLevel="0" collapsed="false">
      <c r="A944" s="0" t="n">
        <v>22</v>
      </c>
      <c r="B944" s="0" t="n">
        <v>37</v>
      </c>
      <c r="C944" s="0" t="n">
        <f aca="false">-1+A944*0.05</f>
        <v>0.1</v>
      </c>
      <c r="D944" s="0" t="n">
        <f aca="false">-1+B944*0.05</f>
        <v>0.85</v>
      </c>
      <c r="E944" s="0" t="n">
        <f aca="false">1</f>
        <v>1</v>
      </c>
      <c r="F944" s="0" t="n">
        <f aca="false">C944</f>
        <v>0.1</v>
      </c>
      <c r="G944" s="0" t="n">
        <f aca="false">D944</f>
        <v>0.85</v>
      </c>
      <c r="H944" s="0" t="n">
        <f aca="false">C944*D944</f>
        <v>0.0850000000000001</v>
      </c>
      <c r="I944" s="0" t="n">
        <f aca="false">C944*C944</f>
        <v>0.01</v>
      </c>
      <c r="J944" s="0" t="n">
        <f aca="false">D944*D944</f>
        <v>0.7225</v>
      </c>
      <c r="K944" s="0" t="n">
        <f aca="false">SUMPRODUCT(E944:J944,_XtX!$B$53:$G$53)</f>
        <v>49.0816408045977</v>
      </c>
      <c r="L944" s="0" t="n">
        <f aca="false">SUMPRODUCT(MMULT(E944:J944,_XtX!$B$44:$G$49),E944:J944)</f>
        <v>0.331797018678161</v>
      </c>
      <c r="M944" s="0" t="n">
        <f aca="false">04_回帰ANOVA!$K$19*04_回帰ANOVA!$K$14*SQRT(1+L944)</f>
        <v>1.56385178984743</v>
      </c>
      <c r="N944" s="0" t="n">
        <f aca="false">K944-M944</f>
        <v>47.5177890147503</v>
      </c>
      <c r="O944" s="0" t="n">
        <f aca="false">K944+M944</f>
        <v>50.6454925944451</v>
      </c>
      <c r="P944" s="54" t="b">
        <f aca="false">AND(C944&gt;=01_因子設定!$L$5-0.000000001,C944&lt;=01_因子設定!$M$5+0.000000001,D944&gt;=01_因子設定!$L$6-0.000000001,D944&lt;=01_因子設定!$M$6+0.000000001,IF(01_因子設定!$B$20="Box-Behnken",C944^2+D944^2&lt;=2+0.000000001,TRUE()))</f>
        <v>1</v>
      </c>
      <c r="Q944" s="55" t="n">
        <f aca="false">IF(P944,IF(01_因子設定!$B$13="最大化",N944-01_因子設定!$B$14,IF(01_因子設定!$B$13="最小化",01_因子設定!$B$15-O944,MIN(N944-01_因子設定!$B$14,01_因子設定!$B$15-O944))),-1E+030)</f>
        <v>1.01778901475027</v>
      </c>
      <c r="R944" s="55" t="n">
        <f aca="false">IF(P944,IF(01_因子設定!$B$13="最大化",K944,IF(01_因子設定!$B$13="最小化",-K944,-ABS(K944-01_因子設定!$B$16))),-1E+030)</f>
        <v>49.0816408045977</v>
      </c>
      <c r="S944" s="55" t="n">
        <f aca="false">Q944+ROW()*0.000000001</f>
        <v>1.01778995875027</v>
      </c>
      <c r="T944" s="55" t="n">
        <f aca="false">R944+ROW()*0.000000001</f>
        <v>49.0816417485977</v>
      </c>
    </row>
    <row r="945" customFormat="false" ht="15" hidden="false" customHeight="false" outlineLevel="0" collapsed="false">
      <c r="A945" s="0" t="n">
        <v>22</v>
      </c>
      <c r="B945" s="0" t="n">
        <v>38</v>
      </c>
      <c r="C945" s="0" t="n">
        <f aca="false">-1+A945*0.05</f>
        <v>0.1</v>
      </c>
      <c r="D945" s="0" t="n">
        <f aca="false">-1+B945*0.05</f>
        <v>0.9</v>
      </c>
      <c r="E945" s="0" t="n">
        <f aca="false">1</f>
        <v>1</v>
      </c>
      <c r="F945" s="0" t="n">
        <f aca="false">C945</f>
        <v>0.1</v>
      </c>
      <c r="G945" s="0" t="n">
        <f aca="false">D945</f>
        <v>0.9</v>
      </c>
      <c r="H945" s="0" t="n">
        <f aca="false">C945*D945</f>
        <v>0.0900000000000001</v>
      </c>
      <c r="I945" s="0" t="n">
        <f aca="false">C945*C945</f>
        <v>0.01</v>
      </c>
      <c r="J945" s="0" t="n">
        <f aca="false">D945*D945</f>
        <v>0.81</v>
      </c>
      <c r="K945" s="0" t="n">
        <f aca="false">SUMPRODUCT(E945:J945,_XtX!$B$53:$G$53)</f>
        <v>49.0617442528736</v>
      </c>
      <c r="L945" s="0" t="n">
        <f aca="false">SUMPRODUCT(MMULT(E945:J945,_XtX!$B$44:$G$49),E945:J945)</f>
        <v>0.376805459770115</v>
      </c>
      <c r="M945" s="0" t="n">
        <f aca="false">04_回帰ANOVA!$K$19*04_回帰ANOVA!$K$14*SQRT(1+L945)</f>
        <v>1.59005761873556</v>
      </c>
      <c r="N945" s="0" t="n">
        <f aca="false">K945-M945</f>
        <v>47.471686634138</v>
      </c>
      <c r="O945" s="0" t="n">
        <f aca="false">K945+M945</f>
        <v>50.6518018716091</v>
      </c>
      <c r="P945" s="54" t="b">
        <f aca="false">AND(C945&gt;=01_因子設定!$L$5-0.000000001,C945&lt;=01_因子設定!$M$5+0.000000001,D945&gt;=01_因子設定!$L$6-0.000000001,D945&lt;=01_因子設定!$M$6+0.000000001,IF(01_因子設定!$B$20="Box-Behnken",C945^2+D945^2&lt;=2+0.000000001,TRUE()))</f>
        <v>1</v>
      </c>
      <c r="Q945" s="55" t="n">
        <f aca="false">IF(P945,IF(01_因子設定!$B$13="最大化",N945-01_因子設定!$B$14,IF(01_因子設定!$B$13="最小化",01_因子設定!$B$15-O945,MIN(N945-01_因子設定!$B$14,01_因子設定!$B$15-O945))),-1E+030)</f>
        <v>0.971686634138003</v>
      </c>
      <c r="R945" s="55" t="n">
        <f aca="false">IF(P945,IF(01_因子設定!$B$13="最大化",K945,IF(01_因子設定!$B$13="最小化",-K945,-ABS(K945-01_因子設定!$B$16))),-1E+030)</f>
        <v>49.0617442528736</v>
      </c>
      <c r="S945" s="55" t="n">
        <f aca="false">Q945+ROW()*0.000000001</f>
        <v>0.971687579138003</v>
      </c>
      <c r="T945" s="55" t="n">
        <f aca="false">R945+ROW()*0.000000001</f>
        <v>49.0617451978736</v>
      </c>
    </row>
    <row r="946" customFormat="false" ht="15" hidden="false" customHeight="false" outlineLevel="0" collapsed="false">
      <c r="A946" s="0" t="n">
        <v>22</v>
      </c>
      <c r="B946" s="0" t="n">
        <v>39</v>
      </c>
      <c r="C946" s="0" t="n">
        <f aca="false">-1+A946*0.05</f>
        <v>0.1</v>
      </c>
      <c r="D946" s="0" t="n">
        <f aca="false">-1+B946*0.05</f>
        <v>0.95</v>
      </c>
      <c r="E946" s="0" t="n">
        <f aca="false">1</f>
        <v>1</v>
      </c>
      <c r="F946" s="0" t="n">
        <f aca="false">C946</f>
        <v>0.1</v>
      </c>
      <c r="G946" s="0" t="n">
        <f aca="false">D946</f>
        <v>0.95</v>
      </c>
      <c r="H946" s="0" t="n">
        <f aca="false">C946*D946</f>
        <v>0.0950000000000001</v>
      </c>
      <c r="I946" s="0" t="n">
        <f aca="false">C946*C946</f>
        <v>0.01</v>
      </c>
      <c r="J946" s="0" t="n">
        <f aca="false">D946*D946</f>
        <v>0.9025</v>
      </c>
      <c r="K946" s="0" t="n">
        <f aca="false">SUMPRODUCT(E946:J946,_XtX!$B$53:$G$53)</f>
        <v>49.0341321839081</v>
      </c>
      <c r="L946" s="0" t="n">
        <f aca="false">SUMPRODUCT(MMULT(E946:J946,_XtX!$B$44:$G$49),E946:J946)</f>
        <v>0.430414260057471</v>
      </c>
      <c r="M946" s="0" t="n">
        <f aca="false">04_回帰ANOVA!$K$19*04_回帰ANOVA!$K$14*SQRT(1+L946)</f>
        <v>1.62071812065626</v>
      </c>
      <c r="N946" s="0" t="n">
        <f aca="false">K946-M946</f>
        <v>47.4134140632518</v>
      </c>
      <c r="O946" s="0" t="n">
        <f aca="false">K946+M946</f>
        <v>50.6548503045643</v>
      </c>
      <c r="P946" s="54" t="b">
        <f aca="false">AND(C946&gt;=01_因子設定!$L$5-0.000000001,C946&lt;=01_因子設定!$M$5+0.000000001,D946&gt;=01_因子設定!$L$6-0.000000001,D946&lt;=01_因子設定!$M$6+0.000000001,IF(01_因子設定!$B$20="Box-Behnken",C946^2+D946^2&lt;=2+0.000000001,TRUE()))</f>
        <v>1</v>
      </c>
      <c r="Q946" s="55" t="n">
        <f aca="false">IF(P946,IF(01_因子設定!$B$13="最大化",N946-01_因子設定!$B$14,IF(01_因子設定!$B$13="最小化",01_因子設定!$B$15-O946,MIN(N946-01_因子設定!$B$14,01_因子設定!$B$15-O946))),-1E+030)</f>
        <v>0.913414063251793</v>
      </c>
      <c r="R946" s="55" t="n">
        <f aca="false">IF(P946,IF(01_因子設定!$B$13="最大化",K946,IF(01_因子設定!$B$13="最小化",-K946,-ABS(K946-01_因子設定!$B$16))),-1E+030)</f>
        <v>49.0341321839081</v>
      </c>
      <c r="S946" s="55" t="n">
        <f aca="false">Q946+ROW()*0.000000001</f>
        <v>0.913415009251793</v>
      </c>
      <c r="T946" s="55" t="n">
        <f aca="false">R946+ROW()*0.000000001</f>
        <v>49.0341331299081</v>
      </c>
    </row>
    <row r="947" customFormat="false" ht="15" hidden="false" customHeight="false" outlineLevel="0" collapsed="false">
      <c r="A947" s="0" t="n">
        <v>22</v>
      </c>
      <c r="B947" s="0" t="n">
        <v>40</v>
      </c>
      <c r="C947" s="0" t="n">
        <f aca="false">-1+A947*0.05</f>
        <v>0.1</v>
      </c>
      <c r="D947" s="0" t="n">
        <f aca="false">-1+B947*0.05</f>
        <v>1</v>
      </c>
      <c r="E947" s="0" t="n">
        <f aca="false">1</f>
        <v>1</v>
      </c>
      <c r="F947" s="0" t="n">
        <f aca="false">C947</f>
        <v>0.1</v>
      </c>
      <c r="G947" s="0" t="n">
        <f aca="false">D947</f>
        <v>1</v>
      </c>
      <c r="H947" s="0" t="n">
        <f aca="false">C947*D947</f>
        <v>0.1</v>
      </c>
      <c r="I947" s="0" t="n">
        <f aca="false">C947*C947</f>
        <v>0.01</v>
      </c>
      <c r="J947" s="0" t="n">
        <f aca="false">D947*D947</f>
        <v>1</v>
      </c>
      <c r="K947" s="0" t="n">
        <f aca="false">SUMPRODUCT(E947:J947,_XtX!$B$53:$G$53)</f>
        <v>48.9988045977012</v>
      </c>
      <c r="L947" s="0" t="n">
        <f aca="false">SUMPRODUCT(MMULT(E947:J947,_XtX!$B$44:$G$49),E947:J947)</f>
        <v>0.49362816091954</v>
      </c>
      <c r="M947" s="0" t="n">
        <f aca="false">04_回帰ANOVA!$K$19*04_回帰ANOVA!$K$14*SQRT(1+L947)</f>
        <v>1.65614294515325</v>
      </c>
      <c r="N947" s="0" t="n">
        <f aca="false">K947-M947</f>
        <v>47.3426616525479</v>
      </c>
      <c r="O947" s="0" t="n">
        <f aca="false">K947+M947</f>
        <v>50.6549475428544</v>
      </c>
      <c r="P947" s="54" t="b">
        <f aca="false">AND(C947&gt;=01_因子設定!$L$5-0.000000001,C947&lt;=01_因子設定!$M$5+0.000000001,D947&gt;=01_因子設定!$L$6-0.000000001,D947&lt;=01_因子設定!$M$6+0.000000001,IF(01_因子設定!$B$20="Box-Behnken",C947^2+D947^2&lt;=2+0.000000001,TRUE()))</f>
        <v>1</v>
      </c>
      <c r="Q947" s="55" t="n">
        <f aca="false">IF(P947,IF(01_因子設定!$B$13="最大化",N947-01_因子設定!$B$14,IF(01_因子設定!$B$13="最小化",01_因子設定!$B$15-O947,MIN(N947-01_因子設定!$B$14,01_因子設定!$B$15-O947))),-1E+030)</f>
        <v>0.842661652547903</v>
      </c>
      <c r="R947" s="55" t="n">
        <f aca="false">IF(P947,IF(01_因子設定!$B$13="最大化",K947,IF(01_因子設定!$B$13="最小化",-K947,-ABS(K947-01_因子設定!$B$16))),-1E+030)</f>
        <v>48.9988045977012</v>
      </c>
      <c r="S947" s="55" t="n">
        <f aca="false">Q947+ROW()*0.000000001</f>
        <v>0.842662599547903</v>
      </c>
      <c r="T947" s="55" t="n">
        <f aca="false">R947+ROW()*0.000000001</f>
        <v>48.9988055447012</v>
      </c>
    </row>
    <row r="948" customFormat="false" ht="15" hidden="false" customHeight="false" outlineLevel="0" collapsed="false">
      <c r="A948" s="0" t="n">
        <v>23</v>
      </c>
      <c r="B948" s="0" t="n">
        <v>0</v>
      </c>
      <c r="C948" s="0" t="n">
        <f aca="false">-1+A948*0.05</f>
        <v>0.15</v>
      </c>
      <c r="D948" s="0" t="n">
        <f aca="false">-1+B948*0.05</f>
        <v>-1</v>
      </c>
      <c r="E948" s="0" t="n">
        <f aca="false">1</f>
        <v>1</v>
      </c>
      <c r="F948" s="0" t="n">
        <f aca="false">C948</f>
        <v>0.15</v>
      </c>
      <c r="G948" s="0" t="n">
        <f aca="false">D948</f>
        <v>-1</v>
      </c>
      <c r="H948" s="0" t="n">
        <f aca="false">C948*D948</f>
        <v>-0.15</v>
      </c>
      <c r="I948" s="0" t="n">
        <f aca="false">C948*C948</f>
        <v>0.0225</v>
      </c>
      <c r="J948" s="0" t="n">
        <f aca="false">D948*D948</f>
        <v>1</v>
      </c>
      <c r="K948" s="0" t="n">
        <f aca="false">SUMPRODUCT(E948:J948,_XtX!$B$53:$G$53)</f>
        <v>44.439099137931</v>
      </c>
      <c r="L948" s="0" t="n">
        <f aca="false">SUMPRODUCT(MMULT(E948:J948,_XtX!$B$44:$G$49),E948:J948)</f>
        <v>0.492949102011494</v>
      </c>
      <c r="M948" s="0" t="n">
        <f aca="false">04_回帰ANOVA!$K$19*04_回帰ANOVA!$K$14*SQRT(1+L948)</f>
        <v>1.65576643026763</v>
      </c>
      <c r="N948" s="0" t="n">
        <f aca="false">K948-M948</f>
        <v>42.7833327076634</v>
      </c>
      <c r="O948" s="0" t="n">
        <f aca="false">K948+M948</f>
        <v>46.0948655681987</v>
      </c>
      <c r="P948" s="54" t="b">
        <f aca="false">AND(C948&gt;=01_因子設定!$L$5-0.000000001,C948&lt;=01_因子設定!$M$5+0.000000001,D948&gt;=01_因子設定!$L$6-0.000000001,D948&lt;=01_因子設定!$M$6+0.000000001,IF(01_因子設定!$B$20="Box-Behnken",C948^2+D948^2&lt;=2+0.000000001,TRUE()))</f>
        <v>1</v>
      </c>
      <c r="Q948" s="55" t="n">
        <f aca="false">IF(P948,IF(01_因子設定!$B$13="最大化",N948-01_因子設定!$B$14,IF(01_因子設定!$B$13="最小化",01_因子設定!$B$15-O948,MIN(N948-01_因子設定!$B$14,01_因子設定!$B$15-O948))),-1E+030)</f>
        <v>-3.7166672923366</v>
      </c>
      <c r="R948" s="55" t="n">
        <f aca="false">IF(P948,IF(01_因子設定!$B$13="最大化",K948,IF(01_因子設定!$B$13="最小化",-K948,-ABS(K948-01_因子設定!$B$16))),-1E+030)</f>
        <v>44.439099137931</v>
      </c>
      <c r="S948" s="55" t="n">
        <f aca="false">Q948+ROW()*0.000000001</f>
        <v>-3.7166663443366</v>
      </c>
      <c r="T948" s="55" t="n">
        <f aca="false">R948+ROW()*0.000000001</f>
        <v>44.439100085931</v>
      </c>
    </row>
    <row r="949" customFormat="false" ht="15" hidden="false" customHeight="false" outlineLevel="0" collapsed="false">
      <c r="A949" s="0" t="n">
        <v>23</v>
      </c>
      <c r="B949" s="0" t="n">
        <v>1</v>
      </c>
      <c r="C949" s="0" t="n">
        <f aca="false">-1+A949*0.05</f>
        <v>0.15</v>
      </c>
      <c r="D949" s="0" t="n">
        <f aca="false">-1+B949*0.05</f>
        <v>-0.95</v>
      </c>
      <c r="E949" s="0" t="n">
        <f aca="false">1</f>
        <v>1</v>
      </c>
      <c r="F949" s="0" t="n">
        <f aca="false">C949</f>
        <v>0.15</v>
      </c>
      <c r="G949" s="0" t="n">
        <f aca="false">D949</f>
        <v>-0.95</v>
      </c>
      <c r="H949" s="0" t="n">
        <f aca="false">C949*D949</f>
        <v>-0.1425</v>
      </c>
      <c r="I949" s="0" t="n">
        <f aca="false">C949*C949</f>
        <v>0.0225</v>
      </c>
      <c r="J949" s="0" t="n">
        <f aca="false">D949*D949</f>
        <v>0.9025</v>
      </c>
      <c r="K949" s="0" t="n">
        <f aca="false">SUMPRODUCT(E949:J949,_XtX!$B$53:$G$53)</f>
        <v>44.7059892241379</v>
      </c>
      <c r="L949" s="0" t="n">
        <f aca="false">SUMPRODUCT(MMULT(E949:J949,_XtX!$B$44:$G$49),E949:J949)</f>
        <v>0.429766720545977</v>
      </c>
      <c r="M949" s="0" t="n">
        <f aca="false">04_回帰ANOVA!$K$19*04_回帰ANOVA!$K$14*SQRT(1+L949)</f>
        <v>1.62035123469551</v>
      </c>
      <c r="N949" s="0" t="n">
        <f aca="false">K949-M949</f>
        <v>43.0856379894424</v>
      </c>
      <c r="O949" s="0" t="n">
        <f aca="false">K949+M949</f>
        <v>46.3263404588335</v>
      </c>
      <c r="P949" s="54" t="b">
        <f aca="false">AND(C949&gt;=01_因子設定!$L$5-0.000000001,C949&lt;=01_因子設定!$M$5+0.000000001,D949&gt;=01_因子設定!$L$6-0.000000001,D949&lt;=01_因子設定!$M$6+0.000000001,IF(01_因子設定!$B$20="Box-Behnken",C949^2+D949^2&lt;=2+0.000000001,TRUE()))</f>
        <v>1</v>
      </c>
      <c r="Q949" s="55" t="n">
        <f aca="false">IF(P949,IF(01_因子設定!$B$13="最大化",N949-01_因子設定!$B$14,IF(01_因子設定!$B$13="最小化",01_因子設定!$B$15-O949,MIN(N949-01_因子設定!$B$14,01_因子設定!$B$15-O949))),-1E+030)</f>
        <v>-3.41436201055758</v>
      </c>
      <c r="R949" s="55" t="n">
        <f aca="false">IF(P949,IF(01_因子設定!$B$13="最大化",K949,IF(01_因子設定!$B$13="最小化",-K949,-ABS(K949-01_因子設定!$B$16))),-1E+030)</f>
        <v>44.7059892241379</v>
      </c>
      <c r="S949" s="55" t="n">
        <f aca="false">Q949+ROW()*0.000000001</f>
        <v>-3.41436106155758</v>
      </c>
      <c r="T949" s="55" t="n">
        <f aca="false">R949+ROW()*0.000000001</f>
        <v>44.7059901731379</v>
      </c>
    </row>
    <row r="950" customFormat="false" ht="15" hidden="false" customHeight="false" outlineLevel="0" collapsed="false">
      <c r="A950" s="0" t="n">
        <v>23</v>
      </c>
      <c r="B950" s="0" t="n">
        <v>2</v>
      </c>
      <c r="C950" s="0" t="n">
        <f aca="false">-1+A950*0.05</f>
        <v>0.15</v>
      </c>
      <c r="D950" s="0" t="n">
        <f aca="false">-1+B950*0.05</f>
        <v>-0.9</v>
      </c>
      <c r="E950" s="0" t="n">
        <f aca="false">1</f>
        <v>1</v>
      </c>
      <c r="F950" s="0" t="n">
        <f aca="false">C950</f>
        <v>0.15</v>
      </c>
      <c r="G950" s="0" t="n">
        <f aca="false">D950</f>
        <v>-0.9</v>
      </c>
      <c r="H950" s="0" t="n">
        <f aca="false">C950*D950</f>
        <v>-0.135</v>
      </c>
      <c r="I950" s="0" t="n">
        <f aca="false">C950*C950</f>
        <v>0.0225</v>
      </c>
      <c r="J950" s="0" t="n">
        <f aca="false">D950*D950</f>
        <v>0.81</v>
      </c>
      <c r="K950" s="0" t="n">
        <f aca="false">SUMPRODUCT(E950:J950,_XtX!$B$53:$G$53)</f>
        <v>44.9651637931035</v>
      </c>
      <c r="L950" s="0" t="n">
        <f aca="false">SUMPRODUCT(MMULT(E950:J950,_XtX!$B$44:$G$49),E950:J950)</f>
        <v>0.376187823275862</v>
      </c>
      <c r="M950" s="0" t="n">
        <f aca="false">04_回帰ANOVA!$K$19*04_回帰ANOVA!$K$14*SQRT(1+L950)</f>
        <v>1.58970092790052</v>
      </c>
      <c r="N950" s="0" t="n">
        <f aca="false">K950-M950</f>
        <v>43.3754628652029</v>
      </c>
      <c r="O950" s="0" t="n">
        <f aca="false">K950+M950</f>
        <v>46.554864721004</v>
      </c>
      <c r="P950" s="54" t="b">
        <f aca="false">AND(C950&gt;=01_因子設定!$L$5-0.000000001,C950&lt;=01_因子設定!$M$5+0.000000001,D950&gt;=01_因子設定!$L$6-0.000000001,D950&lt;=01_因子設定!$M$6+0.000000001,IF(01_因子設定!$B$20="Box-Behnken",C950^2+D950^2&lt;=2+0.000000001,TRUE()))</f>
        <v>1</v>
      </c>
      <c r="Q950" s="55" t="n">
        <f aca="false">IF(P950,IF(01_因子設定!$B$13="最大化",N950-01_因子設定!$B$14,IF(01_因子設定!$B$13="最小化",01_因子設定!$B$15-O950,MIN(N950-01_因子設定!$B$14,01_因子設定!$B$15-O950))),-1E+030)</f>
        <v>-3.12453713479707</v>
      </c>
      <c r="R950" s="55" t="n">
        <f aca="false">IF(P950,IF(01_因子設定!$B$13="最大化",K950,IF(01_因子設定!$B$13="最小化",-K950,-ABS(K950-01_因子設定!$B$16))),-1E+030)</f>
        <v>44.9651637931035</v>
      </c>
      <c r="S950" s="55" t="n">
        <f aca="false">Q950+ROW()*0.000000001</f>
        <v>-3.12453618479707</v>
      </c>
      <c r="T950" s="55" t="n">
        <f aca="false">R950+ROW()*0.000000001</f>
        <v>44.9651647431035</v>
      </c>
    </row>
    <row r="951" customFormat="false" ht="15" hidden="false" customHeight="false" outlineLevel="0" collapsed="false">
      <c r="A951" s="0" t="n">
        <v>23</v>
      </c>
      <c r="B951" s="0" t="n">
        <v>3</v>
      </c>
      <c r="C951" s="0" t="n">
        <f aca="false">-1+A951*0.05</f>
        <v>0.15</v>
      </c>
      <c r="D951" s="0" t="n">
        <f aca="false">-1+B951*0.05</f>
        <v>-0.85</v>
      </c>
      <c r="E951" s="0" t="n">
        <f aca="false">1</f>
        <v>1</v>
      </c>
      <c r="F951" s="0" t="n">
        <f aca="false">C951</f>
        <v>0.15</v>
      </c>
      <c r="G951" s="0" t="n">
        <f aca="false">D951</f>
        <v>-0.85</v>
      </c>
      <c r="H951" s="0" t="n">
        <f aca="false">C951*D951</f>
        <v>-0.1275</v>
      </c>
      <c r="I951" s="0" t="n">
        <f aca="false">C951*C951</f>
        <v>0.0225</v>
      </c>
      <c r="J951" s="0" t="n">
        <f aca="false">D951*D951</f>
        <v>0.7225</v>
      </c>
      <c r="K951" s="0" t="n">
        <f aca="false">SUMPRODUCT(E951:J951,_XtX!$B$53:$G$53)</f>
        <v>45.2166228448276</v>
      </c>
      <c r="L951" s="0" t="n">
        <f aca="false">SUMPRODUCT(MMULT(E951:J951,_XtX!$B$44:$G$49),E951:J951)</f>
        <v>0.331207668821839</v>
      </c>
      <c r="M951" s="0" t="n">
        <f aca="false">04_回帰ANOVA!$K$19*04_回帰ANOVA!$K$14*SQRT(1+L951)</f>
        <v>1.56350573192697</v>
      </c>
      <c r="N951" s="0" t="n">
        <f aca="false">K951-M951</f>
        <v>43.6531171129006</v>
      </c>
      <c r="O951" s="0" t="n">
        <f aca="false">K951+M951</f>
        <v>46.7801285767546</v>
      </c>
      <c r="P951" s="54" t="b">
        <f aca="false">AND(C951&gt;=01_因子設定!$L$5-0.000000001,C951&lt;=01_因子設定!$M$5+0.000000001,D951&gt;=01_因子設定!$L$6-0.000000001,D951&lt;=01_因子設定!$M$6+0.000000001,IF(01_因子設定!$B$20="Box-Behnken",C951^2+D951^2&lt;=2+0.000000001,TRUE()))</f>
        <v>1</v>
      </c>
      <c r="Q951" s="55" t="n">
        <f aca="false">IF(P951,IF(01_因子設定!$B$13="最大化",N951-01_因子設定!$B$14,IF(01_因子設定!$B$13="最小化",01_因子設定!$B$15-O951,MIN(N951-01_因子設定!$B$14,01_因子設定!$B$15-O951))),-1E+030)</f>
        <v>-2.84688288709938</v>
      </c>
      <c r="R951" s="55" t="n">
        <f aca="false">IF(P951,IF(01_因子設定!$B$13="最大化",K951,IF(01_因子設定!$B$13="最小化",-K951,-ABS(K951-01_因子設定!$B$16))),-1E+030)</f>
        <v>45.2166228448276</v>
      </c>
      <c r="S951" s="55" t="n">
        <f aca="false">Q951+ROW()*0.000000001</f>
        <v>-2.84688193609938</v>
      </c>
      <c r="T951" s="55" t="n">
        <f aca="false">R951+ROW()*0.000000001</f>
        <v>45.2166237958276</v>
      </c>
    </row>
    <row r="952" customFormat="false" ht="15" hidden="false" customHeight="false" outlineLevel="0" collapsed="false">
      <c r="A952" s="0" t="n">
        <v>23</v>
      </c>
      <c r="B952" s="0" t="n">
        <v>4</v>
      </c>
      <c r="C952" s="0" t="n">
        <f aca="false">-1+A952*0.05</f>
        <v>0.15</v>
      </c>
      <c r="D952" s="0" t="n">
        <f aca="false">-1+B952*0.05</f>
        <v>-0.8</v>
      </c>
      <c r="E952" s="0" t="n">
        <f aca="false">1</f>
        <v>1</v>
      </c>
      <c r="F952" s="0" t="n">
        <f aca="false">C952</f>
        <v>0.15</v>
      </c>
      <c r="G952" s="0" t="n">
        <f aca="false">D952</f>
        <v>-0.8</v>
      </c>
      <c r="H952" s="0" t="n">
        <f aca="false">C952*D952</f>
        <v>-0.12</v>
      </c>
      <c r="I952" s="0" t="n">
        <f aca="false">C952*C952</f>
        <v>0.0225</v>
      </c>
      <c r="J952" s="0" t="n">
        <f aca="false">D952*D952</f>
        <v>0.64</v>
      </c>
      <c r="K952" s="0" t="n">
        <f aca="false">SUMPRODUCT(E952:J952,_XtX!$B$53:$G$53)</f>
        <v>45.4603663793103</v>
      </c>
      <c r="L952" s="0" t="n">
        <f aca="false">SUMPRODUCT(MMULT(E952:J952,_XtX!$B$44:$G$49),E952:J952)</f>
        <v>0.293875826149425</v>
      </c>
      <c r="M952" s="0" t="n">
        <f aca="false">04_回帰ANOVA!$K$19*04_回帰ANOVA!$K$14*SQRT(1+L952)</f>
        <v>1.54142668001218</v>
      </c>
      <c r="N952" s="0" t="n">
        <f aca="false">K952-M952</f>
        <v>43.9189396992982</v>
      </c>
      <c r="O952" s="0" t="n">
        <f aca="false">K952+M952</f>
        <v>47.0017930593225</v>
      </c>
      <c r="P952" s="54" t="b">
        <f aca="false">AND(C952&gt;=01_因子設定!$L$5-0.000000001,C952&lt;=01_因子設定!$M$5+0.000000001,D952&gt;=01_因子設定!$L$6-0.000000001,D952&lt;=01_因子設定!$M$6+0.000000001,IF(01_因子設定!$B$20="Box-Behnken",C952^2+D952^2&lt;=2+0.000000001,TRUE()))</f>
        <v>1</v>
      </c>
      <c r="Q952" s="55" t="n">
        <f aca="false">IF(P952,IF(01_因子設定!$B$13="最大化",N952-01_因子設定!$B$14,IF(01_因子設定!$B$13="最小化",01_因子設定!$B$15-O952,MIN(N952-01_因子設定!$B$14,01_因子設定!$B$15-O952))),-1E+030)</f>
        <v>-2.58106030070183</v>
      </c>
      <c r="R952" s="55" t="n">
        <f aca="false">IF(P952,IF(01_因子設定!$B$13="最大化",K952,IF(01_因子設定!$B$13="最小化",-K952,-ABS(K952-01_因子設定!$B$16))),-1E+030)</f>
        <v>45.4603663793103</v>
      </c>
      <c r="S952" s="55" t="n">
        <f aca="false">Q952+ROW()*0.000000001</f>
        <v>-2.58105934870183</v>
      </c>
      <c r="T952" s="55" t="n">
        <f aca="false">R952+ROW()*0.000000001</f>
        <v>45.4603673313103</v>
      </c>
    </row>
    <row r="953" customFormat="false" ht="15" hidden="false" customHeight="false" outlineLevel="0" collapsed="false">
      <c r="A953" s="0" t="n">
        <v>23</v>
      </c>
      <c r="B953" s="0" t="n">
        <v>5</v>
      </c>
      <c r="C953" s="0" t="n">
        <f aca="false">-1+A953*0.05</f>
        <v>0.15</v>
      </c>
      <c r="D953" s="0" t="n">
        <f aca="false">-1+B953*0.05</f>
        <v>-0.75</v>
      </c>
      <c r="E953" s="0" t="n">
        <f aca="false">1</f>
        <v>1</v>
      </c>
      <c r="F953" s="0" t="n">
        <f aca="false">C953</f>
        <v>0.15</v>
      </c>
      <c r="G953" s="0" t="n">
        <f aca="false">D953</f>
        <v>-0.75</v>
      </c>
      <c r="H953" s="0" t="n">
        <f aca="false">C953*D953</f>
        <v>-0.1125</v>
      </c>
      <c r="I953" s="0" t="n">
        <f aca="false">C953*C953</f>
        <v>0.0225</v>
      </c>
      <c r="J953" s="0" t="n">
        <f aca="false">D953*D953</f>
        <v>0.5625</v>
      </c>
      <c r="K953" s="0" t="n">
        <f aca="false">SUMPRODUCT(E953:J953,_XtX!$B$53:$G$53)</f>
        <v>45.6963943965517</v>
      </c>
      <c r="L953" s="0" t="n">
        <f aca="false">SUMPRODUCT(MMULT(E953:J953,_XtX!$B$44:$G$49),E953:J953)</f>
        <v>0.263296174568966</v>
      </c>
      <c r="M953" s="0" t="n">
        <f aca="false">04_回帰ANOVA!$K$19*04_回帰ANOVA!$K$14*SQRT(1+L953)</f>
        <v>1.52310261176472</v>
      </c>
      <c r="N953" s="0" t="n">
        <f aca="false">K953-M953</f>
        <v>44.173291784787</v>
      </c>
      <c r="O953" s="0" t="n">
        <f aca="false">K953+M953</f>
        <v>47.2194970083164</v>
      </c>
      <c r="P953" s="54" t="b">
        <f aca="false">AND(C953&gt;=01_因子設定!$L$5-0.000000001,C953&lt;=01_因子設定!$M$5+0.000000001,D953&gt;=01_因子設定!$L$6-0.000000001,D953&lt;=01_因子設定!$M$6+0.000000001,IF(01_因子設定!$B$20="Box-Behnken",C953^2+D953^2&lt;=2+0.000000001,TRUE()))</f>
        <v>1</v>
      </c>
      <c r="Q953" s="55" t="n">
        <f aca="false">IF(P953,IF(01_因子設定!$B$13="最大化",N953-01_因子設定!$B$14,IF(01_因子設定!$B$13="最小化",01_因子設定!$B$15-O953,MIN(N953-01_因子設定!$B$14,01_因子設定!$B$15-O953))),-1E+030)</f>
        <v>-2.326708215213</v>
      </c>
      <c r="R953" s="55" t="n">
        <f aca="false">IF(P953,IF(01_因子設定!$B$13="最大化",K953,IF(01_因子設定!$B$13="最小化",-K953,-ABS(K953-01_因子設定!$B$16))),-1E+030)</f>
        <v>45.6963943965517</v>
      </c>
      <c r="S953" s="55" t="n">
        <f aca="false">Q953+ROW()*0.000000001</f>
        <v>-2.326707262213</v>
      </c>
      <c r="T953" s="55" t="n">
        <f aca="false">R953+ROW()*0.000000001</f>
        <v>45.6963953495517</v>
      </c>
    </row>
    <row r="954" customFormat="false" ht="15" hidden="false" customHeight="false" outlineLevel="0" collapsed="false">
      <c r="A954" s="0" t="n">
        <v>23</v>
      </c>
      <c r="B954" s="0" t="n">
        <v>6</v>
      </c>
      <c r="C954" s="0" t="n">
        <f aca="false">-1+A954*0.05</f>
        <v>0.15</v>
      </c>
      <c r="D954" s="0" t="n">
        <f aca="false">-1+B954*0.05</f>
        <v>-0.7</v>
      </c>
      <c r="E954" s="0" t="n">
        <f aca="false">1</f>
        <v>1</v>
      </c>
      <c r="F954" s="0" t="n">
        <f aca="false">C954</f>
        <v>0.15</v>
      </c>
      <c r="G954" s="0" t="n">
        <f aca="false">D954</f>
        <v>-0.7</v>
      </c>
      <c r="H954" s="0" t="n">
        <f aca="false">C954*D954</f>
        <v>-0.105</v>
      </c>
      <c r="I954" s="0" t="n">
        <f aca="false">C954*C954</f>
        <v>0.0225</v>
      </c>
      <c r="J954" s="0" t="n">
        <f aca="false">D954*D954</f>
        <v>0.49</v>
      </c>
      <c r="K954" s="0" t="n">
        <f aca="false">SUMPRODUCT(E954:J954,_XtX!$B$53:$G$53)</f>
        <v>45.9247068965517</v>
      </c>
      <c r="L954" s="0" t="n">
        <f aca="false">SUMPRODUCT(MMULT(E954:J954,_XtX!$B$44:$G$49),E954:J954)</f>
        <v>0.238626903735632</v>
      </c>
      <c r="M954" s="0" t="n">
        <f aca="false">04_回帰ANOVA!$K$19*04_回帰ANOVA!$K$14*SQRT(1+L954)</f>
        <v>1.50815794660713</v>
      </c>
      <c r="N954" s="0" t="n">
        <f aca="false">K954-M954</f>
        <v>44.4165489499446</v>
      </c>
      <c r="O954" s="0" t="n">
        <f aca="false">K954+M954</f>
        <v>47.4328648431589</v>
      </c>
      <c r="P954" s="54" t="b">
        <f aca="false">AND(C954&gt;=01_因子設定!$L$5-0.000000001,C954&lt;=01_因子設定!$M$5+0.000000001,D954&gt;=01_因子設定!$L$6-0.000000001,D954&lt;=01_因子設定!$M$6+0.000000001,IF(01_因子設定!$B$20="Box-Behnken",C954^2+D954^2&lt;=2+0.000000001,TRUE()))</f>
        <v>1</v>
      </c>
      <c r="Q954" s="55" t="n">
        <f aca="false">IF(P954,IF(01_因子設定!$B$13="最大化",N954-01_因子設定!$B$14,IF(01_因子設定!$B$13="最小化",01_因子設定!$B$15-O954,MIN(N954-01_因子設定!$B$14,01_因子設定!$B$15-O954))),-1E+030)</f>
        <v>-2.0834510500554</v>
      </c>
      <c r="R954" s="55" t="n">
        <f aca="false">IF(P954,IF(01_因子設定!$B$13="最大化",K954,IF(01_因子設定!$B$13="最小化",-K954,-ABS(K954-01_因子設定!$B$16))),-1E+030)</f>
        <v>45.9247068965517</v>
      </c>
      <c r="S954" s="55" t="n">
        <f aca="false">Q954+ROW()*0.000000001</f>
        <v>-2.0834500960554</v>
      </c>
      <c r="T954" s="55" t="n">
        <f aca="false">R954+ROW()*0.000000001</f>
        <v>45.9247078505517</v>
      </c>
    </row>
    <row r="955" customFormat="false" ht="15" hidden="false" customHeight="false" outlineLevel="0" collapsed="false">
      <c r="A955" s="0" t="n">
        <v>23</v>
      </c>
      <c r="B955" s="0" t="n">
        <v>7</v>
      </c>
      <c r="C955" s="0" t="n">
        <f aca="false">-1+A955*0.05</f>
        <v>0.15</v>
      </c>
      <c r="D955" s="0" t="n">
        <f aca="false">-1+B955*0.05</f>
        <v>-0.65</v>
      </c>
      <c r="E955" s="0" t="n">
        <f aca="false">1</f>
        <v>1</v>
      </c>
      <c r="F955" s="0" t="n">
        <f aca="false">C955</f>
        <v>0.15</v>
      </c>
      <c r="G955" s="0" t="n">
        <f aca="false">D955</f>
        <v>-0.65</v>
      </c>
      <c r="H955" s="0" t="n">
        <f aca="false">C955*D955</f>
        <v>-0.0975000000000001</v>
      </c>
      <c r="I955" s="0" t="n">
        <f aca="false">C955*C955</f>
        <v>0.0225</v>
      </c>
      <c r="J955" s="0" t="n">
        <f aca="false">D955*D955</f>
        <v>0.4225</v>
      </c>
      <c r="K955" s="0" t="n">
        <f aca="false">SUMPRODUCT(E955:J955,_XtX!$B$53:$G$53)</f>
        <v>46.1453038793104</v>
      </c>
      <c r="L955" s="0" t="n">
        <f aca="false">SUMPRODUCT(MMULT(E955:J955,_XtX!$B$44:$G$49),E955:J955)</f>
        <v>0.219080513649425</v>
      </c>
      <c r="M955" s="0" t="n">
        <f aca="false">04_回帰ANOVA!$K$19*04_回帰ANOVA!$K$14*SQRT(1+L955)</f>
        <v>1.49621073709053</v>
      </c>
      <c r="N955" s="0" t="n">
        <f aca="false">K955-M955</f>
        <v>44.6490931422198</v>
      </c>
      <c r="O955" s="0" t="n">
        <f aca="false">K955+M955</f>
        <v>47.6415146164009</v>
      </c>
      <c r="P955" s="54" t="b">
        <f aca="false">AND(C955&gt;=01_因子設定!$L$5-0.000000001,C955&lt;=01_因子設定!$M$5+0.000000001,D955&gt;=01_因子設定!$L$6-0.000000001,D955&lt;=01_因子設定!$M$6+0.000000001,IF(01_因子設定!$B$20="Box-Behnken",C955^2+D955^2&lt;=2+0.000000001,TRUE()))</f>
        <v>1</v>
      </c>
      <c r="Q955" s="55" t="n">
        <f aca="false">IF(P955,IF(01_因子設定!$B$13="最大化",N955-01_因子設定!$B$14,IF(01_因子設定!$B$13="最小化",01_因子設定!$B$15-O955,MIN(N955-01_因子設定!$B$14,01_因子設定!$B$15-O955))),-1E+030)</f>
        <v>-1.85090685778018</v>
      </c>
      <c r="R955" s="55" t="n">
        <f aca="false">IF(P955,IF(01_因子設定!$B$13="最大化",K955,IF(01_因子設定!$B$13="最小化",-K955,-ABS(K955-01_因子設定!$B$16))),-1E+030)</f>
        <v>46.1453038793104</v>
      </c>
      <c r="S955" s="55" t="n">
        <f aca="false">Q955+ROW()*0.000000001</f>
        <v>-1.85090590278018</v>
      </c>
      <c r="T955" s="55" t="n">
        <f aca="false">R955+ROW()*0.000000001</f>
        <v>46.1453048343103</v>
      </c>
    </row>
    <row r="956" customFormat="false" ht="15" hidden="false" customHeight="false" outlineLevel="0" collapsed="false">
      <c r="A956" s="0" t="n">
        <v>23</v>
      </c>
      <c r="B956" s="0" t="n">
        <v>8</v>
      </c>
      <c r="C956" s="0" t="n">
        <f aca="false">-1+A956*0.05</f>
        <v>0.15</v>
      </c>
      <c r="D956" s="0" t="n">
        <f aca="false">-1+B956*0.05</f>
        <v>-0.6</v>
      </c>
      <c r="E956" s="0" t="n">
        <f aca="false">1</f>
        <v>1</v>
      </c>
      <c r="F956" s="0" t="n">
        <f aca="false">C956</f>
        <v>0.15</v>
      </c>
      <c r="G956" s="0" t="n">
        <f aca="false">D956</f>
        <v>-0.6</v>
      </c>
      <c r="H956" s="0" t="n">
        <f aca="false">C956*D956</f>
        <v>-0.0900000000000001</v>
      </c>
      <c r="I956" s="0" t="n">
        <f aca="false">C956*C956</f>
        <v>0.0225</v>
      </c>
      <c r="J956" s="0" t="n">
        <f aca="false">D956*D956</f>
        <v>0.36</v>
      </c>
      <c r="K956" s="0" t="n">
        <f aca="false">SUMPRODUCT(E956:J956,_XtX!$B$53:$G$53)</f>
        <v>46.3581853448276</v>
      </c>
      <c r="L956" s="0" t="n">
        <f aca="false">SUMPRODUCT(MMULT(E956:J956,_XtX!$B$44:$G$49),E956:J956)</f>
        <v>0.203923814655172</v>
      </c>
      <c r="M956" s="0" t="n">
        <f aca="false">04_回帰ANOVA!$K$19*04_回帰ANOVA!$K$14*SQRT(1+L956)</f>
        <v>1.48688053115555</v>
      </c>
      <c r="N956" s="0" t="n">
        <f aca="false">K956-M956</f>
        <v>44.871304813672</v>
      </c>
      <c r="O956" s="0" t="n">
        <f aca="false">K956+M956</f>
        <v>47.8450658759831</v>
      </c>
      <c r="P956" s="54" t="b">
        <f aca="false">AND(C956&gt;=01_因子設定!$L$5-0.000000001,C956&lt;=01_因子設定!$M$5+0.000000001,D956&gt;=01_因子設定!$L$6-0.000000001,D956&lt;=01_因子設定!$M$6+0.000000001,IF(01_因子設定!$B$20="Box-Behnken",C956^2+D956^2&lt;=2+0.000000001,TRUE()))</f>
        <v>1</v>
      </c>
      <c r="Q956" s="55" t="n">
        <f aca="false">IF(P956,IF(01_因子設定!$B$13="最大化",N956-01_因子設定!$B$14,IF(01_因子設定!$B$13="最小化",01_因子設定!$B$15-O956,MIN(N956-01_因子設定!$B$14,01_因子設定!$B$15-O956))),-1E+030)</f>
        <v>-1.62869518632796</v>
      </c>
      <c r="R956" s="55" t="n">
        <f aca="false">IF(P956,IF(01_因子設定!$B$13="最大化",K956,IF(01_因子設定!$B$13="最小化",-K956,-ABS(K956-01_因子設定!$B$16))),-1E+030)</f>
        <v>46.3581853448276</v>
      </c>
      <c r="S956" s="55" t="n">
        <f aca="false">Q956+ROW()*0.000000001</f>
        <v>-1.62869423032796</v>
      </c>
      <c r="T956" s="55" t="n">
        <f aca="false">R956+ROW()*0.000000001</f>
        <v>46.3581863008276</v>
      </c>
    </row>
    <row r="957" customFormat="false" ht="15" hidden="false" customHeight="false" outlineLevel="0" collapsed="false">
      <c r="A957" s="0" t="n">
        <v>23</v>
      </c>
      <c r="B957" s="0" t="n">
        <v>9</v>
      </c>
      <c r="C957" s="0" t="n">
        <f aca="false">-1+A957*0.05</f>
        <v>0.15</v>
      </c>
      <c r="D957" s="0" t="n">
        <f aca="false">-1+B957*0.05</f>
        <v>-0.55</v>
      </c>
      <c r="E957" s="0" t="n">
        <f aca="false">1</f>
        <v>1</v>
      </c>
      <c r="F957" s="0" t="n">
        <f aca="false">C957</f>
        <v>0.15</v>
      </c>
      <c r="G957" s="0" t="n">
        <f aca="false">D957</f>
        <v>-0.55</v>
      </c>
      <c r="H957" s="0" t="n">
        <f aca="false">C957*D957</f>
        <v>-0.0825000000000001</v>
      </c>
      <c r="I957" s="0" t="n">
        <f aca="false">C957*C957</f>
        <v>0.0225</v>
      </c>
      <c r="J957" s="0" t="n">
        <f aca="false">D957*D957</f>
        <v>0.3025</v>
      </c>
      <c r="K957" s="0" t="n">
        <f aca="false">SUMPRODUCT(E957:J957,_XtX!$B$53:$G$53)</f>
        <v>46.5633512931035</v>
      </c>
      <c r="L957" s="0" t="n">
        <f aca="false">SUMPRODUCT(MMULT(E957:J957,_XtX!$B$44:$G$49),E957:J957)</f>
        <v>0.192477927442529</v>
      </c>
      <c r="M957" s="0" t="n">
        <f aca="false">04_回帰ANOVA!$K$19*04_回帰ANOVA!$K$14*SQRT(1+L957)</f>
        <v>1.47979565176085</v>
      </c>
      <c r="N957" s="0" t="n">
        <f aca="false">K957-M957</f>
        <v>45.0835556413426</v>
      </c>
      <c r="O957" s="0" t="n">
        <f aca="false">K957+M957</f>
        <v>48.0431469448643</v>
      </c>
      <c r="P957" s="54" t="b">
        <f aca="false">AND(C957&gt;=01_因子設定!$L$5-0.000000001,C957&lt;=01_因子設定!$M$5+0.000000001,D957&gt;=01_因子設定!$L$6-0.000000001,D957&lt;=01_因子設定!$M$6+0.000000001,IF(01_因子設定!$B$20="Box-Behnken",C957^2+D957^2&lt;=2+0.000000001,TRUE()))</f>
        <v>1</v>
      </c>
      <c r="Q957" s="55" t="n">
        <f aca="false">IF(P957,IF(01_因子設定!$B$13="最大化",N957-01_因子設定!$B$14,IF(01_因子設定!$B$13="最小化",01_因子設定!$B$15-O957,MIN(N957-01_因子設定!$B$14,01_因子設定!$B$15-O957))),-1E+030)</f>
        <v>-1.41644435865739</v>
      </c>
      <c r="R957" s="55" t="n">
        <f aca="false">IF(P957,IF(01_因子設定!$B$13="最大化",K957,IF(01_因子設定!$B$13="最小化",-K957,-ABS(K957-01_因子設定!$B$16))),-1E+030)</f>
        <v>46.5633512931035</v>
      </c>
      <c r="S957" s="55" t="n">
        <f aca="false">Q957+ROW()*0.000000001</f>
        <v>-1.41644340165739</v>
      </c>
      <c r="T957" s="55" t="n">
        <f aca="false">R957+ROW()*0.000000001</f>
        <v>46.5633522501035</v>
      </c>
    </row>
    <row r="958" customFormat="false" ht="15" hidden="false" customHeight="false" outlineLevel="0" collapsed="false">
      <c r="A958" s="0" t="n">
        <v>23</v>
      </c>
      <c r="B958" s="0" t="n">
        <v>10</v>
      </c>
      <c r="C958" s="0" t="n">
        <f aca="false">-1+A958*0.05</f>
        <v>0.15</v>
      </c>
      <c r="D958" s="0" t="n">
        <f aca="false">-1+B958*0.05</f>
        <v>-0.5</v>
      </c>
      <c r="E958" s="0" t="n">
        <f aca="false">1</f>
        <v>1</v>
      </c>
      <c r="F958" s="0" t="n">
        <f aca="false">C958</f>
        <v>0.15</v>
      </c>
      <c r="G958" s="0" t="n">
        <f aca="false">D958</f>
        <v>-0.5</v>
      </c>
      <c r="H958" s="0" t="n">
        <f aca="false">C958*D958</f>
        <v>-0.0750000000000001</v>
      </c>
      <c r="I958" s="0" t="n">
        <f aca="false">C958*C958</f>
        <v>0.0225</v>
      </c>
      <c r="J958" s="0" t="n">
        <f aca="false">D958*D958</f>
        <v>0.25</v>
      </c>
      <c r="K958" s="0" t="n">
        <f aca="false">SUMPRODUCT(E958:J958,_XtX!$B$53:$G$53)</f>
        <v>46.7608017241379</v>
      </c>
      <c r="L958" s="0" t="n">
        <f aca="false">SUMPRODUCT(MMULT(E958:J958,_XtX!$B$44:$G$49),E958:J958)</f>
        <v>0.184118283045977</v>
      </c>
      <c r="M958" s="0" t="n">
        <f aca="false">04_回帰ANOVA!$K$19*04_回帰ANOVA!$K$14*SQRT(1+L958)</f>
        <v>1.47459961338687</v>
      </c>
      <c r="N958" s="0" t="n">
        <f aca="false">K958-M958</f>
        <v>45.2862021107511</v>
      </c>
      <c r="O958" s="0" t="n">
        <f aca="false">K958+M958</f>
        <v>48.2354013375248</v>
      </c>
      <c r="P958" s="54" t="b">
        <f aca="false">AND(C958&gt;=01_因子設定!$L$5-0.000000001,C958&lt;=01_因子設定!$M$5+0.000000001,D958&gt;=01_因子設定!$L$6-0.000000001,D958&lt;=01_因子設定!$M$6+0.000000001,IF(01_因子設定!$B$20="Box-Behnken",C958^2+D958^2&lt;=2+0.000000001,TRUE()))</f>
        <v>1</v>
      </c>
      <c r="Q958" s="55" t="n">
        <f aca="false">IF(P958,IF(01_因子設定!$B$13="最大化",N958-01_因子設定!$B$14,IF(01_因子設定!$B$13="最小化",01_因子設定!$B$15-O958,MIN(N958-01_因子設定!$B$14,01_因子設定!$B$15-O958))),-1E+030)</f>
        <v>-1.21379788924893</v>
      </c>
      <c r="R958" s="55" t="n">
        <f aca="false">IF(P958,IF(01_因子設定!$B$13="最大化",K958,IF(01_因子設定!$B$13="最小化",-K958,-ABS(K958-01_因子設定!$B$16))),-1E+030)</f>
        <v>46.7608017241379</v>
      </c>
      <c r="S958" s="55" t="n">
        <f aca="false">Q958+ROW()*0.000000001</f>
        <v>-1.21379693124893</v>
      </c>
      <c r="T958" s="55" t="n">
        <f aca="false">R958+ROW()*0.000000001</f>
        <v>46.7608026821379</v>
      </c>
    </row>
    <row r="959" customFormat="false" ht="15" hidden="false" customHeight="false" outlineLevel="0" collapsed="false">
      <c r="A959" s="0" t="n">
        <v>23</v>
      </c>
      <c r="B959" s="0" t="n">
        <v>11</v>
      </c>
      <c r="C959" s="0" t="n">
        <f aca="false">-1+A959*0.05</f>
        <v>0.15</v>
      </c>
      <c r="D959" s="0" t="n">
        <f aca="false">-1+B959*0.05</f>
        <v>-0.45</v>
      </c>
      <c r="E959" s="0" t="n">
        <f aca="false">1</f>
        <v>1</v>
      </c>
      <c r="F959" s="0" t="n">
        <f aca="false">C959</f>
        <v>0.15</v>
      </c>
      <c r="G959" s="0" t="n">
        <f aca="false">D959</f>
        <v>-0.45</v>
      </c>
      <c r="H959" s="0" t="n">
        <f aca="false">C959*D959</f>
        <v>-0.0675000000000001</v>
      </c>
      <c r="I959" s="0" t="n">
        <f aca="false">C959*C959</f>
        <v>0.0225</v>
      </c>
      <c r="J959" s="0" t="n">
        <f aca="false">D959*D959</f>
        <v>0.2025</v>
      </c>
      <c r="K959" s="0" t="n">
        <f aca="false">SUMPRODUCT(E959:J959,_XtX!$B$53:$G$53)</f>
        <v>46.950536637931</v>
      </c>
      <c r="L959" s="0" t="n">
        <f aca="false">SUMPRODUCT(MMULT(E959:J959,_XtX!$B$44:$G$49),E959:J959)</f>
        <v>0.178274622844828</v>
      </c>
      <c r="M959" s="0" t="n">
        <f aca="false">04_回帰ANOVA!$K$19*04_回帰ANOVA!$K$14*SQRT(1+L959)</f>
        <v>1.47095651587113</v>
      </c>
      <c r="N959" s="0" t="n">
        <f aca="false">K959-M959</f>
        <v>45.4795801220599</v>
      </c>
      <c r="O959" s="0" t="n">
        <f aca="false">K959+M959</f>
        <v>48.4214931538022</v>
      </c>
      <c r="P959" s="54" t="b">
        <f aca="false">AND(C959&gt;=01_因子設定!$L$5-0.000000001,C959&lt;=01_因子設定!$M$5+0.000000001,D959&gt;=01_因子設定!$L$6-0.000000001,D959&lt;=01_因子設定!$M$6+0.000000001,IF(01_因子設定!$B$20="Box-Behnken",C959^2+D959^2&lt;=2+0.000000001,TRUE()))</f>
        <v>1</v>
      </c>
      <c r="Q959" s="55" t="n">
        <f aca="false">IF(P959,IF(01_因子設定!$B$13="最大化",N959-01_因子設定!$B$14,IF(01_因子設定!$B$13="最小化",01_因子設定!$B$15-O959,MIN(N959-01_因子設定!$B$14,01_因子設定!$B$15-O959))),-1E+030)</f>
        <v>-1.02041987794009</v>
      </c>
      <c r="R959" s="55" t="n">
        <f aca="false">IF(P959,IF(01_因子設定!$B$13="最大化",K959,IF(01_因子設定!$B$13="最小化",-K959,-ABS(K959-01_因子設定!$B$16))),-1E+030)</f>
        <v>46.950536637931</v>
      </c>
      <c r="S959" s="55" t="n">
        <f aca="false">Q959+ROW()*0.000000001</f>
        <v>-1.02041891894009</v>
      </c>
      <c r="T959" s="55" t="n">
        <f aca="false">R959+ROW()*0.000000001</f>
        <v>46.950537596931</v>
      </c>
    </row>
    <row r="960" customFormat="false" ht="15" hidden="false" customHeight="false" outlineLevel="0" collapsed="false">
      <c r="A960" s="0" t="n">
        <v>23</v>
      </c>
      <c r="B960" s="0" t="n">
        <v>12</v>
      </c>
      <c r="C960" s="0" t="n">
        <f aca="false">-1+A960*0.05</f>
        <v>0.15</v>
      </c>
      <c r="D960" s="0" t="n">
        <f aca="false">-1+B960*0.05</f>
        <v>-0.4</v>
      </c>
      <c r="E960" s="0" t="n">
        <f aca="false">1</f>
        <v>1</v>
      </c>
      <c r="F960" s="0" t="n">
        <f aca="false">C960</f>
        <v>0.15</v>
      </c>
      <c r="G960" s="0" t="n">
        <f aca="false">D960</f>
        <v>-0.4</v>
      </c>
      <c r="H960" s="0" t="n">
        <f aca="false">C960*D960</f>
        <v>-0.06</v>
      </c>
      <c r="I960" s="0" t="n">
        <f aca="false">C960*C960</f>
        <v>0.0225</v>
      </c>
      <c r="J960" s="0" t="n">
        <f aca="false">D960*D960</f>
        <v>0.16</v>
      </c>
      <c r="K960" s="0" t="n">
        <f aca="false">SUMPRODUCT(E960:J960,_XtX!$B$53:$G$53)</f>
        <v>47.1325560344828</v>
      </c>
      <c r="L960" s="0" t="n">
        <f aca="false">SUMPRODUCT(MMULT(E960:J960,_XtX!$B$44:$G$49),E960:J960)</f>
        <v>0.174430998563218</v>
      </c>
      <c r="M960" s="0" t="n">
        <f aca="false">04_回帰ANOVA!$K$19*04_回帰ANOVA!$K$14*SQRT(1+L960)</f>
        <v>1.46855536829659</v>
      </c>
      <c r="N960" s="0" t="n">
        <f aca="false">K960-M960</f>
        <v>45.6640006661862</v>
      </c>
      <c r="O960" s="0" t="n">
        <f aca="false">K960+M960</f>
        <v>48.6011114027794</v>
      </c>
      <c r="P960" s="54" t="b">
        <f aca="false">AND(C960&gt;=01_因子設定!$L$5-0.000000001,C960&lt;=01_因子設定!$M$5+0.000000001,D960&gt;=01_因子設定!$L$6-0.000000001,D960&lt;=01_因子設定!$M$6+0.000000001,IF(01_因子設定!$B$20="Box-Behnken",C960^2+D960^2&lt;=2+0.000000001,TRUE()))</f>
        <v>1</v>
      </c>
      <c r="Q960" s="55" t="n">
        <f aca="false">IF(P960,IF(01_因子設定!$B$13="最大化",N960-01_因子設定!$B$14,IF(01_因子設定!$B$13="最小化",01_因子設定!$B$15-O960,MIN(N960-01_因子設定!$B$14,01_因子設定!$B$15-O960))),-1E+030)</f>
        <v>-0.835999333813831</v>
      </c>
      <c r="R960" s="55" t="n">
        <f aca="false">IF(P960,IF(01_因子設定!$B$13="最大化",K960,IF(01_因子設定!$B$13="最小化",-K960,-ABS(K960-01_因子設定!$B$16))),-1E+030)</f>
        <v>47.1325560344828</v>
      </c>
      <c r="S960" s="55" t="n">
        <f aca="false">Q960+ROW()*0.000000001</f>
        <v>-0.835998373813831</v>
      </c>
      <c r="T960" s="55" t="n">
        <f aca="false">R960+ROW()*0.000000001</f>
        <v>47.1325569944828</v>
      </c>
    </row>
    <row r="961" customFormat="false" ht="15" hidden="false" customHeight="false" outlineLevel="0" collapsed="false">
      <c r="A961" s="0" t="n">
        <v>23</v>
      </c>
      <c r="B961" s="0" t="n">
        <v>13</v>
      </c>
      <c r="C961" s="0" t="n">
        <f aca="false">-1+A961*0.05</f>
        <v>0.15</v>
      </c>
      <c r="D961" s="0" t="n">
        <f aca="false">-1+B961*0.05</f>
        <v>-0.35</v>
      </c>
      <c r="E961" s="0" t="n">
        <f aca="false">1</f>
        <v>1</v>
      </c>
      <c r="F961" s="0" t="n">
        <f aca="false">C961</f>
        <v>0.15</v>
      </c>
      <c r="G961" s="0" t="n">
        <f aca="false">D961</f>
        <v>-0.35</v>
      </c>
      <c r="H961" s="0" t="n">
        <f aca="false">C961*D961</f>
        <v>-0.0525000000000001</v>
      </c>
      <c r="I961" s="0" t="n">
        <f aca="false">C961*C961</f>
        <v>0.0225</v>
      </c>
      <c r="J961" s="0" t="n">
        <f aca="false">D961*D961</f>
        <v>0.1225</v>
      </c>
      <c r="K961" s="0" t="n">
        <f aca="false">SUMPRODUCT(E961:J961,_XtX!$B$53:$G$53)</f>
        <v>47.3068599137931</v>
      </c>
      <c r="L961" s="0" t="n">
        <f aca="false">SUMPRODUCT(MMULT(E961:J961,_XtX!$B$44:$G$49),E961:J961)</f>
        <v>0.172125772270115</v>
      </c>
      <c r="M961" s="0" t="n">
        <f aca="false">04_回帰ANOVA!$K$19*04_回帰ANOVA!$K$14*SQRT(1+L961)</f>
        <v>1.46711338689661</v>
      </c>
      <c r="N961" s="0" t="n">
        <f aca="false">K961-M961</f>
        <v>45.8397465268965</v>
      </c>
      <c r="O961" s="0" t="n">
        <f aca="false">K961+M961</f>
        <v>48.7739733006897</v>
      </c>
      <c r="P961" s="54" t="b">
        <f aca="false">AND(C961&gt;=01_因子設定!$L$5-0.000000001,C961&lt;=01_因子設定!$M$5+0.000000001,D961&gt;=01_因子設定!$L$6-0.000000001,D961&lt;=01_因子設定!$M$6+0.000000001,IF(01_因子設定!$B$20="Box-Behnken",C961^2+D961^2&lt;=2+0.000000001,TRUE()))</f>
        <v>1</v>
      </c>
      <c r="Q961" s="55" t="n">
        <f aca="false">IF(P961,IF(01_因子設定!$B$13="最大化",N961-01_因子設定!$B$14,IF(01_因子設定!$B$13="最小化",01_因子設定!$B$15-O961,MIN(N961-01_因子設定!$B$14,01_因子設定!$B$15-O961))),-1E+030)</f>
        <v>-0.660253473103502</v>
      </c>
      <c r="R961" s="55" t="n">
        <f aca="false">IF(P961,IF(01_因子設定!$B$13="最大化",K961,IF(01_因子設定!$B$13="最小化",-K961,-ABS(K961-01_因子設定!$B$16))),-1E+030)</f>
        <v>47.3068599137931</v>
      </c>
      <c r="S961" s="55" t="n">
        <f aca="false">Q961+ROW()*0.000000001</f>
        <v>-0.660252512103502</v>
      </c>
      <c r="T961" s="55" t="n">
        <f aca="false">R961+ROW()*0.000000001</f>
        <v>47.3068608747931</v>
      </c>
    </row>
    <row r="962" customFormat="false" ht="15" hidden="false" customHeight="false" outlineLevel="0" collapsed="false">
      <c r="A962" s="0" t="n">
        <v>23</v>
      </c>
      <c r="B962" s="0" t="n">
        <v>14</v>
      </c>
      <c r="C962" s="0" t="n">
        <f aca="false">-1+A962*0.05</f>
        <v>0.15</v>
      </c>
      <c r="D962" s="0" t="n">
        <f aca="false">-1+B962*0.05</f>
        <v>-0.3</v>
      </c>
      <c r="E962" s="0" t="n">
        <f aca="false">1</f>
        <v>1</v>
      </c>
      <c r="F962" s="0" t="n">
        <f aca="false">C962</f>
        <v>0.15</v>
      </c>
      <c r="G962" s="0" t="n">
        <f aca="false">D962</f>
        <v>-0.3</v>
      </c>
      <c r="H962" s="0" t="n">
        <f aca="false">C962*D962</f>
        <v>-0.045</v>
      </c>
      <c r="I962" s="0" t="n">
        <f aca="false">C962*C962</f>
        <v>0.0225</v>
      </c>
      <c r="J962" s="0" t="n">
        <f aca="false">D962*D962</f>
        <v>0.09</v>
      </c>
      <c r="K962" s="0" t="n">
        <f aca="false">SUMPRODUCT(E962:J962,_XtX!$B$53:$G$53)</f>
        <v>47.4734482758621</v>
      </c>
      <c r="L962" s="0" t="n">
        <f aca="false">SUMPRODUCT(MMULT(E962:J962,_XtX!$B$44:$G$49),E962:J962)</f>
        <v>0.17095161637931</v>
      </c>
      <c r="M962" s="0" t="n">
        <f aca="false">04_回帰ANOVA!$K$19*04_回帰ANOVA!$K$14*SQRT(1+L962)</f>
        <v>1.46637837556782</v>
      </c>
      <c r="N962" s="0" t="n">
        <f aca="false">K962-M962</f>
        <v>46.0070699002943</v>
      </c>
      <c r="O962" s="0" t="n">
        <f aca="false">K962+M962</f>
        <v>48.9398266514299</v>
      </c>
      <c r="P962" s="54" t="b">
        <f aca="false">AND(C962&gt;=01_因子設定!$L$5-0.000000001,C962&lt;=01_因子設定!$M$5+0.000000001,D962&gt;=01_因子設定!$L$6-0.000000001,D962&lt;=01_因子設定!$M$6+0.000000001,IF(01_因子設定!$B$20="Box-Behnken",C962^2+D962^2&lt;=2+0.000000001,TRUE()))</f>
        <v>1</v>
      </c>
      <c r="Q962" s="55" t="n">
        <f aca="false">IF(P962,IF(01_因子設定!$B$13="最大化",N962-01_因子設定!$B$14,IF(01_因子設定!$B$13="最小化",01_因子設定!$B$15-O962,MIN(N962-01_因子設定!$B$14,01_因子設定!$B$15-O962))),-1E+030)</f>
        <v>-0.492930099705752</v>
      </c>
      <c r="R962" s="55" t="n">
        <f aca="false">IF(P962,IF(01_因子設定!$B$13="最大化",K962,IF(01_因子設定!$B$13="最小化",-K962,-ABS(K962-01_因子設定!$B$16))),-1E+030)</f>
        <v>47.4734482758621</v>
      </c>
      <c r="S962" s="55" t="n">
        <f aca="false">Q962+ROW()*0.000000001</f>
        <v>-0.492929137705752</v>
      </c>
      <c r="T962" s="55" t="n">
        <f aca="false">R962+ROW()*0.000000001</f>
        <v>47.4734492378621</v>
      </c>
    </row>
    <row r="963" customFormat="false" ht="15" hidden="false" customHeight="false" outlineLevel="0" collapsed="false">
      <c r="A963" s="0" t="n">
        <v>23</v>
      </c>
      <c r="B963" s="0" t="n">
        <v>15</v>
      </c>
      <c r="C963" s="0" t="n">
        <f aca="false">-1+A963*0.05</f>
        <v>0.15</v>
      </c>
      <c r="D963" s="0" t="n">
        <f aca="false">-1+B963*0.05</f>
        <v>-0.25</v>
      </c>
      <c r="E963" s="0" t="n">
        <f aca="false">1</f>
        <v>1</v>
      </c>
      <c r="F963" s="0" t="n">
        <f aca="false">C963</f>
        <v>0.15</v>
      </c>
      <c r="G963" s="0" t="n">
        <f aca="false">D963</f>
        <v>-0.25</v>
      </c>
      <c r="H963" s="0" t="n">
        <f aca="false">C963*D963</f>
        <v>-0.0375</v>
      </c>
      <c r="I963" s="0" t="n">
        <f aca="false">C963*C963</f>
        <v>0.0225</v>
      </c>
      <c r="J963" s="0" t="n">
        <f aca="false">D963*D963</f>
        <v>0.0625</v>
      </c>
      <c r="K963" s="0" t="n">
        <f aca="false">SUMPRODUCT(E963:J963,_XtX!$B$53:$G$53)</f>
        <v>47.6323211206897</v>
      </c>
      <c r="L963" s="0" t="n">
        <f aca="false">SUMPRODUCT(MMULT(E963:J963,_XtX!$B$44:$G$49),E963:J963)</f>
        <v>0.170555513649425</v>
      </c>
      <c r="M963" s="0" t="n">
        <f aca="false">04_回帰ANOVA!$K$19*04_回帰ANOVA!$K$14*SQRT(1+L963)</f>
        <v>1.46613033559833</v>
      </c>
      <c r="N963" s="0" t="n">
        <f aca="false">K963-M963</f>
        <v>46.1661907850913</v>
      </c>
      <c r="O963" s="0" t="n">
        <f aca="false">K963+M963</f>
        <v>49.098451456288</v>
      </c>
      <c r="P963" s="54" t="b">
        <f aca="false">AND(C963&gt;=01_因子設定!$L$5-0.000000001,C963&lt;=01_因子設定!$M$5+0.000000001,D963&gt;=01_因子設定!$L$6-0.000000001,D963&lt;=01_因子設定!$M$6+0.000000001,IF(01_因子設定!$B$20="Box-Behnken",C963^2+D963^2&lt;=2+0.000000001,TRUE()))</f>
        <v>1</v>
      </c>
      <c r="Q963" s="55" t="n">
        <f aca="false">IF(P963,IF(01_因子設定!$B$13="最大化",N963-01_因子設定!$B$14,IF(01_因子設定!$B$13="最小化",01_因子設定!$B$15-O963,MIN(N963-01_因子設定!$B$14,01_因子設定!$B$15-O963))),-1E+030)</f>
        <v>-0.333809214908676</v>
      </c>
      <c r="R963" s="55" t="n">
        <f aca="false">IF(P963,IF(01_因子設定!$B$13="最大化",K963,IF(01_因子設定!$B$13="最小化",-K963,-ABS(K963-01_因子設定!$B$16))),-1E+030)</f>
        <v>47.6323211206897</v>
      </c>
      <c r="S963" s="55" t="n">
        <f aca="false">Q963+ROW()*0.000000001</f>
        <v>-0.333808251908676</v>
      </c>
      <c r="T963" s="55" t="n">
        <f aca="false">R963+ROW()*0.000000001</f>
        <v>47.6323220836897</v>
      </c>
    </row>
    <row r="964" customFormat="false" ht="15" hidden="false" customHeight="false" outlineLevel="0" collapsed="false">
      <c r="A964" s="0" t="n">
        <v>23</v>
      </c>
      <c r="B964" s="0" t="n">
        <v>16</v>
      </c>
      <c r="C964" s="0" t="n">
        <f aca="false">-1+A964*0.05</f>
        <v>0.15</v>
      </c>
      <c r="D964" s="0" t="n">
        <f aca="false">-1+B964*0.05</f>
        <v>-0.2</v>
      </c>
      <c r="E964" s="0" t="n">
        <f aca="false">1</f>
        <v>1</v>
      </c>
      <c r="F964" s="0" t="n">
        <f aca="false">C964</f>
        <v>0.15</v>
      </c>
      <c r="G964" s="0" t="n">
        <f aca="false">D964</f>
        <v>-0.2</v>
      </c>
      <c r="H964" s="0" t="n">
        <f aca="false">C964*D964</f>
        <v>-0.03</v>
      </c>
      <c r="I964" s="0" t="n">
        <f aca="false">C964*C964</f>
        <v>0.0225</v>
      </c>
      <c r="J964" s="0" t="n">
        <f aca="false">D964*D964</f>
        <v>0.04</v>
      </c>
      <c r="K964" s="0" t="n">
        <f aca="false">SUMPRODUCT(E964:J964,_XtX!$B$53:$G$53)</f>
        <v>47.7834784482759</v>
      </c>
      <c r="L964" s="0" t="n">
        <f aca="false">SUMPRODUCT(MMULT(E964:J964,_XtX!$B$44:$G$49),E964:J964)</f>
        <v>0.170638757183908</v>
      </c>
      <c r="M964" s="0" t="n">
        <f aca="false">04_回帰ANOVA!$K$19*04_回帰ANOVA!$K$14*SQRT(1+L964)</f>
        <v>1.46618246627474</v>
      </c>
      <c r="N964" s="0" t="n">
        <f aca="false">K964-M964</f>
        <v>46.3172959820011</v>
      </c>
      <c r="O964" s="0" t="n">
        <f aca="false">K964+M964</f>
        <v>49.2496609145506</v>
      </c>
      <c r="P964" s="54" t="b">
        <f aca="false">AND(C964&gt;=01_因子設定!$L$5-0.000000001,C964&lt;=01_因子設定!$M$5+0.000000001,D964&gt;=01_因子設定!$L$6-0.000000001,D964&lt;=01_因子設定!$M$6+0.000000001,IF(01_因子設定!$B$20="Box-Behnken",C964^2+D964^2&lt;=2+0.000000001,TRUE()))</f>
        <v>1</v>
      </c>
      <c r="Q964" s="55" t="n">
        <f aca="false">IF(P964,IF(01_因子設定!$B$13="最大化",N964-01_因子設定!$B$14,IF(01_因子設定!$B$13="最小化",01_因子設定!$B$15-O964,MIN(N964-01_因子設定!$B$14,01_因子設定!$B$15-O964))),-1E+030)</f>
        <v>-0.18270401799888</v>
      </c>
      <c r="R964" s="55" t="n">
        <f aca="false">IF(P964,IF(01_因子設定!$B$13="最大化",K964,IF(01_因子設定!$B$13="最小化",-K964,-ABS(K964-01_因子設定!$B$16))),-1E+030)</f>
        <v>47.7834784482759</v>
      </c>
      <c r="S964" s="55" t="n">
        <f aca="false">Q964+ROW()*0.000000001</f>
        <v>-0.18270305399888</v>
      </c>
      <c r="T964" s="55" t="n">
        <f aca="false">R964+ROW()*0.000000001</f>
        <v>47.7834794122759</v>
      </c>
    </row>
    <row r="965" customFormat="false" ht="15" hidden="false" customHeight="false" outlineLevel="0" collapsed="false">
      <c r="A965" s="0" t="n">
        <v>23</v>
      </c>
      <c r="B965" s="0" t="n">
        <v>17</v>
      </c>
      <c r="C965" s="0" t="n">
        <f aca="false">-1+A965*0.05</f>
        <v>0.15</v>
      </c>
      <c r="D965" s="0" t="n">
        <f aca="false">-1+B965*0.05</f>
        <v>-0.15</v>
      </c>
      <c r="E965" s="0" t="n">
        <f aca="false">1</f>
        <v>1</v>
      </c>
      <c r="F965" s="0" t="n">
        <f aca="false">C965</f>
        <v>0.15</v>
      </c>
      <c r="G965" s="0" t="n">
        <f aca="false">D965</f>
        <v>-0.15</v>
      </c>
      <c r="H965" s="0" t="n">
        <f aca="false">C965*D965</f>
        <v>-0.0225</v>
      </c>
      <c r="I965" s="0" t="n">
        <f aca="false">C965*C965</f>
        <v>0.0225</v>
      </c>
      <c r="J965" s="0" t="n">
        <f aca="false">D965*D965</f>
        <v>0.0225</v>
      </c>
      <c r="K965" s="0" t="n">
        <f aca="false">SUMPRODUCT(E965:J965,_XtX!$B$53:$G$53)</f>
        <v>47.9269202586207</v>
      </c>
      <c r="L965" s="0" t="n">
        <f aca="false">SUMPRODUCT(MMULT(E965:J965,_XtX!$B$44:$G$49),E965:J965)</f>
        <v>0.170956950431034</v>
      </c>
      <c r="M965" s="0" t="n">
        <f aca="false">04_回帰ANOVA!$K$19*04_回帰ANOVA!$K$14*SQRT(1+L965)</f>
        <v>1.46638171547064</v>
      </c>
      <c r="N965" s="0" t="n">
        <f aca="false">K965-M965</f>
        <v>46.4605385431501</v>
      </c>
      <c r="O965" s="0" t="n">
        <f aca="false">K965+M965</f>
        <v>49.3933019740913</v>
      </c>
      <c r="P965" s="54" t="b">
        <f aca="false">AND(C965&gt;=01_因子設定!$L$5-0.000000001,C965&lt;=01_因子設定!$M$5+0.000000001,D965&gt;=01_因子設定!$L$6-0.000000001,D965&lt;=01_因子設定!$M$6+0.000000001,IF(01_因子設定!$B$20="Box-Behnken",C965^2+D965^2&lt;=2+0.000000001,TRUE()))</f>
        <v>1</v>
      </c>
      <c r="Q965" s="55" t="n">
        <f aca="false">IF(P965,IF(01_因子設定!$B$13="最大化",N965-01_因子設定!$B$14,IF(01_因子設定!$B$13="最小化",01_因子設定!$B$15-O965,MIN(N965-01_因子設定!$B$14,01_因子設定!$B$15-O965))),-1E+030)</f>
        <v>-0.0394614568499421</v>
      </c>
      <c r="R965" s="55" t="n">
        <f aca="false">IF(P965,IF(01_因子設定!$B$13="最大化",K965,IF(01_因子設定!$B$13="最小化",-K965,-ABS(K965-01_因子設定!$B$16))),-1E+030)</f>
        <v>47.9269202586207</v>
      </c>
      <c r="S965" s="55" t="n">
        <f aca="false">Q965+ROW()*0.000000001</f>
        <v>-0.0394604918499421</v>
      </c>
      <c r="T965" s="55" t="n">
        <f aca="false">R965+ROW()*0.000000001</f>
        <v>47.9269212236207</v>
      </c>
    </row>
    <row r="966" customFormat="false" ht="15" hidden="false" customHeight="false" outlineLevel="0" collapsed="false">
      <c r="A966" s="0" t="n">
        <v>23</v>
      </c>
      <c r="B966" s="0" t="n">
        <v>18</v>
      </c>
      <c r="C966" s="0" t="n">
        <f aca="false">-1+A966*0.05</f>
        <v>0.15</v>
      </c>
      <c r="D966" s="0" t="n">
        <f aca="false">-1+B966*0.05</f>
        <v>-0.1</v>
      </c>
      <c r="E966" s="0" t="n">
        <f aca="false">1</f>
        <v>1</v>
      </c>
      <c r="F966" s="0" t="n">
        <f aca="false">C966</f>
        <v>0.15</v>
      </c>
      <c r="G966" s="0" t="n">
        <f aca="false">D966</f>
        <v>-0.1</v>
      </c>
      <c r="H966" s="0" t="n">
        <f aca="false">C966*D966</f>
        <v>-0.015</v>
      </c>
      <c r="I966" s="0" t="n">
        <f aca="false">C966*C966</f>
        <v>0.0225</v>
      </c>
      <c r="J966" s="0" t="n">
        <f aca="false">D966*D966</f>
        <v>0.01</v>
      </c>
      <c r="K966" s="0" t="n">
        <f aca="false">SUMPRODUCT(E966:J966,_XtX!$B$53:$G$53)</f>
        <v>48.0626465517241</v>
      </c>
      <c r="L966" s="0" t="n">
        <f aca="false">SUMPRODUCT(MMULT(E966:J966,_XtX!$B$44:$G$49),E966:J966)</f>
        <v>0.171320007183908</v>
      </c>
      <c r="M966" s="0" t="n">
        <f aca="false">04_回帰ANOVA!$K$19*04_回帰ANOVA!$K$14*SQRT(1+L966)</f>
        <v>1.46660902464884</v>
      </c>
      <c r="N966" s="0" t="n">
        <f aca="false">K966-M966</f>
        <v>46.5960375270753</v>
      </c>
      <c r="O966" s="0" t="n">
        <f aca="false">K966+M966</f>
        <v>49.529255576373</v>
      </c>
      <c r="P966" s="54" t="b">
        <f aca="false">AND(C966&gt;=01_因子設定!$L$5-0.000000001,C966&lt;=01_因子設定!$M$5+0.000000001,D966&gt;=01_因子設定!$L$6-0.000000001,D966&lt;=01_因子設定!$M$6+0.000000001,IF(01_因子設定!$B$20="Box-Behnken",C966^2+D966^2&lt;=2+0.000000001,TRUE()))</f>
        <v>1</v>
      </c>
      <c r="Q966" s="55" t="n">
        <f aca="false">IF(P966,IF(01_因子設定!$B$13="最大化",N966-01_因子設定!$B$14,IF(01_因子設定!$B$13="最小化",01_因子設定!$B$15-O966,MIN(N966-01_因子設定!$B$14,01_因子設定!$B$15-O966))),-1E+030)</f>
        <v>0.0960375270752962</v>
      </c>
      <c r="R966" s="55" t="n">
        <f aca="false">IF(P966,IF(01_因子設定!$B$13="最大化",K966,IF(01_因子設定!$B$13="最小化",-K966,-ABS(K966-01_因子設定!$B$16))),-1E+030)</f>
        <v>48.0626465517241</v>
      </c>
      <c r="S966" s="55" t="n">
        <f aca="false">Q966+ROW()*0.000000001</f>
        <v>0.0960384930752962</v>
      </c>
      <c r="T966" s="55" t="n">
        <f aca="false">R966+ROW()*0.000000001</f>
        <v>48.0626475177241</v>
      </c>
    </row>
    <row r="967" customFormat="false" ht="15" hidden="false" customHeight="false" outlineLevel="0" collapsed="false">
      <c r="A967" s="0" t="n">
        <v>23</v>
      </c>
      <c r="B967" s="0" t="n">
        <v>19</v>
      </c>
      <c r="C967" s="0" t="n">
        <f aca="false">-1+A967*0.05</f>
        <v>0.15</v>
      </c>
      <c r="D967" s="0" t="n">
        <f aca="false">-1+B967*0.05</f>
        <v>-0.0499999999999999</v>
      </c>
      <c r="E967" s="0" t="n">
        <f aca="false">1</f>
        <v>1</v>
      </c>
      <c r="F967" s="0" t="n">
        <f aca="false">C967</f>
        <v>0.15</v>
      </c>
      <c r="G967" s="0" t="n">
        <f aca="false">D967</f>
        <v>-0.0499999999999999</v>
      </c>
      <c r="H967" s="0" t="n">
        <f aca="false">C967*D967</f>
        <v>-0.0075</v>
      </c>
      <c r="I967" s="0" t="n">
        <f aca="false">C967*C967</f>
        <v>0.0225</v>
      </c>
      <c r="J967" s="0" t="n">
        <f aca="false">D967*D967</f>
        <v>0.00249999999999999</v>
      </c>
      <c r="K967" s="0" t="n">
        <f aca="false">SUMPRODUCT(E967:J967,_XtX!$B$53:$G$53)</f>
        <v>48.1906573275862</v>
      </c>
      <c r="L967" s="0" t="n">
        <f aca="false">SUMPRODUCT(MMULT(E967:J967,_XtX!$B$44:$G$49),E967:J967)</f>
        <v>0.17159215158046</v>
      </c>
      <c r="M967" s="0" t="n">
        <f aca="false">04_回帰ANOVA!$K$19*04_回帰ANOVA!$K$14*SQRT(1+L967)</f>
        <v>1.4667793906653</v>
      </c>
      <c r="N967" s="0" t="n">
        <f aca="false">K967-M967</f>
        <v>46.7238779369209</v>
      </c>
      <c r="O967" s="0" t="n">
        <f aca="false">K967+M967</f>
        <v>49.6574367182515</v>
      </c>
      <c r="P967" s="54" t="b">
        <f aca="false">AND(C967&gt;=01_因子設定!$L$5-0.000000001,C967&lt;=01_因子設定!$M$5+0.000000001,D967&gt;=01_因子設定!$L$6-0.000000001,D967&lt;=01_因子設定!$M$6+0.000000001,IF(01_因子設定!$B$20="Box-Behnken",C967^2+D967^2&lt;=2+0.000000001,TRUE()))</f>
        <v>1</v>
      </c>
      <c r="Q967" s="55" t="n">
        <f aca="false">IF(P967,IF(01_因子設定!$B$13="最大化",N967-01_因子設定!$B$14,IF(01_因子設定!$B$13="最小化",01_因子設定!$B$15-O967,MIN(N967-01_因子設定!$B$14,01_因子設定!$B$15-O967))),-1E+030)</f>
        <v>0.223877936920907</v>
      </c>
      <c r="R967" s="55" t="n">
        <f aca="false">IF(P967,IF(01_因子設定!$B$13="最大化",K967,IF(01_因子設定!$B$13="最小化",-K967,-ABS(K967-01_因子設定!$B$16))),-1E+030)</f>
        <v>48.1906573275862</v>
      </c>
      <c r="S967" s="55" t="n">
        <f aca="false">Q967+ROW()*0.000000001</f>
        <v>0.223878903920907</v>
      </c>
      <c r="T967" s="55" t="n">
        <f aca="false">R967+ROW()*0.000000001</f>
        <v>48.1906582945862</v>
      </c>
    </row>
    <row r="968" customFormat="false" ht="15" hidden="false" customHeight="false" outlineLevel="0" collapsed="false">
      <c r="A968" s="0" t="n">
        <v>23</v>
      </c>
      <c r="B968" s="0" t="n">
        <v>20</v>
      </c>
      <c r="C968" s="0" t="n">
        <f aca="false">-1+A968*0.05</f>
        <v>0.15</v>
      </c>
      <c r="D968" s="0" t="n">
        <f aca="false">-1+B968*0.05</f>
        <v>0</v>
      </c>
      <c r="E968" s="0" t="n">
        <f aca="false">1</f>
        <v>1</v>
      </c>
      <c r="F968" s="0" t="n">
        <f aca="false">C968</f>
        <v>0.15</v>
      </c>
      <c r="G968" s="0" t="n">
        <f aca="false">D968</f>
        <v>0</v>
      </c>
      <c r="H968" s="0" t="n">
        <f aca="false">C968*D968</f>
        <v>0</v>
      </c>
      <c r="I968" s="0" t="n">
        <f aca="false">C968*C968</f>
        <v>0.0225</v>
      </c>
      <c r="J968" s="0" t="n">
        <f aca="false">D968*D968</f>
        <v>0</v>
      </c>
      <c r="K968" s="0" t="n">
        <f aca="false">SUMPRODUCT(E968:J968,_XtX!$B$53:$G$53)</f>
        <v>48.3109525862069</v>
      </c>
      <c r="L968" s="0" t="n">
        <f aca="false">SUMPRODUCT(MMULT(E968:J968,_XtX!$B$44:$G$49),E968:J968)</f>
        <v>0.171691918103448</v>
      </c>
      <c r="M968" s="0" t="n">
        <f aca="false">04_回帰ANOVA!$K$19*04_回帰ANOVA!$K$14*SQRT(1+L968)</f>
        <v>1.46684184088078</v>
      </c>
      <c r="N968" s="0" t="n">
        <f aca="false">K968-M968</f>
        <v>46.8441107453261</v>
      </c>
      <c r="O968" s="0" t="n">
        <f aca="false">K968+M968</f>
        <v>49.7777944270877</v>
      </c>
      <c r="P968" s="54" t="b">
        <f aca="false">AND(C968&gt;=01_因子設定!$L$5-0.000000001,C968&lt;=01_因子設定!$M$5+0.000000001,D968&gt;=01_因子設定!$L$6-0.000000001,D968&lt;=01_因子設定!$M$6+0.000000001,IF(01_因子設定!$B$20="Box-Behnken",C968^2+D968^2&lt;=2+0.000000001,TRUE()))</f>
        <v>1</v>
      </c>
      <c r="Q968" s="55" t="n">
        <f aca="false">IF(P968,IF(01_因子設定!$B$13="最大化",N968-01_因子設定!$B$14,IF(01_因子設定!$B$13="最小化",01_因子設定!$B$15-O968,MIN(N968-01_因子設定!$B$14,01_因子設定!$B$15-O968))),-1E+030)</f>
        <v>0.344110745326113</v>
      </c>
      <c r="R968" s="55" t="n">
        <f aca="false">IF(P968,IF(01_因子設定!$B$13="最大化",K968,IF(01_因子設定!$B$13="最小化",-K968,-ABS(K968-01_因子設定!$B$16))),-1E+030)</f>
        <v>48.3109525862069</v>
      </c>
      <c r="S968" s="55" t="n">
        <f aca="false">Q968+ROW()*0.000000001</f>
        <v>0.344111713326113</v>
      </c>
      <c r="T968" s="55" t="n">
        <f aca="false">R968+ROW()*0.000000001</f>
        <v>48.3109535542069</v>
      </c>
    </row>
    <row r="969" customFormat="false" ht="15" hidden="false" customHeight="false" outlineLevel="0" collapsed="false">
      <c r="A969" s="0" t="n">
        <v>23</v>
      </c>
      <c r="B969" s="0" t="n">
        <v>21</v>
      </c>
      <c r="C969" s="0" t="n">
        <f aca="false">-1+A969*0.05</f>
        <v>0.15</v>
      </c>
      <c r="D969" s="0" t="n">
        <f aca="false">-1+B969*0.05</f>
        <v>0.05</v>
      </c>
      <c r="E969" s="0" t="n">
        <f aca="false">1</f>
        <v>1</v>
      </c>
      <c r="F969" s="0" t="n">
        <f aca="false">C969</f>
        <v>0.15</v>
      </c>
      <c r="G969" s="0" t="n">
        <f aca="false">D969</f>
        <v>0.05</v>
      </c>
      <c r="H969" s="0" t="n">
        <f aca="false">C969*D969</f>
        <v>0.00750000000000001</v>
      </c>
      <c r="I969" s="0" t="n">
        <f aca="false">C969*C969</f>
        <v>0.0225</v>
      </c>
      <c r="J969" s="0" t="n">
        <f aca="false">D969*D969</f>
        <v>0.0025</v>
      </c>
      <c r="K969" s="0" t="n">
        <f aca="false">SUMPRODUCT(E969:J969,_XtX!$B$53:$G$53)</f>
        <v>48.4235323275862</v>
      </c>
      <c r="L969" s="0" t="n">
        <f aca="false">SUMPRODUCT(MMULT(E969:J969,_XtX!$B$44:$G$49),E969:J969)</f>
        <v>0.17159215158046</v>
      </c>
      <c r="M969" s="0" t="n">
        <f aca="false">04_回帰ANOVA!$K$19*04_回帰ANOVA!$K$14*SQRT(1+L969)</f>
        <v>1.4667793906653</v>
      </c>
      <c r="N969" s="0" t="n">
        <f aca="false">K969-M969</f>
        <v>46.9567529369209</v>
      </c>
      <c r="O969" s="0" t="n">
        <f aca="false">K969+M969</f>
        <v>49.8903117182515</v>
      </c>
      <c r="P969" s="54" t="b">
        <f aca="false">AND(C969&gt;=01_因子設定!$L$5-0.000000001,C969&lt;=01_因子設定!$M$5+0.000000001,D969&gt;=01_因子設定!$L$6-0.000000001,D969&lt;=01_因子設定!$M$6+0.000000001,IF(01_因子設定!$B$20="Box-Behnken",C969^2+D969^2&lt;=2+0.000000001,TRUE()))</f>
        <v>1</v>
      </c>
      <c r="Q969" s="55" t="n">
        <f aca="false">IF(P969,IF(01_因子設定!$B$13="最大化",N969-01_因子設定!$B$14,IF(01_因子設定!$B$13="最小化",01_因子設定!$B$15-O969,MIN(N969-01_因子設定!$B$14,01_因子設定!$B$15-O969))),-1E+030)</f>
        <v>0.4567529369209</v>
      </c>
      <c r="R969" s="55" t="n">
        <f aca="false">IF(P969,IF(01_因子設定!$B$13="最大化",K969,IF(01_因子設定!$B$13="最小化",-K969,-ABS(K969-01_因子設定!$B$16))),-1E+030)</f>
        <v>48.4235323275862</v>
      </c>
      <c r="S969" s="55" t="n">
        <f aca="false">Q969+ROW()*0.000000001</f>
        <v>0.4567539059209</v>
      </c>
      <c r="T969" s="55" t="n">
        <f aca="false">R969+ROW()*0.000000001</f>
        <v>48.4235332965862</v>
      </c>
    </row>
    <row r="970" customFormat="false" ht="15" hidden="false" customHeight="false" outlineLevel="0" collapsed="false">
      <c r="A970" s="0" t="n">
        <v>23</v>
      </c>
      <c r="B970" s="0" t="n">
        <v>22</v>
      </c>
      <c r="C970" s="0" t="n">
        <f aca="false">-1+A970*0.05</f>
        <v>0.15</v>
      </c>
      <c r="D970" s="0" t="n">
        <f aca="false">-1+B970*0.05</f>
        <v>0.1</v>
      </c>
      <c r="E970" s="0" t="n">
        <f aca="false">1</f>
        <v>1</v>
      </c>
      <c r="F970" s="0" t="n">
        <f aca="false">C970</f>
        <v>0.15</v>
      </c>
      <c r="G970" s="0" t="n">
        <f aca="false">D970</f>
        <v>0.1</v>
      </c>
      <c r="H970" s="0" t="n">
        <f aca="false">C970*D970</f>
        <v>0.015</v>
      </c>
      <c r="I970" s="0" t="n">
        <f aca="false">C970*C970</f>
        <v>0.0225</v>
      </c>
      <c r="J970" s="0" t="n">
        <f aca="false">D970*D970</f>
        <v>0.01</v>
      </c>
      <c r="K970" s="0" t="n">
        <f aca="false">SUMPRODUCT(E970:J970,_XtX!$B$53:$G$53)</f>
        <v>48.5283965517241</v>
      </c>
      <c r="L970" s="0" t="n">
        <f aca="false">SUMPRODUCT(MMULT(E970:J970,_XtX!$B$44:$G$49),E970:J970)</f>
        <v>0.171320007183908</v>
      </c>
      <c r="M970" s="0" t="n">
        <f aca="false">04_回帰ANOVA!$K$19*04_回帰ANOVA!$K$14*SQRT(1+L970)</f>
        <v>1.46660902464884</v>
      </c>
      <c r="N970" s="0" t="n">
        <f aca="false">K970-M970</f>
        <v>47.0617875270753</v>
      </c>
      <c r="O970" s="0" t="n">
        <f aca="false">K970+M970</f>
        <v>49.995005576373</v>
      </c>
      <c r="P970" s="54" t="b">
        <f aca="false">AND(C970&gt;=01_因子設定!$L$5-0.000000001,C970&lt;=01_因子設定!$M$5+0.000000001,D970&gt;=01_因子設定!$L$6-0.000000001,D970&lt;=01_因子設定!$M$6+0.000000001,IF(01_因子設定!$B$20="Box-Behnken",C970^2+D970^2&lt;=2+0.000000001,TRUE()))</f>
        <v>1</v>
      </c>
      <c r="Q970" s="55" t="n">
        <f aca="false">IF(P970,IF(01_因子設定!$B$13="最大化",N970-01_因子設定!$B$14,IF(01_因子設定!$B$13="最小化",01_因子設定!$B$15-O970,MIN(N970-01_因子設定!$B$14,01_因子設定!$B$15-O970))),-1E+030)</f>
        <v>0.561787527075296</v>
      </c>
      <c r="R970" s="55" t="n">
        <f aca="false">IF(P970,IF(01_因子設定!$B$13="最大化",K970,IF(01_因子設定!$B$13="最小化",-K970,-ABS(K970-01_因子設定!$B$16))),-1E+030)</f>
        <v>48.5283965517241</v>
      </c>
      <c r="S970" s="55" t="n">
        <f aca="false">Q970+ROW()*0.000000001</f>
        <v>0.561788497075296</v>
      </c>
      <c r="T970" s="55" t="n">
        <f aca="false">R970+ROW()*0.000000001</f>
        <v>48.5283975217241</v>
      </c>
    </row>
    <row r="971" customFormat="false" ht="15" hidden="false" customHeight="false" outlineLevel="0" collapsed="false">
      <c r="A971" s="0" t="n">
        <v>23</v>
      </c>
      <c r="B971" s="0" t="n">
        <v>23</v>
      </c>
      <c r="C971" s="0" t="n">
        <f aca="false">-1+A971*0.05</f>
        <v>0.15</v>
      </c>
      <c r="D971" s="0" t="n">
        <f aca="false">-1+B971*0.05</f>
        <v>0.15</v>
      </c>
      <c r="E971" s="0" t="n">
        <f aca="false">1</f>
        <v>1</v>
      </c>
      <c r="F971" s="0" t="n">
        <f aca="false">C971</f>
        <v>0.15</v>
      </c>
      <c r="G971" s="0" t="n">
        <f aca="false">D971</f>
        <v>0.15</v>
      </c>
      <c r="H971" s="0" t="n">
        <f aca="false">C971*D971</f>
        <v>0.0225</v>
      </c>
      <c r="I971" s="0" t="n">
        <f aca="false">C971*C971</f>
        <v>0.0225</v>
      </c>
      <c r="J971" s="0" t="n">
        <f aca="false">D971*D971</f>
        <v>0.0225</v>
      </c>
      <c r="K971" s="0" t="n">
        <f aca="false">SUMPRODUCT(E971:J971,_XtX!$B$53:$G$53)</f>
        <v>48.6255452586207</v>
      </c>
      <c r="L971" s="0" t="n">
        <f aca="false">SUMPRODUCT(MMULT(E971:J971,_XtX!$B$44:$G$49),E971:J971)</f>
        <v>0.170956950431034</v>
      </c>
      <c r="M971" s="0" t="n">
        <f aca="false">04_回帰ANOVA!$K$19*04_回帰ANOVA!$K$14*SQRT(1+L971)</f>
        <v>1.46638171547064</v>
      </c>
      <c r="N971" s="0" t="n">
        <f aca="false">K971-M971</f>
        <v>47.1591635431501</v>
      </c>
      <c r="O971" s="0" t="n">
        <f aca="false">K971+M971</f>
        <v>50.0919269740913</v>
      </c>
      <c r="P971" s="54" t="b">
        <f aca="false">AND(C971&gt;=01_因子設定!$L$5-0.000000001,C971&lt;=01_因子設定!$M$5+0.000000001,D971&gt;=01_因子設定!$L$6-0.000000001,D971&lt;=01_因子設定!$M$6+0.000000001,IF(01_因子設定!$B$20="Box-Behnken",C971^2+D971^2&lt;=2+0.000000001,TRUE()))</f>
        <v>1</v>
      </c>
      <c r="Q971" s="55" t="n">
        <f aca="false">IF(P971,IF(01_因子設定!$B$13="最大化",N971-01_因子設定!$B$14,IF(01_因子設定!$B$13="最小化",01_因子設定!$B$15-O971,MIN(N971-01_因子設定!$B$14,01_因子設定!$B$15-O971))),-1E+030)</f>
        <v>0.659163543150058</v>
      </c>
      <c r="R971" s="55" t="n">
        <f aca="false">IF(P971,IF(01_因子設定!$B$13="最大化",K971,IF(01_因子設定!$B$13="最小化",-K971,-ABS(K971-01_因子設定!$B$16))),-1E+030)</f>
        <v>48.6255452586207</v>
      </c>
      <c r="S971" s="55" t="n">
        <f aca="false">Q971+ROW()*0.000000001</f>
        <v>0.659164514150058</v>
      </c>
      <c r="T971" s="55" t="n">
        <f aca="false">R971+ROW()*0.000000001</f>
        <v>48.6255462296207</v>
      </c>
    </row>
    <row r="972" customFormat="false" ht="15" hidden="false" customHeight="false" outlineLevel="0" collapsed="false">
      <c r="A972" s="0" t="n">
        <v>23</v>
      </c>
      <c r="B972" s="0" t="n">
        <v>24</v>
      </c>
      <c r="C972" s="0" t="n">
        <f aca="false">-1+A972*0.05</f>
        <v>0.15</v>
      </c>
      <c r="D972" s="0" t="n">
        <f aca="false">-1+B972*0.05</f>
        <v>0.2</v>
      </c>
      <c r="E972" s="0" t="n">
        <f aca="false">1</f>
        <v>1</v>
      </c>
      <c r="F972" s="0" t="n">
        <f aca="false">C972</f>
        <v>0.15</v>
      </c>
      <c r="G972" s="0" t="n">
        <f aca="false">D972</f>
        <v>0.2</v>
      </c>
      <c r="H972" s="0" t="n">
        <f aca="false">C972*D972</f>
        <v>0.0300000000000001</v>
      </c>
      <c r="I972" s="0" t="n">
        <f aca="false">C972*C972</f>
        <v>0.0225</v>
      </c>
      <c r="J972" s="0" t="n">
        <f aca="false">D972*D972</f>
        <v>0.0400000000000001</v>
      </c>
      <c r="K972" s="0" t="n">
        <f aca="false">SUMPRODUCT(E972:J972,_XtX!$B$53:$G$53)</f>
        <v>48.7149784482759</v>
      </c>
      <c r="L972" s="0" t="n">
        <f aca="false">SUMPRODUCT(MMULT(E972:J972,_XtX!$B$44:$G$49),E972:J972)</f>
        <v>0.170638757183908</v>
      </c>
      <c r="M972" s="0" t="n">
        <f aca="false">04_回帰ANOVA!$K$19*04_回帰ANOVA!$K$14*SQRT(1+L972)</f>
        <v>1.46618246627474</v>
      </c>
      <c r="N972" s="0" t="n">
        <f aca="false">K972-M972</f>
        <v>47.2487959820011</v>
      </c>
      <c r="O972" s="0" t="n">
        <f aca="false">K972+M972</f>
        <v>50.1811609145506</v>
      </c>
      <c r="P972" s="54" t="b">
        <f aca="false">AND(C972&gt;=01_因子設定!$L$5-0.000000001,C972&lt;=01_因子設定!$M$5+0.000000001,D972&gt;=01_因子設定!$L$6-0.000000001,D972&lt;=01_因子設定!$M$6+0.000000001,IF(01_因子設定!$B$20="Box-Behnken",C972^2+D972^2&lt;=2+0.000000001,TRUE()))</f>
        <v>1</v>
      </c>
      <c r="Q972" s="55" t="n">
        <f aca="false">IF(P972,IF(01_因子設定!$B$13="最大化",N972-01_因子設定!$B$14,IF(01_因子設定!$B$13="最小化",01_因子設定!$B$15-O972,MIN(N972-01_因子設定!$B$14,01_因子設定!$B$15-O972))),-1E+030)</f>
        <v>0.74879598200112</v>
      </c>
      <c r="R972" s="55" t="n">
        <f aca="false">IF(P972,IF(01_因子設定!$B$13="最大化",K972,IF(01_因子設定!$B$13="最小化",-K972,-ABS(K972-01_因子設定!$B$16))),-1E+030)</f>
        <v>48.7149784482759</v>
      </c>
      <c r="S972" s="55" t="n">
        <f aca="false">Q972+ROW()*0.000000001</f>
        <v>0.74879695400112</v>
      </c>
      <c r="T972" s="55" t="n">
        <f aca="false">R972+ROW()*0.000000001</f>
        <v>48.7149794202759</v>
      </c>
    </row>
    <row r="973" customFormat="false" ht="15" hidden="false" customHeight="false" outlineLevel="0" collapsed="false">
      <c r="A973" s="0" t="n">
        <v>23</v>
      </c>
      <c r="B973" s="0" t="n">
        <v>25</v>
      </c>
      <c r="C973" s="0" t="n">
        <f aca="false">-1+A973*0.05</f>
        <v>0.15</v>
      </c>
      <c r="D973" s="0" t="n">
        <f aca="false">-1+B973*0.05</f>
        <v>0.25</v>
      </c>
      <c r="E973" s="0" t="n">
        <f aca="false">1</f>
        <v>1</v>
      </c>
      <c r="F973" s="0" t="n">
        <f aca="false">C973</f>
        <v>0.15</v>
      </c>
      <c r="G973" s="0" t="n">
        <f aca="false">D973</f>
        <v>0.25</v>
      </c>
      <c r="H973" s="0" t="n">
        <f aca="false">C973*D973</f>
        <v>0.0375</v>
      </c>
      <c r="I973" s="0" t="n">
        <f aca="false">C973*C973</f>
        <v>0.0225</v>
      </c>
      <c r="J973" s="0" t="n">
        <f aca="false">D973*D973</f>
        <v>0.0625</v>
      </c>
      <c r="K973" s="0" t="n">
        <f aca="false">SUMPRODUCT(E973:J973,_XtX!$B$53:$G$53)</f>
        <v>48.7966961206897</v>
      </c>
      <c r="L973" s="0" t="n">
        <f aca="false">SUMPRODUCT(MMULT(E973:J973,_XtX!$B$44:$G$49),E973:J973)</f>
        <v>0.170555513649425</v>
      </c>
      <c r="M973" s="0" t="n">
        <f aca="false">04_回帰ANOVA!$K$19*04_回帰ANOVA!$K$14*SQRT(1+L973)</f>
        <v>1.46613033559833</v>
      </c>
      <c r="N973" s="0" t="n">
        <f aca="false">K973-M973</f>
        <v>47.3305657850913</v>
      </c>
      <c r="O973" s="0" t="n">
        <f aca="false">K973+M973</f>
        <v>50.262826456288</v>
      </c>
      <c r="P973" s="54" t="b">
        <f aca="false">AND(C973&gt;=01_因子設定!$L$5-0.000000001,C973&lt;=01_因子設定!$M$5+0.000000001,D973&gt;=01_因子設定!$L$6-0.000000001,D973&lt;=01_因子設定!$M$6+0.000000001,IF(01_因子設定!$B$20="Box-Behnken",C973^2+D973^2&lt;=2+0.000000001,TRUE()))</f>
        <v>1</v>
      </c>
      <c r="Q973" s="55" t="n">
        <f aca="false">IF(P973,IF(01_因子設定!$B$13="最大化",N973-01_因子設定!$B$14,IF(01_因子設定!$B$13="最小化",01_因子設定!$B$15-O973,MIN(N973-01_因子設定!$B$14,01_因子設定!$B$15-O973))),-1E+030)</f>
        <v>0.830565785091324</v>
      </c>
      <c r="R973" s="55" t="n">
        <f aca="false">IF(P973,IF(01_因子設定!$B$13="最大化",K973,IF(01_因子設定!$B$13="最小化",-K973,-ABS(K973-01_因子設定!$B$16))),-1E+030)</f>
        <v>48.7966961206897</v>
      </c>
      <c r="S973" s="55" t="n">
        <f aca="false">Q973+ROW()*0.000000001</f>
        <v>0.830566758091324</v>
      </c>
      <c r="T973" s="55" t="n">
        <f aca="false">R973+ROW()*0.000000001</f>
        <v>48.7966970936897</v>
      </c>
    </row>
    <row r="974" customFormat="false" ht="15" hidden="false" customHeight="false" outlineLevel="0" collapsed="false">
      <c r="A974" s="0" t="n">
        <v>23</v>
      </c>
      <c r="B974" s="0" t="n">
        <v>26</v>
      </c>
      <c r="C974" s="0" t="n">
        <f aca="false">-1+A974*0.05</f>
        <v>0.15</v>
      </c>
      <c r="D974" s="0" t="n">
        <f aca="false">-1+B974*0.05</f>
        <v>0.3</v>
      </c>
      <c r="E974" s="0" t="n">
        <f aca="false">1</f>
        <v>1</v>
      </c>
      <c r="F974" s="0" t="n">
        <f aca="false">C974</f>
        <v>0.15</v>
      </c>
      <c r="G974" s="0" t="n">
        <f aca="false">D974</f>
        <v>0.3</v>
      </c>
      <c r="H974" s="0" t="n">
        <f aca="false">C974*D974</f>
        <v>0.0450000000000001</v>
      </c>
      <c r="I974" s="0" t="n">
        <f aca="false">C974*C974</f>
        <v>0.0225</v>
      </c>
      <c r="J974" s="0" t="n">
        <f aca="false">D974*D974</f>
        <v>0.09</v>
      </c>
      <c r="K974" s="0" t="n">
        <f aca="false">SUMPRODUCT(E974:J974,_XtX!$B$53:$G$53)</f>
        <v>48.8706982758621</v>
      </c>
      <c r="L974" s="0" t="n">
        <f aca="false">SUMPRODUCT(MMULT(E974:J974,_XtX!$B$44:$G$49),E974:J974)</f>
        <v>0.17095161637931</v>
      </c>
      <c r="M974" s="0" t="n">
        <f aca="false">04_回帰ANOVA!$K$19*04_回帰ANOVA!$K$14*SQRT(1+L974)</f>
        <v>1.46637837556782</v>
      </c>
      <c r="N974" s="0" t="n">
        <f aca="false">K974-M974</f>
        <v>47.4043199002943</v>
      </c>
      <c r="O974" s="0" t="n">
        <f aca="false">K974+M974</f>
        <v>50.3370766514299</v>
      </c>
      <c r="P974" s="54" t="b">
        <f aca="false">AND(C974&gt;=01_因子設定!$L$5-0.000000001,C974&lt;=01_因子設定!$M$5+0.000000001,D974&gt;=01_因子設定!$L$6-0.000000001,D974&lt;=01_因子設定!$M$6+0.000000001,IF(01_因子設定!$B$20="Box-Behnken",C974^2+D974^2&lt;=2+0.000000001,TRUE()))</f>
        <v>1</v>
      </c>
      <c r="Q974" s="55" t="n">
        <f aca="false">IF(P974,IF(01_因子設定!$B$13="最大化",N974-01_因子設定!$B$14,IF(01_因子設定!$B$13="最小化",01_因子設定!$B$15-O974,MIN(N974-01_因子設定!$B$14,01_因子設定!$B$15-O974))),-1E+030)</f>
        <v>0.904319900294247</v>
      </c>
      <c r="R974" s="55" t="n">
        <f aca="false">IF(P974,IF(01_因子設定!$B$13="最大化",K974,IF(01_因子設定!$B$13="最小化",-K974,-ABS(K974-01_因子設定!$B$16))),-1E+030)</f>
        <v>48.8706982758621</v>
      </c>
      <c r="S974" s="55" t="n">
        <f aca="false">Q974+ROW()*0.000000001</f>
        <v>0.904320874294247</v>
      </c>
      <c r="T974" s="55" t="n">
        <f aca="false">R974+ROW()*0.000000001</f>
        <v>48.8706992498621</v>
      </c>
    </row>
    <row r="975" customFormat="false" ht="15" hidden="false" customHeight="false" outlineLevel="0" collapsed="false">
      <c r="A975" s="0" t="n">
        <v>23</v>
      </c>
      <c r="B975" s="0" t="n">
        <v>27</v>
      </c>
      <c r="C975" s="0" t="n">
        <f aca="false">-1+A975*0.05</f>
        <v>0.15</v>
      </c>
      <c r="D975" s="0" t="n">
        <f aca="false">-1+B975*0.05</f>
        <v>0.35</v>
      </c>
      <c r="E975" s="0" t="n">
        <f aca="false">1</f>
        <v>1</v>
      </c>
      <c r="F975" s="0" t="n">
        <f aca="false">C975</f>
        <v>0.15</v>
      </c>
      <c r="G975" s="0" t="n">
        <f aca="false">D975</f>
        <v>0.35</v>
      </c>
      <c r="H975" s="0" t="n">
        <f aca="false">C975*D975</f>
        <v>0.0525000000000001</v>
      </c>
      <c r="I975" s="0" t="n">
        <f aca="false">C975*C975</f>
        <v>0.0225</v>
      </c>
      <c r="J975" s="0" t="n">
        <f aca="false">D975*D975</f>
        <v>0.1225</v>
      </c>
      <c r="K975" s="0" t="n">
        <f aca="false">SUMPRODUCT(E975:J975,_XtX!$B$53:$G$53)</f>
        <v>48.9369849137931</v>
      </c>
      <c r="L975" s="0" t="n">
        <f aca="false">SUMPRODUCT(MMULT(E975:J975,_XtX!$B$44:$G$49),E975:J975)</f>
        <v>0.172125772270115</v>
      </c>
      <c r="M975" s="0" t="n">
        <f aca="false">04_回帰ANOVA!$K$19*04_回帰ANOVA!$K$14*SQRT(1+L975)</f>
        <v>1.46711338689661</v>
      </c>
      <c r="N975" s="0" t="n">
        <f aca="false">K975-M975</f>
        <v>47.4698715268965</v>
      </c>
      <c r="O975" s="0" t="n">
        <f aca="false">K975+M975</f>
        <v>50.4040983006897</v>
      </c>
      <c r="P975" s="54" t="b">
        <f aca="false">AND(C975&gt;=01_因子設定!$L$5-0.000000001,C975&lt;=01_因子設定!$M$5+0.000000001,D975&gt;=01_因子設定!$L$6-0.000000001,D975&lt;=01_因子設定!$M$6+0.000000001,IF(01_因子設定!$B$20="Box-Behnken",C975^2+D975^2&lt;=2+0.000000001,TRUE()))</f>
        <v>1</v>
      </c>
      <c r="Q975" s="55" t="n">
        <f aca="false">IF(P975,IF(01_因子設定!$B$13="最大化",N975-01_因子設定!$B$14,IF(01_因子設定!$B$13="最小化",01_因子設定!$B$15-O975,MIN(N975-01_因子設定!$B$14,01_因子設定!$B$15-O975))),-1E+030)</f>
        <v>0.969871526896498</v>
      </c>
      <c r="R975" s="55" t="n">
        <f aca="false">IF(P975,IF(01_因子設定!$B$13="最大化",K975,IF(01_因子設定!$B$13="最小化",-K975,-ABS(K975-01_因子設定!$B$16))),-1E+030)</f>
        <v>48.9369849137931</v>
      </c>
      <c r="S975" s="55" t="n">
        <f aca="false">Q975+ROW()*0.000000001</f>
        <v>0.969872501896497</v>
      </c>
      <c r="T975" s="55" t="n">
        <f aca="false">R975+ROW()*0.000000001</f>
        <v>48.9369858887931</v>
      </c>
    </row>
    <row r="976" customFormat="false" ht="15" hidden="false" customHeight="false" outlineLevel="0" collapsed="false">
      <c r="A976" s="0" t="n">
        <v>23</v>
      </c>
      <c r="B976" s="0" t="n">
        <v>28</v>
      </c>
      <c r="C976" s="0" t="n">
        <f aca="false">-1+A976*0.05</f>
        <v>0.15</v>
      </c>
      <c r="D976" s="0" t="n">
        <f aca="false">-1+B976*0.05</f>
        <v>0.4</v>
      </c>
      <c r="E976" s="0" t="n">
        <f aca="false">1</f>
        <v>1</v>
      </c>
      <c r="F976" s="0" t="n">
        <f aca="false">C976</f>
        <v>0.15</v>
      </c>
      <c r="G976" s="0" t="n">
        <f aca="false">D976</f>
        <v>0.4</v>
      </c>
      <c r="H976" s="0" t="n">
        <f aca="false">C976*D976</f>
        <v>0.0600000000000001</v>
      </c>
      <c r="I976" s="0" t="n">
        <f aca="false">C976*C976</f>
        <v>0.0225</v>
      </c>
      <c r="J976" s="0" t="n">
        <f aca="false">D976*D976</f>
        <v>0.16</v>
      </c>
      <c r="K976" s="0" t="n">
        <f aca="false">SUMPRODUCT(E976:J976,_XtX!$B$53:$G$53)</f>
        <v>48.9955560344828</v>
      </c>
      <c r="L976" s="0" t="n">
        <f aca="false">SUMPRODUCT(MMULT(E976:J976,_XtX!$B$44:$G$49),E976:J976)</f>
        <v>0.174430998563218</v>
      </c>
      <c r="M976" s="0" t="n">
        <f aca="false">04_回帰ANOVA!$K$19*04_回帰ANOVA!$K$14*SQRT(1+L976)</f>
        <v>1.46855536829659</v>
      </c>
      <c r="N976" s="0" t="n">
        <f aca="false">K976-M976</f>
        <v>47.5270006661862</v>
      </c>
      <c r="O976" s="0" t="n">
        <f aca="false">K976+M976</f>
        <v>50.4641114027794</v>
      </c>
      <c r="P976" s="54" t="b">
        <f aca="false">AND(C976&gt;=01_因子設定!$L$5-0.000000001,C976&lt;=01_因子設定!$M$5+0.000000001,D976&gt;=01_因子設定!$L$6-0.000000001,D976&lt;=01_因子設定!$M$6+0.000000001,IF(01_因子設定!$B$20="Box-Behnken",C976^2+D976^2&lt;=2+0.000000001,TRUE()))</f>
        <v>1</v>
      </c>
      <c r="Q976" s="55" t="n">
        <f aca="false">IF(P976,IF(01_因子設定!$B$13="最大化",N976-01_因子設定!$B$14,IF(01_因子設定!$B$13="最小化",01_因子設定!$B$15-O976,MIN(N976-01_因子設定!$B$14,01_因子設定!$B$15-O976))),-1E+030)</f>
        <v>1.02700066618617</v>
      </c>
      <c r="R976" s="55" t="n">
        <f aca="false">IF(P976,IF(01_因子設定!$B$13="最大化",K976,IF(01_因子設定!$B$13="最小化",-K976,-ABS(K976-01_因子設定!$B$16))),-1E+030)</f>
        <v>48.9955560344828</v>
      </c>
      <c r="S976" s="55" t="n">
        <f aca="false">Q976+ROW()*0.000000001</f>
        <v>1.02700164218617</v>
      </c>
      <c r="T976" s="55" t="n">
        <f aca="false">R976+ROW()*0.000000001</f>
        <v>48.9955570104828</v>
      </c>
    </row>
    <row r="977" customFormat="false" ht="15" hidden="false" customHeight="false" outlineLevel="0" collapsed="false">
      <c r="A977" s="0" t="n">
        <v>23</v>
      </c>
      <c r="B977" s="0" t="n">
        <v>29</v>
      </c>
      <c r="C977" s="0" t="n">
        <f aca="false">-1+A977*0.05</f>
        <v>0.15</v>
      </c>
      <c r="D977" s="0" t="n">
        <f aca="false">-1+B977*0.05</f>
        <v>0.45</v>
      </c>
      <c r="E977" s="0" t="n">
        <f aca="false">1</f>
        <v>1</v>
      </c>
      <c r="F977" s="0" t="n">
        <f aca="false">C977</f>
        <v>0.15</v>
      </c>
      <c r="G977" s="0" t="n">
        <f aca="false">D977</f>
        <v>0.45</v>
      </c>
      <c r="H977" s="0" t="n">
        <f aca="false">C977*D977</f>
        <v>0.0675000000000001</v>
      </c>
      <c r="I977" s="0" t="n">
        <f aca="false">C977*C977</f>
        <v>0.0225</v>
      </c>
      <c r="J977" s="0" t="n">
        <f aca="false">D977*D977</f>
        <v>0.2025</v>
      </c>
      <c r="K977" s="0" t="n">
        <f aca="false">SUMPRODUCT(E977:J977,_XtX!$B$53:$G$53)</f>
        <v>49.046411637931</v>
      </c>
      <c r="L977" s="0" t="n">
        <f aca="false">SUMPRODUCT(MMULT(E977:J977,_XtX!$B$44:$G$49),E977:J977)</f>
        <v>0.178274622844828</v>
      </c>
      <c r="M977" s="0" t="n">
        <f aca="false">04_回帰ANOVA!$K$19*04_回帰ANOVA!$K$14*SQRT(1+L977)</f>
        <v>1.47095651587113</v>
      </c>
      <c r="N977" s="0" t="n">
        <f aca="false">K977-M977</f>
        <v>47.5754551220599</v>
      </c>
      <c r="O977" s="0" t="n">
        <f aca="false">K977+M977</f>
        <v>50.5173681538022</v>
      </c>
      <c r="P977" s="54" t="b">
        <f aca="false">AND(C977&gt;=01_因子設定!$L$5-0.000000001,C977&lt;=01_因子設定!$M$5+0.000000001,D977&gt;=01_因子設定!$L$6-0.000000001,D977&lt;=01_因子設定!$M$6+0.000000001,IF(01_因子設定!$B$20="Box-Behnken",C977^2+D977^2&lt;=2+0.000000001,TRUE()))</f>
        <v>1</v>
      </c>
      <c r="Q977" s="55" t="n">
        <f aca="false">IF(P977,IF(01_因子設定!$B$13="最大化",N977-01_因子設定!$B$14,IF(01_因子設定!$B$13="最小化",01_因子設定!$B$15-O977,MIN(N977-01_因子設定!$B$14,01_因子設定!$B$15-O977))),-1E+030)</f>
        <v>1.0754551220599</v>
      </c>
      <c r="R977" s="55" t="n">
        <f aca="false">IF(P977,IF(01_因子設定!$B$13="最大化",K977,IF(01_因子設定!$B$13="最小化",-K977,-ABS(K977-01_因子設定!$B$16))),-1E+030)</f>
        <v>49.046411637931</v>
      </c>
      <c r="S977" s="55" t="n">
        <f aca="false">Q977+ROW()*0.000000001</f>
        <v>1.0754560990599</v>
      </c>
      <c r="T977" s="55" t="n">
        <f aca="false">R977+ROW()*0.000000001</f>
        <v>49.046412614931</v>
      </c>
    </row>
    <row r="978" customFormat="false" ht="15" hidden="false" customHeight="false" outlineLevel="0" collapsed="false">
      <c r="A978" s="0" t="n">
        <v>23</v>
      </c>
      <c r="B978" s="0" t="n">
        <v>30</v>
      </c>
      <c r="C978" s="0" t="n">
        <f aca="false">-1+A978*0.05</f>
        <v>0.15</v>
      </c>
      <c r="D978" s="0" t="n">
        <f aca="false">-1+B978*0.05</f>
        <v>0.5</v>
      </c>
      <c r="E978" s="0" t="n">
        <f aca="false">1</f>
        <v>1</v>
      </c>
      <c r="F978" s="0" t="n">
        <f aca="false">C978</f>
        <v>0.15</v>
      </c>
      <c r="G978" s="0" t="n">
        <f aca="false">D978</f>
        <v>0.5</v>
      </c>
      <c r="H978" s="0" t="n">
        <f aca="false">C978*D978</f>
        <v>0.0750000000000001</v>
      </c>
      <c r="I978" s="0" t="n">
        <f aca="false">C978*C978</f>
        <v>0.0225</v>
      </c>
      <c r="J978" s="0" t="n">
        <f aca="false">D978*D978</f>
        <v>0.25</v>
      </c>
      <c r="K978" s="0" t="n">
        <f aca="false">SUMPRODUCT(E978:J978,_XtX!$B$53:$G$53)</f>
        <v>49.0895517241379</v>
      </c>
      <c r="L978" s="0" t="n">
        <f aca="false">SUMPRODUCT(MMULT(E978:J978,_XtX!$B$44:$G$49),E978:J978)</f>
        <v>0.184118283045977</v>
      </c>
      <c r="M978" s="0" t="n">
        <f aca="false">04_回帰ANOVA!$K$19*04_回帰ANOVA!$K$14*SQRT(1+L978)</f>
        <v>1.47459961338687</v>
      </c>
      <c r="N978" s="0" t="n">
        <f aca="false">K978-M978</f>
        <v>47.6149521107511</v>
      </c>
      <c r="O978" s="0" t="n">
        <f aca="false">K978+M978</f>
        <v>50.5641513375248</v>
      </c>
      <c r="P978" s="54" t="b">
        <f aca="false">AND(C978&gt;=01_因子設定!$L$5-0.000000001,C978&lt;=01_因子設定!$M$5+0.000000001,D978&gt;=01_因子設定!$L$6-0.000000001,D978&lt;=01_因子設定!$M$6+0.000000001,IF(01_因子設定!$B$20="Box-Behnken",C978^2+D978^2&lt;=2+0.000000001,TRUE()))</f>
        <v>1</v>
      </c>
      <c r="Q978" s="55" t="n">
        <f aca="false">IF(P978,IF(01_因子設定!$B$13="最大化",N978-01_因子設定!$B$14,IF(01_因子設定!$B$13="最小化",01_因子設定!$B$15-O978,MIN(N978-01_因子設定!$B$14,01_因子設定!$B$15-O978))),-1E+030)</f>
        <v>1.11495211075106</v>
      </c>
      <c r="R978" s="55" t="n">
        <f aca="false">IF(P978,IF(01_因子設定!$B$13="最大化",K978,IF(01_因子設定!$B$13="最小化",-K978,-ABS(K978-01_因子設定!$B$16))),-1E+030)</f>
        <v>49.0895517241379</v>
      </c>
      <c r="S978" s="55" t="n">
        <f aca="false">Q978+ROW()*0.000000001</f>
        <v>1.11495308875106</v>
      </c>
      <c r="T978" s="55" t="n">
        <f aca="false">R978+ROW()*0.000000001</f>
        <v>49.0895527021379</v>
      </c>
    </row>
    <row r="979" customFormat="false" ht="15" hidden="false" customHeight="false" outlineLevel="0" collapsed="false">
      <c r="A979" s="0" t="n">
        <v>23</v>
      </c>
      <c r="B979" s="0" t="n">
        <v>31</v>
      </c>
      <c r="C979" s="0" t="n">
        <f aca="false">-1+A979*0.05</f>
        <v>0.15</v>
      </c>
      <c r="D979" s="0" t="n">
        <f aca="false">-1+B979*0.05</f>
        <v>0.55</v>
      </c>
      <c r="E979" s="0" t="n">
        <f aca="false">1</f>
        <v>1</v>
      </c>
      <c r="F979" s="0" t="n">
        <f aca="false">C979</f>
        <v>0.15</v>
      </c>
      <c r="G979" s="0" t="n">
        <f aca="false">D979</f>
        <v>0.55</v>
      </c>
      <c r="H979" s="0" t="n">
        <f aca="false">C979*D979</f>
        <v>0.0825000000000001</v>
      </c>
      <c r="I979" s="0" t="n">
        <f aca="false">C979*C979</f>
        <v>0.0225</v>
      </c>
      <c r="J979" s="0" t="n">
        <f aca="false">D979*D979</f>
        <v>0.3025</v>
      </c>
      <c r="K979" s="0" t="n">
        <f aca="false">SUMPRODUCT(E979:J979,_XtX!$B$53:$G$53)</f>
        <v>49.1249762931034</v>
      </c>
      <c r="L979" s="0" t="n">
        <f aca="false">SUMPRODUCT(MMULT(E979:J979,_XtX!$B$44:$G$49),E979:J979)</f>
        <v>0.192477927442529</v>
      </c>
      <c r="M979" s="0" t="n">
        <f aca="false">04_回帰ANOVA!$K$19*04_回帰ANOVA!$K$14*SQRT(1+L979)</f>
        <v>1.47979565176085</v>
      </c>
      <c r="N979" s="0" t="n">
        <f aca="false">K979-M979</f>
        <v>47.6451806413426</v>
      </c>
      <c r="O979" s="0" t="n">
        <f aca="false">K979+M979</f>
        <v>50.6047719448643</v>
      </c>
      <c r="P979" s="54" t="b">
        <f aca="false">AND(C979&gt;=01_因子設定!$L$5-0.000000001,C979&lt;=01_因子設定!$M$5+0.000000001,D979&gt;=01_因子設定!$L$6-0.000000001,D979&lt;=01_因子設定!$M$6+0.000000001,IF(01_因子設定!$B$20="Box-Behnken",C979^2+D979^2&lt;=2+0.000000001,TRUE()))</f>
        <v>1</v>
      </c>
      <c r="Q979" s="55" t="n">
        <f aca="false">IF(P979,IF(01_因子設定!$B$13="最大化",N979-01_因子設定!$B$14,IF(01_因子設定!$B$13="最小化",01_因子設定!$B$15-O979,MIN(N979-01_因子設定!$B$14,01_因子設定!$B$15-O979))),-1E+030)</f>
        <v>1.1451806413426</v>
      </c>
      <c r="R979" s="55" t="n">
        <f aca="false">IF(P979,IF(01_因子設定!$B$13="最大化",K979,IF(01_因子設定!$B$13="最小化",-K979,-ABS(K979-01_因子設定!$B$16))),-1E+030)</f>
        <v>49.1249762931034</v>
      </c>
      <c r="S979" s="55" t="n">
        <f aca="false">Q979+ROW()*0.000000001</f>
        <v>1.1451816203426</v>
      </c>
      <c r="T979" s="55" t="n">
        <f aca="false">R979+ROW()*0.000000001</f>
        <v>49.1249772721034</v>
      </c>
    </row>
    <row r="980" customFormat="false" ht="15" hidden="false" customHeight="false" outlineLevel="0" collapsed="false">
      <c r="A980" s="0" t="n">
        <v>23</v>
      </c>
      <c r="B980" s="0" t="n">
        <v>32</v>
      </c>
      <c r="C980" s="0" t="n">
        <f aca="false">-1+A980*0.05</f>
        <v>0.15</v>
      </c>
      <c r="D980" s="0" t="n">
        <f aca="false">-1+B980*0.05</f>
        <v>0.6</v>
      </c>
      <c r="E980" s="0" t="n">
        <f aca="false">1</f>
        <v>1</v>
      </c>
      <c r="F980" s="0" t="n">
        <f aca="false">C980</f>
        <v>0.15</v>
      </c>
      <c r="G980" s="0" t="n">
        <f aca="false">D980</f>
        <v>0.6</v>
      </c>
      <c r="H980" s="0" t="n">
        <f aca="false">C980*D980</f>
        <v>0.0900000000000001</v>
      </c>
      <c r="I980" s="0" t="n">
        <f aca="false">C980*C980</f>
        <v>0.0225</v>
      </c>
      <c r="J980" s="0" t="n">
        <f aca="false">D980*D980</f>
        <v>0.36</v>
      </c>
      <c r="K980" s="0" t="n">
        <f aca="false">SUMPRODUCT(E980:J980,_XtX!$B$53:$G$53)</f>
        <v>49.1526853448276</v>
      </c>
      <c r="L980" s="0" t="n">
        <f aca="false">SUMPRODUCT(MMULT(E980:J980,_XtX!$B$44:$G$49),E980:J980)</f>
        <v>0.203923814655172</v>
      </c>
      <c r="M980" s="0" t="n">
        <f aca="false">04_回帰ANOVA!$K$19*04_回帰ANOVA!$K$14*SQRT(1+L980)</f>
        <v>1.48688053115555</v>
      </c>
      <c r="N980" s="0" t="n">
        <f aca="false">K980-M980</f>
        <v>47.665804813672</v>
      </c>
      <c r="O980" s="0" t="n">
        <f aca="false">K980+M980</f>
        <v>50.6395658759831</v>
      </c>
      <c r="P980" s="54" t="b">
        <f aca="false">AND(C980&gt;=01_因子設定!$L$5-0.000000001,C980&lt;=01_因子設定!$M$5+0.000000001,D980&gt;=01_因子設定!$L$6-0.000000001,D980&lt;=01_因子設定!$M$6+0.000000001,IF(01_因子設定!$B$20="Box-Behnken",C980^2+D980^2&lt;=2+0.000000001,TRUE()))</f>
        <v>1</v>
      </c>
      <c r="Q980" s="55" t="n">
        <f aca="false">IF(P980,IF(01_因子設定!$B$13="最大化",N980-01_因子設定!$B$14,IF(01_因子設定!$B$13="最小化",01_因子設定!$B$15-O980,MIN(N980-01_因子設定!$B$14,01_因子設定!$B$15-O980))),-1E+030)</f>
        <v>1.16580481367203</v>
      </c>
      <c r="R980" s="55" t="n">
        <f aca="false">IF(P980,IF(01_因子設定!$B$13="最大化",K980,IF(01_因子設定!$B$13="最小化",-K980,-ABS(K980-01_因子設定!$B$16))),-1E+030)</f>
        <v>49.1526853448276</v>
      </c>
      <c r="S980" s="55" t="n">
        <f aca="false">Q980+ROW()*0.000000001</f>
        <v>1.16580579367203</v>
      </c>
      <c r="T980" s="55" t="n">
        <f aca="false">R980+ROW()*0.000000001</f>
        <v>49.1526863248276</v>
      </c>
    </row>
    <row r="981" customFormat="false" ht="15" hidden="false" customHeight="false" outlineLevel="0" collapsed="false">
      <c r="A981" s="0" t="n">
        <v>23</v>
      </c>
      <c r="B981" s="0" t="n">
        <v>33</v>
      </c>
      <c r="C981" s="0" t="n">
        <f aca="false">-1+A981*0.05</f>
        <v>0.15</v>
      </c>
      <c r="D981" s="0" t="n">
        <f aca="false">-1+B981*0.05</f>
        <v>0.65</v>
      </c>
      <c r="E981" s="0" t="n">
        <f aca="false">1</f>
        <v>1</v>
      </c>
      <c r="F981" s="0" t="n">
        <f aca="false">C981</f>
        <v>0.15</v>
      </c>
      <c r="G981" s="0" t="n">
        <f aca="false">D981</f>
        <v>0.65</v>
      </c>
      <c r="H981" s="0" t="n">
        <f aca="false">C981*D981</f>
        <v>0.0975000000000001</v>
      </c>
      <c r="I981" s="0" t="n">
        <f aca="false">C981*C981</f>
        <v>0.0225</v>
      </c>
      <c r="J981" s="0" t="n">
        <f aca="false">D981*D981</f>
        <v>0.4225</v>
      </c>
      <c r="K981" s="0" t="n">
        <f aca="false">SUMPRODUCT(E981:J981,_XtX!$B$53:$G$53)</f>
        <v>49.1726788793104</v>
      </c>
      <c r="L981" s="0" t="n">
        <f aca="false">SUMPRODUCT(MMULT(E981:J981,_XtX!$B$44:$G$49),E981:J981)</f>
        <v>0.219080513649425</v>
      </c>
      <c r="M981" s="0" t="n">
        <f aca="false">04_回帰ANOVA!$K$19*04_回帰ANOVA!$K$14*SQRT(1+L981)</f>
        <v>1.49621073709053</v>
      </c>
      <c r="N981" s="0" t="n">
        <f aca="false">K981-M981</f>
        <v>47.6764681422198</v>
      </c>
      <c r="O981" s="0" t="n">
        <f aca="false">K981+M981</f>
        <v>50.6688896164009</v>
      </c>
      <c r="P981" s="54" t="b">
        <f aca="false">AND(C981&gt;=01_因子設定!$L$5-0.000000001,C981&lt;=01_因子設定!$M$5+0.000000001,D981&gt;=01_因子設定!$L$6-0.000000001,D981&lt;=01_因子設定!$M$6+0.000000001,IF(01_因子設定!$B$20="Box-Behnken",C981^2+D981^2&lt;=2+0.000000001,TRUE()))</f>
        <v>1</v>
      </c>
      <c r="Q981" s="55" t="n">
        <f aca="false">IF(P981,IF(01_因子設定!$B$13="最大化",N981-01_因子設定!$B$14,IF(01_因子設定!$B$13="最小化",01_因子設定!$B$15-O981,MIN(N981-01_因子設定!$B$14,01_因子設定!$B$15-O981))),-1E+030)</f>
        <v>1.17646814221982</v>
      </c>
      <c r="R981" s="55" t="n">
        <f aca="false">IF(P981,IF(01_因子設定!$B$13="最大化",K981,IF(01_因子設定!$B$13="最小化",-K981,-ABS(K981-01_因子設定!$B$16))),-1E+030)</f>
        <v>49.1726788793104</v>
      </c>
      <c r="S981" s="55" t="n">
        <f aca="false">Q981+ROW()*0.000000001</f>
        <v>1.17646912321982</v>
      </c>
      <c r="T981" s="55" t="n">
        <f aca="false">R981+ROW()*0.000000001</f>
        <v>49.1726798603103</v>
      </c>
    </row>
    <row r="982" customFormat="false" ht="15" hidden="false" customHeight="false" outlineLevel="0" collapsed="false">
      <c r="A982" s="0" t="n">
        <v>23</v>
      </c>
      <c r="B982" s="0" t="n">
        <v>34</v>
      </c>
      <c r="C982" s="0" t="n">
        <f aca="false">-1+A982*0.05</f>
        <v>0.15</v>
      </c>
      <c r="D982" s="0" t="n">
        <f aca="false">-1+B982*0.05</f>
        <v>0.7</v>
      </c>
      <c r="E982" s="0" t="n">
        <f aca="false">1</f>
        <v>1</v>
      </c>
      <c r="F982" s="0" t="n">
        <f aca="false">C982</f>
        <v>0.15</v>
      </c>
      <c r="G982" s="0" t="n">
        <f aca="false">D982</f>
        <v>0.7</v>
      </c>
      <c r="H982" s="0" t="n">
        <f aca="false">C982*D982</f>
        <v>0.105</v>
      </c>
      <c r="I982" s="0" t="n">
        <f aca="false">C982*C982</f>
        <v>0.0225</v>
      </c>
      <c r="J982" s="0" t="n">
        <f aca="false">D982*D982</f>
        <v>0.49</v>
      </c>
      <c r="K982" s="0" t="n">
        <f aca="false">SUMPRODUCT(E982:J982,_XtX!$B$53:$G$53)</f>
        <v>49.1849568965517</v>
      </c>
      <c r="L982" s="0" t="n">
        <f aca="false">SUMPRODUCT(MMULT(E982:J982,_XtX!$B$44:$G$49),E982:J982)</f>
        <v>0.238626903735632</v>
      </c>
      <c r="M982" s="0" t="n">
        <f aca="false">04_回帰ANOVA!$K$19*04_回帰ANOVA!$K$14*SQRT(1+L982)</f>
        <v>1.50815794660713</v>
      </c>
      <c r="N982" s="0" t="n">
        <f aca="false">K982-M982</f>
        <v>47.6767989499446</v>
      </c>
      <c r="O982" s="0" t="n">
        <f aca="false">K982+M982</f>
        <v>50.6931148431589</v>
      </c>
      <c r="P982" s="54" t="b">
        <f aca="false">AND(C982&gt;=01_因子設定!$L$5-0.000000001,C982&lt;=01_因子設定!$M$5+0.000000001,D982&gt;=01_因子設定!$L$6-0.000000001,D982&lt;=01_因子設定!$M$6+0.000000001,IF(01_因子設定!$B$20="Box-Behnken",C982^2+D982^2&lt;=2+0.000000001,TRUE()))</f>
        <v>1</v>
      </c>
      <c r="Q982" s="55" t="n">
        <f aca="false">IF(P982,IF(01_因子設定!$B$13="最大化",N982-01_因子設定!$B$14,IF(01_因子設定!$B$13="最小化",01_因子設定!$B$15-O982,MIN(N982-01_因子設定!$B$14,01_因子設定!$B$15-O982))),-1E+030)</f>
        <v>1.1767989499446</v>
      </c>
      <c r="R982" s="55" t="n">
        <f aca="false">IF(P982,IF(01_因子設定!$B$13="最大化",K982,IF(01_因子設定!$B$13="最小化",-K982,-ABS(K982-01_因子設定!$B$16))),-1E+030)</f>
        <v>49.1849568965517</v>
      </c>
      <c r="S982" s="55" t="n">
        <f aca="false">Q982+ROW()*0.000000001</f>
        <v>1.1767999319446</v>
      </c>
      <c r="T982" s="55" t="n">
        <f aca="false">R982+ROW()*0.000000001</f>
        <v>49.1849578785517</v>
      </c>
    </row>
    <row r="983" customFormat="false" ht="15" hidden="false" customHeight="false" outlineLevel="0" collapsed="false">
      <c r="A983" s="0" t="n">
        <v>23</v>
      </c>
      <c r="B983" s="0" t="n">
        <v>35</v>
      </c>
      <c r="C983" s="0" t="n">
        <f aca="false">-1+A983*0.05</f>
        <v>0.15</v>
      </c>
      <c r="D983" s="0" t="n">
        <f aca="false">-1+B983*0.05</f>
        <v>0.75</v>
      </c>
      <c r="E983" s="0" t="n">
        <f aca="false">1</f>
        <v>1</v>
      </c>
      <c r="F983" s="0" t="n">
        <f aca="false">C983</f>
        <v>0.15</v>
      </c>
      <c r="G983" s="0" t="n">
        <f aca="false">D983</f>
        <v>0.75</v>
      </c>
      <c r="H983" s="0" t="n">
        <f aca="false">C983*D983</f>
        <v>0.1125</v>
      </c>
      <c r="I983" s="0" t="n">
        <f aca="false">C983*C983</f>
        <v>0.0225</v>
      </c>
      <c r="J983" s="0" t="n">
        <f aca="false">D983*D983</f>
        <v>0.5625</v>
      </c>
      <c r="K983" s="0" t="n">
        <f aca="false">SUMPRODUCT(E983:J983,_XtX!$B$53:$G$53)</f>
        <v>49.1895193965517</v>
      </c>
      <c r="L983" s="0" t="n">
        <f aca="false">SUMPRODUCT(MMULT(E983:J983,_XtX!$B$44:$G$49),E983:J983)</f>
        <v>0.263296174568966</v>
      </c>
      <c r="M983" s="0" t="n">
        <f aca="false">04_回帰ANOVA!$K$19*04_回帰ANOVA!$K$14*SQRT(1+L983)</f>
        <v>1.52310261176472</v>
      </c>
      <c r="N983" s="0" t="n">
        <f aca="false">K983-M983</f>
        <v>47.666416784787</v>
      </c>
      <c r="O983" s="0" t="n">
        <f aca="false">K983+M983</f>
        <v>50.7126220083164</v>
      </c>
      <c r="P983" s="54" t="b">
        <f aca="false">AND(C983&gt;=01_因子設定!$L$5-0.000000001,C983&lt;=01_因子設定!$M$5+0.000000001,D983&gt;=01_因子設定!$L$6-0.000000001,D983&lt;=01_因子設定!$M$6+0.000000001,IF(01_因子設定!$B$20="Box-Behnken",C983^2+D983^2&lt;=2+0.000000001,TRUE()))</f>
        <v>1</v>
      </c>
      <c r="Q983" s="55" t="n">
        <f aca="false">IF(P983,IF(01_因子設定!$B$13="最大化",N983-01_因子設定!$B$14,IF(01_因子設定!$B$13="最小化",01_因子設定!$B$15-O983,MIN(N983-01_因子設定!$B$14,01_因子設定!$B$15-O983))),-1E+030)</f>
        <v>1.166416784787</v>
      </c>
      <c r="R983" s="55" t="n">
        <f aca="false">IF(P983,IF(01_因子設定!$B$13="最大化",K983,IF(01_因子設定!$B$13="最小化",-K983,-ABS(K983-01_因子設定!$B$16))),-1E+030)</f>
        <v>49.1895193965517</v>
      </c>
      <c r="S983" s="55" t="n">
        <f aca="false">Q983+ROW()*0.000000001</f>
        <v>1.166417767787</v>
      </c>
      <c r="T983" s="55" t="n">
        <f aca="false">R983+ROW()*0.000000001</f>
        <v>49.1895203795517</v>
      </c>
    </row>
    <row r="984" customFormat="false" ht="15" hidden="false" customHeight="false" outlineLevel="0" collapsed="false">
      <c r="A984" s="0" t="n">
        <v>23</v>
      </c>
      <c r="B984" s="0" t="n">
        <v>36</v>
      </c>
      <c r="C984" s="0" t="n">
        <f aca="false">-1+A984*0.05</f>
        <v>0.15</v>
      </c>
      <c r="D984" s="0" t="n">
        <f aca="false">-1+B984*0.05</f>
        <v>0.8</v>
      </c>
      <c r="E984" s="0" t="n">
        <f aca="false">1</f>
        <v>1</v>
      </c>
      <c r="F984" s="0" t="n">
        <f aca="false">C984</f>
        <v>0.15</v>
      </c>
      <c r="G984" s="0" t="n">
        <f aca="false">D984</f>
        <v>0.8</v>
      </c>
      <c r="H984" s="0" t="n">
        <f aca="false">C984*D984</f>
        <v>0.12</v>
      </c>
      <c r="I984" s="0" t="n">
        <f aca="false">C984*C984</f>
        <v>0.0225</v>
      </c>
      <c r="J984" s="0" t="n">
        <f aca="false">D984*D984</f>
        <v>0.64</v>
      </c>
      <c r="K984" s="0" t="n">
        <f aca="false">SUMPRODUCT(E984:J984,_XtX!$B$53:$G$53)</f>
        <v>49.1863663793103</v>
      </c>
      <c r="L984" s="0" t="n">
        <f aca="false">SUMPRODUCT(MMULT(E984:J984,_XtX!$B$44:$G$49),E984:J984)</f>
        <v>0.293875826149425</v>
      </c>
      <c r="M984" s="0" t="n">
        <f aca="false">04_回帰ANOVA!$K$19*04_回帰ANOVA!$K$14*SQRT(1+L984)</f>
        <v>1.54142668001218</v>
      </c>
      <c r="N984" s="0" t="n">
        <f aca="false">K984-M984</f>
        <v>47.6449396992982</v>
      </c>
      <c r="O984" s="0" t="n">
        <f aca="false">K984+M984</f>
        <v>50.7277930593225</v>
      </c>
      <c r="P984" s="54" t="b">
        <f aca="false">AND(C984&gt;=01_因子設定!$L$5-0.000000001,C984&lt;=01_因子設定!$M$5+0.000000001,D984&gt;=01_因子設定!$L$6-0.000000001,D984&lt;=01_因子設定!$M$6+0.000000001,IF(01_因子設定!$B$20="Box-Behnken",C984^2+D984^2&lt;=2+0.000000001,TRUE()))</f>
        <v>1</v>
      </c>
      <c r="Q984" s="55" t="n">
        <f aca="false">IF(P984,IF(01_因子設定!$B$13="最大化",N984-01_因子設定!$B$14,IF(01_因子設定!$B$13="最小化",01_因子設定!$B$15-O984,MIN(N984-01_因子設定!$B$14,01_因子設定!$B$15-O984))),-1E+030)</f>
        <v>1.14493969929817</v>
      </c>
      <c r="R984" s="55" t="n">
        <f aca="false">IF(P984,IF(01_因子設定!$B$13="最大化",K984,IF(01_因子設定!$B$13="最小化",-K984,-ABS(K984-01_因子設定!$B$16))),-1E+030)</f>
        <v>49.1863663793103</v>
      </c>
      <c r="S984" s="55" t="n">
        <f aca="false">Q984+ROW()*0.000000001</f>
        <v>1.14494068329817</v>
      </c>
      <c r="T984" s="55" t="n">
        <f aca="false">R984+ROW()*0.000000001</f>
        <v>49.1863673633103</v>
      </c>
    </row>
    <row r="985" customFormat="false" ht="15" hidden="false" customHeight="false" outlineLevel="0" collapsed="false">
      <c r="A985" s="0" t="n">
        <v>23</v>
      </c>
      <c r="B985" s="0" t="n">
        <v>37</v>
      </c>
      <c r="C985" s="0" t="n">
        <f aca="false">-1+A985*0.05</f>
        <v>0.15</v>
      </c>
      <c r="D985" s="0" t="n">
        <f aca="false">-1+B985*0.05</f>
        <v>0.85</v>
      </c>
      <c r="E985" s="0" t="n">
        <f aca="false">1</f>
        <v>1</v>
      </c>
      <c r="F985" s="0" t="n">
        <f aca="false">C985</f>
        <v>0.15</v>
      </c>
      <c r="G985" s="0" t="n">
        <f aca="false">D985</f>
        <v>0.85</v>
      </c>
      <c r="H985" s="0" t="n">
        <f aca="false">C985*D985</f>
        <v>0.1275</v>
      </c>
      <c r="I985" s="0" t="n">
        <f aca="false">C985*C985</f>
        <v>0.0225</v>
      </c>
      <c r="J985" s="0" t="n">
        <f aca="false">D985*D985</f>
        <v>0.7225</v>
      </c>
      <c r="K985" s="0" t="n">
        <f aca="false">SUMPRODUCT(E985:J985,_XtX!$B$53:$G$53)</f>
        <v>49.1754978448276</v>
      </c>
      <c r="L985" s="0" t="n">
        <f aca="false">SUMPRODUCT(MMULT(E985:J985,_XtX!$B$44:$G$49),E985:J985)</f>
        <v>0.331207668821839</v>
      </c>
      <c r="M985" s="0" t="n">
        <f aca="false">04_回帰ANOVA!$K$19*04_回帰ANOVA!$K$14*SQRT(1+L985)</f>
        <v>1.56350573192697</v>
      </c>
      <c r="N985" s="0" t="n">
        <f aca="false">K985-M985</f>
        <v>47.6119921129006</v>
      </c>
      <c r="O985" s="0" t="n">
        <f aca="false">K985+M985</f>
        <v>50.7390035767546</v>
      </c>
      <c r="P985" s="54" t="b">
        <f aca="false">AND(C985&gt;=01_因子設定!$L$5-0.000000001,C985&lt;=01_因子設定!$M$5+0.000000001,D985&gt;=01_因子設定!$L$6-0.000000001,D985&lt;=01_因子設定!$M$6+0.000000001,IF(01_因子設定!$B$20="Box-Behnken",C985^2+D985^2&lt;=2+0.000000001,TRUE()))</f>
        <v>1</v>
      </c>
      <c r="Q985" s="55" t="n">
        <f aca="false">IF(P985,IF(01_因子設定!$B$13="最大化",N985-01_因子設定!$B$14,IF(01_因子設定!$B$13="最小化",01_因子設定!$B$15-O985,MIN(N985-01_因子設定!$B$14,01_因子設定!$B$15-O985))),-1E+030)</f>
        <v>1.11199211290062</v>
      </c>
      <c r="R985" s="55" t="n">
        <f aca="false">IF(P985,IF(01_因子設定!$B$13="最大化",K985,IF(01_因子設定!$B$13="最小化",-K985,-ABS(K985-01_因子設定!$B$16))),-1E+030)</f>
        <v>49.1754978448276</v>
      </c>
      <c r="S985" s="55" t="n">
        <f aca="false">Q985+ROW()*0.000000001</f>
        <v>1.11199309790062</v>
      </c>
      <c r="T985" s="55" t="n">
        <f aca="false">R985+ROW()*0.000000001</f>
        <v>49.1754988298276</v>
      </c>
    </row>
    <row r="986" customFormat="false" ht="15" hidden="false" customHeight="false" outlineLevel="0" collapsed="false">
      <c r="A986" s="0" t="n">
        <v>23</v>
      </c>
      <c r="B986" s="0" t="n">
        <v>38</v>
      </c>
      <c r="C986" s="0" t="n">
        <f aca="false">-1+A986*0.05</f>
        <v>0.15</v>
      </c>
      <c r="D986" s="0" t="n">
        <f aca="false">-1+B986*0.05</f>
        <v>0.9</v>
      </c>
      <c r="E986" s="0" t="n">
        <f aca="false">1</f>
        <v>1</v>
      </c>
      <c r="F986" s="0" t="n">
        <f aca="false">C986</f>
        <v>0.15</v>
      </c>
      <c r="G986" s="0" t="n">
        <f aca="false">D986</f>
        <v>0.9</v>
      </c>
      <c r="H986" s="0" t="n">
        <f aca="false">C986*D986</f>
        <v>0.135</v>
      </c>
      <c r="I986" s="0" t="n">
        <f aca="false">C986*C986</f>
        <v>0.0225</v>
      </c>
      <c r="J986" s="0" t="n">
        <f aca="false">D986*D986</f>
        <v>0.81</v>
      </c>
      <c r="K986" s="0" t="n">
        <f aca="false">SUMPRODUCT(E986:J986,_XtX!$B$53:$G$53)</f>
        <v>49.1569137931035</v>
      </c>
      <c r="L986" s="0" t="n">
        <f aca="false">SUMPRODUCT(MMULT(E986:J986,_XtX!$B$44:$G$49),E986:J986)</f>
        <v>0.376187823275862</v>
      </c>
      <c r="M986" s="0" t="n">
        <f aca="false">04_回帰ANOVA!$K$19*04_回帰ANOVA!$K$14*SQRT(1+L986)</f>
        <v>1.58970092790052</v>
      </c>
      <c r="N986" s="0" t="n">
        <f aca="false">K986-M986</f>
        <v>47.5672128652029</v>
      </c>
      <c r="O986" s="0" t="n">
        <f aca="false">K986+M986</f>
        <v>50.746614721004</v>
      </c>
      <c r="P986" s="54" t="b">
        <f aca="false">AND(C986&gt;=01_因子設定!$L$5-0.000000001,C986&lt;=01_因子設定!$M$5+0.000000001,D986&gt;=01_因子設定!$L$6-0.000000001,D986&lt;=01_因子設定!$M$6+0.000000001,IF(01_因子設定!$B$20="Box-Behnken",C986^2+D986^2&lt;=2+0.000000001,TRUE()))</f>
        <v>1</v>
      </c>
      <c r="Q986" s="55" t="n">
        <f aca="false">IF(P986,IF(01_因子設定!$B$13="最大化",N986-01_因子設定!$B$14,IF(01_因子設定!$B$13="最小化",01_因子設定!$B$15-O986,MIN(N986-01_因子設定!$B$14,01_因子設定!$B$15-O986))),-1E+030)</f>
        <v>1.06721286520293</v>
      </c>
      <c r="R986" s="55" t="n">
        <f aca="false">IF(P986,IF(01_因子設定!$B$13="最大化",K986,IF(01_因子設定!$B$13="最小化",-K986,-ABS(K986-01_因子設定!$B$16))),-1E+030)</f>
        <v>49.1569137931035</v>
      </c>
      <c r="S986" s="55" t="n">
        <f aca="false">Q986+ROW()*0.000000001</f>
        <v>1.06721385120293</v>
      </c>
      <c r="T986" s="55" t="n">
        <f aca="false">R986+ROW()*0.000000001</f>
        <v>49.1569147791035</v>
      </c>
    </row>
    <row r="987" customFormat="false" ht="15" hidden="false" customHeight="false" outlineLevel="0" collapsed="false">
      <c r="A987" s="0" t="n">
        <v>23</v>
      </c>
      <c r="B987" s="0" t="n">
        <v>39</v>
      </c>
      <c r="C987" s="0" t="n">
        <f aca="false">-1+A987*0.05</f>
        <v>0.15</v>
      </c>
      <c r="D987" s="0" t="n">
        <f aca="false">-1+B987*0.05</f>
        <v>0.95</v>
      </c>
      <c r="E987" s="0" t="n">
        <f aca="false">1</f>
        <v>1</v>
      </c>
      <c r="F987" s="0" t="n">
        <f aca="false">C987</f>
        <v>0.15</v>
      </c>
      <c r="G987" s="0" t="n">
        <f aca="false">D987</f>
        <v>0.95</v>
      </c>
      <c r="H987" s="0" t="n">
        <f aca="false">C987*D987</f>
        <v>0.1425</v>
      </c>
      <c r="I987" s="0" t="n">
        <f aca="false">C987*C987</f>
        <v>0.0225</v>
      </c>
      <c r="J987" s="0" t="n">
        <f aca="false">D987*D987</f>
        <v>0.9025</v>
      </c>
      <c r="K987" s="0" t="n">
        <f aca="false">SUMPRODUCT(E987:J987,_XtX!$B$53:$G$53)</f>
        <v>49.1306142241379</v>
      </c>
      <c r="L987" s="0" t="n">
        <f aca="false">SUMPRODUCT(MMULT(E987:J987,_XtX!$B$44:$G$49),E987:J987)</f>
        <v>0.429766720545977</v>
      </c>
      <c r="M987" s="0" t="n">
        <f aca="false">04_回帰ANOVA!$K$19*04_回帰ANOVA!$K$14*SQRT(1+L987)</f>
        <v>1.62035123469551</v>
      </c>
      <c r="N987" s="0" t="n">
        <f aca="false">K987-M987</f>
        <v>47.5102629894424</v>
      </c>
      <c r="O987" s="0" t="n">
        <f aca="false">K987+M987</f>
        <v>50.7509654588334</v>
      </c>
      <c r="P987" s="54" t="b">
        <f aca="false">AND(C987&gt;=01_因子設定!$L$5-0.000000001,C987&lt;=01_因子設定!$M$5+0.000000001,D987&gt;=01_因子設定!$L$6-0.000000001,D987&lt;=01_因子設定!$M$6+0.000000001,IF(01_因子設定!$B$20="Box-Behnken",C987^2+D987^2&lt;=2+0.000000001,TRUE()))</f>
        <v>1</v>
      </c>
      <c r="Q987" s="55" t="n">
        <f aca="false">IF(P987,IF(01_因子設定!$B$13="最大化",N987-01_因子設定!$B$14,IF(01_因子設定!$B$13="最小化",01_因子設定!$B$15-O987,MIN(N987-01_因子設定!$B$14,01_因子設定!$B$15-O987))),-1E+030)</f>
        <v>1.01026298944242</v>
      </c>
      <c r="R987" s="55" t="n">
        <f aca="false">IF(P987,IF(01_因子設定!$B$13="最大化",K987,IF(01_因子設定!$B$13="最小化",-K987,-ABS(K987-01_因子設定!$B$16))),-1E+030)</f>
        <v>49.1306142241379</v>
      </c>
      <c r="S987" s="55" t="n">
        <f aca="false">Q987+ROW()*0.000000001</f>
        <v>1.01026397644242</v>
      </c>
      <c r="T987" s="55" t="n">
        <f aca="false">R987+ROW()*0.000000001</f>
        <v>49.1306152111379</v>
      </c>
    </row>
    <row r="988" customFormat="false" ht="15" hidden="false" customHeight="false" outlineLevel="0" collapsed="false">
      <c r="A988" s="0" t="n">
        <v>23</v>
      </c>
      <c r="B988" s="0" t="n">
        <v>40</v>
      </c>
      <c r="C988" s="0" t="n">
        <f aca="false">-1+A988*0.05</f>
        <v>0.15</v>
      </c>
      <c r="D988" s="0" t="n">
        <f aca="false">-1+B988*0.05</f>
        <v>1</v>
      </c>
      <c r="E988" s="0" t="n">
        <f aca="false">1</f>
        <v>1</v>
      </c>
      <c r="F988" s="0" t="n">
        <f aca="false">C988</f>
        <v>0.15</v>
      </c>
      <c r="G988" s="0" t="n">
        <f aca="false">D988</f>
        <v>1</v>
      </c>
      <c r="H988" s="0" t="n">
        <f aca="false">C988*D988</f>
        <v>0.15</v>
      </c>
      <c r="I988" s="0" t="n">
        <f aca="false">C988*C988</f>
        <v>0.0225</v>
      </c>
      <c r="J988" s="0" t="n">
        <f aca="false">D988*D988</f>
        <v>1</v>
      </c>
      <c r="K988" s="0" t="n">
        <f aca="false">SUMPRODUCT(E988:J988,_XtX!$B$53:$G$53)</f>
        <v>49.096599137931</v>
      </c>
      <c r="L988" s="0" t="n">
        <f aca="false">SUMPRODUCT(MMULT(E988:J988,_XtX!$B$44:$G$49),E988:J988)</f>
        <v>0.492949102011494</v>
      </c>
      <c r="M988" s="0" t="n">
        <f aca="false">04_回帰ANOVA!$K$19*04_回帰ANOVA!$K$14*SQRT(1+L988)</f>
        <v>1.65576643026763</v>
      </c>
      <c r="N988" s="0" t="n">
        <f aca="false">K988-M988</f>
        <v>47.4408327076634</v>
      </c>
      <c r="O988" s="0" t="n">
        <f aca="false">K988+M988</f>
        <v>50.7523655681987</v>
      </c>
      <c r="P988" s="54" t="b">
        <f aca="false">AND(C988&gt;=01_因子設定!$L$5-0.000000001,C988&lt;=01_因子設定!$M$5+0.000000001,D988&gt;=01_因子設定!$L$6-0.000000001,D988&lt;=01_因子設定!$M$6+0.000000001,IF(01_因子設定!$B$20="Box-Behnken",C988^2+D988^2&lt;=2+0.000000001,TRUE()))</f>
        <v>1</v>
      </c>
      <c r="Q988" s="55" t="n">
        <f aca="false">IF(P988,IF(01_因子設定!$B$13="最大化",N988-01_因子設定!$B$14,IF(01_因子設定!$B$13="最小化",01_因子設定!$B$15-O988,MIN(N988-01_因子設定!$B$14,01_因子設定!$B$15-O988))),-1E+030)</f>
        <v>0.940832707663404</v>
      </c>
      <c r="R988" s="55" t="n">
        <f aca="false">IF(P988,IF(01_因子設定!$B$13="最大化",K988,IF(01_因子設定!$B$13="最小化",-K988,-ABS(K988-01_因子設定!$B$16))),-1E+030)</f>
        <v>49.096599137931</v>
      </c>
      <c r="S988" s="55" t="n">
        <f aca="false">Q988+ROW()*0.000000001</f>
        <v>0.940833695663404</v>
      </c>
      <c r="T988" s="55" t="n">
        <f aca="false">R988+ROW()*0.000000001</f>
        <v>49.096600125931</v>
      </c>
    </row>
    <row r="989" customFormat="false" ht="15" hidden="false" customHeight="false" outlineLevel="0" collapsed="false">
      <c r="A989" s="0" t="n">
        <v>24</v>
      </c>
      <c r="B989" s="0" t="n">
        <v>0</v>
      </c>
      <c r="C989" s="0" t="n">
        <f aca="false">-1+A989*0.05</f>
        <v>0.2</v>
      </c>
      <c r="D989" s="0" t="n">
        <f aca="false">-1+B989*0.05</f>
        <v>-1</v>
      </c>
      <c r="E989" s="0" t="n">
        <f aca="false">1</f>
        <v>1</v>
      </c>
      <c r="F989" s="0" t="n">
        <f aca="false">C989</f>
        <v>0.2</v>
      </c>
      <c r="G989" s="0" t="n">
        <f aca="false">D989</f>
        <v>-1</v>
      </c>
      <c r="H989" s="0" t="n">
        <f aca="false">C989*D989</f>
        <v>-0.2</v>
      </c>
      <c r="I989" s="0" t="n">
        <f aca="false">C989*C989</f>
        <v>0.0400000000000001</v>
      </c>
      <c r="J989" s="0" t="n">
        <f aca="false">D989*D989</f>
        <v>1</v>
      </c>
      <c r="K989" s="0" t="n">
        <f aca="false">SUMPRODUCT(E989:J989,_XtX!$B$53:$G$53)</f>
        <v>44.4706781609196</v>
      </c>
      <c r="L989" s="0" t="n">
        <f aca="false">SUMPRODUCT(MMULT(E989:J989,_XtX!$B$44:$G$49),E989:J989)</f>
        <v>0.492188505747126</v>
      </c>
      <c r="M989" s="0" t="n">
        <f aca="false">04_回帰ANOVA!$K$19*04_回帰ANOVA!$K$14*SQRT(1+L989)</f>
        <v>1.65534460403123</v>
      </c>
      <c r="N989" s="0" t="n">
        <f aca="false">K989-M989</f>
        <v>42.8153335568883</v>
      </c>
      <c r="O989" s="0" t="n">
        <f aca="false">K989+M989</f>
        <v>46.1260227649508</v>
      </c>
      <c r="P989" s="54" t="b">
        <f aca="false">AND(C989&gt;=01_因子設定!$L$5-0.000000001,C989&lt;=01_因子設定!$M$5+0.000000001,D989&gt;=01_因子設定!$L$6-0.000000001,D989&lt;=01_因子設定!$M$6+0.000000001,IF(01_因子設定!$B$20="Box-Behnken",C989^2+D989^2&lt;=2+0.000000001,TRUE()))</f>
        <v>1</v>
      </c>
      <c r="Q989" s="55" t="n">
        <f aca="false">IF(P989,IF(01_因子設定!$B$13="最大化",N989-01_因子設定!$B$14,IF(01_因子設定!$B$13="最小化",01_因子設定!$B$15-O989,MIN(N989-01_因子設定!$B$14,01_因子設定!$B$15-O989))),-1E+030)</f>
        <v>-3.68466644311168</v>
      </c>
      <c r="R989" s="55" t="n">
        <f aca="false">IF(P989,IF(01_因子設定!$B$13="最大化",K989,IF(01_因子設定!$B$13="最小化",-K989,-ABS(K989-01_因子設定!$B$16))),-1E+030)</f>
        <v>44.4706781609196</v>
      </c>
      <c r="S989" s="55" t="n">
        <f aca="false">Q989+ROW()*0.000000001</f>
        <v>-3.68466545411168</v>
      </c>
      <c r="T989" s="55" t="n">
        <f aca="false">R989+ROW()*0.000000001</f>
        <v>44.4706791499196</v>
      </c>
    </row>
    <row r="990" customFormat="false" ht="15" hidden="false" customHeight="false" outlineLevel="0" collapsed="false">
      <c r="A990" s="0" t="n">
        <v>24</v>
      </c>
      <c r="B990" s="0" t="n">
        <v>1</v>
      </c>
      <c r="C990" s="0" t="n">
        <f aca="false">-1+A990*0.05</f>
        <v>0.2</v>
      </c>
      <c r="D990" s="0" t="n">
        <f aca="false">-1+B990*0.05</f>
        <v>-0.95</v>
      </c>
      <c r="E990" s="0" t="n">
        <f aca="false">1</f>
        <v>1</v>
      </c>
      <c r="F990" s="0" t="n">
        <f aca="false">C990</f>
        <v>0.2</v>
      </c>
      <c r="G990" s="0" t="n">
        <f aca="false">D990</f>
        <v>-0.95</v>
      </c>
      <c r="H990" s="0" t="n">
        <f aca="false">C990*D990</f>
        <v>-0.19</v>
      </c>
      <c r="I990" s="0" t="n">
        <f aca="false">C990*C990</f>
        <v>0.0400000000000001</v>
      </c>
      <c r="J990" s="0" t="n">
        <f aca="false">D990*D990</f>
        <v>0.9025</v>
      </c>
      <c r="K990" s="0" t="n">
        <f aca="false">SUMPRODUCT(E990:J990,_XtX!$B$53:$G$53)</f>
        <v>44.7388807471264</v>
      </c>
      <c r="L990" s="0" t="n">
        <f aca="false">SUMPRODUCT(MMULT(E990:J990,_XtX!$B$44:$G$49),E990:J990)</f>
        <v>0.429050251436782</v>
      </c>
      <c r="M990" s="0" t="n">
        <f aca="false">04_回帰ANOVA!$K$19*04_回帰ANOVA!$K$14*SQRT(1+L990)</f>
        <v>1.61994519745048</v>
      </c>
      <c r="N990" s="0" t="n">
        <f aca="false">K990-M990</f>
        <v>43.118935549676</v>
      </c>
      <c r="O990" s="0" t="n">
        <f aca="false">K990+M990</f>
        <v>46.3588259445769</v>
      </c>
      <c r="P990" s="54" t="b">
        <f aca="false">AND(C990&gt;=01_因子設定!$L$5-0.000000001,C990&lt;=01_因子設定!$M$5+0.000000001,D990&gt;=01_因子設定!$L$6-0.000000001,D990&lt;=01_因子設定!$M$6+0.000000001,IF(01_因子設定!$B$20="Box-Behnken",C990^2+D990^2&lt;=2+0.000000001,TRUE()))</f>
        <v>1</v>
      </c>
      <c r="Q990" s="55" t="n">
        <f aca="false">IF(P990,IF(01_因子設定!$B$13="最大化",N990-01_因子設定!$B$14,IF(01_因子設定!$B$13="最小化",01_因子設定!$B$15-O990,MIN(N990-01_因子設定!$B$14,01_因子設定!$B$15-O990))),-1E+030)</f>
        <v>-3.38106445032404</v>
      </c>
      <c r="R990" s="55" t="n">
        <f aca="false">IF(P990,IF(01_因子設定!$B$13="最大化",K990,IF(01_因子設定!$B$13="最小化",-K990,-ABS(K990-01_因子設定!$B$16))),-1E+030)</f>
        <v>44.7388807471264</v>
      </c>
      <c r="S990" s="55" t="n">
        <f aca="false">Q990+ROW()*0.000000001</f>
        <v>-3.38106346032404</v>
      </c>
      <c r="T990" s="55" t="n">
        <f aca="false">R990+ROW()*0.000000001</f>
        <v>44.7388817371264</v>
      </c>
    </row>
    <row r="991" customFormat="false" ht="15" hidden="false" customHeight="false" outlineLevel="0" collapsed="false">
      <c r="A991" s="0" t="n">
        <v>24</v>
      </c>
      <c r="B991" s="0" t="n">
        <v>2</v>
      </c>
      <c r="C991" s="0" t="n">
        <f aca="false">-1+A991*0.05</f>
        <v>0.2</v>
      </c>
      <c r="D991" s="0" t="n">
        <f aca="false">-1+B991*0.05</f>
        <v>-0.9</v>
      </c>
      <c r="E991" s="0" t="n">
        <f aca="false">1</f>
        <v>1</v>
      </c>
      <c r="F991" s="0" t="n">
        <f aca="false">C991</f>
        <v>0.2</v>
      </c>
      <c r="G991" s="0" t="n">
        <f aca="false">D991</f>
        <v>-0.9</v>
      </c>
      <c r="H991" s="0" t="n">
        <f aca="false">C991*D991</f>
        <v>-0.18</v>
      </c>
      <c r="I991" s="0" t="n">
        <f aca="false">C991*C991</f>
        <v>0.0400000000000001</v>
      </c>
      <c r="J991" s="0" t="n">
        <f aca="false">D991*D991</f>
        <v>0.81</v>
      </c>
      <c r="K991" s="0" t="n">
        <f aca="false">SUMPRODUCT(E991:J991,_XtX!$B$53:$G$53)</f>
        <v>44.999367816092</v>
      </c>
      <c r="L991" s="0" t="n">
        <f aca="false">SUMPRODUCT(MMULT(E991:J991,_XtX!$B$44:$G$49),E991:J991)</f>
        <v>0.375513218390805</v>
      </c>
      <c r="M991" s="0" t="n">
        <f aca="false">04_回帰ANOVA!$K$19*04_回帰ANOVA!$K$14*SQRT(1+L991)</f>
        <v>1.58931124581991</v>
      </c>
      <c r="N991" s="0" t="n">
        <f aca="false">K991-M991</f>
        <v>43.4100565702721</v>
      </c>
      <c r="O991" s="0" t="n">
        <f aca="false">K991+M991</f>
        <v>46.5886790619119</v>
      </c>
      <c r="P991" s="54" t="b">
        <f aca="false">AND(C991&gt;=01_因子設定!$L$5-0.000000001,C991&lt;=01_因子設定!$M$5+0.000000001,D991&gt;=01_因子設定!$L$6-0.000000001,D991&lt;=01_因子設定!$M$6+0.000000001,IF(01_因子設定!$B$20="Box-Behnken",C991^2+D991^2&lt;=2+0.000000001,TRUE()))</f>
        <v>1</v>
      </c>
      <c r="Q991" s="55" t="n">
        <f aca="false">IF(P991,IF(01_因子設定!$B$13="最大化",N991-01_因子設定!$B$14,IF(01_因子設定!$B$13="最小化",01_因子設定!$B$15-O991,MIN(N991-01_因子設定!$B$14,01_因子設定!$B$15-O991))),-1E+030)</f>
        <v>-3.08994342972795</v>
      </c>
      <c r="R991" s="55" t="n">
        <f aca="false">IF(P991,IF(01_因子設定!$B$13="最大化",K991,IF(01_因子設定!$B$13="最小化",-K991,-ABS(K991-01_因子設定!$B$16))),-1E+030)</f>
        <v>44.999367816092</v>
      </c>
      <c r="S991" s="55" t="n">
        <f aca="false">Q991+ROW()*0.000000001</f>
        <v>-3.08994243872795</v>
      </c>
      <c r="T991" s="55" t="n">
        <f aca="false">R991+ROW()*0.000000001</f>
        <v>44.999368807092</v>
      </c>
    </row>
    <row r="992" customFormat="false" ht="15" hidden="false" customHeight="false" outlineLevel="0" collapsed="false">
      <c r="A992" s="0" t="n">
        <v>24</v>
      </c>
      <c r="B992" s="0" t="n">
        <v>3</v>
      </c>
      <c r="C992" s="0" t="n">
        <f aca="false">-1+A992*0.05</f>
        <v>0.2</v>
      </c>
      <c r="D992" s="0" t="n">
        <f aca="false">-1+B992*0.05</f>
        <v>-0.85</v>
      </c>
      <c r="E992" s="0" t="n">
        <f aca="false">1</f>
        <v>1</v>
      </c>
      <c r="F992" s="0" t="n">
        <f aca="false">C992</f>
        <v>0.2</v>
      </c>
      <c r="G992" s="0" t="n">
        <f aca="false">D992</f>
        <v>-0.85</v>
      </c>
      <c r="H992" s="0" t="n">
        <f aca="false">C992*D992</f>
        <v>-0.17</v>
      </c>
      <c r="I992" s="0" t="n">
        <f aca="false">C992*C992</f>
        <v>0.0400000000000001</v>
      </c>
      <c r="J992" s="0" t="n">
        <f aca="false">D992*D992</f>
        <v>0.7225</v>
      </c>
      <c r="K992" s="0" t="n">
        <f aca="false">SUMPRODUCT(E992:J992,_XtX!$B$53:$G$53)</f>
        <v>45.2521393678161</v>
      </c>
      <c r="L992" s="0" t="n">
        <f aca="false">SUMPRODUCT(MMULT(E992:J992,_XtX!$B$44:$G$49),E992:J992)</f>
        <v>0.330572665229885</v>
      </c>
      <c r="M992" s="0" t="n">
        <f aca="false">04_回帰ANOVA!$K$19*04_回帰ANOVA!$K$14*SQRT(1+L992)</f>
        <v>1.56313278103216</v>
      </c>
      <c r="N992" s="0" t="n">
        <f aca="false">K992-M992</f>
        <v>43.6890065867839</v>
      </c>
      <c r="O992" s="0" t="n">
        <f aca="false">K992+M992</f>
        <v>46.8152721488483</v>
      </c>
      <c r="P992" s="54" t="b">
        <f aca="false">AND(C992&gt;=01_因子設定!$L$5-0.000000001,C992&lt;=01_因子設定!$M$5+0.000000001,D992&gt;=01_因子設定!$L$6-0.000000001,D992&lt;=01_因子設定!$M$6+0.000000001,IF(01_因子設定!$B$20="Box-Behnken",C992^2+D992^2&lt;=2+0.000000001,TRUE()))</f>
        <v>1</v>
      </c>
      <c r="Q992" s="55" t="n">
        <f aca="false">IF(P992,IF(01_因子設定!$B$13="最大化",N992-01_因子設定!$B$14,IF(01_因子設定!$B$13="最小化",01_因子設定!$B$15-O992,MIN(N992-01_因子設定!$B$14,01_因子設定!$B$15-O992))),-1E+030)</f>
        <v>-2.81099341321607</v>
      </c>
      <c r="R992" s="55" t="n">
        <f aca="false">IF(P992,IF(01_因子設定!$B$13="最大化",K992,IF(01_因子設定!$B$13="最小化",-K992,-ABS(K992-01_因子設定!$B$16))),-1E+030)</f>
        <v>45.2521393678161</v>
      </c>
      <c r="S992" s="55" t="n">
        <f aca="false">Q992+ROW()*0.000000001</f>
        <v>-2.81099242121607</v>
      </c>
      <c r="T992" s="55" t="n">
        <f aca="false">R992+ROW()*0.000000001</f>
        <v>45.2521403598161</v>
      </c>
    </row>
    <row r="993" customFormat="false" ht="15" hidden="false" customHeight="false" outlineLevel="0" collapsed="false">
      <c r="A993" s="0" t="n">
        <v>24</v>
      </c>
      <c r="B993" s="0" t="n">
        <v>4</v>
      </c>
      <c r="C993" s="0" t="n">
        <f aca="false">-1+A993*0.05</f>
        <v>0.2</v>
      </c>
      <c r="D993" s="0" t="n">
        <f aca="false">-1+B993*0.05</f>
        <v>-0.8</v>
      </c>
      <c r="E993" s="0" t="n">
        <f aca="false">1</f>
        <v>1</v>
      </c>
      <c r="F993" s="0" t="n">
        <f aca="false">C993</f>
        <v>0.2</v>
      </c>
      <c r="G993" s="0" t="n">
        <f aca="false">D993</f>
        <v>-0.8</v>
      </c>
      <c r="H993" s="0" t="n">
        <f aca="false">C993*D993</f>
        <v>-0.16</v>
      </c>
      <c r="I993" s="0" t="n">
        <f aca="false">C993*C993</f>
        <v>0.0400000000000001</v>
      </c>
      <c r="J993" s="0" t="n">
        <f aca="false">D993*D993</f>
        <v>0.64</v>
      </c>
      <c r="K993" s="0" t="n">
        <f aca="false">SUMPRODUCT(E993:J993,_XtX!$B$53:$G$53)</f>
        <v>45.4971954022989</v>
      </c>
      <c r="L993" s="0" t="n">
        <f aca="false">SUMPRODUCT(MMULT(E993:J993,_XtX!$B$44:$G$49),E993:J993)</f>
        <v>0.29327816091954</v>
      </c>
      <c r="M993" s="0" t="n">
        <f aca="false">04_回帰ANOVA!$K$19*04_回帰ANOVA!$K$14*SQRT(1+L993)</f>
        <v>1.54107063211196</v>
      </c>
      <c r="N993" s="0" t="n">
        <f aca="false">K993-M993</f>
        <v>43.9561247701869</v>
      </c>
      <c r="O993" s="0" t="n">
        <f aca="false">K993+M993</f>
        <v>47.0382660344108</v>
      </c>
      <c r="P993" s="54" t="b">
        <f aca="false">AND(C993&gt;=01_因子設定!$L$5-0.000000001,C993&lt;=01_因子設定!$M$5+0.000000001,D993&gt;=01_因子設定!$L$6-0.000000001,D993&lt;=01_因子設定!$M$6+0.000000001,IF(01_因子設定!$B$20="Box-Behnken",C993^2+D993^2&lt;=2+0.000000001,TRUE()))</f>
        <v>1</v>
      </c>
      <c r="Q993" s="55" t="n">
        <f aca="false">IF(P993,IF(01_因子設定!$B$13="最大化",N993-01_因子設定!$B$14,IF(01_因子設定!$B$13="最小化",01_因子設定!$B$15-O993,MIN(N993-01_因子設定!$B$14,01_因子設定!$B$15-O993))),-1E+030)</f>
        <v>-2.54387522981311</v>
      </c>
      <c r="R993" s="55" t="n">
        <f aca="false">IF(P993,IF(01_因子設定!$B$13="最大化",K993,IF(01_因子設定!$B$13="最小化",-K993,-ABS(K993-01_因子設定!$B$16))),-1E+030)</f>
        <v>45.4971954022989</v>
      </c>
      <c r="S993" s="55" t="n">
        <f aca="false">Q993+ROW()*0.000000001</f>
        <v>-2.54387423681311</v>
      </c>
      <c r="T993" s="55" t="n">
        <f aca="false">R993+ROW()*0.000000001</f>
        <v>45.4971963952989</v>
      </c>
    </row>
    <row r="994" customFormat="false" ht="15" hidden="false" customHeight="false" outlineLevel="0" collapsed="false">
      <c r="A994" s="0" t="n">
        <v>24</v>
      </c>
      <c r="B994" s="0" t="n">
        <v>5</v>
      </c>
      <c r="C994" s="0" t="n">
        <f aca="false">-1+A994*0.05</f>
        <v>0.2</v>
      </c>
      <c r="D994" s="0" t="n">
        <f aca="false">-1+B994*0.05</f>
        <v>-0.75</v>
      </c>
      <c r="E994" s="0" t="n">
        <f aca="false">1</f>
        <v>1</v>
      </c>
      <c r="F994" s="0" t="n">
        <f aca="false">C994</f>
        <v>0.2</v>
      </c>
      <c r="G994" s="0" t="n">
        <f aca="false">D994</f>
        <v>-0.75</v>
      </c>
      <c r="H994" s="0" t="n">
        <f aca="false">C994*D994</f>
        <v>-0.15</v>
      </c>
      <c r="I994" s="0" t="n">
        <f aca="false">C994*C994</f>
        <v>0.0400000000000001</v>
      </c>
      <c r="J994" s="0" t="n">
        <f aca="false">D994*D994</f>
        <v>0.5625</v>
      </c>
      <c r="K994" s="0" t="n">
        <f aca="false">SUMPRODUCT(E994:J994,_XtX!$B$53:$G$53)</f>
        <v>45.7345359195402</v>
      </c>
      <c r="L994" s="0" t="n">
        <f aca="false">SUMPRODUCT(MMULT(E994:J994,_XtX!$B$44:$G$49),E994:J994)</f>
        <v>0.262733584770115</v>
      </c>
      <c r="M994" s="0" t="n">
        <f aca="false">04_回帰ANOVA!$K$19*04_回帰ANOVA!$K$14*SQRT(1+L994)</f>
        <v>1.5227634286696</v>
      </c>
      <c r="N994" s="0" t="n">
        <f aca="false">K994-M994</f>
        <v>44.2117724908706</v>
      </c>
      <c r="O994" s="0" t="n">
        <f aca="false">K994+M994</f>
        <v>47.2572993482098</v>
      </c>
      <c r="P994" s="54" t="b">
        <f aca="false">AND(C994&gt;=01_因子設定!$L$5-0.000000001,C994&lt;=01_因子設定!$M$5+0.000000001,D994&gt;=01_因子設定!$L$6-0.000000001,D994&lt;=01_因子設定!$M$6+0.000000001,IF(01_因子設定!$B$20="Box-Behnken",C994^2+D994^2&lt;=2+0.000000001,TRUE()))</f>
        <v>1</v>
      </c>
      <c r="Q994" s="55" t="n">
        <f aca="false">IF(P994,IF(01_因子設定!$B$13="最大化",N994-01_因子設定!$B$14,IF(01_因子設定!$B$13="最小化",01_因子設定!$B$15-O994,MIN(N994-01_因子設定!$B$14,01_因子設定!$B$15-O994))),-1E+030)</f>
        <v>-2.28822750912937</v>
      </c>
      <c r="R994" s="55" t="n">
        <f aca="false">IF(P994,IF(01_因子設定!$B$13="最大化",K994,IF(01_因子設定!$B$13="最小化",-K994,-ABS(K994-01_因子設定!$B$16))),-1E+030)</f>
        <v>45.7345359195402</v>
      </c>
      <c r="S994" s="55" t="n">
        <f aca="false">Q994+ROW()*0.000000001</f>
        <v>-2.28822651512937</v>
      </c>
      <c r="T994" s="55" t="n">
        <f aca="false">R994+ROW()*0.000000001</f>
        <v>45.7345369135402</v>
      </c>
    </row>
    <row r="995" customFormat="false" ht="15" hidden="false" customHeight="false" outlineLevel="0" collapsed="false">
      <c r="A995" s="0" t="n">
        <v>24</v>
      </c>
      <c r="B995" s="0" t="n">
        <v>6</v>
      </c>
      <c r="C995" s="0" t="n">
        <f aca="false">-1+A995*0.05</f>
        <v>0.2</v>
      </c>
      <c r="D995" s="0" t="n">
        <f aca="false">-1+B995*0.05</f>
        <v>-0.7</v>
      </c>
      <c r="E995" s="0" t="n">
        <f aca="false">1</f>
        <v>1</v>
      </c>
      <c r="F995" s="0" t="n">
        <f aca="false">C995</f>
        <v>0.2</v>
      </c>
      <c r="G995" s="0" t="n">
        <f aca="false">D995</f>
        <v>-0.7</v>
      </c>
      <c r="H995" s="0" t="n">
        <f aca="false">C995*D995</f>
        <v>-0.14</v>
      </c>
      <c r="I995" s="0" t="n">
        <f aca="false">C995*C995</f>
        <v>0.0400000000000001</v>
      </c>
      <c r="J995" s="0" t="n">
        <f aca="false">D995*D995</f>
        <v>0.49</v>
      </c>
      <c r="K995" s="0" t="n">
        <f aca="false">SUMPRODUCT(E995:J995,_XtX!$B$53:$G$53)</f>
        <v>45.9641609195402</v>
      </c>
      <c r="L995" s="0" t="n">
        <f aca="false">SUMPRODUCT(MMULT(E995:J995,_XtX!$B$44:$G$49),E995:J995)</f>
        <v>0.238097126436782</v>
      </c>
      <c r="M995" s="0" t="n">
        <f aca="false">04_回帰ANOVA!$K$19*04_回帰ANOVA!$K$14*SQRT(1+L995)</f>
        <v>1.50783538244616</v>
      </c>
      <c r="N995" s="0" t="n">
        <f aca="false">K995-M995</f>
        <v>44.4563255370941</v>
      </c>
      <c r="O995" s="0" t="n">
        <f aca="false">K995+M995</f>
        <v>47.4719963019864</v>
      </c>
      <c r="P995" s="54" t="b">
        <f aca="false">AND(C995&gt;=01_因子設定!$L$5-0.000000001,C995&lt;=01_因子設定!$M$5+0.000000001,D995&gt;=01_因子設定!$L$6-0.000000001,D995&lt;=01_因子設定!$M$6+0.000000001,IF(01_因子設定!$B$20="Box-Behnken",C995^2+D995^2&lt;=2+0.000000001,TRUE()))</f>
        <v>1</v>
      </c>
      <c r="Q995" s="55" t="n">
        <f aca="false">IF(P995,IF(01_因子設定!$B$13="最大化",N995-01_因子設定!$B$14,IF(01_因子設定!$B$13="最小化",01_因子設定!$B$15-O995,MIN(N995-01_因子設定!$B$14,01_因子設定!$B$15-O995))),-1E+030)</f>
        <v>-2.04367446290593</v>
      </c>
      <c r="R995" s="55" t="n">
        <f aca="false">IF(P995,IF(01_因子設定!$B$13="最大化",K995,IF(01_因子設定!$B$13="最小化",-K995,-ABS(K995-01_因子設定!$B$16))),-1E+030)</f>
        <v>45.9641609195402</v>
      </c>
      <c r="S995" s="55" t="n">
        <f aca="false">Q995+ROW()*0.000000001</f>
        <v>-2.04367346790593</v>
      </c>
      <c r="T995" s="55" t="n">
        <f aca="false">R995+ROW()*0.000000001</f>
        <v>45.9641619145402</v>
      </c>
    </row>
    <row r="996" customFormat="false" ht="15" hidden="false" customHeight="false" outlineLevel="0" collapsed="false">
      <c r="A996" s="0" t="n">
        <v>24</v>
      </c>
      <c r="B996" s="0" t="n">
        <v>7</v>
      </c>
      <c r="C996" s="0" t="n">
        <f aca="false">-1+A996*0.05</f>
        <v>0.2</v>
      </c>
      <c r="D996" s="0" t="n">
        <f aca="false">-1+B996*0.05</f>
        <v>-0.65</v>
      </c>
      <c r="E996" s="0" t="n">
        <f aca="false">1</f>
        <v>1</v>
      </c>
      <c r="F996" s="0" t="n">
        <f aca="false">C996</f>
        <v>0.2</v>
      </c>
      <c r="G996" s="0" t="n">
        <f aca="false">D996</f>
        <v>-0.65</v>
      </c>
      <c r="H996" s="0" t="n">
        <f aca="false">C996*D996</f>
        <v>-0.13</v>
      </c>
      <c r="I996" s="0" t="n">
        <f aca="false">C996*C996</f>
        <v>0.0400000000000001</v>
      </c>
      <c r="J996" s="0" t="n">
        <f aca="false">D996*D996</f>
        <v>0.4225</v>
      </c>
      <c r="K996" s="0" t="n">
        <f aca="false">SUMPRODUCT(E996:J996,_XtX!$B$53:$G$53)</f>
        <v>46.1860704022989</v>
      </c>
      <c r="L996" s="0" t="n">
        <f aca="false">SUMPRODUCT(MMULT(E996:J996,_XtX!$B$44:$G$49),E996:J996)</f>
        <v>0.21858128591954</v>
      </c>
      <c r="M996" s="0" t="n">
        <f aca="false">04_回帰ANOVA!$K$19*04_回帰ANOVA!$K$14*SQRT(1+L996)</f>
        <v>1.49590434782083</v>
      </c>
      <c r="N996" s="0" t="n">
        <f aca="false">K996-M996</f>
        <v>44.690166054478</v>
      </c>
      <c r="O996" s="0" t="n">
        <f aca="false">K996+M996</f>
        <v>47.6819747501197</v>
      </c>
      <c r="P996" s="54" t="b">
        <f aca="false">AND(C996&gt;=01_因子設定!$L$5-0.000000001,C996&lt;=01_因子設定!$M$5+0.000000001,D996&gt;=01_因子設定!$L$6-0.000000001,D996&lt;=01_因子設定!$M$6+0.000000001,IF(01_因子設定!$B$20="Box-Behnken",C996^2+D996^2&lt;=2+0.000000001,TRUE()))</f>
        <v>1</v>
      </c>
      <c r="Q996" s="55" t="n">
        <f aca="false">IF(P996,IF(01_因子設定!$B$13="最大化",N996-01_因子設定!$B$14,IF(01_因子設定!$B$13="最小化",01_因子設定!$B$15-O996,MIN(N996-01_因子設定!$B$14,01_因子設定!$B$15-O996))),-1E+030)</f>
        <v>-1.80983394552198</v>
      </c>
      <c r="R996" s="55" t="n">
        <f aca="false">IF(P996,IF(01_因子設定!$B$13="最大化",K996,IF(01_因子設定!$B$13="最小化",-K996,-ABS(K996-01_因子設定!$B$16))),-1E+030)</f>
        <v>46.1860704022989</v>
      </c>
      <c r="S996" s="55" t="n">
        <f aca="false">Q996+ROW()*0.000000001</f>
        <v>-1.80983294952198</v>
      </c>
      <c r="T996" s="55" t="n">
        <f aca="false">R996+ROW()*0.000000001</f>
        <v>46.1860713982989</v>
      </c>
    </row>
    <row r="997" customFormat="false" ht="15" hidden="false" customHeight="false" outlineLevel="0" collapsed="false">
      <c r="A997" s="0" t="n">
        <v>24</v>
      </c>
      <c r="B997" s="0" t="n">
        <v>8</v>
      </c>
      <c r="C997" s="0" t="n">
        <f aca="false">-1+A997*0.05</f>
        <v>0.2</v>
      </c>
      <c r="D997" s="0" t="n">
        <f aca="false">-1+B997*0.05</f>
        <v>-0.6</v>
      </c>
      <c r="E997" s="0" t="n">
        <f aca="false">1</f>
        <v>1</v>
      </c>
      <c r="F997" s="0" t="n">
        <f aca="false">C997</f>
        <v>0.2</v>
      </c>
      <c r="G997" s="0" t="n">
        <f aca="false">D997</f>
        <v>-0.6</v>
      </c>
      <c r="H997" s="0" t="n">
        <f aca="false">C997*D997</f>
        <v>-0.12</v>
      </c>
      <c r="I997" s="0" t="n">
        <f aca="false">C997*C997</f>
        <v>0.0400000000000001</v>
      </c>
      <c r="J997" s="0" t="n">
        <f aca="false">D997*D997</f>
        <v>0.36</v>
      </c>
      <c r="K997" s="0" t="n">
        <f aca="false">SUMPRODUCT(E997:J997,_XtX!$B$53:$G$53)</f>
        <v>46.4002643678161</v>
      </c>
      <c r="L997" s="0" t="n">
        <f aca="false">SUMPRODUCT(MMULT(E997:J997,_XtX!$B$44:$G$49),E997:J997)</f>
        <v>0.203452873563218</v>
      </c>
      <c r="M997" s="0" t="n">
        <f aca="false">04_回帰ANOVA!$K$19*04_回帰ANOVA!$K$14*SQRT(1+L997)</f>
        <v>1.48658968981505</v>
      </c>
      <c r="N997" s="0" t="n">
        <f aca="false">K997-M997</f>
        <v>44.913674678001</v>
      </c>
      <c r="O997" s="0" t="n">
        <f aca="false">K997+M997</f>
        <v>47.8868540576312</v>
      </c>
      <c r="P997" s="54" t="b">
        <f aca="false">AND(C997&gt;=01_因子設定!$L$5-0.000000001,C997&lt;=01_因子設定!$M$5+0.000000001,D997&gt;=01_因子設定!$L$6-0.000000001,D997&lt;=01_因子設定!$M$6+0.000000001,IF(01_因子設定!$B$20="Box-Behnken",C997^2+D997^2&lt;=2+0.000000001,TRUE()))</f>
        <v>1</v>
      </c>
      <c r="Q997" s="55" t="n">
        <f aca="false">IF(P997,IF(01_因子設定!$B$13="最大化",N997-01_因子設定!$B$14,IF(01_因子設定!$B$13="最小化",01_因子設定!$B$15-O997,MIN(N997-01_因子設定!$B$14,01_因子設定!$B$15-O997))),-1E+030)</f>
        <v>-1.58632532199896</v>
      </c>
      <c r="R997" s="55" t="n">
        <f aca="false">IF(P997,IF(01_因子設定!$B$13="最大化",K997,IF(01_因子設定!$B$13="最小化",-K997,-ABS(K997-01_因子設定!$B$16))),-1E+030)</f>
        <v>46.4002643678161</v>
      </c>
      <c r="S997" s="55" t="n">
        <f aca="false">Q997+ROW()*0.000000001</f>
        <v>-1.58632432499896</v>
      </c>
      <c r="T997" s="55" t="n">
        <f aca="false">R997+ROW()*0.000000001</f>
        <v>46.4002653648161</v>
      </c>
    </row>
    <row r="998" customFormat="false" ht="15" hidden="false" customHeight="false" outlineLevel="0" collapsed="false">
      <c r="A998" s="0" t="n">
        <v>24</v>
      </c>
      <c r="B998" s="0" t="n">
        <v>9</v>
      </c>
      <c r="C998" s="0" t="n">
        <f aca="false">-1+A998*0.05</f>
        <v>0.2</v>
      </c>
      <c r="D998" s="0" t="n">
        <f aca="false">-1+B998*0.05</f>
        <v>-0.55</v>
      </c>
      <c r="E998" s="0" t="n">
        <f aca="false">1</f>
        <v>1</v>
      </c>
      <c r="F998" s="0" t="n">
        <f aca="false">C998</f>
        <v>0.2</v>
      </c>
      <c r="G998" s="0" t="n">
        <f aca="false">D998</f>
        <v>-0.55</v>
      </c>
      <c r="H998" s="0" t="n">
        <f aca="false">C998*D998</f>
        <v>-0.11</v>
      </c>
      <c r="I998" s="0" t="n">
        <f aca="false">C998*C998</f>
        <v>0.0400000000000001</v>
      </c>
      <c r="J998" s="0" t="n">
        <f aca="false">D998*D998</f>
        <v>0.3025</v>
      </c>
      <c r="K998" s="0" t="n">
        <f aca="false">SUMPRODUCT(E998:J998,_XtX!$B$53:$G$53)</f>
        <v>46.606742816092</v>
      </c>
      <c r="L998" s="0" t="n">
        <f aca="false">SUMPRODUCT(MMULT(E998:J998,_XtX!$B$44:$G$49),E998:J998)</f>
        <v>0.192033010057471</v>
      </c>
      <c r="M998" s="0" t="n">
        <f aca="false">04_回帰ANOVA!$K$19*04_回帰ANOVA!$K$14*SQRT(1+L998)</f>
        <v>1.47951956772622</v>
      </c>
      <c r="N998" s="0" t="n">
        <f aca="false">K998-M998</f>
        <v>45.1272232483657</v>
      </c>
      <c r="O998" s="0" t="n">
        <f aca="false">K998+M998</f>
        <v>48.0862623838182</v>
      </c>
      <c r="P998" s="54" t="b">
        <f aca="false">AND(C998&gt;=01_因子設定!$L$5-0.000000001,C998&lt;=01_因子設定!$M$5+0.000000001,D998&gt;=01_因子設定!$L$6-0.000000001,D998&lt;=01_因子設定!$M$6+0.000000001,IF(01_因子設定!$B$20="Box-Behnken",C998^2+D998^2&lt;=2+0.000000001,TRUE()))</f>
        <v>1</v>
      </c>
      <c r="Q998" s="55" t="n">
        <f aca="false">IF(P998,IF(01_因子設定!$B$13="最大化",N998-01_因子設定!$B$14,IF(01_因子設定!$B$13="最小化",01_因子設定!$B$15-O998,MIN(N998-01_因子設定!$B$14,01_因子設定!$B$15-O998))),-1E+030)</f>
        <v>-1.37277675163427</v>
      </c>
      <c r="R998" s="55" t="n">
        <f aca="false">IF(P998,IF(01_因子設定!$B$13="最大化",K998,IF(01_因子設定!$B$13="最小化",-K998,-ABS(K998-01_因子設定!$B$16))),-1E+030)</f>
        <v>46.606742816092</v>
      </c>
      <c r="S998" s="55" t="n">
        <f aca="false">Q998+ROW()*0.000000001</f>
        <v>-1.37277575363427</v>
      </c>
      <c r="T998" s="55" t="n">
        <f aca="false">R998+ROW()*0.000000001</f>
        <v>46.606743814092</v>
      </c>
    </row>
    <row r="999" customFormat="false" ht="15" hidden="false" customHeight="false" outlineLevel="0" collapsed="false">
      <c r="A999" s="0" t="n">
        <v>24</v>
      </c>
      <c r="B999" s="0" t="n">
        <v>10</v>
      </c>
      <c r="C999" s="0" t="n">
        <f aca="false">-1+A999*0.05</f>
        <v>0.2</v>
      </c>
      <c r="D999" s="0" t="n">
        <f aca="false">-1+B999*0.05</f>
        <v>-0.5</v>
      </c>
      <c r="E999" s="0" t="n">
        <f aca="false">1</f>
        <v>1</v>
      </c>
      <c r="F999" s="0" t="n">
        <f aca="false">C999</f>
        <v>0.2</v>
      </c>
      <c r="G999" s="0" t="n">
        <f aca="false">D999</f>
        <v>-0.5</v>
      </c>
      <c r="H999" s="0" t="n">
        <f aca="false">C999*D999</f>
        <v>-0.1</v>
      </c>
      <c r="I999" s="0" t="n">
        <f aca="false">C999*C999</f>
        <v>0.0400000000000001</v>
      </c>
      <c r="J999" s="0" t="n">
        <f aca="false">D999*D999</f>
        <v>0.25</v>
      </c>
      <c r="K999" s="0" t="n">
        <f aca="false">SUMPRODUCT(E999:J999,_XtX!$B$53:$G$53)</f>
        <v>46.8055057471264</v>
      </c>
      <c r="L999" s="0" t="n">
        <f aca="false">SUMPRODUCT(MMULT(E999:J999,_XtX!$B$44:$G$49),E999:J999)</f>
        <v>0.183697126436782</v>
      </c>
      <c r="M999" s="0" t="n">
        <f aca="false">04_回帰ANOVA!$K$19*04_回帰ANOVA!$K$14*SQRT(1+L999)</f>
        <v>1.4743373538588</v>
      </c>
      <c r="N999" s="0" t="n">
        <f aca="false">K999-M999</f>
        <v>45.3311683932676</v>
      </c>
      <c r="O999" s="0" t="n">
        <f aca="false">K999+M999</f>
        <v>48.2798431009852</v>
      </c>
      <c r="P999" s="54" t="b">
        <f aca="false">AND(C999&gt;=01_因子設定!$L$5-0.000000001,C999&lt;=01_因子設定!$M$5+0.000000001,D999&gt;=01_因子設定!$L$6-0.000000001,D999&lt;=01_因子設定!$M$6+0.000000001,IF(01_因子設定!$B$20="Box-Behnken",C999^2+D999^2&lt;=2+0.000000001,TRUE()))</f>
        <v>1</v>
      </c>
      <c r="Q999" s="55" t="n">
        <f aca="false">IF(P999,IF(01_因子設定!$B$13="最大化",N999-01_因子設定!$B$14,IF(01_因子設定!$B$13="最小化",01_因子設定!$B$15-O999,MIN(N999-01_因子設定!$B$14,01_因子設定!$B$15-O999))),-1E+030)</f>
        <v>-1.16883160673236</v>
      </c>
      <c r="R999" s="55" t="n">
        <f aca="false">IF(P999,IF(01_因子設定!$B$13="最大化",K999,IF(01_因子設定!$B$13="最小化",-K999,-ABS(K999-01_因子設定!$B$16))),-1E+030)</f>
        <v>46.8055057471264</v>
      </c>
      <c r="S999" s="55" t="n">
        <f aca="false">Q999+ROW()*0.000000001</f>
        <v>-1.16883060773236</v>
      </c>
      <c r="T999" s="55" t="n">
        <f aca="false">R999+ROW()*0.000000001</f>
        <v>46.8055067461264</v>
      </c>
    </row>
    <row r="1000" customFormat="false" ht="15" hidden="false" customHeight="false" outlineLevel="0" collapsed="false">
      <c r="A1000" s="0" t="n">
        <v>24</v>
      </c>
      <c r="B1000" s="0" t="n">
        <v>11</v>
      </c>
      <c r="C1000" s="0" t="n">
        <f aca="false">-1+A1000*0.05</f>
        <v>0.2</v>
      </c>
      <c r="D1000" s="0" t="n">
        <f aca="false">-1+B1000*0.05</f>
        <v>-0.45</v>
      </c>
      <c r="E1000" s="0" t="n">
        <f aca="false">1</f>
        <v>1</v>
      </c>
      <c r="F1000" s="0" t="n">
        <f aca="false">C1000</f>
        <v>0.2</v>
      </c>
      <c r="G1000" s="0" t="n">
        <f aca="false">D1000</f>
        <v>-0.45</v>
      </c>
      <c r="H1000" s="0" t="n">
        <f aca="false">C1000*D1000</f>
        <v>-0.0900000000000001</v>
      </c>
      <c r="I1000" s="0" t="n">
        <f aca="false">C1000*C1000</f>
        <v>0.0400000000000001</v>
      </c>
      <c r="J1000" s="0" t="n">
        <f aca="false">D1000*D1000</f>
        <v>0.2025</v>
      </c>
      <c r="K1000" s="0" t="n">
        <f aca="false">SUMPRODUCT(E1000:J1000,_XtX!$B$53:$G$53)</f>
        <v>46.9965531609195</v>
      </c>
      <c r="L1000" s="0" t="n">
        <f aca="false">SUMPRODUCT(MMULT(E1000:J1000,_XtX!$B$44:$G$49),E1000:J1000)</f>
        <v>0.17787496408046</v>
      </c>
      <c r="M1000" s="0" t="n">
        <f aca="false">04_回帰ANOVA!$K$19*04_回帰ANOVA!$K$14*SQRT(1+L1000)</f>
        <v>1.47070702797102</v>
      </c>
      <c r="N1000" s="0" t="n">
        <f aca="false">K1000-M1000</f>
        <v>45.5258461329485</v>
      </c>
      <c r="O1000" s="0" t="n">
        <f aca="false">K1000+M1000</f>
        <v>48.4672601888906</v>
      </c>
      <c r="P1000" s="54" t="b">
        <f aca="false">AND(C1000&gt;=01_因子設定!$L$5-0.000000001,C1000&lt;=01_因子設定!$M$5+0.000000001,D1000&gt;=01_因子設定!$L$6-0.000000001,D1000&lt;=01_因子設定!$M$6+0.000000001,IF(01_因子設定!$B$20="Box-Behnken",C1000^2+D1000^2&lt;=2+0.000000001,TRUE()))</f>
        <v>1</v>
      </c>
      <c r="Q1000" s="55" t="n">
        <f aca="false">IF(P1000,IF(01_因子設定!$B$13="最大化",N1000-01_因子設定!$B$14,IF(01_因子設定!$B$13="最小化",01_因子設定!$B$15-O1000,MIN(N1000-01_因子設定!$B$14,01_因子設定!$B$15-O1000))),-1E+030)</f>
        <v>-0.974153867051477</v>
      </c>
      <c r="R1000" s="55" t="n">
        <f aca="false">IF(P1000,IF(01_因子設定!$B$13="最大化",K1000,IF(01_因子設定!$B$13="最小化",-K1000,-ABS(K1000-01_因子設定!$B$16))),-1E+030)</f>
        <v>46.9965531609195</v>
      </c>
      <c r="S1000" s="55" t="n">
        <f aca="false">Q1000+ROW()*0.000000001</f>
        <v>-0.974152867051477</v>
      </c>
      <c r="T1000" s="55" t="n">
        <f aca="false">R1000+ROW()*0.000000001</f>
        <v>46.9965541609195</v>
      </c>
    </row>
    <row r="1001" customFormat="false" ht="15" hidden="false" customHeight="false" outlineLevel="0" collapsed="false">
      <c r="A1001" s="0" t="n">
        <v>24</v>
      </c>
      <c r="B1001" s="0" t="n">
        <v>12</v>
      </c>
      <c r="C1001" s="0" t="n">
        <f aca="false">-1+A1001*0.05</f>
        <v>0.2</v>
      </c>
      <c r="D1001" s="0" t="n">
        <f aca="false">-1+B1001*0.05</f>
        <v>-0.4</v>
      </c>
      <c r="E1001" s="0" t="n">
        <f aca="false">1</f>
        <v>1</v>
      </c>
      <c r="F1001" s="0" t="n">
        <f aca="false">C1001</f>
        <v>0.2</v>
      </c>
      <c r="G1001" s="0" t="n">
        <f aca="false">D1001</f>
        <v>-0.4</v>
      </c>
      <c r="H1001" s="0" t="n">
        <f aca="false">C1001*D1001</f>
        <v>-0.0800000000000001</v>
      </c>
      <c r="I1001" s="0" t="n">
        <f aca="false">C1001*C1001</f>
        <v>0.0400000000000001</v>
      </c>
      <c r="J1001" s="0" t="n">
        <f aca="false">D1001*D1001</f>
        <v>0.16</v>
      </c>
      <c r="K1001" s="0" t="n">
        <f aca="false">SUMPRODUCT(E1001:J1001,_XtX!$B$53:$G$53)</f>
        <v>47.1798850574713</v>
      </c>
      <c r="L1001" s="0" t="n">
        <f aca="false">SUMPRODUCT(MMULT(E1001:J1001,_XtX!$B$44:$G$49),E1001:J1001)</f>
        <v>0.174050574712644</v>
      </c>
      <c r="M1001" s="0" t="n">
        <f aca="false">04_回帰ANOVA!$K$19*04_回帰ANOVA!$K$14*SQRT(1+L1001)</f>
        <v>1.46831750045351</v>
      </c>
      <c r="N1001" s="0" t="n">
        <f aca="false">K1001-M1001</f>
        <v>45.7115675570178</v>
      </c>
      <c r="O1001" s="0" t="n">
        <f aca="false">K1001+M1001</f>
        <v>48.6482025579248</v>
      </c>
      <c r="P1001" s="54" t="b">
        <f aca="false">AND(C1001&gt;=01_因子設定!$L$5-0.000000001,C1001&lt;=01_因子設定!$M$5+0.000000001,D1001&gt;=01_因子設定!$L$6-0.000000001,D1001&lt;=01_因子設定!$M$6+0.000000001,IF(01_因子設定!$B$20="Box-Behnken",C1001^2+D1001^2&lt;=2+0.000000001,TRUE()))</f>
        <v>1</v>
      </c>
      <c r="Q1001" s="55" t="n">
        <f aca="false">IF(P1001,IF(01_因子設定!$B$13="最大化",N1001-01_因子設定!$B$14,IF(01_因子設定!$B$13="最小化",01_因子設定!$B$15-O1001,MIN(N1001-01_因子設定!$B$14,01_因子設定!$B$15-O1001))),-1E+030)</f>
        <v>-0.788432442982241</v>
      </c>
      <c r="R1001" s="55" t="n">
        <f aca="false">IF(P1001,IF(01_因子設定!$B$13="最大化",K1001,IF(01_因子設定!$B$13="最小化",-K1001,-ABS(K1001-01_因子設定!$B$16))),-1E+030)</f>
        <v>47.1798850574713</v>
      </c>
      <c r="S1001" s="55" t="n">
        <f aca="false">Q1001+ROW()*0.000000001</f>
        <v>-0.788431441982241</v>
      </c>
      <c r="T1001" s="55" t="n">
        <f aca="false">R1001+ROW()*0.000000001</f>
        <v>47.1798860584713</v>
      </c>
    </row>
    <row r="1002" customFormat="false" ht="15" hidden="false" customHeight="false" outlineLevel="0" collapsed="false">
      <c r="A1002" s="0" t="n">
        <v>24</v>
      </c>
      <c r="B1002" s="0" t="n">
        <v>13</v>
      </c>
      <c r="C1002" s="0" t="n">
        <f aca="false">-1+A1002*0.05</f>
        <v>0.2</v>
      </c>
      <c r="D1002" s="0" t="n">
        <f aca="false">-1+B1002*0.05</f>
        <v>-0.35</v>
      </c>
      <c r="E1002" s="0" t="n">
        <f aca="false">1</f>
        <v>1</v>
      </c>
      <c r="F1002" s="0" t="n">
        <f aca="false">C1002</f>
        <v>0.2</v>
      </c>
      <c r="G1002" s="0" t="n">
        <f aca="false">D1002</f>
        <v>-0.35</v>
      </c>
      <c r="H1002" s="0" t="n">
        <f aca="false">C1002*D1002</f>
        <v>-0.0700000000000001</v>
      </c>
      <c r="I1002" s="0" t="n">
        <f aca="false">C1002*C1002</f>
        <v>0.0400000000000001</v>
      </c>
      <c r="J1002" s="0" t="n">
        <f aca="false">D1002*D1002</f>
        <v>0.1225</v>
      </c>
      <c r="K1002" s="0" t="n">
        <f aca="false">SUMPRODUCT(E1002:J1002,_XtX!$B$53:$G$53)</f>
        <v>47.3555014367816</v>
      </c>
      <c r="L1002" s="0" t="n">
        <f aca="false">SUMPRODUCT(MMULT(E1002:J1002,_XtX!$B$44:$G$49),E1002:J1002)</f>
        <v>0.171762320402299</v>
      </c>
      <c r="M1002" s="0" t="n">
        <f aca="false">04_回帰ANOVA!$K$19*04_回帰ANOVA!$K$14*SQRT(1+L1002)</f>
        <v>1.46688590855968</v>
      </c>
      <c r="N1002" s="0" t="n">
        <f aca="false">K1002-M1002</f>
        <v>45.8886155282219</v>
      </c>
      <c r="O1002" s="0" t="n">
        <f aca="false">K1002+M1002</f>
        <v>48.8223873453413</v>
      </c>
      <c r="P1002" s="54" t="b">
        <f aca="false">AND(C1002&gt;=01_因子設定!$L$5-0.000000001,C1002&lt;=01_因子設定!$M$5+0.000000001,D1002&gt;=01_因子設定!$L$6-0.000000001,D1002&lt;=01_因子設定!$M$6+0.000000001,IF(01_因子設定!$B$20="Box-Behnken",C1002^2+D1002^2&lt;=2+0.000000001,TRUE()))</f>
        <v>1</v>
      </c>
      <c r="Q1002" s="55" t="n">
        <f aca="false">IF(P1002,IF(01_因子設定!$B$13="最大化",N1002-01_因子設定!$B$14,IF(01_因子設定!$B$13="最小化",01_因子設定!$B$15-O1002,MIN(N1002-01_因子設定!$B$14,01_因子設定!$B$15-O1002))),-1E+030)</f>
        <v>-0.611384471778074</v>
      </c>
      <c r="R1002" s="55" t="n">
        <f aca="false">IF(P1002,IF(01_因子設定!$B$13="最大化",K1002,IF(01_因子設定!$B$13="最小化",-K1002,-ABS(K1002-01_因子設定!$B$16))),-1E+030)</f>
        <v>47.3555014367816</v>
      </c>
      <c r="S1002" s="55" t="n">
        <f aca="false">Q1002+ROW()*0.000000001</f>
        <v>-0.611383469778074</v>
      </c>
      <c r="T1002" s="55" t="n">
        <f aca="false">R1002+ROW()*0.000000001</f>
        <v>47.3555024387816</v>
      </c>
    </row>
    <row r="1003" customFormat="false" ht="15" hidden="false" customHeight="false" outlineLevel="0" collapsed="false">
      <c r="A1003" s="0" t="n">
        <v>24</v>
      </c>
      <c r="B1003" s="0" t="n">
        <v>14</v>
      </c>
      <c r="C1003" s="0" t="n">
        <f aca="false">-1+A1003*0.05</f>
        <v>0.2</v>
      </c>
      <c r="D1003" s="0" t="n">
        <f aca="false">-1+B1003*0.05</f>
        <v>-0.3</v>
      </c>
      <c r="E1003" s="0" t="n">
        <f aca="false">1</f>
        <v>1</v>
      </c>
      <c r="F1003" s="0" t="n">
        <f aca="false">C1003</f>
        <v>0.2</v>
      </c>
      <c r="G1003" s="0" t="n">
        <f aca="false">D1003</f>
        <v>-0.3</v>
      </c>
      <c r="H1003" s="0" t="n">
        <f aca="false">C1003*D1003</f>
        <v>-0.06</v>
      </c>
      <c r="I1003" s="0" t="n">
        <f aca="false">C1003*C1003</f>
        <v>0.0400000000000001</v>
      </c>
      <c r="J1003" s="0" t="n">
        <f aca="false">D1003*D1003</f>
        <v>0.09</v>
      </c>
      <c r="K1003" s="0" t="n">
        <f aca="false">SUMPRODUCT(E1003:J1003,_XtX!$B$53:$G$53)</f>
        <v>47.5234022988506</v>
      </c>
      <c r="L1003" s="0" t="n">
        <f aca="false">SUMPRODUCT(MMULT(E1003:J1003,_XtX!$B$44:$G$49),E1003:J1003)</f>
        <v>0.170602873563218</v>
      </c>
      <c r="M1003" s="0" t="n">
        <f aca="false">04_回帰ANOVA!$K$19*04_回帰ANOVA!$K$14*SQRT(1+L1003)</f>
        <v>1.46615999463764</v>
      </c>
      <c r="N1003" s="0" t="n">
        <f aca="false">K1003-M1003</f>
        <v>46.0572423042129</v>
      </c>
      <c r="O1003" s="0" t="n">
        <f aca="false">K1003+M1003</f>
        <v>48.9895622934882</v>
      </c>
      <c r="P1003" s="54" t="b">
        <f aca="false">AND(C1003&gt;=01_因子設定!$L$5-0.000000001,C1003&lt;=01_因子設定!$M$5+0.000000001,D1003&gt;=01_因子設定!$L$6-0.000000001,D1003&lt;=01_因子設定!$M$6+0.000000001,IF(01_因子設定!$B$20="Box-Behnken",C1003^2+D1003^2&lt;=2+0.000000001,TRUE()))</f>
        <v>1</v>
      </c>
      <c r="Q1003" s="55" t="n">
        <f aca="false">IF(P1003,IF(01_因子設定!$B$13="最大化",N1003-01_因子設定!$B$14,IF(01_因子設定!$B$13="最小化",01_因子設定!$B$15-O1003,MIN(N1003-01_因子設定!$B$14,01_因子設定!$B$15-O1003))),-1E+030)</f>
        <v>-0.442757695787059</v>
      </c>
      <c r="R1003" s="55" t="n">
        <f aca="false">IF(P1003,IF(01_因子設定!$B$13="最大化",K1003,IF(01_因子設定!$B$13="最小化",-K1003,-ABS(K1003-01_因子設定!$B$16))),-1E+030)</f>
        <v>47.5234022988506</v>
      </c>
      <c r="S1003" s="55" t="n">
        <f aca="false">Q1003+ROW()*0.000000001</f>
        <v>-0.442756692787059</v>
      </c>
      <c r="T1003" s="55" t="n">
        <f aca="false">R1003+ROW()*0.000000001</f>
        <v>47.5234033018506</v>
      </c>
    </row>
    <row r="1004" customFormat="false" ht="15" hidden="false" customHeight="false" outlineLevel="0" collapsed="false">
      <c r="A1004" s="0" t="n">
        <v>24</v>
      </c>
      <c r="B1004" s="0" t="n">
        <v>15</v>
      </c>
      <c r="C1004" s="0" t="n">
        <f aca="false">-1+A1004*0.05</f>
        <v>0.2</v>
      </c>
      <c r="D1004" s="0" t="n">
        <f aca="false">-1+B1004*0.05</f>
        <v>-0.25</v>
      </c>
      <c r="E1004" s="0" t="n">
        <f aca="false">1</f>
        <v>1</v>
      </c>
      <c r="F1004" s="0" t="n">
        <f aca="false">C1004</f>
        <v>0.2</v>
      </c>
      <c r="G1004" s="0" t="n">
        <f aca="false">D1004</f>
        <v>-0.25</v>
      </c>
      <c r="H1004" s="0" t="n">
        <f aca="false">C1004*D1004</f>
        <v>-0.05</v>
      </c>
      <c r="I1004" s="0" t="n">
        <f aca="false">C1004*C1004</f>
        <v>0.0400000000000001</v>
      </c>
      <c r="J1004" s="0" t="n">
        <f aca="false">D1004*D1004</f>
        <v>0.0625</v>
      </c>
      <c r="K1004" s="0" t="n">
        <f aca="false">SUMPRODUCT(E1004:J1004,_XtX!$B$53:$G$53)</f>
        <v>47.6835876436782</v>
      </c>
      <c r="L1004" s="0" t="n">
        <f aca="false">SUMPRODUCT(MMULT(E1004:J1004,_XtX!$B$44:$G$49),E1004:J1004)</f>
        <v>0.170219216954023</v>
      </c>
      <c r="M1004" s="0" t="n">
        <f aca="false">04_回帰ANOVA!$K$19*04_回帰ANOVA!$K$14*SQRT(1+L1004)</f>
        <v>1.46591971329145</v>
      </c>
      <c r="N1004" s="0" t="n">
        <f aca="false">K1004-M1004</f>
        <v>46.2176679303867</v>
      </c>
      <c r="O1004" s="0" t="n">
        <f aca="false">K1004+M1004</f>
        <v>49.1495073569696</v>
      </c>
      <c r="P1004" s="54" t="b">
        <f aca="false">AND(C1004&gt;=01_因子設定!$L$5-0.000000001,C1004&lt;=01_因子設定!$M$5+0.000000001,D1004&gt;=01_因子設定!$L$6-0.000000001,D1004&lt;=01_因子設定!$M$6+0.000000001,IF(01_因子設定!$B$20="Box-Behnken",C1004^2+D1004^2&lt;=2+0.000000001,TRUE()))</f>
        <v>1</v>
      </c>
      <c r="Q1004" s="55" t="n">
        <f aca="false">IF(P1004,IF(01_因子設定!$B$13="最大化",N1004-01_因子設定!$B$14,IF(01_因子設定!$B$13="最小化",01_因子設定!$B$15-O1004,MIN(N1004-01_因子設定!$B$14,01_因子設定!$B$15-O1004))),-1E+030)</f>
        <v>-0.28233206961329</v>
      </c>
      <c r="R1004" s="55" t="n">
        <f aca="false">IF(P1004,IF(01_因子設定!$B$13="最大化",K1004,IF(01_因子設定!$B$13="最小化",-K1004,-ABS(K1004-01_因子設定!$B$16))),-1E+030)</f>
        <v>47.6835876436782</v>
      </c>
      <c r="S1004" s="55" t="n">
        <f aca="false">Q1004+ROW()*0.000000001</f>
        <v>-0.28233106561329</v>
      </c>
      <c r="T1004" s="55" t="n">
        <f aca="false">R1004+ROW()*0.000000001</f>
        <v>47.6835886476782</v>
      </c>
    </row>
    <row r="1005" customFormat="false" ht="15" hidden="false" customHeight="false" outlineLevel="0" collapsed="false">
      <c r="A1005" s="0" t="n">
        <v>24</v>
      </c>
      <c r="B1005" s="0" t="n">
        <v>16</v>
      </c>
      <c r="C1005" s="0" t="n">
        <f aca="false">-1+A1005*0.05</f>
        <v>0.2</v>
      </c>
      <c r="D1005" s="0" t="n">
        <f aca="false">-1+B1005*0.05</f>
        <v>-0.2</v>
      </c>
      <c r="E1005" s="0" t="n">
        <f aca="false">1</f>
        <v>1</v>
      </c>
      <c r="F1005" s="0" t="n">
        <f aca="false">C1005</f>
        <v>0.2</v>
      </c>
      <c r="G1005" s="0" t="n">
        <f aca="false">D1005</f>
        <v>-0.2</v>
      </c>
      <c r="H1005" s="0" t="n">
        <f aca="false">C1005*D1005</f>
        <v>-0.04</v>
      </c>
      <c r="I1005" s="0" t="n">
        <f aca="false">C1005*C1005</f>
        <v>0.0400000000000001</v>
      </c>
      <c r="J1005" s="0" t="n">
        <f aca="false">D1005*D1005</f>
        <v>0.04</v>
      </c>
      <c r="K1005" s="0" t="n">
        <f aca="false">SUMPRODUCT(E1005:J1005,_XtX!$B$53:$G$53)</f>
        <v>47.8360574712644</v>
      </c>
      <c r="L1005" s="0" t="n">
        <f aca="false">SUMPRODUCT(MMULT(E1005:J1005,_XtX!$B$44:$G$49),E1005:J1005)</f>
        <v>0.170312643678161</v>
      </c>
      <c r="M1005" s="0" t="n">
        <f aca="false">04_回帰ANOVA!$K$19*04_回帰ANOVA!$K$14*SQRT(1+L1005)</f>
        <v>1.46597822939734</v>
      </c>
      <c r="N1005" s="0" t="n">
        <f aca="false">K1005-M1005</f>
        <v>46.370079241867</v>
      </c>
      <c r="O1005" s="0" t="n">
        <f aca="false">K1005+M1005</f>
        <v>49.3020357006617</v>
      </c>
      <c r="P1005" s="54" t="b">
        <f aca="false">AND(C1005&gt;=01_因子設定!$L$5-0.000000001,C1005&lt;=01_因子設定!$M$5+0.000000001,D1005&gt;=01_因子設定!$L$6-0.000000001,D1005&lt;=01_因子設定!$M$6+0.000000001,IF(01_因子設定!$B$20="Box-Behnken",C1005^2+D1005^2&lt;=2+0.000000001,TRUE()))</f>
        <v>1</v>
      </c>
      <c r="Q1005" s="55" t="n">
        <f aca="false">IF(P1005,IF(01_因子設定!$B$13="最大化",N1005-01_因子設定!$B$14,IF(01_因子設定!$B$13="最小化",01_因子設定!$B$15-O1005,MIN(N1005-01_因子設定!$B$14,01_因子設定!$B$15-O1005))),-1E+030)</f>
        <v>-0.129920758132968</v>
      </c>
      <c r="R1005" s="55" t="n">
        <f aca="false">IF(P1005,IF(01_因子設定!$B$13="最大化",K1005,IF(01_因子設定!$B$13="最小化",-K1005,-ABS(K1005-01_因子設定!$B$16))),-1E+030)</f>
        <v>47.8360574712644</v>
      </c>
      <c r="S1005" s="55" t="n">
        <f aca="false">Q1005+ROW()*0.000000001</f>
        <v>-0.129919753132968</v>
      </c>
      <c r="T1005" s="55" t="n">
        <f aca="false">R1005+ROW()*0.000000001</f>
        <v>47.8360584762644</v>
      </c>
    </row>
    <row r="1006" customFormat="false" ht="15" hidden="false" customHeight="false" outlineLevel="0" collapsed="false">
      <c r="A1006" s="0" t="n">
        <v>24</v>
      </c>
      <c r="B1006" s="0" t="n">
        <v>17</v>
      </c>
      <c r="C1006" s="0" t="n">
        <f aca="false">-1+A1006*0.05</f>
        <v>0.2</v>
      </c>
      <c r="D1006" s="0" t="n">
        <f aca="false">-1+B1006*0.05</f>
        <v>-0.15</v>
      </c>
      <c r="E1006" s="0" t="n">
        <f aca="false">1</f>
        <v>1</v>
      </c>
      <c r="F1006" s="0" t="n">
        <f aca="false">C1006</f>
        <v>0.2</v>
      </c>
      <c r="G1006" s="0" t="n">
        <f aca="false">D1006</f>
        <v>-0.15</v>
      </c>
      <c r="H1006" s="0" t="n">
        <f aca="false">C1006*D1006</f>
        <v>-0.03</v>
      </c>
      <c r="I1006" s="0" t="n">
        <f aca="false">C1006*C1006</f>
        <v>0.0400000000000001</v>
      </c>
      <c r="J1006" s="0" t="n">
        <f aca="false">D1006*D1006</f>
        <v>0.0225</v>
      </c>
      <c r="K1006" s="0" t="n">
        <f aca="false">SUMPRODUCT(E1006:J1006,_XtX!$B$53:$G$53)</f>
        <v>47.9808117816092</v>
      </c>
      <c r="L1006" s="0" t="n">
        <f aca="false">SUMPRODUCT(MMULT(E1006:J1006,_XtX!$B$44:$G$49),E1006:J1006)</f>
        <v>0.170638757183908</v>
      </c>
      <c r="M1006" s="0" t="n">
        <f aca="false">04_回帰ANOVA!$K$19*04_回帰ANOVA!$K$14*SQRT(1+L1006)</f>
        <v>1.46618246627474</v>
      </c>
      <c r="N1006" s="0" t="n">
        <f aca="false">K1006-M1006</f>
        <v>46.5146293153345</v>
      </c>
      <c r="O1006" s="0" t="n">
        <f aca="false">K1006+M1006</f>
        <v>49.4469942478839</v>
      </c>
      <c r="P1006" s="54" t="b">
        <f aca="false">AND(C1006&gt;=01_因子設定!$L$5-0.000000001,C1006&lt;=01_因子設定!$M$5+0.000000001,D1006&gt;=01_因子設定!$L$6-0.000000001,D1006&lt;=01_因子設定!$M$6+0.000000001,IF(01_因子設定!$B$20="Box-Behnken",C1006^2+D1006^2&lt;=2+0.000000001,TRUE()))</f>
        <v>1</v>
      </c>
      <c r="Q1006" s="55" t="n">
        <f aca="false">IF(P1006,IF(01_因子設定!$B$13="最大化",N1006-01_因子設定!$B$14,IF(01_因子設定!$B$13="最小化",01_因子設定!$B$15-O1006,MIN(N1006-01_因子設定!$B$14,01_因子設定!$B$15-O1006))),-1E+030)</f>
        <v>0.014629315334453</v>
      </c>
      <c r="R1006" s="55" t="n">
        <f aca="false">IF(P1006,IF(01_因子設定!$B$13="最大化",K1006,IF(01_因子設定!$B$13="最小化",-K1006,-ABS(K1006-01_因子設定!$B$16))),-1E+030)</f>
        <v>47.9808117816092</v>
      </c>
      <c r="S1006" s="55" t="n">
        <f aca="false">Q1006+ROW()*0.000000001</f>
        <v>0.014630321334453</v>
      </c>
      <c r="T1006" s="55" t="n">
        <f aca="false">R1006+ROW()*0.000000001</f>
        <v>47.9808127876092</v>
      </c>
    </row>
    <row r="1007" customFormat="false" ht="15" hidden="false" customHeight="false" outlineLevel="0" collapsed="false">
      <c r="A1007" s="0" t="n">
        <v>24</v>
      </c>
      <c r="B1007" s="0" t="n">
        <v>18</v>
      </c>
      <c r="C1007" s="0" t="n">
        <f aca="false">-1+A1007*0.05</f>
        <v>0.2</v>
      </c>
      <c r="D1007" s="0" t="n">
        <f aca="false">-1+B1007*0.05</f>
        <v>-0.1</v>
      </c>
      <c r="E1007" s="0" t="n">
        <f aca="false">1</f>
        <v>1</v>
      </c>
      <c r="F1007" s="0" t="n">
        <f aca="false">C1007</f>
        <v>0.2</v>
      </c>
      <c r="G1007" s="0" t="n">
        <f aca="false">D1007</f>
        <v>-0.1</v>
      </c>
      <c r="H1007" s="0" t="n">
        <f aca="false">C1007*D1007</f>
        <v>-0.02</v>
      </c>
      <c r="I1007" s="0" t="n">
        <f aca="false">C1007*C1007</f>
        <v>0.0400000000000001</v>
      </c>
      <c r="J1007" s="0" t="n">
        <f aca="false">D1007*D1007</f>
        <v>0.01</v>
      </c>
      <c r="K1007" s="0" t="n">
        <f aca="false">SUMPRODUCT(E1007:J1007,_XtX!$B$53:$G$53)</f>
        <v>48.1178505747126</v>
      </c>
      <c r="L1007" s="0" t="n">
        <f aca="false">SUMPRODUCT(MMULT(E1007:J1007,_XtX!$B$44:$G$49),E1007:J1007)</f>
        <v>0.171007471264368</v>
      </c>
      <c r="M1007" s="0" t="n">
        <f aca="false">04_回帰ANOVA!$K$19*04_回帰ANOVA!$K$14*SQRT(1+L1007)</f>
        <v>1.46641334858369</v>
      </c>
      <c r="N1007" s="0" t="n">
        <f aca="false">K1007-M1007</f>
        <v>46.651437226129</v>
      </c>
      <c r="O1007" s="0" t="n">
        <f aca="false">K1007+M1007</f>
        <v>49.5842639232963</v>
      </c>
      <c r="P1007" s="54" t="b">
        <f aca="false">AND(C1007&gt;=01_因子設定!$L$5-0.000000001,C1007&lt;=01_因子設定!$M$5+0.000000001,D1007&gt;=01_因子設定!$L$6-0.000000001,D1007&lt;=01_因子設定!$M$6+0.000000001,IF(01_因子設定!$B$20="Box-Behnken",C1007^2+D1007^2&lt;=2+0.000000001,TRUE()))</f>
        <v>1</v>
      </c>
      <c r="Q1007" s="55" t="n">
        <f aca="false">IF(P1007,IF(01_因子設定!$B$13="最大化",N1007-01_因子設定!$B$14,IF(01_因子設定!$B$13="最小化",01_因子設定!$B$15-O1007,MIN(N1007-01_因子設定!$B$14,01_因子設定!$B$15-O1007))),-1E+030)</f>
        <v>0.151437226128948</v>
      </c>
      <c r="R1007" s="55" t="n">
        <f aca="false">IF(P1007,IF(01_因子設定!$B$13="最大化",K1007,IF(01_因子設定!$B$13="最小化",-K1007,-ABS(K1007-01_因子設定!$B$16))),-1E+030)</f>
        <v>48.1178505747126</v>
      </c>
      <c r="S1007" s="55" t="n">
        <f aca="false">Q1007+ROW()*0.000000001</f>
        <v>0.151438233128948</v>
      </c>
      <c r="T1007" s="55" t="n">
        <f aca="false">R1007+ROW()*0.000000001</f>
        <v>48.1178515817126</v>
      </c>
    </row>
    <row r="1008" customFormat="false" ht="15" hidden="false" customHeight="false" outlineLevel="0" collapsed="false">
      <c r="A1008" s="0" t="n">
        <v>24</v>
      </c>
      <c r="B1008" s="0" t="n">
        <v>19</v>
      </c>
      <c r="C1008" s="0" t="n">
        <f aca="false">-1+A1008*0.05</f>
        <v>0.2</v>
      </c>
      <c r="D1008" s="0" t="n">
        <f aca="false">-1+B1008*0.05</f>
        <v>-0.0499999999999999</v>
      </c>
      <c r="E1008" s="0" t="n">
        <f aca="false">1</f>
        <v>1</v>
      </c>
      <c r="F1008" s="0" t="n">
        <f aca="false">C1008</f>
        <v>0.2</v>
      </c>
      <c r="G1008" s="0" t="n">
        <f aca="false">D1008</f>
        <v>-0.0499999999999999</v>
      </c>
      <c r="H1008" s="0" t="n">
        <f aca="false">C1008*D1008</f>
        <v>-0.01</v>
      </c>
      <c r="I1008" s="0" t="n">
        <f aca="false">C1008*C1008</f>
        <v>0.0400000000000001</v>
      </c>
      <c r="J1008" s="0" t="n">
        <f aca="false">D1008*D1008</f>
        <v>0.00249999999999999</v>
      </c>
      <c r="K1008" s="0" t="n">
        <f aca="false">SUMPRODUCT(E1008:J1008,_XtX!$B$53:$G$53)</f>
        <v>48.2471738505747</v>
      </c>
      <c r="L1008" s="0" t="n">
        <f aca="false">SUMPRODUCT(MMULT(E1008:J1008,_XtX!$B$44:$G$49),E1008:J1008)</f>
        <v>0.171283010057471</v>
      </c>
      <c r="M1008" s="0" t="n">
        <f aca="false">04_回帰ANOVA!$K$19*04_回帰ANOVA!$K$14*SQRT(1+L1008)</f>
        <v>1.46658586242687</v>
      </c>
      <c r="N1008" s="0" t="n">
        <f aca="false">K1008-M1008</f>
        <v>46.7805879881478</v>
      </c>
      <c r="O1008" s="0" t="n">
        <f aca="false">K1008+M1008</f>
        <v>49.7137597130016</v>
      </c>
      <c r="P1008" s="54" t="b">
        <f aca="false">AND(C1008&gt;=01_因子設定!$L$5-0.000000001,C1008&lt;=01_因子設定!$M$5+0.000000001,D1008&gt;=01_因子設定!$L$6-0.000000001,D1008&lt;=01_因子設定!$M$6+0.000000001,IF(01_因子設定!$B$20="Box-Behnken",C1008^2+D1008^2&lt;=2+0.000000001,TRUE()))</f>
        <v>1</v>
      </c>
      <c r="Q1008" s="55" t="n">
        <f aca="false">IF(P1008,IF(01_因子設定!$B$13="最大化",N1008-01_因子設定!$B$14,IF(01_因子設定!$B$13="最小化",01_因子設定!$B$15-O1008,MIN(N1008-01_因子設定!$B$14,01_因子設定!$B$15-O1008))),-1E+030)</f>
        <v>0.280587988147836</v>
      </c>
      <c r="R1008" s="55" t="n">
        <f aca="false">IF(P1008,IF(01_因子設定!$B$13="最大化",K1008,IF(01_因子設定!$B$13="最小化",-K1008,-ABS(K1008-01_因子設定!$B$16))),-1E+030)</f>
        <v>48.2471738505747</v>
      </c>
      <c r="S1008" s="55" t="n">
        <f aca="false">Q1008+ROW()*0.000000001</f>
        <v>0.280588996147836</v>
      </c>
      <c r="T1008" s="55" t="n">
        <f aca="false">R1008+ROW()*0.000000001</f>
        <v>48.2471748585747</v>
      </c>
    </row>
    <row r="1009" customFormat="false" ht="15" hidden="false" customHeight="false" outlineLevel="0" collapsed="false">
      <c r="A1009" s="0" t="n">
        <v>24</v>
      </c>
      <c r="B1009" s="0" t="n">
        <v>20</v>
      </c>
      <c r="C1009" s="0" t="n">
        <f aca="false">-1+A1009*0.05</f>
        <v>0.2</v>
      </c>
      <c r="D1009" s="0" t="n">
        <f aca="false">-1+B1009*0.05</f>
        <v>0</v>
      </c>
      <c r="E1009" s="0" t="n">
        <f aca="false">1</f>
        <v>1</v>
      </c>
      <c r="F1009" s="0" t="n">
        <f aca="false">C1009</f>
        <v>0.2</v>
      </c>
      <c r="G1009" s="0" t="n">
        <f aca="false">D1009</f>
        <v>0</v>
      </c>
      <c r="H1009" s="0" t="n">
        <f aca="false">C1009*D1009</f>
        <v>0</v>
      </c>
      <c r="I1009" s="0" t="n">
        <f aca="false">C1009*C1009</f>
        <v>0.0400000000000001</v>
      </c>
      <c r="J1009" s="0" t="n">
        <f aca="false">D1009*D1009</f>
        <v>0</v>
      </c>
      <c r="K1009" s="0" t="n">
        <f aca="false">SUMPRODUCT(E1009:J1009,_XtX!$B$53:$G$53)</f>
        <v>48.3687816091954</v>
      </c>
      <c r="L1009" s="0" t="n">
        <f aca="false">SUMPRODUCT(MMULT(E1009:J1009,_XtX!$B$44:$G$49),E1009:J1009)</f>
        <v>0.171383908045977</v>
      </c>
      <c r="M1009" s="0" t="n">
        <f aca="false">04_回帰ANOVA!$K$19*04_回帰ANOVA!$K$14*SQRT(1+L1009)</f>
        <v>1.4666490292173</v>
      </c>
      <c r="N1009" s="0" t="n">
        <f aca="false">K1009-M1009</f>
        <v>46.9021325799781</v>
      </c>
      <c r="O1009" s="0" t="n">
        <f aca="false">K1009+M1009</f>
        <v>49.8354306384127</v>
      </c>
      <c r="P1009" s="54" t="b">
        <f aca="false">AND(C1009&gt;=01_因子設定!$L$5-0.000000001,C1009&lt;=01_因子設定!$M$5+0.000000001,D1009&gt;=01_因子設定!$L$6-0.000000001,D1009&lt;=01_因子設定!$M$6+0.000000001,IF(01_因子設定!$B$20="Box-Behnken",C1009^2+D1009^2&lt;=2+0.000000001,TRUE()))</f>
        <v>1</v>
      </c>
      <c r="Q1009" s="55" t="n">
        <f aca="false">IF(P1009,IF(01_因子設定!$B$13="最大化",N1009-01_因子設定!$B$14,IF(01_因子設定!$B$13="最小化",01_因子設定!$B$15-O1009,MIN(N1009-01_因子設定!$B$14,01_因子設定!$B$15-O1009))),-1E+030)</f>
        <v>0.402132579978101</v>
      </c>
      <c r="R1009" s="55" t="n">
        <f aca="false">IF(P1009,IF(01_因子設定!$B$13="最大化",K1009,IF(01_因子設定!$B$13="最小化",-K1009,-ABS(K1009-01_因子設定!$B$16))),-1E+030)</f>
        <v>48.3687816091954</v>
      </c>
      <c r="S1009" s="55" t="n">
        <f aca="false">Q1009+ROW()*0.000000001</f>
        <v>0.402133588978101</v>
      </c>
      <c r="T1009" s="55" t="n">
        <f aca="false">R1009+ROW()*0.000000001</f>
        <v>48.3687826181954</v>
      </c>
    </row>
    <row r="1010" customFormat="false" ht="15" hidden="false" customHeight="false" outlineLevel="0" collapsed="false">
      <c r="A1010" s="0" t="n">
        <v>24</v>
      </c>
      <c r="B1010" s="0" t="n">
        <v>21</v>
      </c>
      <c r="C1010" s="0" t="n">
        <f aca="false">-1+A1010*0.05</f>
        <v>0.2</v>
      </c>
      <c r="D1010" s="0" t="n">
        <f aca="false">-1+B1010*0.05</f>
        <v>0.05</v>
      </c>
      <c r="E1010" s="0" t="n">
        <f aca="false">1</f>
        <v>1</v>
      </c>
      <c r="F1010" s="0" t="n">
        <f aca="false">C1010</f>
        <v>0.2</v>
      </c>
      <c r="G1010" s="0" t="n">
        <f aca="false">D1010</f>
        <v>0.05</v>
      </c>
      <c r="H1010" s="0" t="n">
        <f aca="false">C1010*D1010</f>
        <v>0.01</v>
      </c>
      <c r="I1010" s="0" t="n">
        <f aca="false">C1010*C1010</f>
        <v>0.0400000000000001</v>
      </c>
      <c r="J1010" s="0" t="n">
        <f aca="false">D1010*D1010</f>
        <v>0.0025</v>
      </c>
      <c r="K1010" s="0" t="n">
        <f aca="false">SUMPRODUCT(E1010:J1010,_XtX!$B$53:$G$53)</f>
        <v>48.4826738505747</v>
      </c>
      <c r="L1010" s="0" t="n">
        <f aca="false">SUMPRODUCT(MMULT(E1010:J1010,_XtX!$B$44:$G$49),E1010:J1010)</f>
        <v>0.171283010057471</v>
      </c>
      <c r="M1010" s="0" t="n">
        <f aca="false">04_回帰ANOVA!$K$19*04_回帰ANOVA!$K$14*SQRT(1+L1010)</f>
        <v>1.46658586242687</v>
      </c>
      <c r="N1010" s="0" t="n">
        <f aca="false">K1010-M1010</f>
        <v>47.0160879881478</v>
      </c>
      <c r="O1010" s="0" t="n">
        <f aca="false">K1010+M1010</f>
        <v>49.9492597130016</v>
      </c>
      <c r="P1010" s="54" t="b">
        <f aca="false">AND(C1010&gt;=01_因子設定!$L$5-0.000000001,C1010&lt;=01_因子設定!$M$5+0.000000001,D1010&gt;=01_因子設定!$L$6-0.000000001,D1010&lt;=01_因子設定!$M$6+0.000000001,IF(01_因子設定!$B$20="Box-Behnken",C1010^2+D1010^2&lt;=2+0.000000001,TRUE()))</f>
        <v>1</v>
      </c>
      <c r="Q1010" s="55" t="n">
        <f aca="false">IF(P1010,IF(01_因子設定!$B$13="最大化",N1010-01_因子設定!$B$14,IF(01_因子設定!$B$13="最小化",01_因子設定!$B$15-O1010,MIN(N1010-01_因子設定!$B$14,01_因子設定!$B$15-O1010))),-1E+030)</f>
        <v>0.516087988147838</v>
      </c>
      <c r="R1010" s="55" t="n">
        <f aca="false">IF(P1010,IF(01_因子設定!$B$13="最大化",K1010,IF(01_因子設定!$B$13="最小化",-K1010,-ABS(K1010-01_因子設定!$B$16))),-1E+030)</f>
        <v>48.4826738505747</v>
      </c>
      <c r="S1010" s="55" t="n">
        <f aca="false">Q1010+ROW()*0.000000001</f>
        <v>0.516088998147838</v>
      </c>
      <c r="T1010" s="55" t="n">
        <f aca="false">R1010+ROW()*0.000000001</f>
        <v>48.4826748605747</v>
      </c>
    </row>
    <row r="1011" customFormat="false" ht="15" hidden="false" customHeight="false" outlineLevel="0" collapsed="false">
      <c r="A1011" s="0" t="n">
        <v>24</v>
      </c>
      <c r="B1011" s="0" t="n">
        <v>22</v>
      </c>
      <c r="C1011" s="0" t="n">
        <f aca="false">-1+A1011*0.05</f>
        <v>0.2</v>
      </c>
      <c r="D1011" s="0" t="n">
        <f aca="false">-1+B1011*0.05</f>
        <v>0.1</v>
      </c>
      <c r="E1011" s="0" t="n">
        <f aca="false">1</f>
        <v>1</v>
      </c>
      <c r="F1011" s="0" t="n">
        <f aca="false">C1011</f>
        <v>0.2</v>
      </c>
      <c r="G1011" s="0" t="n">
        <f aca="false">D1011</f>
        <v>0.1</v>
      </c>
      <c r="H1011" s="0" t="n">
        <f aca="false">C1011*D1011</f>
        <v>0.02</v>
      </c>
      <c r="I1011" s="0" t="n">
        <f aca="false">C1011*C1011</f>
        <v>0.0400000000000001</v>
      </c>
      <c r="J1011" s="0" t="n">
        <f aca="false">D1011*D1011</f>
        <v>0.01</v>
      </c>
      <c r="K1011" s="0" t="n">
        <f aca="false">SUMPRODUCT(E1011:J1011,_XtX!$B$53:$G$53)</f>
        <v>48.5888505747126</v>
      </c>
      <c r="L1011" s="0" t="n">
        <f aca="false">SUMPRODUCT(MMULT(E1011:J1011,_XtX!$B$44:$G$49),E1011:J1011)</f>
        <v>0.171007471264368</v>
      </c>
      <c r="M1011" s="0" t="n">
        <f aca="false">04_回帰ANOVA!$K$19*04_回帰ANOVA!$K$14*SQRT(1+L1011)</f>
        <v>1.46641334858369</v>
      </c>
      <c r="N1011" s="0" t="n">
        <f aca="false">K1011-M1011</f>
        <v>47.122437226129</v>
      </c>
      <c r="O1011" s="0" t="n">
        <f aca="false">K1011+M1011</f>
        <v>50.0552639232963</v>
      </c>
      <c r="P1011" s="54" t="b">
        <f aca="false">AND(C1011&gt;=01_因子設定!$L$5-0.000000001,C1011&lt;=01_因子設定!$M$5+0.000000001,D1011&gt;=01_因子設定!$L$6-0.000000001,D1011&lt;=01_因子設定!$M$6+0.000000001,IF(01_因子設定!$B$20="Box-Behnken",C1011^2+D1011^2&lt;=2+0.000000001,TRUE()))</f>
        <v>1</v>
      </c>
      <c r="Q1011" s="55" t="n">
        <f aca="false">IF(P1011,IF(01_因子設定!$B$13="最大化",N1011-01_因子設定!$B$14,IF(01_因子設定!$B$13="最小化",01_因子設定!$B$15-O1011,MIN(N1011-01_因子設定!$B$14,01_因子設定!$B$15-O1011))),-1E+030)</f>
        <v>0.622437226128952</v>
      </c>
      <c r="R1011" s="55" t="n">
        <f aca="false">IF(P1011,IF(01_因子設定!$B$13="最大化",K1011,IF(01_因子設定!$B$13="最小化",-K1011,-ABS(K1011-01_因子設定!$B$16))),-1E+030)</f>
        <v>48.5888505747126</v>
      </c>
      <c r="S1011" s="55" t="n">
        <f aca="false">Q1011+ROW()*0.000000001</f>
        <v>0.622438237128952</v>
      </c>
      <c r="T1011" s="55" t="n">
        <f aca="false">R1011+ROW()*0.000000001</f>
        <v>48.5888515857126</v>
      </c>
    </row>
    <row r="1012" customFormat="false" ht="15" hidden="false" customHeight="false" outlineLevel="0" collapsed="false">
      <c r="A1012" s="0" t="n">
        <v>24</v>
      </c>
      <c r="B1012" s="0" t="n">
        <v>23</v>
      </c>
      <c r="C1012" s="0" t="n">
        <f aca="false">-1+A1012*0.05</f>
        <v>0.2</v>
      </c>
      <c r="D1012" s="0" t="n">
        <f aca="false">-1+B1012*0.05</f>
        <v>0.15</v>
      </c>
      <c r="E1012" s="0" t="n">
        <f aca="false">1</f>
        <v>1</v>
      </c>
      <c r="F1012" s="0" t="n">
        <f aca="false">C1012</f>
        <v>0.2</v>
      </c>
      <c r="G1012" s="0" t="n">
        <f aca="false">D1012</f>
        <v>0.15</v>
      </c>
      <c r="H1012" s="0" t="n">
        <f aca="false">C1012*D1012</f>
        <v>0.0300000000000001</v>
      </c>
      <c r="I1012" s="0" t="n">
        <f aca="false">C1012*C1012</f>
        <v>0.0400000000000001</v>
      </c>
      <c r="J1012" s="0" t="n">
        <f aca="false">D1012*D1012</f>
        <v>0.0225</v>
      </c>
      <c r="K1012" s="0" t="n">
        <f aca="false">SUMPRODUCT(E1012:J1012,_XtX!$B$53:$G$53)</f>
        <v>48.6873117816092</v>
      </c>
      <c r="L1012" s="0" t="n">
        <f aca="false">SUMPRODUCT(MMULT(E1012:J1012,_XtX!$B$44:$G$49),E1012:J1012)</f>
        <v>0.170638757183908</v>
      </c>
      <c r="M1012" s="0" t="n">
        <f aca="false">04_回帰ANOVA!$K$19*04_回帰ANOVA!$K$14*SQRT(1+L1012)</f>
        <v>1.46618246627474</v>
      </c>
      <c r="N1012" s="0" t="n">
        <f aca="false">K1012-M1012</f>
        <v>47.2211293153345</v>
      </c>
      <c r="O1012" s="0" t="n">
        <f aca="false">K1012+M1012</f>
        <v>50.1534942478839</v>
      </c>
      <c r="P1012" s="54" t="b">
        <f aca="false">AND(C1012&gt;=01_因子設定!$L$5-0.000000001,C1012&lt;=01_因子設定!$M$5+0.000000001,D1012&gt;=01_因子設定!$L$6-0.000000001,D1012&lt;=01_因子設定!$M$6+0.000000001,IF(01_因子設定!$B$20="Box-Behnken",C1012^2+D1012^2&lt;=2+0.000000001,TRUE()))</f>
        <v>1</v>
      </c>
      <c r="Q1012" s="55" t="n">
        <f aca="false">IF(P1012,IF(01_因子設定!$B$13="最大化",N1012-01_因子設定!$B$14,IF(01_因子設定!$B$13="最小化",01_因子設定!$B$15-O1012,MIN(N1012-01_因子設定!$B$14,01_因子設定!$B$15-O1012))),-1E+030)</f>
        <v>0.721129315334459</v>
      </c>
      <c r="R1012" s="55" t="n">
        <f aca="false">IF(P1012,IF(01_因子設定!$B$13="最大化",K1012,IF(01_因子設定!$B$13="最小化",-K1012,-ABS(K1012-01_因子設定!$B$16))),-1E+030)</f>
        <v>48.6873117816092</v>
      </c>
      <c r="S1012" s="55" t="n">
        <f aca="false">Q1012+ROW()*0.000000001</f>
        <v>0.721130327334459</v>
      </c>
      <c r="T1012" s="55" t="n">
        <f aca="false">R1012+ROW()*0.000000001</f>
        <v>48.6873127936092</v>
      </c>
    </row>
    <row r="1013" customFormat="false" ht="15" hidden="false" customHeight="false" outlineLevel="0" collapsed="false">
      <c r="A1013" s="0" t="n">
        <v>24</v>
      </c>
      <c r="B1013" s="0" t="n">
        <v>24</v>
      </c>
      <c r="C1013" s="0" t="n">
        <f aca="false">-1+A1013*0.05</f>
        <v>0.2</v>
      </c>
      <c r="D1013" s="0" t="n">
        <f aca="false">-1+B1013*0.05</f>
        <v>0.2</v>
      </c>
      <c r="E1013" s="0" t="n">
        <f aca="false">1</f>
        <v>1</v>
      </c>
      <c r="F1013" s="0" t="n">
        <f aca="false">C1013</f>
        <v>0.2</v>
      </c>
      <c r="G1013" s="0" t="n">
        <f aca="false">D1013</f>
        <v>0.2</v>
      </c>
      <c r="H1013" s="0" t="n">
        <f aca="false">C1013*D1013</f>
        <v>0.0400000000000001</v>
      </c>
      <c r="I1013" s="0" t="n">
        <f aca="false">C1013*C1013</f>
        <v>0.0400000000000001</v>
      </c>
      <c r="J1013" s="0" t="n">
        <f aca="false">D1013*D1013</f>
        <v>0.0400000000000001</v>
      </c>
      <c r="K1013" s="0" t="n">
        <f aca="false">SUMPRODUCT(E1013:J1013,_XtX!$B$53:$G$53)</f>
        <v>48.7780574712644</v>
      </c>
      <c r="L1013" s="0" t="n">
        <f aca="false">SUMPRODUCT(MMULT(E1013:J1013,_XtX!$B$44:$G$49),E1013:J1013)</f>
        <v>0.170312643678161</v>
      </c>
      <c r="M1013" s="0" t="n">
        <f aca="false">04_回帰ANOVA!$K$19*04_回帰ANOVA!$K$14*SQRT(1+L1013)</f>
        <v>1.46597822939734</v>
      </c>
      <c r="N1013" s="0" t="n">
        <f aca="false">K1013-M1013</f>
        <v>47.312079241867</v>
      </c>
      <c r="O1013" s="0" t="n">
        <f aca="false">K1013+M1013</f>
        <v>50.2440357006617</v>
      </c>
      <c r="P1013" s="54" t="b">
        <f aca="false">AND(C1013&gt;=01_因子設定!$L$5-0.000000001,C1013&lt;=01_因子設定!$M$5+0.000000001,D1013&gt;=01_因子設定!$L$6-0.000000001,D1013&lt;=01_因子設定!$M$6+0.000000001,IF(01_因子設定!$B$20="Box-Behnken",C1013^2+D1013^2&lt;=2+0.000000001,TRUE()))</f>
        <v>1</v>
      </c>
      <c r="Q1013" s="55" t="n">
        <f aca="false">IF(P1013,IF(01_因子設定!$B$13="最大化",N1013-01_因子設定!$B$14,IF(01_因子設定!$B$13="最小化",01_因子設定!$B$15-O1013,MIN(N1013-01_因子設定!$B$14,01_因子設定!$B$15-O1013))),-1E+030)</f>
        <v>0.812079241867032</v>
      </c>
      <c r="R1013" s="55" t="n">
        <f aca="false">IF(P1013,IF(01_因子設定!$B$13="最大化",K1013,IF(01_因子設定!$B$13="最小化",-K1013,-ABS(K1013-01_因子設定!$B$16))),-1E+030)</f>
        <v>48.7780574712644</v>
      </c>
      <c r="S1013" s="55" t="n">
        <f aca="false">Q1013+ROW()*0.000000001</f>
        <v>0.812080254867032</v>
      </c>
      <c r="T1013" s="55" t="n">
        <f aca="false">R1013+ROW()*0.000000001</f>
        <v>48.7780584842644</v>
      </c>
    </row>
    <row r="1014" customFormat="false" ht="15" hidden="false" customHeight="false" outlineLevel="0" collapsed="false">
      <c r="A1014" s="0" t="n">
        <v>24</v>
      </c>
      <c r="B1014" s="0" t="n">
        <v>25</v>
      </c>
      <c r="C1014" s="0" t="n">
        <f aca="false">-1+A1014*0.05</f>
        <v>0.2</v>
      </c>
      <c r="D1014" s="0" t="n">
        <f aca="false">-1+B1014*0.05</f>
        <v>0.25</v>
      </c>
      <c r="E1014" s="0" t="n">
        <f aca="false">1</f>
        <v>1</v>
      </c>
      <c r="F1014" s="0" t="n">
        <f aca="false">C1014</f>
        <v>0.2</v>
      </c>
      <c r="G1014" s="0" t="n">
        <f aca="false">D1014</f>
        <v>0.25</v>
      </c>
      <c r="H1014" s="0" t="n">
        <f aca="false">C1014*D1014</f>
        <v>0.05</v>
      </c>
      <c r="I1014" s="0" t="n">
        <f aca="false">C1014*C1014</f>
        <v>0.0400000000000001</v>
      </c>
      <c r="J1014" s="0" t="n">
        <f aca="false">D1014*D1014</f>
        <v>0.0625</v>
      </c>
      <c r="K1014" s="0" t="n">
        <f aca="false">SUMPRODUCT(E1014:J1014,_XtX!$B$53:$G$53)</f>
        <v>48.8610876436782</v>
      </c>
      <c r="L1014" s="0" t="n">
        <f aca="false">SUMPRODUCT(MMULT(E1014:J1014,_XtX!$B$44:$G$49),E1014:J1014)</f>
        <v>0.170219216954023</v>
      </c>
      <c r="M1014" s="0" t="n">
        <f aca="false">04_回帰ANOVA!$K$19*04_回帰ANOVA!$K$14*SQRT(1+L1014)</f>
        <v>1.46591971329145</v>
      </c>
      <c r="N1014" s="0" t="n">
        <f aca="false">K1014-M1014</f>
        <v>47.3951679303867</v>
      </c>
      <c r="O1014" s="0" t="n">
        <f aca="false">K1014+M1014</f>
        <v>50.3270073569696</v>
      </c>
      <c r="P1014" s="54" t="b">
        <f aca="false">AND(C1014&gt;=01_因子設定!$L$5-0.000000001,C1014&lt;=01_因子設定!$M$5+0.000000001,D1014&gt;=01_因子設定!$L$6-0.000000001,D1014&lt;=01_因子設定!$M$6+0.000000001,IF(01_因子設定!$B$20="Box-Behnken",C1014^2+D1014^2&lt;=2+0.000000001,TRUE()))</f>
        <v>1</v>
      </c>
      <c r="Q1014" s="55" t="n">
        <f aca="false">IF(P1014,IF(01_因子設定!$B$13="最大化",N1014-01_因子設定!$B$14,IF(01_因子設定!$B$13="最小化",01_因子設定!$B$15-O1014,MIN(N1014-01_因子設定!$B$14,01_因子設定!$B$15-O1014))),-1E+030)</f>
        <v>0.895167930386712</v>
      </c>
      <c r="R1014" s="55" t="n">
        <f aca="false">IF(P1014,IF(01_因子設定!$B$13="最大化",K1014,IF(01_因子設定!$B$13="最小化",-K1014,-ABS(K1014-01_因子設定!$B$16))),-1E+030)</f>
        <v>48.8610876436782</v>
      </c>
      <c r="S1014" s="55" t="n">
        <f aca="false">Q1014+ROW()*0.000000001</f>
        <v>0.895168944386712</v>
      </c>
      <c r="T1014" s="55" t="n">
        <f aca="false">R1014+ROW()*0.000000001</f>
        <v>48.8610886576782</v>
      </c>
    </row>
    <row r="1015" customFormat="false" ht="15" hidden="false" customHeight="false" outlineLevel="0" collapsed="false">
      <c r="A1015" s="0" t="n">
        <v>24</v>
      </c>
      <c r="B1015" s="0" t="n">
        <v>26</v>
      </c>
      <c r="C1015" s="0" t="n">
        <f aca="false">-1+A1015*0.05</f>
        <v>0.2</v>
      </c>
      <c r="D1015" s="0" t="n">
        <f aca="false">-1+B1015*0.05</f>
        <v>0.3</v>
      </c>
      <c r="E1015" s="0" t="n">
        <f aca="false">1</f>
        <v>1</v>
      </c>
      <c r="F1015" s="0" t="n">
        <f aca="false">C1015</f>
        <v>0.2</v>
      </c>
      <c r="G1015" s="0" t="n">
        <f aca="false">D1015</f>
        <v>0.3</v>
      </c>
      <c r="H1015" s="0" t="n">
        <f aca="false">C1015*D1015</f>
        <v>0.0600000000000001</v>
      </c>
      <c r="I1015" s="0" t="n">
        <f aca="false">C1015*C1015</f>
        <v>0.0400000000000001</v>
      </c>
      <c r="J1015" s="0" t="n">
        <f aca="false">D1015*D1015</f>
        <v>0.09</v>
      </c>
      <c r="K1015" s="0" t="n">
        <f aca="false">SUMPRODUCT(E1015:J1015,_XtX!$B$53:$G$53)</f>
        <v>48.9364022988506</v>
      </c>
      <c r="L1015" s="0" t="n">
        <f aca="false">SUMPRODUCT(MMULT(E1015:J1015,_XtX!$B$44:$G$49),E1015:J1015)</f>
        <v>0.170602873563218</v>
      </c>
      <c r="M1015" s="0" t="n">
        <f aca="false">04_回帰ANOVA!$K$19*04_回帰ANOVA!$K$14*SQRT(1+L1015)</f>
        <v>1.46615999463764</v>
      </c>
      <c r="N1015" s="0" t="n">
        <f aca="false">K1015-M1015</f>
        <v>47.4702423042129</v>
      </c>
      <c r="O1015" s="0" t="n">
        <f aca="false">K1015+M1015</f>
        <v>50.4025622934882</v>
      </c>
      <c r="P1015" s="54" t="b">
        <f aca="false">AND(C1015&gt;=01_因子設定!$L$5-0.000000001,C1015&lt;=01_因子設定!$M$5+0.000000001,D1015&gt;=01_因子設定!$L$6-0.000000001,D1015&lt;=01_因子設定!$M$6+0.000000001,IF(01_因子設定!$B$20="Box-Behnken",C1015^2+D1015^2&lt;=2+0.000000001,TRUE()))</f>
        <v>1</v>
      </c>
      <c r="Q1015" s="55" t="n">
        <f aca="false">IF(P1015,IF(01_因子設定!$B$13="最大化",N1015-01_因子設定!$B$14,IF(01_因子設定!$B$13="最小化",01_因子設定!$B$15-O1015,MIN(N1015-01_因子設定!$B$14,01_因子設定!$B$15-O1015))),-1E+030)</f>
        <v>0.970242304212938</v>
      </c>
      <c r="R1015" s="55" t="n">
        <f aca="false">IF(P1015,IF(01_因子設定!$B$13="最大化",K1015,IF(01_因子設定!$B$13="最小化",-K1015,-ABS(K1015-01_因子設定!$B$16))),-1E+030)</f>
        <v>48.9364022988506</v>
      </c>
      <c r="S1015" s="55" t="n">
        <f aca="false">Q1015+ROW()*0.000000001</f>
        <v>0.970243319212938</v>
      </c>
      <c r="T1015" s="55" t="n">
        <f aca="false">R1015+ROW()*0.000000001</f>
        <v>48.9364033138506</v>
      </c>
    </row>
    <row r="1016" customFormat="false" ht="15" hidden="false" customHeight="false" outlineLevel="0" collapsed="false">
      <c r="A1016" s="0" t="n">
        <v>24</v>
      </c>
      <c r="B1016" s="0" t="n">
        <v>27</v>
      </c>
      <c r="C1016" s="0" t="n">
        <f aca="false">-1+A1016*0.05</f>
        <v>0.2</v>
      </c>
      <c r="D1016" s="0" t="n">
        <f aca="false">-1+B1016*0.05</f>
        <v>0.35</v>
      </c>
      <c r="E1016" s="0" t="n">
        <f aca="false">1</f>
        <v>1</v>
      </c>
      <c r="F1016" s="0" t="n">
        <f aca="false">C1016</f>
        <v>0.2</v>
      </c>
      <c r="G1016" s="0" t="n">
        <f aca="false">D1016</f>
        <v>0.35</v>
      </c>
      <c r="H1016" s="0" t="n">
        <f aca="false">C1016*D1016</f>
        <v>0.0700000000000001</v>
      </c>
      <c r="I1016" s="0" t="n">
        <f aca="false">C1016*C1016</f>
        <v>0.0400000000000001</v>
      </c>
      <c r="J1016" s="0" t="n">
        <f aca="false">D1016*D1016</f>
        <v>0.1225</v>
      </c>
      <c r="K1016" s="0" t="n">
        <f aca="false">SUMPRODUCT(E1016:J1016,_XtX!$B$53:$G$53)</f>
        <v>49.0040014367816</v>
      </c>
      <c r="L1016" s="0" t="n">
        <f aca="false">SUMPRODUCT(MMULT(E1016:J1016,_XtX!$B$44:$G$49),E1016:J1016)</f>
        <v>0.171762320402299</v>
      </c>
      <c r="M1016" s="0" t="n">
        <f aca="false">04_回帰ANOVA!$K$19*04_回帰ANOVA!$K$14*SQRT(1+L1016)</f>
        <v>1.46688590855968</v>
      </c>
      <c r="N1016" s="0" t="n">
        <f aca="false">K1016-M1016</f>
        <v>47.5371155282219</v>
      </c>
      <c r="O1016" s="0" t="n">
        <f aca="false">K1016+M1016</f>
        <v>50.4708873453413</v>
      </c>
      <c r="P1016" s="54" t="b">
        <f aca="false">AND(C1016&gt;=01_因子設定!$L$5-0.000000001,C1016&lt;=01_因子設定!$M$5+0.000000001,D1016&gt;=01_因子設定!$L$6-0.000000001,D1016&lt;=01_因子設定!$M$6+0.000000001,IF(01_因子設定!$B$20="Box-Behnken",C1016^2+D1016^2&lt;=2+0.000000001,TRUE()))</f>
        <v>1</v>
      </c>
      <c r="Q1016" s="55" t="n">
        <f aca="false">IF(P1016,IF(01_因子設定!$B$13="最大化",N1016-01_因子設定!$B$14,IF(01_因子設定!$B$13="最小化",01_因子設定!$B$15-O1016,MIN(N1016-01_因子設定!$B$14,01_因子設定!$B$15-O1016))),-1E+030)</f>
        <v>1.03711552822192</v>
      </c>
      <c r="R1016" s="55" t="n">
        <f aca="false">IF(P1016,IF(01_因子設定!$B$13="最大化",K1016,IF(01_因子設定!$B$13="最小化",-K1016,-ABS(K1016-01_因子設定!$B$16))),-1E+030)</f>
        <v>49.0040014367816</v>
      </c>
      <c r="S1016" s="55" t="n">
        <f aca="false">Q1016+ROW()*0.000000001</f>
        <v>1.03711654422192</v>
      </c>
      <c r="T1016" s="55" t="n">
        <f aca="false">R1016+ROW()*0.000000001</f>
        <v>49.0040024527816</v>
      </c>
    </row>
    <row r="1017" customFormat="false" ht="15" hidden="false" customHeight="false" outlineLevel="0" collapsed="false">
      <c r="A1017" s="0" t="n">
        <v>24</v>
      </c>
      <c r="B1017" s="0" t="n">
        <v>28</v>
      </c>
      <c r="C1017" s="0" t="n">
        <f aca="false">-1+A1017*0.05</f>
        <v>0.2</v>
      </c>
      <c r="D1017" s="0" t="n">
        <f aca="false">-1+B1017*0.05</f>
        <v>0.4</v>
      </c>
      <c r="E1017" s="0" t="n">
        <f aca="false">1</f>
        <v>1</v>
      </c>
      <c r="F1017" s="0" t="n">
        <f aca="false">C1017</f>
        <v>0.2</v>
      </c>
      <c r="G1017" s="0" t="n">
        <f aca="false">D1017</f>
        <v>0.4</v>
      </c>
      <c r="H1017" s="0" t="n">
        <f aca="false">C1017*D1017</f>
        <v>0.0800000000000001</v>
      </c>
      <c r="I1017" s="0" t="n">
        <f aca="false">C1017*C1017</f>
        <v>0.0400000000000001</v>
      </c>
      <c r="J1017" s="0" t="n">
        <f aca="false">D1017*D1017</f>
        <v>0.16</v>
      </c>
      <c r="K1017" s="0" t="n">
        <f aca="false">SUMPRODUCT(E1017:J1017,_XtX!$B$53:$G$53)</f>
        <v>49.0638850574713</v>
      </c>
      <c r="L1017" s="0" t="n">
        <f aca="false">SUMPRODUCT(MMULT(E1017:J1017,_XtX!$B$44:$G$49),E1017:J1017)</f>
        <v>0.174050574712644</v>
      </c>
      <c r="M1017" s="0" t="n">
        <f aca="false">04_回帰ANOVA!$K$19*04_回帰ANOVA!$K$14*SQRT(1+L1017)</f>
        <v>1.46831750045351</v>
      </c>
      <c r="N1017" s="0" t="n">
        <f aca="false">K1017-M1017</f>
        <v>47.5955675570178</v>
      </c>
      <c r="O1017" s="0" t="n">
        <f aca="false">K1017+M1017</f>
        <v>50.5322025579248</v>
      </c>
      <c r="P1017" s="54" t="b">
        <f aca="false">AND(C1017&gt;=01_因子設定!$L$5-0.000000001,C1017&lt;=01_因子設定!$M$5+0.000000001,D1017&gt;=01_因子設定!$L$6-0.000000001,D1017&lt;=01_因子設定!$M$6+0.000000001,IF(01_因子設定!$B$20="Box-Behnken",C1017^2+D1017^2&lt;=2+0.000000001,TRUE()))</f>
        <v>1</v>
      </c>
      <c r="Q1017" s="55" t="n">
        <f aca="false">IF(P1017,IF(01_因子設定!$B$13="最大化",N1017-01_因子設定!$B$14,IF(01_因子設定!$B$13="最小化",01_因子設定!$B$15-O1017,MIN(N1017-01_因子設定!$B$14,01_因子設定!$B$15-O1017))),-1E+030)</f>
        <v>1.09556755701775</v>
      </c>
      <c r="R1017" s="55" t="n">
        <f aca="false">IF(P1017,IF(01_因子設定!$B$13="最大化",K1017,IF(01_因子設定!$B$13="最小化",-K1017,-ABS(K1017-01_因子設定!$B$16))),-1E+030)</f>
        <v>49.0638850574713</v>
      </c>
      <c r="S1017" s="55" t="n">
        <f aca="false">Q1017+ROW()*0.000000001</f>
        <v>1.09556857401775</v>
      </c>
      <c r="T1017" s="55" t="n">
        <f aca="false">R1017+ROW()*0.000000001</f>
        <v>49.0638860744713</v>
      </c>
    </row>
    <row r="1018" customFormat="false" ht="15" hidden="false" customHeight="false" outlineLevel="0" collapsed="false">
      <c r="A1018" s="0" t="n">
        <v>24</v>
      </c>
      <c r="B1018" s="0" t="n">
        <v>29</v>
      </c>
      <c r="C1018" s="0" t="n">
        <f aca="false">-1+A1018*0.05</f>
        <v>0.2</v>
      </c>
      <c r="D1018" s="0" t="n">
        <f aca="false">-1+B1018*0.05</f>
        <v>0.45</v>
      </c>
      <c r="E1018" s="0" t="n">
        <f aca="false">1</f>
        <v>1</v>
      </c>
      <c r="F1018" s="0" t="n">
        <f aca="false">C1018</f>
        <v>0.2</v>
      </c>
      <c r="G1018" s="0" t="n">
        <f aca="false">D1018</f>
        <v>0.45</v>
      </c>
      <c r="H1018" s="0" t="n">
        <f aca="false">C1018*D1018</f>
        <v>0.0900000000000001</v>
      </c>
      <c r="I1018" s="0" t="n">
        <f aca="false">C1018*C1018</f>
        <v>0.0400000000000001</v>
      </c>
      <c r="J1018" s="0" t="n">
        <f aca="false">D1018*D1018</f>
        <v>0.2025</v>
      </c>
      <c r="K1018" s="0" t="n">
        <f aca="false">SUMPRODUCT(E1018:J1018,_XtX!$B$53:$G$53)</f>
        <v>49.1160531609195</v>
      </c>
      <c r="L1018" s="0" t="n">
        <f aca="false">SUMPRODUCT(MMULT(E1018:J1018,_XtX!$B$44:$G$49),E1018:J1018)</f>
        <v>0.17787496408046</v>
      </c>
      <c r="M1018" s="0" t="n">
        <f aca="false">04_回帰ANOVA!$K$19*04_回帰ANOVA!$K$14*SQRT(1+L1018)</f>
        <v>1.47070702797102</v>
      </c>
      <c r="N1018" s="0" t="n">
        <f aca="false">K1018-M1018</f>
        <v>47.6453461329485</v>
      </c>
      <c r="O1018" s="0" t="n">
        <f aca="false">K1018+M1018</f>
        <v>50.5867601888906</v>
      </c>
      <c r="P1018" s="54" t="b">
        <f aca="false">AND(C1018&gt;=01_因子設定!$L$5-0.000000001,C1018&lt;=01_因子設定!$M$5+0.000000001,D1018&gt;=01_因子設定!$L$6-0.000000001,D1018&lt;=01_因子設定!$M$6+0.000000001,IF(01_因子設定!$B$20="Box-Behnken",C1018^2+D1018^2&lt;=2+0.000000001,TRUE()))</f>
        <v>1</v>
      </c>
      <c r="Q1018" s="55" t="n">
        <f aca="false">IF(P1018,IF(01_因子設定!$B$13="最大化",N1018-01_因子設定!$B$14,IF(01_因子設定!$B$13="最小化",01_因子設定!$B$15-O1018,MIN(N1018-01_因子設定!$B$14,01_因子設定!$B$15-O1018))),-1E+030)</f>
        <v>1.14534613294853</v>
      </c>
      <c r="R1018" s="55" t="n">
        <f aca="false">IF(P1018,IF(01_因子設定!$B$13="最大化",K1018,IF(01_因子設定!$B$13="最小化",-K1018,-ABS(K1018-01_因子設定!$B$16))),-1E+030)</f>
        <v>49.1160531609195</v>
      </c>
      <c r="S1018" s="55" t="n">
        <f aca="false">Q1018+ROW()*0.000000001</f>
        <v>1.14534715094853</v>
      </c>
      <c r="T1018" s="55" t="n">
        <f aca="false">R1018+ROW()*0.000000001</f>
        <v>49.1160541789195</v>
      </c>
    </row>
    <row r="1019" customFormat="false" ht="15" hidden="false" customHeight="false" outlineLevel="0" collapsed="false">
      <c r="A1019" s="0" t="n">
        <v>24</v>
      </c>
      <c r="B1019" s="0" t="n">
        <v>30</v>
      </c>
      <c r="C1019" s="0" t="n">
        <f aca="false">-1+A1019*0.05</f>
        <v>0.2</v>
      </c>
      <c r="D1019" s="0" t="n">
        <f aca="false">-1+B1019*0.05</f>
        <v>0.5</v>
      </c>
      <c r="E1019" s="0" t="n">
        <f aca="false">1</f>
        <v>1</v>
      </c>
      <c r="F1019" s="0" t="n">
        <f aca="false">C1019</f>
        <v>0.2</v>
      </c>
      <c r="G1019" s="0" t="n">
        <f aca="false">D1019</f>
        <v>0.5</v>
      </c>
      <c r="H1019" s="0" t="n">
        <f aca="false">C1019*D1019</f>
        <v>0.1</v>
      </c>
      <c r="I1019" s="0" t="n">
        <f aca="false">C1019*C1019</f>
        <v>0.0400000000000001</v>
      </c>
      <c r="J1019" s="0" t="n">
        <f aca="false">D1019*D1019</f>
        <v>0.25</v>
      </c>
      <c r="K1019" s="0" t="n">
        <f aca="false">SUMPRODUCT(E1019:J1019,_XtX!$B$53:$G$53)</f>
        <v>49.1605057471264</v>
      </c>
      <c r="L1019" s="0" t="n">
        <f aca="false">SUMPRODUCT(MMULT(E1019:J1019,_XtX!$B$44:$G$49),E1019:J1019)</f>
        <v>0.183697126436782</v>
      </c>
      <c r="M1019" s="0" t="n">
        <f aca="false">04_回帰ANOVA!$K$19*04_回帰ANOVA!$K$14*SQRT(1+L1019)</f>
        <v>1.4743373538588</v>
      </c>
      <c r="N1019" s="0" t="n">
        <f aca="false">K1019-M1019</f>
        <v>47.6861683932676</v>
      </c>
      <c r="O1019" s="0" t="n">
        <f aca="false">K1019+M1019</f>
        <v>50.6348431009852</v>
      </c>
      <c r="P1019" s="54" t="b">
        <f aca="false">AND(C1019&gt;=01_因子設定!$L$5-0.000000001,C1019&lt;=01_因子設定!$M$5+0.000000001,D1019&gt;=01_因子設定!$L$6-0.000000001,D1019&lt;=01_因子設定!$M$6+0.000000001,IF(01_因子設定!$B$20="Box-Behnken",C1019^2+D1019^2&lt;=2+0.000000001,TRUE()))</f>
        <v>1</v>
      </c>
      <c r="Q1019" s="55" t="n">
        <f aca="false">IF(P1019,IF(01_因子設定!$B$13="最大化",N1019-01_因子設定!$B$14,IF(01_因子設定!$B$13="最小化",01_因子設定!$B$15-O1019,MIN(N1019-01_因子設定!$B$14,01_因子設定!$B$15-O1019))),-1E+030)</f>
        <v>1.18616839326764</v>
      </c>
      <c r="R1019" s="55" t="n">
        <f aca="false">IF(P1019,IF(01_因子設定!$B$13="最大化",K1019,IF(01_因子設定!$B$13="最小化",-K1019,-ABS(K1019-01_因子設定!$B$16))),-1E+030)</f>
        <v>49.1605057471264</v>
      </c>
      <c r="S1019" s="55" t="n">
        <f aca="false">Q1019+ROW()*0.000000001</f>
        <v>1.18616941226764</v>
      </c>
      <c r="T1019" s="55" t="n">
        <f aca="false">R1019+ROW()*0.000000001</f>
        <v>49.1605067661264</v>
      </c>
    </row>
    <row r="1020" customFormat="false" ht="15" hidden="false" customHeight="false" outlineLevel="0" collapsed="false">
      <c r="A1020" s="0" t="n">
        <v>24</v>
      </c>
      <c r="B1020" s="0" t="n">
        <v>31</v>
      </c>
      <c r="C1020" s="0" t="n">
        <f aca="false">-1+A1020*0.05</f>
        <v>0.2</v>
      </c>
      <c r="D1020" s="0" t="n">
        <f aca="false">-1+B1020*0.05</f>
        <v>0.55</v>
      </c>
      <c r="E1020" s="0" t="n">
        <f aca="false">1</f>
        <v>1</v>
      </c>
      <c r="F1020" s="0" t="n">
        <f aca="false">C1020</f>
        <v>0.2</v>
      </c>
      <c r="G1020" s="0" t="n">
        <f aca="false">D1020</f>
        <v>0.55</v>
      </c>
      <c r="H1020" s="0" t="n">
        <f aca="false">C1020*D1020</f>
        <v>0.11</v>
      </c>
      <c r="I1020" s="0" t="n">
        <f aca="false">C1020*C1020</f>
        <v>0.0400000000000001</v>
      </c>
      <c r="J1020" s="0" t="n">
        <f aca="false">D1020*D1020</f>
        <v>0.3025</v>
      </c>
      <c r="K1020" s="0" t="n">
        <f aca="false">SUMPRODUCT(E1020:J1020,_XtX!$B$53:$G$53)</f>
        <v>49.197242816092</v>
      </c>
      <c r="L1020" s="0" t="n">
        <f aca="false">SUMPRODUCT(MMULT(E1020:J1020,_XtX!$B$44:$G$49),E1020:J1020)</f>
        <v>0.192033010057471</v>
      </c>
      <c r="M1020" s="0" t="n">
        <f aca="false">04_回帰ANOVA!$K$19*04_回帰ANOVA!$K$14*SQRT(1+L1020)</f>
        <v>1.47951956772622</v>
      </c>
      <c r="N1020" s="0" t="n">
        <f aca="false">K1020-M1020</f>
        <v>47.7177232483657</v>
      </c>
      <c r="O1020" s="0" t="n">
        <f aca="false">K1020+M1020</f>
        <v>50.6767623838182</v>
      </c>
      <c r="P1020" s="54" t="b">
        <f aca="false">AND(C1020&gt;=01_因子設定!$L$5-0.000000001,C1020&lt;=01_因子設定!$M$5+0.000000001,D1020&gt;=01_因子設定!$L$6-0.000000001,D1020&lt;=01_因子設定!$M$6+0.000000001,IF(01_因子設定!$B$20="Box-Behnken",C1020^2+D1020^2&lt;=2+0.000000001,TRUE()))</f>
        <v>1</v>
      </c>
      <c r="Q1020" s="55" t="n">
        <f aca="false">IF(P1020,IF(01_因子設定!$B$13="最大化",N1020-01_因子設定!$B$14,IF(01_因子設定!$B$13="最小化",01_因子設定!$B$15-O1020,MIN(N1020-01_因子設定!$B$14,01_因子設定!$B$15-O1020))),-1E+030)</f>
        <v>1.21772324836573</v>
      </c>
      <c r="R1020" s="55" t="n">
        <f aca="false">IF(P1020,IF(01_因子設定!$B$13="最大化",K1020,IF(01_因子設定!$B$13="最小化",-K1020,-ABS(K1020-01_因子設定!$B$16))),-1E+030)</f>
        <v>49.197242816092</v>
      </c>
      <c r="S1020" s="55" t="n">
        <f aca="false">Q1020+ROW()*0.000000001</f>
        <v>1.21772426836573</v>
      </c>
      <c r="T1020" s="55" t="n">
        <f aca="false">R1020+ROW()*0.000000001</f>
        <v>49.197243836092</v>
      </c>
    </row>
    <row r="1021" customFormat="false" ht="15" hidden="false" customHeight="false" outlineLevel="0" collapsed="false">
      <c r="A1021" s="0" t="n">
        <v>24</v>
      </c>
      <c r="B1021" s="0" t="n">
        <v>32</v>
      </c>
      <c r="C1021" s="0" t="n">
        <f aca="false">-1+A1021*0.05</f>
        <v>0.2</v>
      </c>
      <c r="D1021" s="0" t="n">
        <f aca="false">-1+B1021*0.05</f>
        <v>0.6</v>
      </c>
      <c r="E1021" s="0" t="n">
        <f aca="false">1</f>
        <v>1</v>
      </c>
      <c r="F1021" s="0" t="n">
        <f aca="false">C1021</f>
        <v>0.2</v>
      </c>
      <c r="G1021" s="0" t="n">
        <f aca="false">D1021</f>
        <v>0.6</v>
      </c>
      <c r="H1021" s="0" t="n">
        <f aca="false">C1021*D1021</f>
        <v>0.12</v>
      </c>
      <c r="I1021" s="0" t="n">
        <f aca="false">C1021*C1021</f>
        <v>0.0400000000000001</v>
      </c>
      <c r="J1021" s="0" t="n">
        <f aca="false">D1021*D1021</f>
        <v>0.36</v>
      </c>
      <c r="K1021" s="0" t="n">
        <f aca="false">SUMPRODUCT(E1021:J1021,_XtX!$B$53:$G$53)</f>
        <v>49.2262643678161</v>
      </c>
      <c r="L1021" s="0" t="n">
        <f aca="false">SUMPRODUCT(MMULT(E1021:J1021,_XtX!$B$44:$G$49),E1021:J1021)</f>
        <v>0.203452873563218</v>
      </c>
      <c r="M1021" s="0" t="n">
        <f aca="false">04_回帰ANOVA!$K$19*04_回帰ANOVA!$K$14*SQRT(1+L1021)</f>
        <v>1.48658968981505</v>
      </c>
      <c r="N1021" s="0" t="n">
        <f aca="false">K1021-M1021</f>
        <v>47.739674678001</v>
      </c>
      <c r="O1021" s="0" t="n">
        <f aca="false">K1021+M1021</f>
        <v>50.7128540576312</v>
      </c>
      <c r="P1021" s="54" t="b">
        <f aca="false">AND(C1021&gt;=01_因子設定!$L$5-0.000000001,C1021&lt;=01_因子設定!$M$5+0.000000001,D1021&gt;=01_因子設定!$L$6-0.000000001,D1021&lt;=01_因子設定!$M$6+0.000000001,IF(01_因子設定!$B$20="Box-Behnken",C1021^2+D1021^2&lt;=2+0.000000001,TRUE()))</f>
        <v>1</v>
      </c>
      <c r="Q1021" s="55" t="n">
        <f aca="false">IF(P1021,IF(01_因子設定!$B$13="最大化",N1021-01_因子設定!$B$14,IF(01_因子設定!$B$13="最小化",01_因子設定!$B$15-O1021,MIN(N1021-01_因子設定!$B$14,01_因子設定!$B$15-O1021))),-1E+030)</f>
        <v>1.23967467800104</v>
      </c>
      <c r="R1021" s="55" t="n">
        <f aca="false">IF(P1021,IF(01_因子設定!$B$13="最大化",K1021,IF(01_因子設定!$B$13="最小化",-K1021,-ABS(K1021-01_因子設定!$B$16))),-1E+030)</f>
        <v>49.2262643678161</v>
      </c>
      <c r="S1021" s="55" t="n">
        <f aca="false">Q1021+ROW()*0.000000001</f>
        <v>1.23967569900104</v>
      </c>
      <c r="T1021" s="55" t="n">
        <f aca="false">R1021+ROW()*0.000000001</f>
        <v>49.2262653888161</v>
      </c>
    </row>
    <row r="1022" customFormat="false" ht="15" hidden="false" customHeight="false" outlineLevel="0" collapsed="false">
      <c r="A1022" s="0" t="n">
        <v>24</v>
      </c>
      <c r="B1022" s="0" t="n">
        <v>33</v>
      </c>
      <c r="C1022" s="0" t="n">
        <f aca="false">-1+A1022*0.05</f>
        <v>0.2</v>
      </c>
      <c r="D1022" s="0" t="n">
        <f aca="false">-1+B1022*0.05</f>
        <v>0.65</v>
      </c>
      <c r="E1022" s="0" t="n">
        <f aca="false">1</f>
        <v>1</v>
      </c>
      <c r="F1022" s="0" t="n">
        <f aca="false">C1022</f>
        <v>0.2</v>
      </c>
      <c r="G1022" s="0" t="n">
        <f aca="false">D1022</f>
        <v>0.65</v>
      </c>
      <c r="H1022" s="0" t="n">
        <f aca="false">C1022*D1022</f>
        <v>0.13</v>
      </c>
      <c r="I1022" s="0" t="n">
        <f aca="false">C1022*C1022</f>
        <v>0.0400000000000001</v>
      </c>
      <c r="J1022" s="0" t="n">
        <f aca="false">D1022*D1022</f>
        <v>0.4225</v>
      </c>
      <c r="K1022" s="0" t="n">
        <f aca="false">SUMPRODUCT(E1022:J1022,_XtX!$B$53:$G$53)</f>
        <v>49.2475704022989</v>
      </c>
      <c r="L1022" s="0" t="n">
        <f aca="false">SUMPRODUCT(MMULT(E1022:J1022,_XtX!$B$44:$G$49),E1022:J1022)</f>
        <v>0.21858128591954</v>
      </c>
      <c r="M1022" s="0" t="n">
        <f aca="false">04_回帰ANOVA!$K$19*04_回帰ANOVA!$K$14*SQRT(1+L1022)</f>
        <v>1.49590434782083</v>
      </c>
      <c r="N1022" s="0" t="n">
        <f aca="false">K1022-M1022</f>
        <v>47.751666054478</v>
      </c>
      <c r="O1022" s="0" t="n">
        <f aca="false">K1022+M1022</f>
        <v>50.7434747501197</v>
      </c>
      <c r="P1022" s="54" t="b">
        <f aca="false">AND(C1022&gt;=01_因子設定!$L$5-0.000000001,C1022&lt;=01_因子設定!$M$5+0.000000001,D1022&gt;=01_因子設定!$L$6-0.000000001,D1022&lt;=01_因子設定!$M$6+0.000000001,IF(01_因子設定!$B$20="Box-Behnken",C1022^2+D1022^2&lt;=2+0.000000001,TRUE()))</f>
        <v>1</v>
      </c>
      <c r="Q1022" s="55" t="n">
        <f aca="false">IF(P1022,IF(01_因子設定!$B$13="最大化",N1022-01_因子設定!$B$14,IF(01_因子設定!$B$13="最小化",01_因子設定!$B$15-O1022,MIN(N1022-01_因子設定!$B$14,01_因子設定!$B$15-O1022))),-1E+030)</f>
        <v>1.25166605447802</v>
      </c>
      <c r="R1022" s="55" t="n">
        <f aca="false">IF(P1022,IF(01_因子設定!$B$13="最大化",K1022,IF(01_因子設定!$B$13="最小化",-K1022,-ABS(K1022-01_因子設定!$B$16))),-1E+030)</f>
        <v>49.2475704022989</v>
      </c>
      <c r="S1022" s="55" t="n">
        <f aca="false">Q1022+ROW()*0.000000001</f>
        <v>1.25166707647802</v>
      </c>
      <c r="T1022" s="55" t="n">
        <f aca="false">R1022+ROW()*0.000000001</f>
        <v>49.2475714242989</v>
      </c>
    </row>
    <row r="1023" customFormat="false" ht="15" hidden="false" customHeight="false" outlineLevel="0" collapsed="false">
      <c r="A1023" s="0" t="n">
        <v>24</v>
      </c>
      <c r="B1023" s="0" t="n">
        <v>34</v>
      </c>
      <c r="C1023" s="0" t="n">
        <f aca="false">-1+A1023*0.05</f>
        <v>0.2</v>
      </c>
      <c r="D1023" s="0" t="n">
        <f aca="false">-1+B1023*0.05</f>
        <v>0.7</v>
      </c>
      <c r="E1023" s="0" t="n">
        <f aca="false">1</f>
        <v>1</v>
      </c>
      <c r="F1023" s="0" t="n">
        <f aca="false">C1023</f>
        <v>0.2</v>
      </c>
      <c r="G1023" s="0" t="n">
        <f aca="false">D1023</f>
        <v>0.7</v>
      </c>
      <c r="H1023" s="0" t="n">
        <f aca="false">C1023*D1023</f>
        <v>0.14</v>
      </c>
      <c r="I1023" s="0" t="n">
        <f aca="false">C1023*C1023</f>
        <v>0.0400000000000001</v>
      </c>
      <c r="J1023" s="0" t="n">
        <f aca="false">D1023*D1023</f>
        <v>0.49</v>
      </c>
      <c r="K1023" s="0" t="n">
        <f aca="false">SUMPRODUCT(E1023:J1023,_XtX!$B$53:$G$53)</f>
        <v>49.2611609195402</v>
      </c>
      <c r="L1023" s="0" t="n">
        <f aca="false">SUMPRODUCT(MMULT(E1023:J1023,_XtX!$B$44:$G$49),E1023:J1023)</f>
        <v>0.238097126436782</v>
      </c>
      <c r="M1023" s="0" t="n">
        <f aca="false">04_回帰ANOVA!$K$19*04_回帰ANOVA!$K$14*SQRT(1+L1023)</f>
        <v>1.50783538244616</v>
      </c>
      <c r="N1023" s="0" t="n">
        <f aca="false">K1023-M1023</f>
        <v>47.7533255370941</v>
      </c>
      <c r="O1023" s="0" t="n">
        <f aca="false">K1023+M1023</f>
        <v>50.7689963019864</v>
      </c>
      <c r="P1023" s="54" t="b">
        <f aca="false">AND(C1023&gt;=01_因子設定!$L$5-0.000000001,C1023&lt;=01_因子設定!$M$5+0.000000001,D1023&gt;=01_因子設定!$L$6-0.000000001,D1023&lt;=01_因子設定!$M$6+0.000000001,IF(01_因子設定!$B$20="Box-Behnken",C1023^2+D1023^2&lt;=2+0.000000001,TRUE()))</f>
        <v>1</v>
      </c>
      <c r="Q1023" s="55" t="n">
        <f aca="false">IF(P1023,IF(01_因子設定!$B$13="最大化",N1023-01_因子設定!$B$14,IF(01_因子設定!$B$13="最小化",01_因子設定!$B$15-O1023,MIN(N1023-01_因子設定!$B$14,01_因子設定!$B$15-O1023))),-1E+030)</f>
        <v>1.25332553709407</v>
      </c>
      <c r="R1023" s="55" t="n">
        <f aca="false">IF(P1023,IF(01_因子設定!$B$13="最大化",K1023,IF(01_因子設定!$B$13="最小化",-K1023,-ABS(K1023-01_因子設定!$B$16))),-1E+030)</f>
        <v>49.2611609195402</v>
      </c>
      <c r="S1023" s="55" t="n">
        <f aca="false">Q1023+ROW()*0.000000001</f>
        <v>1.25332656009407</v>
      </c>
      <c r="T1023" s="55" t="n">
        <f aca="false">R1023+ROW()*0.000000001</f>
        <v>49.2611619425402</v>
      </c>
    </row>
    <row r="1024" customFormat="false" ht="15" hidden="false" customHeight="false" outlineLevel="0" collapsed="false">
      <c r="A1024" s="0" t="n">
        <v>24</v>
      </c>
      <c r="B1024" s="0" t="n">
        <v>35</v>
      </c>
      <c r="C1024" s="0" t="n">
        <f aca="false">-1+A1024*0.05</f>
        <v>0.2</v>
      </c>
      <c r="D1024" s="0" t="n">
        <f aca="false">-1+B1024*0.05</f>
        <v>0.75</v>
      </c>
      <c r="E1024" s="0" t="n">
        <f aca="false">1</f>
        <v>1</v>
      </c>
      <c r="F1024" s="0" t="n">
        <f aca="false">C1024</f>
        <v>0.2</v>
      </c>
      <c r="G1024" s="0" t="n">
        <f aca="false">D1024</f>
        <v>0.75</v>
      </c>
      <c r="H1024" s="0" t="n">
        <f aca="false">C1024*D1024</f>
        <v>0.15</v>
      </c>
      <c r="I1024" s="0" t="n">
        <f aca="false">C1024*C1024</f>
        <v>0.0400000000000001</v>
      </c>
      <c r="J1024" s="0" t="n">
        <f aca="false">D1024*D1024</f>
        <v>0.5625</v>
      </c>
      <c r="K1024" s="0" t="n">
        <f aca="false">SUMPRODUCT(E1024:J1024,_XtX!$B$53:$G$53)</f>
        <v>49.2670359195402</v>
      </c>
      <c r="L1024" s="0" t="n">
        <f aca="false">SUMPRODUCT(MMULT(E1024:J1024,_XtX!$B$44:$G$49),E1024:J1024)</f>
        <v>0.262733584770115</v>
      </c>
      <c r="M1024" s="0" t="n">
        <f aca="false">04_回帰ANOVA!$K$19*04_回帰ANOVA!$K$14*SQRT(1+L1024)</f>
        <v>1.5227634286696</v>
      </c>
      <c r="N1024" s="0" t="n">
        <f aca="false">K1024-M1024</f>
        <v>47.7442724908706</v>
      </c>
      <c r="O1024" s="0" t="n">
        <f aca="false">K1024+M1024</f>
        <v>50.7897993482098</v>
      </c>
      <c r="P1024" s="54" t="b">
        <f aca="false">AND(C1024&gt;=01_因子設定!$L$5-0.000000001,C1024&lt;=01_因子設定!$M$5+0.000000001,D1024&gt;=01_因子設定!$L$6-0.000000001,D1024&lt;=01_因子設定!$M$6+0.000000001,IF(01_因子設定!$B$20="Box-Behnken",C1024^2+D1024^2&lt;=2+0.000000001,TRUE()))</f>
        <v>1</v>
      </c>
      <c r="Q1024" s="55" t="n">
        <f aca="false">IF(P1024,IF(01_因子設定!$B$13="最大化",N1024-01_因子設定!$B$14,IF(01_因子設定!$B$13="最小化",01_因子設定!$B$15-O1024,MIN(N1024-01_因子設定!$B$14,01_因子設定!$B$15-O1024))),-1E+030)</f>
        <v>1.24427249087063</v>
      </c>
      <c r="R1024" s="55" t="n">
        <f aca="false">IF(P1024,IF(01_因子設定!$B$13="最大化",K1024,IF(01_因子設定!$B$13="最小化",-K1024,-ABS(K1024-01_因子設定!$B$16))),-1E+030)</f>
        <v>49.2670359195402</v>
      </c>
      <c r="S1024" s="55" t="n">
        <f aca="false">Q1024+ROW()*0.000000001</f>
        <v>1.24427351487063</v>
      </c>
      <c r="T1024" s="55" t="n">
        <f aca="false">R1024+ROW()*0.000000001</f>
        <v>49.2670369435402</v>
      </c>
    </row>
    <row r="1025" customFormat="false" ht="15" hidden="false" customHeight="false" outlineLevel="0" collapsed="false">
      <c r="A1025" s="0" t="n">
        <v>24</v>
      </c>
      <c r="B1025" s="0" t="n">
        <v>36</v>
      </c>
      <c r="C1025" s="0" t="n">
        <f aca="false">-1+A1025*0.05</f>
        <v>0.2</v>
      </c>
      <c r="D1025" s="0" t="n">
        <f aca="false">-1+B1025*0.05</f>
        <v>0.8</v>
      </c>
      <c r="E1025" s="0" t="n">
        <f aca="false">1</f>
        <v>1</v>
      </c>
      <c r="F1025" s="0" t="n">
        <f aca="false">C1025</f>
        <v>0.2</v>
      </c>
      <c r="G1025" s="0" t="n">
        <f aca="false">D1025</f>
        <v>0.8</v>
      </c>
      <c r="H1025" s="0" t="n">
        <f aca="false">C1025*D1025</f>
        <v>0.16</v>
      </c>
      <c r="I1025" s="0" t="n">
        <f aca="false">C1025*C1025</f>
        <v>0.0400000000000001</v>
      </c>
      <c r="J1025" s="0" t="n">
        <f aca="false">D1025*D1025</f>
        <v>0.64</v>
      </c>
      <c r="K1025" s="0" t="n">
        <f aca="false">SUMPRODUCT(E1025:J1025,_XtX!$B$53:$G$53)</f>
        <v>49.2651954022989</v>
      </c>
      <c r="L1025" s="0" t="n">
        <f aca="false">SUMPRODUCT(MMULT(E1025:J1025,_XtX!$B$44:$G$49),E1025:J1025)</f>
        <v>0.29327816091954</v>
      </c>
      <c r="M1025" s="0" t="n">
        <f aca="false">04_回帰ANOVA!$K$19*04_回帰ANOVA!$K$14*SQRT(1+L1025)</f>
        <v>1.54107063211196</v>
      </c>
      <c r="N1025" s="0" t="n">
        <f aca="false">K1025-M1025</f>
        <v>47.7241247701869</v>
      </c>
      <c r="O1025" s="0" t="n">
        <f aca="false">K1025+M1025</f>
        <v>50.8062660344108</v>
      </c>
      <c r="P1025" s="54" t="b">
        <f aca="false">AND(C1025&gt;=01_因子設定!$L$5-0.000000001,C1025&lt;=01_因子設定!$M$5+0.000000001,D1025&gt;=01_因子設定!$L$6-0.000000001,D1025&lt;=01_因子設定!$M$6+0.000000001,IF(01_因子設定!$B$20="Box-Behnken",C1025^2+D1025^2&lt;=2+0.000000001,TRUE()))</f>
        <v>1</v>
      </c>
      <c r="Q1025" s="55" t="n">
        <f aca="false">IF(P1025,IF(01_因子設定!$B$13="最大化",N1025-01_因子設定!$B$14,IF(01_因子設定!$B$13="最小化",01_因子設定!$B$15-O1025,MIN(N1025-01_因子設定!$B$14,01_因子設定!$B$15-O1025))),-1E+030)</f>
        <v>1.22412477018689</v>
      </c>
      <c r="R1025" s="55" t="n">
        <f aca="false">IF(P1025,IF(01_因子設定!$B$13="最大化",K1025,IF(01_因子設定!$B$13="最小化",-K1025,-ABS(K1025-01_因子設定!$B$16))),-1E+030)</f>
        <v>49.2651954022989</v>
      </c>
      <c r="S1025" s="55" t="n">
        <f aca="false">Q1025+ROW()*0.000000001</f>
        <v>1.22412579518689</v>
      </c>
      <c r="T1025" s="55" t="n">
        <f aca="false">R1025+ROW()*0.000000001</f>
        <v>49.2651964272989</v>
      </c>
    </row>
    <row r="1026" customFormat="false" ht="15" hidden="false" customHeight="false" outlineLevel="0" collapsed="false">
      <c r="A1026" s="0" t="n">
        <v>24</v>
      </c>
      <c r="B1026" s="0" t="n">
        <v>37</v>
      </c>
      <c r="C1026" s="0" t="n">
        <f aca="false">-1+A1026*0.05</f>
        <v>0.2</v>
      </c>
      <c r="D1026" s="0" t="n">
        <f aca="false">-1+B1026*0.05</f>
        <v>0.85</v>
      </c>
      <c r="E1026" s="0" t="n">
        <f aca="false">1</f>
        <v>1</v>
      </c>
      <c r="F1026" s="0" t="n">
        <f aca="false">C1026</f>
        <v>0.2</v>
      </c>
      <c r="G1026" s="0" t="n">
        <f aca="false">D1026</f>
        <v>0.85</v>
      </c>
      <c r="H1026" s="0" t="n">
        <f aca="false">C1026*D1026</f>
        <v>0.17</v>
      </c>
      <c r="I1026" s="0" t="n">
        <f aca="false">C1026*C1026</f>
        <v>0.0400000000000001</v>
      </c>
      <c r="J1026" s="0" t="n">
        <f aca="false">D1026*D1026</f>
        <v>0.7225</v>
      </c>
      <c r="K1026" s="0" t="n">
        <f aca="false">SUMPRODUCT(E1026:J1026,_XtX!$B$53:$G$53)</f>
        <v>49.2556393678161</v>
      </c>
      <c r="L1026" s="0" t="n">
        <f aca="false">SUMPRODUCT(MMULT(E1026:J1026,_XtX!$B$44:$G$49),E1026:J1026)</f>
        <v>0.330572665229885</v>
      </c>
      <c r="M1026" s="0" t="n">
        <f aca="false">04_回帰ANOVA!$K$19*04_回帰ANOVA!$K$14*SQRT(1+L1026)</f>
        <v>1.56313278103216</v>
      </c>
      <c r="N1026" s="0" t="n">
        <f aca="false">K1026-M1026</f>
        <v>47.6925065867839</v>
      </c>
      <c r="O1026" s="0" t="n">
        <f aca="false">K1026+M1026</f>
        <v>50.8187721488483</v>
      </c>
      <c r="P1026" s="54" t="b">
        <f aca="false">AND(C1026&gt;=01_因子設定!$L$5-0.000000001,C1026&lt;=01_因子設定!$M$5+0.000000001,D1026&gt;=01_因子設定!$L$6-0.000000001,D1026&lt;=01_因子設定!$M$6+0.000000001,IF(01_因子設定!$B$20="Box-Behnken",C1026^2+D1026^2&lt;=2+0.000000001,TRUE()))</f>
        <v>1</v>
      </c>
      <c r="Q1026" s="55" t="n">
        <f aca="false">IF(P1026,IF(01_因子設定!$B$13="最大化",N1026-01_因子設定!$B$14,IF(01_因子設定!$B$13="最小化",01_因子設定!$B$15-O1026,MIN(N1026-01_因子設定!$B$14,01_因子設定!$B$15-O1026))),-1E+030)</f>
        <v>1.19250658678394</v>
      </c>
      <c r="R1026" s="55" t="n">
        <f aca="false">IF(P1026,IF(01_因子設定!$B$13="最大化",K1026,IF(01_因子設定!$B$13="最小化",-K1026,-ABS(K1026-01_因子設定!$B$16))),-1E+030)</f>
        <v>49.2556393678161</v>
      </c>
      <c r="S1026" s="55" t="n">
        <f aca="false">Q1026+ROW()*0.000000001</f>
        <v>1.19250761278394</v>
      </c>
      <c r="T1026" s="55" t="n">
        <f aca="false">R1026+ROW()*0.000000001</f>
        <v>49.2556403938161</v>
      </c>
    </row>
    <row r="1027" customFormat="false" ht="15" hidden="false" customHeight="false" outlineLevel="0" collapsed="false">
      <c r="A1027" s="0" t="n">
        <v>24</v>
      </c>
      <c r="B1027" s="0" t="n">
        <v>38</v>
      </c>
      <c r="C1027" s="0" t="n">
        <f aca="false">-1+A1027*0.05</f>
        <v>0.2</v>
      </c>
      <c r="D1027" s="0" t="n">
        <f aca="false">-1+B1027*0.05</f>
        <v>0.9</v>
      </c>
      <c r="E1027" s="0" t="n">
        <f aca="false">1</f>
        <v>1</v>
      </c>
      <c r="F1027" s="0" t="n">
        <f aca="false">C1027</f>
        <v>0.2</v>
      </c>
      <c r="G1027" s="0" t="n">
        <f aca="false">D1027</f>
        <v>0.9</v>
      </c>
      <c r="H1027" s="0" t="n">
        <f aca="false">C1027*D1027</f>
        <v>0.18</v>
      </c>
      <c r="I1027" s="0" t="n">
        <f aca="false">C1027*C1027</f>
        <v>0.0400000000000001</v>
      </c>
      <c r="J1027" s="0" t="n">
        <f aca="false">D1027*D1027</f>
        <v>0.81</v>
      </c>
      <c r="K1027" s="0" t="n">
        <f aca="false">SUMPRODUCT(E1027:J1027,_XtX!$B$53:$G$53)</f>
        <v>49.238367816092</v>
      </c>
      <c r="L1027" s="0" t="n">
        <f aca="false">SUMPRODUCT(MMULT(E1027:J1027,_XtX!$B$44:$G$49),E1027:J1027)</f>
        <v>0.375513218390805</v>
      </c>
      <c r="M1027" s="0" t="n">
        <f aca="false">04_回帰ANOVA!$K$19*04_回帰ANOVA!$K$14*SQRT(1+L1027)</f>
        <v>1.58931124581991</v>
      </c>
      <c r="N1027" s="0" t="n">
        <f aca="false">K1027-M1027</f>
        <v>47.649056570272</v>
      </c>
      <c r="O1027" s="0" t="n">
        <f aca="false">K1027+M1027</f>
        <v>50.8276790619119</v>
      </c>
      <c r="P1027" s="54" t="b">
        <f aca="false">AND(C1027&gt;=01_因子設定!$L$5-0.000000001,C1027&lt;=01_因子設定!$M$5+0.000000001,D1027&gt;=01_因子設定!$L$6-0.000000001,D1027&lt;=01_因子設定!$M$6+0.000000001,IF(01_因子設定!$B$20="Box-Behnken",C1027^2+D1027^2&lt;=2+0.000000001,TRUE()))</f>
        <v>1</v>
      </c>
      <c r="Q1027" s="55" t="n">
        <f aca="false">IF(P1027,IF(01_因子設定!$B$13="最大化",N1027-01_因子設定!$B$14,IF(01_因子設定!$B$13="最小化",01_因子設定!$B$15-O1027,MIN(N1027-01_因子設定!$B$14,01_因子設定!$B$15-O1027))),-1E+030)</f>
        <v>1.14905657027204</v>
      </c>
      <c r="R1027" s="55" t="n">
        <f aca="false">IF(P1027,IF(01_因子設定!$B$13="最大化",K1027,IF(01_因子設定!$B$13="最小化",-K1027,-ABS(K1027-01_因子設定!$B$16))),-1E+030)</f>
        <v>49.238367816092</v>
      </c>
      <c r="S1027" s="55" t="n">
        <f aca="false">Q1027+ROW()*0.000000001</f>
        <v>1.14905759727204</v>
      </c>
      <c r="T1027" s="55" t="n">
        <f aca="false">R1027+ROW()*0.000000001</f>
        <v>49.238368843092</v>
      </c>
    </row>
    <row r="1028" customFormat="false" ht="15" hidden="false" customHeight="false" outlineLevel="0" collapsed="false">
      <c r="A1028" s="0" t="n">
        <v>24</v>
      </c>
      <c r="B1028" s="0" t="n">
        <v>39</v>
      </c>
      <c r="C1028" s="0" t="n">
        <f aca="false">-1+A1028*0.05</f>
        <v>0.2</v>
      </c>
      <c r="D1028" s="0" t="n">
        <f aca="false">-1+B1028*0.05</f>
        <v>0.95</v>
      </c>
      <c r="E1028" s="0" t="n">
        <f aca="false">1</f>
        <v>1</v>
      </c>
      <c r="F1028" s="0" t="n">
        <f aca="false">C1028</f>
        <v>0.2</v>
      </c>
      <c r="G1028" s="0" t="n">
        <f aca="false">D1028</f>
        <v>0.95</v>
      </c>
      <c r="H1028" s="0" t="n">
        <f aca="false">C1028*D1028</f>
        <v>0.19</v>
      </c>
      <c r="I1028" s="0" t="n">
        <f aca="false">C1028*C1028</f>
        <v>0.0400000000000001</v>
      </c>
      <c r="J1028" s="0" t="n">
        <f aca="false">D1028*D1028</f>
        <v>0.9025</v>
      </c>
      <c r="K1028" s="0" t="n">
        <f aca="false">SUMPRODUCT(E1028:J1028,_XtX!$B$53:$G$53)</f>
        <v>49.2133807471264</v>
      </c>
      <c r="L1028" s="0" t="n">
        <f aca="false">SUMPRODUCT(MMULT(E1028:J1028,_XtX!$B$44:$G$49),E1028:J1028)</f>
        <v>0.429050251436782</v>
      </c>
      <c r="M1028" s="0" t="n">
        <f aca="false">04_回帰ANOVA!$K$19*04_回帰ANOVA!$K$14*SQRT(1+L1028)</f>
        <v>1.61994519745048</v>
      </c>
      <c r="N1028" s="0" t="n">
        <f aca="false">K1028-M1028</f>
        <v>47.593435549676</v>
      </c>
      <c r="O1028" s="0" t="n">
        <f aca="false">K1028+M1028</f>
        <v>50.8333259445769</v>
      </c>
      <c r="P1028" s="54" t="b">
        <f aca="false">AND(C1028&gt;=01_因子設定!$L$5-0.000000001,C1028&lt;=01_因子設定!$M$5+0.000000001,D1028&gt;=01_因子設定!$L$6-0.000000001,D1028&lt;=01_因子設定!$M$6+0.000000001,IF(01_因子設定!$B$20="Box-Behnken",C1028^2+D1028^2&lt;=2+0.000000001,TRUE()))</f>
        <v>1</v>
      </c>
      <c r="Q1028" s="55" t="n">
        <f aca="false">IF(P1028,IF(01_因子設定!$B$13="最大化",N1028-01_因子設定!$B$14,IF(01_因子設定!$B$13="最小化",01_因子設定!$B$15-O1028,MIN(N1028-01_因子設定!$B$14,01_因子設定!$B$15-O1028))),-1E+030)</f>
        <v>1.09343554967596</v>
      </c>
      <c r="R1028" s="55" t="n">
        <f aca="false">IF(P1028,IF(01_因子設定!$B$13="最大化",K1028,IF(01_因子設定!$B$13="最小化",-K1028,-ABS(K1028-01_因子設定!$B$16))),-1E+030)</f>
        <v>49.2133807471264</v>
      </c>
      <c r="S1028" s="55" t="n">
        <f aca="false">Q1028+ROW()*0.000000001</f>
        <v>1.09343657767596</v>
      </c>
      <c r="T1028" s="55" t="n">
        <f aca="false">R1028+ROW()*0.000000001</f>
        <v>49.2133817751264</v>
      </c>
    </row>
    <row r="1029" customFormat="false" ht="15" hidden="false" customHeight="false" outlineLevel="0" collapsed="false">
      <c r="A1029" s="0" t="n">
        <v>24</v>
      </c>
      <c r="B1029" s="0" t="n">
        <v>40</v>
      </c>
      <c r="C1029" s="0" t="n">
        <f aca="false">-1+A1029*0.05</f>
        <v>0.2</v>
      </c>
      <c r="D1029" s="0" t="n">
        <f aca="false">-1+B1029*0.05</f>
        <v>1</v>
      </c>
      <c r="E1029" s="0" t="n">
        <f aca="false">1</f>
        <v>1</v>
      </c>
      <c r="F1029" s="0" t="n">
        <f aca="false">C1029</f>
        <v>0.2</v>
      </c>
      <c r="G1029" s="0" t="n">
        <f aca="false">D1029</f>
        <v>1</v>
      </c>
      <c r="H1029" s="0" t="n">
        <f aca="false">C1029*D1029</f>
        <v>0.2</v>
      </c>
      <c r="I1029" s="0" t="n">
        <f aca="false">C1029*C1029</f>
        <v>0.0400000000000001</v>
      </c>
      <c r="J1029" s="0" t="n">
        <f aca="false">D1029*D1029</f>
        <v>1</v>
      </c>
      <c r="K1029" s="0" t="n">
        <f aca="false">SUMPRODUCT(E1029:J1029,_XtX!$B$53:$G$53)</f>
        <v>49.1806781609195</v>
      </c>
      <c r="L1029" s="0" t="n">
        <f aca="false">SUMPRODUCT(MMULT(E1029:J1029,_XtX!$B$44:$G$49),E1029:J1029)</f>
        <v>0.492188505747126</v>
      </c>
      <c r="M1029" s="0" t="n">
        <f aca="false">04_回帰ANOVA!$K$19*04_回帰ANOVA!$K$14*SQRT(1+L1029)</f>
        <v>1.65534460403123</v>
      </c>
      <c r="N1029" s="0" t="n">
        <f aca="false">K1029-M1029</f>
        <v>47.5253335568883</v>
      </c>
      <c r="O1029" s="0" t="n">
        <f aca="false">K1029+M1029</f>
        <v>50.8360227649508</v>
      </c>
      <c r="P1029" s="54" t="b">
        <f aca="false">AND(C1029&gt;=01_因子設定!$L$5-0.000000001,C1029&lt;=01_因子設定!$M$5+0.000000001,D1029&gt;=01_因子設定!$L$6-0.000000001,D1029&lt;=01_因子設定!$M$6+0.000000001,IF(01_因子設定!$B$20="Box-Behnken",C1029^2+D1029^2&lt;=2+0.000000001,TRUE()))</f>
        <v>1</v>
      </c>
      <c r="Q1029" s="55" t="n">
        <f aca="false">IF(P1029,IF(01_因子設定!$B$13="最大化",N1029-01_因子設定!$B$14,IF(01_因子設定!$B$13="最小化",01_因子設定!$B$15-O1029,MIN(N1029-01_因子設定!$B$14,01_因子設定!$B$15-O1029))),-1E+030)</f>
        <v>1.02533355688831</v>
      </c>
      <c r="R1029" s="55" t="n">
        <f aca="false">IF(P1029,IF(01_因子設定!$B$13="最大化",K1029,IF(01_因子設定!$B$13="最小化",-K1029,-ABS(K1029-01_因子設定!$B$16))),-1E+030)</f>
        <v>49.1806781609195</v>
      </c>
      <c r="S1029" s="55" t="n">
        <f aca="false">Q1029+ROW()*0.000000001</f>
        <v>1.02533458588831</v>
      </c>
      <c r="T1029" s="55" t="n">
        <f aca="false">R1029+ROW()*0.000000001</f>
        <v>49.1806791899195</v>
      </c>
    </row>
    <row r="1030" customFormat="false" ht="15" hidden="false" customHeight="false" outlineLevel="0" collapsed="false">
      <c r="A1030" s="0" t="n">
        <v>25</v>
      </c>
      <c r="B1030" s="0" t="n">
        <v>0</v>
      </c>
      <c r="C1030" s="0" t="n">
        <f aca="false">-1+A1030*0.05</f>
        <v>0.25</v>
      </c>
      <c r="D1030" s="0" t="n">
        <f aca="false">-1+B1030*0.05</f>
        <v>-1</v>
      </c>
      <c r="E1030" s="0" t="n">
        <f aca="false">1</f>
        <v>1</v>
      </c>
      <c r="F1030" s="0" t="n">
        <f aca="false">C1030</f>
        <v>0.25</v>
      </c>
      <c r="G1030" s="0" t="n">
        <f aca="false">D1030</f>
        <v>-1</v>
      </c>
      <c r="H1030" s="0" t="n">
        <f aca="false">C1030*D1030</f>
        <v>-0.25</v>
      </c>
      <c r="I1030" s="0" t="n">
        <f aca="false">C1030*C1030</f>
        <v>0.0625</v>
      </c>
      <c r="J1030" s="0" t="n">
        <f aca="false">D1030*D1030</f>
        <v>1</v>
      </c>
      <c r="K1030" s="0" t="n">
        <f aca="false">SUMPRODUCT(E1030:J1030,_XtX!$B$53:$G$53)</f>
        <v>44.4885416666667</v>
      </c>
      <c r="L1030" s="0" t="n">
        <f aca="false">SUMPRODUCT(MMULT(E1030:J1030,_XtX!$B$44:$G$49),E1030:J1030)</f>
        <v>0.491536458333333</v>
      </c>
      <c r="M1030" s="0" t="n">
        <f aca="false">04_回帰ANOVA!$K$19*04_回帰ANOVA!$K$14*SQRT(1+L1030)</f>
        <v>1.65498289332813</v>
      </c>
      <c r="N1030" s="0" t="n">
        <f aca="false">K1030-M1030</f>
        <v>42.8335587733385</v>
      </c>
      <c r="O1030" s="0" t="n">
        <f aca="false">K1030+M1030</f>
        <v>46.1435245599948</v>
      </c>
      <c r="P1030" s="54" t="b">
        <f aca="false">AND(C1030&gt;=01_因子設定!$L$5-0.000000001,C1030&lt;=01_因子設定!$M$5+0.000000001,D1030&gt;=01_因子設定!$L$6-0.000000001,D1030&lt;=01_因子設定!$M$6+0.000000001,IF(01_因子設定!$B$20="Box-Behnken",C1030^2+D1030^2&lt;=2+0.000000001,TRUE()))</f>
        <v>1</v>
      </c>
      <c r="Q1030" s="55" t="n">
        <f aca="false">IF(P1030,IF(01_因子設定!$B$13="最大化",N1030-01_因子設定!$B$14,IF(01_因子設定!$B$13="最小化",01_因子設定!$B$15-O1030,MIN(N1030-01_因子設定!$B$14,01_因子設定!$B$15-O1030))),-1E+030)</f>
        <v>-3.66644122666145</v>
      </c>
      <c r="R1030" s="55" t="n">
        <f aca="false">IF(P1030,IF(01_因子設定!$B$13="最大化",K1030,IF(01_因子設定!$B$13="最小化",-K1030,-ABS(K1030-01_因子設定!$B$16))),-1E+030)</f>
        <v>44.4885416666667</v>
      </c>
      <c r="S1030" s="55" t="n">
        <f aca="false">Q1030+ROW()*0.000000001</f>
        <v>-3.66644019666146</v>
      </c>
      <c r="T1030" s="55" t="n">
        <f aca="false">R1030+ROW()*0.000000001</f>
        <v>44.4885426966667</v>
      </c>
    </row>
    <row r="1031" customFormat="false" ht="15" hidden="false" customHeight="false" outlineLevel="0" collapsed="false">
      <c r="A1031" s="0" t="n">
        <v>25</v>
      </c>
      <c r="B1031" s="0" t="n">
        <v>1</v>
      </c>
      <c r="C1031" s="0" t="n">
        <f aca="false">-1+A1031*0.05</f>
        <v>0.25</v>
      </c>
      <c r="D1031" s="0" t="n">
        <f aca="false">-1+B1031*0.05</f>
        <v>-0.95</v>
      </c>
      <c r="E1031" s="0" t="n">
        <f aca="false">1</f>
        <v>1</v>
      </c>
      <c r="F1031" s="0" t="n">
        <f aca="false">C1031</f>
        <v>0.25</v>
      </c>
      <c r="G1031" s="0" t="n">
        <f aca="false">D1031</f>
        <v>-0.95</v>
      </c>
      <c r="H1031" s="0" t="n">
        <f aca="false">C1031*D1031</f>
        <v>-0.2375</v>
      </c>
      <c r="I1031" s="0" t="n">
        <f aca="false">C1031*C1031</f>
        <v>0.0625</v>
      </c>
      <c r="J1031" s="0" t="n">
        <f aca="false">D1031*D1031</f>
        <v>0.9025</v>
      </c>
      <c r="K1031" s="0" t="n">
        <f aca="false">SUMPRODUCT(E1031:J1031,_XtX!$B$53:$G$53)</f>
        <v>44.7580567528736</v>
      </c>
      <c r="L1031" s="0" t="n">
        <f aca="false">SUMPRODUCT(MMULT(E1031:J1031,_XtX!$B$44:$G$49),E1031:J1031)</f>
        <v>0.428454938936782</v>
      </c>
      <c r="M1031" s="0" t="n">
        <f aca="false">04_回帰ANOVA!$K$19*04_回帰ANOVA!$K$14*SQRT(1+L1031)</f>
        <v>1.6196077446283</v>
      </c>
      <c r="N1031" s="0" t="n">
        <f aca="false">K1031-M1031</f>
        <v>43.1384490082453</v>
      </c>
      <c r="O1031" s="0" t="n">
        <f aca="false">K1031+M1031</f>
        <v>46.3776644975019</v>
      </c>
      <c r="P1031" s="54" t="b">
        <f aca="false">AND(C1031&gt;=01_因子設定!$L$5-0.000000001,C1031&lt;=01_因子設定!$M$5+0.000000001,D1031&gt;=01_因子設定!$L$6-0.000000001,D1031&lt;=01_因子設定!$M$6+0.000000001,IF(01_因子設定!$B$20="Box-Behnken",C1031^2+D1031^2&lt;=2+0.000000001,TRUE()))</f>
        <v>1</v>
      </c>
      <c r="Q1031" s="55" t="n">
        <f aca="false">IF(P1031,IF(01_因子設定!$B$13="最大化",N1031-01_因子設定!$B$14,IF(01_因子設定!$B$13="最小化",01_因子設定!$B$15-O1031,MIN(N1031-01_因子設定!$B$14,01_因子設定!$B$15-O1031))),-1E+030)</f>
        <v>-3.36155099175473</v>
      </c>
      <c r="R1031" s="55" t="n">
        <f aca="false">IF(P1031,IF(01_因子設定!$B$13="最大化",K1031,IF(01_因子設定!$B$13="最小化",-K1031,-ABS(K1031-01_因子設定!$B$16))),-1E+030)</f>
        <v>44.7580567528736</v>
      </c>
      <c r="S1031" s="55" t="n">
        <f aca="false">Q1031+ROW()*0.000000001</f>
        <v>-3.36154996075473</v>
      </c>
      <c r="T1031" s="55" t="n">
        <f aca="false">R1031+ROW()*0.000000001</f>
        <v>44.7580577838736</v>
      </c>
    </row>
    <row r="1032" customFormat="false" ht="15" hidden="false" customHeight="false" outlineLevel="0" collapsed="false">
      <c r="A1032" s="0" t="n">
        <v>25</v>
      </c>
      <c r="B1032" s="0" t="n">
        <v>2</v>
      </c>
      <c r="C1032" s="0" t="n">
        <f aca="false">-1+A1032*0.05</f>
        <v>0.25</v>
      </c>
      <c r="D1032" s="0" t="n">
        <f aca="false">-1+B1032*0.05</f>
        <v>-0.9</v>
      </c>
      <c r="E1032" s="0" t="n">
        <f aca="false">1</f>
        <v>1</v>
      </c>
      <c r="F1032" s="0" t="n">
        <f aca="false">C1032</f>
        <v>0.25</v>
      </c>
      <c r="G1032" s="0" t="n">
        <f aca="false">D1032</f>
        <v>-0.9</v>
      </c>
      <c r="H1032" s="0" t="n">
        <f aca="false">C1032*D1032</f>
        <v>-0.225</v>
      </c>
      <c r="I1032" s="0" t="n">
        <f aca="false">C1032*C1032</f>
        <v>0.0625</v>
      </c>
      <c r="J1032" s="0" t="n">
        <f aca="false">D1032*D1032</f>
        <v>0.81</v>
      </c>
      <c r="K1032" s="0" t="n">
        <f aca="false">SUMPRODUCT(E1032:J1032,_XtX!$B$53:$G$53)</f>
        <v>45.0198563218391</v>
      </c>
      <c r="L1032" s="0" t="n">
        <f aca="false">SUMPRODUCT(MMULT(E1032:J1032,_XtX!$B$44:$G$49),E1032:J1032)</f>
        <v>0.374971731321839</v>
      </c>
      <c r="M1032" s="0" t="n">
        <f aca="false">04_回帰ANOVA!$K$19*04_回帰ANOVA!$K$14*SQRT(1+L1032)</f>
        <v>1.58899838942971</v>
      </c>
      <c r="N1032" s="0" t="n">
        <f aca="false">K1032-M1032</f>
        <v>43.4308579324094</v>
      </c>
      <c r="O1032" s="0" t="n">
        <f aca="false">K1032+M1032</f>
        <v>46.6088547112688</v>
      </c>
      <c r="P1032" s="54" t="b">
        <f aca="false">AND(C1032&gt;=01_因子設定!$L$5-0.000000001,C1032&lt;=01_因子設定!$M$5+0.000000001,D1032&gt;=01_因子設定!$L$6-0.000000001,D1032&lt;=01_因子設定!$M$6+0.000000001,IF(01_因子設定!$B$20="Box-Behnken",C1032^2+D1032^2&lt;=2+0.000000001,TRUE()))</f>
        <v>1</v>
      </c>
      <c r="Q1032" s="55" t="n">
        <f aca="false">IF(P1032,IF(01_因子設定!$B$13="最大化",N1032-01_因子設定!$B$14,IF(01_因子設定!$B$13="最小化",01_因子設定!$B$15-O1032,MIN(N1032-01_因子設定!$B$14,01_因子設定!$B$15-O1032))),-1E+030)</f>
        <v>-3.06914206759062</v>
      </c>
      <c r="R1032" s="55" t="n">
        <f aca="false">IF(P1032,IF(01_因子設定!$B$13="最大化",K1032,IF(01_因子設定!$B$13="最小化",-K1032,-ABS(K1032-01_因子設定!$B$16))),-1E+030)</f>
        <v>45.0198563218391</v>
      </c>
      <c r="S1032" s="55" t="n">
        <f aca="false">Q1032+ROW()*0.000000001</f>
        <v>-3.06914103559062</v>
      </c>
      <c r="T1032" s="55" t="n">
        <f aca="false">R1032+ROW()*0.000000001</f>
        <v>45.0198573538391</v>
      </c>
    </row>
    <row r="1033" customFormat="false" ht="15" hidden="false" customHeight="false" outlineLevel="0" collapsed="false">
      <c r="A1033" s="0" t="n">
        <v>25</v>
      </c>
      <c r="B1033" s="0" t="n">
        <v>3</v>
      </c>
      <c r="C1033" s="0" t="n">
        <f aca="false">-1+A1033*0.05</f>
        <v>0.25</v>
      </c>
      <c r="D1033" s="0" t="n">
        <f aca="false">-1+B1033*0.05</f>
        <v>-0.85</v>
      </c>
      <c r="E1033" s="0" t="n">
        <f aca="false">1</f>
        <v>1</v>
      </c>
      <c r="F1033" s="0" t="n">
        <f aca="false">C1033</f>
        <v>0.25</v>
      </c>
      <c r="G1033" s="0" t="n">
        <f aca="false">D1033</f>
        <v>-0.85</v>
      </c>
      <c r="H1033" s="0" t="n">
        <f aca="false">C1033*D1033</f>
        <v>-0.2125</v>
      </c>
      <c r="I1033" s="0" t="n">
        <f aca="false">C1033*C1033</f>
        <v>0.0625</v>
      </c>
      <c r="J1033" s="0" t="n">
        <f aca="false">D1033*D1033</f>
        <v>0.7225</v>
      </c>
      <c r="K1033" s="0" t="n">
        <f aca="false">SUMPRODUCT(E1033:J1033,_XtX!$B$53:$G$53)</f>
        <v>45.2739403735632</v>
      </c>
      <c r="L1033" s="0" t="n">
        <f aca="false">SUMPRODUCT(MMULT(E1033:J1033,_XtX!$B$44:$G$49),E1033:J1033)</f>
        <v>0.330082094109195</v>
      </c>
      <c r="M1033" s="0" t="n">
        <f aca="false">04_回帰ANOVA!$K$19*04_回帰ANOVA!$K$14*SQRT(1+L1033)</f>
        <v>1.56284459741243</v>
      </c>
      <c r="N1033" s="0" t="n">
        <f aca="false">K1033-M1033</f>
        <v>43.7110957761508</v>
      </c>
      <c r="O1033" s="0" t="n">
        <f aca="false">K1033+M1033</f>
        <v>46.8367849709756</v>
      </c>
      <c r="P1033" s="54" t="b">
        <f aca="false">AND(C1033&gt;=01_因子設定!$L$5-0.000000001,C1033&lt;=01_因子設定!$M$5+0.000000001,D1033&gt;=01_因子設定!$L$6-0.000000001,D1033&lt;=01_因子設定!$M$6+0.000000001,IF(01_因子設定!$B$20="Box-Behnken",C1033^2+D1033^2&lt;=2+0.000000001,TRUE()))</f>
        <v>1</v>
      </c>
      <c r="Q1033" s="55" t="n">
        <f aca="false">IF(P1033,IF(01_因子設定!$B$13="最大化",N1033-01_因子設定!$B$14,IF(01_因子設定!$B$13="最小化",01_因子設定!$B$15-O1033,MIN(N1033-01_因子設定!$B$14,01_因子設定!$B$15-O1033))),-1E+030)</f>
        <v>-2.7889042238492</v>
      </c>
      <c r="R1033" s="55" t="n">
        <f aca="false">IF(P1033,IF(01_因子設定!$B$13="最大化",K1033,IF(01_因子設定!$B$13="最小化",-K1033,-ABS(K1033-01_因子設定!$B$16))),-1E+030)</f>
        <v>45.2739403735632</v>
      </c>
      <c r="S1033" s="55" t="n">
        <f aca="false">Q1033+ROW()*0.000000001</f>
        <v>-2.7889031908492</v>
      </c>
      <c r="T1033" s="55" t="n">
        <f aca="false">R1033+ROW()*0.000000001</f>
        <v>45.2739414065632</v>
      </c>
    </row>
    <row r="1034" customFormat="false" ht="15" hidden="false" customHeight="false" outlineLevel="0" collapsed="false">
      <c r="A1034" s="0" t="n">
        <v>25</v>
      </c>
      <c r="B1034" s="0" t="n">
        <v>4</v>
      </c>
      <c r="C1034" s="0" t="n">
        <f aca="false">-1+A1034*0.05</f>
        <v>0.25</v>
      </c>
      <c r="D1034" s="0" t="n">
        <f aca="false">-1+B1034*0.05</f>
        <v>-0.8</v>
      </c>
      <c r="E1034" s="0" t="n">
        <f aca="false">1</f>
        <v>1</v>
      </c>
      <c r="F1034" s="0" t="n">
        <f aca="false">C1034</f>
        <v>0.25</v>
      </c>
      <c r="G1034" s="0" t="n">
        <f aca="false">D1034</f>
        <v>-0.8</v>
      </c>
      <c r="H1034" s="0" t="n">
        <f aca="false">C1034*D1034</f>
        <v>-0.2</v>
      </c>
      <c r="I1034" s="0" t="n">
        <f aca="false">C1034*C1034</f>
        <v>0.0625</v>
      </c>
      <c r="J1034" s="0" t="n">
        <f aca="false">D1034*D1034</f>
        <v>0.64</v>
      </c>
      <c r="K1034" s="0" t="n">
        <f aca="false">SUMPRODUCT(E1034:J1034,_XtX!$B$53:$G$53)</f>
        <v>45.520308908046</v>
      </c>
      <c r="L1034" s="0" t="n">
        <f aca="false">SUMPRODUCT(MMULT(E1034:J1034,_XtX!$B$44:$G$49),E1034:J1034)</f>
        <v>0.292835596264368</v>
      </c>
      <c r="M1034" s="0" t="n">
        <f aca="false">04_回帰ANOVA!$K$19*04_回帰ANOVA!$K$14*SQRT(1+L1034)</f>
        <v>1.54080692946421</v>
      </c>
      <c r="N1034" s="0" t="n">
        <f aca="false">K1034-M1034</f>
        <v>43.9795019785818</v>
      </c>
      <c r="O1034" s="0" t="n">
        <f aca="false">K1034+M1034</f>
        <v>47.0611158375102</v>
      </c>
      <c r="P1034" s="54" t="b">
        <f aca="false">AND(C1034&gt;=01_因子設定!$L$5-0.000000001,C1034&lt;=01_因子設定!$M$5+0.000000001,D1034&gt;=01_因子設定!$L$6-0.000000001,D1034&lt;=01_因子設定!$M$6+0.000000001,IF(01_因子設定!$B$20="Box-Behnken",C1034^2+D1034^2&lt;=2+0.000000001,TRUE()))</f>
        <v>1</v>
      </c>
      <c r="Q1034" s="55" t="n">
        <f aca="false">IF(P1034,IF(01_因子設定!$B$13="最大化",N1034-01_因子設定!$B$14,IF(01_因子設定!$B$13="最小化",01_因子設定!$B$15-O1034,MIN(N1034-01_因子設定!$B$14,01_因子設定!$B$15-O1034))),-1E+030)</f>
        <v>-2.52049802141823</v>
      </c>
      <c r="R1034" s="55" t="n">
        <f aca="false">IF(P1034,IF(01_因子設定!$B$13="最大化",K1034,IF(01_因子設定!$B$13="最小化",-K1034,-ABS(K1034-01_因子設定!$B$16))),-1E+030)</f>
        <v>45.520308908046</v>
      </c>
      <c r="S1034" s="55" t="n">
        <f aca="false">Q1034+ROW()*0.000000001</f>
        <v>-2.52049698741823</v>
      </c>
      <c r="T1034" s="55" t="n">
        <f aca="false">R1034+ROW()*0.000000001</f>
        <v>45.520309942046</v>
      </c>
    </row>
    <row r="1035" customFormat="false" ht="15" hidden="false" customHeight="false" outlineLevel="0" collapsed="false">
      <c r="A1035" s="0" t="n">
        <v>25</v>
      </c>
      <c r="B1035" s="0" t="n">
        <v>5</v>
      </c>
      <c r="C1035" s="0" t="n">
        <f aca="false">-1+A1035*0.05</f>
        <v>0.25</v>
      </c>
      <c r="D1035" s="0" t="n">
        <f aca="false">-1+B1035*0.05</f>
        <v>-0.75</v>
      </c>
      <c r="E1035" s="0" t="n">
        <f aca="false">1</f>
        <v>1</v>
      </c>
      <c r="F1035" s="0" t="n">
        <f aca="false">C1035</f>
        <v>0.25</v>
      </c>
      <c r="G1035" s="0" t="n">
        <f aca="false">D1035</f>
        <v>-0.75</v>
      </c>
      <c r="H1035" s="0" t="n">
        <f aca="false">C1035*D1035</f>
        <v>-0.1875</v>
      </c>
      <c r="I1035" s="0" t="n">
        <f aca="false">C1035*C1035</f>
        <v>0.0625</v>
      </c>
      <c r="J1035" s="0" t="n">
        <f aca="false">D1035*D1035</f>
        <v>0.5625</v>
      </c>
      <c r="K1035" s="0" t="n">
        <f aca="false">SUMPRODUCT(E1035:J1035,_XtX!$B$53:$G$53)</f>
        <v>45.7589619252874</v>
      </c>
      <c r="L1035" s="0" t="n">
        <f aca="false">SUMPRODUCT(MMULT(E1035:J1035,_XtX!$B$44:$G$49),E1035:J1035)</f>
        <v>0.262336117097701</v>
      </c>
      <c r="M1035" s="0" t="n">
        <f aca="false">04_回帰ANOVA!$K$19*04_回帰ANOVA!$K$14*SQRT(1+L1035)</f>
        <v>1.5225237514809</v>
      </c>
      <c r="N1035" s="0" t="n">
        <f aca="false">K1035-M1035</f>
        <v>44.2364381738065</v>
      </c>
      <c r="O1035" s="0" t="n">
        <f aca="false">K1035+M1035</f>
        <v>47.2814856767683</v>
      </c>
      <c r="P1035" s="54" t="b">
        <f aca="false">AND(C1035&gt;=01_因子設定!$L$5-0.000000001,C1035&lt;=01_因子設定!$M$5+0.000000001,D1035&gt;=01_因子設定!$L$6-0.000000001,D1035&lt;=01_因子設定!$M$6+0.000000001,IF(01_因子設定!$B$20="Box-Behnken",C1035^2+D1035^2&lt;=2+0.000000001,TRUE()))</f>
        <v>1</v>
      </c>
      <c r="Q1035" s="55" t="n">
        <f aca="false">IF(P1035,IF(01_因子設定!$B$13="最大化",N1035-01_因子設定!$B$14,IF(01_因子設定!$B$13="最小化",01_因子設定!$B$15-O1035,MIN(N1035-01_因子設定!$B$14,01_因子設定!$B$15-O1035))),-1E+030)</f>
        <v>-2.26356182619355</v>
      </c>
      <c r="R1035" s="55" t="n">
        <f aca="false">IF(P1035,IF(01_因子設定!$B$13="最大化",K1035,IF(01_因子設定!$B$13="最小化",-K1035,-ABS(K1035-01_因子設定!$B$16))),-1E+030)</f>
        <v>45.7589619252874</v>
      </c>
      <c r="S1035" s="55" t="n">
        <f aca="false">Q1035+ROW()*0.000000001</f>
        <v>-2.26356079119355</v>
      </c>
      <c r="T1035" s="55" t="n">
        <f aca="false">R1035+ROW()*0.000000001</f>
        <v>45.7589629602874</v>
      </c>
    </row>
    <row r="1036" customFormat="false" ht="15" hidden="false" customHeight="false" outlineLevel="0" collapsed="false">
      <c r="A1036" s="0" t="n">
        <v>25</v>
      </c>
      <c r="B1036" s="0" t="n">
        <v>6</v>
      </c>
      <c r="C1036" s="0" t="n">
        <f aca="false">-1+A1036*0.05</f>
        <v>0.25</v>
      </c>
      <c r="D1036" s="0" t="n">
        <f aca="false">-1+B1036*0.05</f>
        <v>-0.7</v>
      </c>
      <c r="E1036" s="0" t="n">
        <f aca="false">1</f>
        <v>1</v>
      </c>
      <c r="F1036" s="0" t="n">
        <f aca="false">C1036</f>
        <v>0.25</v>
      </c>
      <c r="G1036" s="0" t="n">
        <f aca="false">D1036</f>
        <v>-0.7</v>
      </c>
      <c r="H1036" s="0" t="n">
        <f aca="false">C1036*D1036</f>
        <v>-0.175</v>
      </c>
      <c r="I1036" s="0" t="n">
        <f aca="false">C1036*C1036</f>
        <v>0.0625</v>
      </c>
      <c r="J1036" s="0" t="n">
        <f aca="false">D1036*D1036</f>
        <v>0.49</v>
      </c>
      <c r="K1036" s="0" t="n">
        <f aca="false">SUMPRODUCT(E1036:J1036,_XtX!$B$53:$G$53)</f>
        <v>45.9898994252874</v>
      </c>
      <c r="L1036" s="0" t="n">
        <f aca="false">SUMPRODUCT(MMULT(E1036:J1036,_XtX!$B$44:$G$49),E1036:J1036)</f>
        <v>0.237741846264368</v>
      </c>
      <c r="M1036" s="0" t="n">
        <f aca="false">04_回帰ANOVA!$K$19*04_回帰ANOVA!$K$14*SQRT(1+L1036)</f>
        <v>1.50761902524781</v>
      </c>
      <c r="N1036" s="0" t="n">
        <f aca="false">K1036-M1036</f>
        <v>44.4822804000395</v>
      </c>
      <c r="O1036" s="0" t="n">
        <f aca="false">K1036+M1036</f>
        <v>47.4975184505352</v>
      </c>
      <c r="P1036" s="54" t="b">
        <f aca="false">AND(C1036&gt;=01_因子設定!$L$5-0.000000001,C1036&lt;=01_因子設定!$M$5+0.000000001,D1036&gt;=01_因子設定!$L$6-0.000000001,D1036&lt;=01_因子設定!$M$6+0.000000001,IF(01_因子設定!$B$20="Box-Behnken",C1036^2+D1036^2&lt;=2+0.000000001,TRUE()))</f>
        <v>1</v>
      </c>
      <c r="Q1036" s="55" t="n">
        <f aca="false">IF(P1036,IF(01_因子設定!$B$13="最大化",N1036-01_因子設定!$B$14,IF(01_因子設定!$B$13="最小化",01_因子設定!$B$15-O1036,MIN(N1036-01_因子設定!$B$14,01_因子設定!$B$15-O1036))),-1E+030)</f>
        <v>-2.01771959996046</v>
      </c>
      <c r="R1036" s="55" t="n">
        <f aca="false">IF(P1036,IF(01_因子設定!$B$13="最大化",K1036,IF(01_因子設定!$B$13="最小化",-K1036,-ABS(K1036-01_因子設定!$B$16))),-1E+030)</f>
        <v>45.9898994252874</v>
      </c>
      <c r="S1036" s="55" t="n">
        <f aca="false">Q1036+ROW()*0.000000001</f>
        <v>-2.01771856396046</v>
      </c>
      <c r="T1036" s="55" t="n">
        <f aca="false">R1036+ROW()*0.000000001</f>
        <v>45.9899004612874</v>
      </c>
    </row>
    <row r="1037" customFormat="false" ht="15" hidden="false" customHeight="false" outlineLevel="0" collapsed="false">
      <c r="A1037" s="0" t="n">
        <v>25</v>
      </c>
      <c r="B1037" s="0" t="n">
        <v>7</v>
      </c>
      <c r="C1037" s="0" t="n">
        <f aca="false">-1+A1037*0.05</f>
        <v>0.25</v>
      </c>
      <c r="D1037" s="0" t="n">
        <f aca="false">-1+B1037*0.05</f>
        <v>-0.65</v>
      </c>
      <c r="E1037" s="0" t="n">
        <f aca="false">1</f>
        <v>1</v>
      </c>
      <c r="F1037" s="0" t="n">
        <f aca="false">C1037</f>
        <v>0.25</v>
      </c>
      <c r="G1037" s="0" t="n">
        <f aca="false">D1037</f>
        <v>-0.65</v>
      </c>
      <c r="H1037" s="0" t="n">
        <f aca="false">C1037*D1037</f>
        <v>-0.1625</v>
      </c>
      <c r="I1037" s="0" t="n">
        <f aca="false">C1037*C1037</f>
        <v>0.0625</v>
      </c>
      <c r="J1037" s="0" t="n">
        <f aca="false">D1037*D1037</f>
        <v>0.4225</v>
      </c>
      <c r="K1037" s="0" t="n">
        <f aca="false">SUMPRODUCT(E1037:J1037,_XtX!$B$53:$G$53)</f>
        <v>46.213121408046</v>
      </c>
      <c r="L1037" s="0" t="n">
        <f aca="false">SUMPRODUCT(MMULT(E1037:J1037,_XtX!$B$44:$G$49),E1037:J1037)</f>
        <v>0.218265283764368</v>
      </c>
      <c r="M1037" s="0" t="n">
        <f aca="false">04_回帰ANOVA!$K$19*04_回帰ANOVA!$K$14*SQRT(1+L1037)</f>
        <v>1.49571037649821</v>
      </c>
      <c r="N1037" s="0" t="n">
        <f aca="false">K1037-M1037</f>
        <v>44.7174110315478</v>
      </c>
      <c r="O1037" s="0" t="n">
        <f aca="false">K1037+M1037</f>
        <v>47.7088317845442</v>
      </c>
      <c r="P1037" s="54" t="b">
        <f aca="false">AND(C1037&gt;=01_因子設定!$L$5-0.000000001,C1037&lt;=01_因子設定!$M$5+0.000000001,D1037&gt;=01_因子設定!$L$6-0.000000001,D1037&lt;=01_因子設定!$M$6+0.000000001,IF(01_因子設定!$B$20="Box-Behnken",C1037^2+D1037^2&lt;=2+0.000000001,TRUE()))</f>
        <v>1</v>
      </c>
      <c r="Q1037" s="55" t="n">
        <f aca="false">IF(P1037,IF(01_因子設定!$B$13="最大化",N1037-01_因子設定!$B$14,IF(01_因子設定!$B$13="最小化",01_因子設定!$B$15-O1037,MIN(N1037-01_因子設定!$B$14,01_因子設定!$B$15-O1037))),-1E+030)</f>
        <v>-1.78258896845223</v>
      </c>
      <c r="R1037" s="55" t="n">
        <f aca="false">IF(P1037,IF(01_因子設定!$B$13="最大化",K1037,IF(01_因子設定!$B$13="最小化",-K1037,-ABS(K1037-01_因子設定!$B$16))),-1E+030)</f>
        <v>46.213121408046</v>
      </c>
      <c r="S1037" s="55" t="n">
        <f aca="false">Q1037+ROW()*0.000000001</f>
        <v>-1.78258793145223</v>
      </c>
      <c r="T1037" s="55" t="n">
        <f aca="false">R1037+ROW()*0.000000001</f>
        <v>46.213122445046</v>
      </c>
    </row>
    <row r="1038" customFormat="false" ht="15" hidden="false" customHeight="false" outlineLevel="0" collapsed="false">
      <c r="A1038" s="0" t="n">
        <v>25</v>
      </c>
      <c r="B1038" s="0" t="n">
        <v>8</v>
      </c>
      <c r="C1038" s="0" t="n">
        <f aca="false">-1+A1038*0.05</f>
        <v>0.25</v>
      </c>
      <c r="D1038" s="0" t="n">
        <f aca="false">-1+B1038*0.05</f>
        <v>-0.6</v>
      </c>
      <c r="E1038" s="0" t="n">
        <f aca="false">1</f>
        <v>1</v>
      </c>
      <c r="F1038" s="0" t="n">
        <f aca="false">C1038</f>
        <v>0.25</v>
      </c>
      <c r="G1038" s="0" t="n">
        <f aca="false">D1038</f>
        <v>-0.6</v>
      </c>
      <c r="H1038" s="0" t="n">
        <f aca="false">C1038*D1038</f>
        <v>-0.15</v>
      </c>
      <c r="I1038" s="0" t="n">
        <f aca="false">C1038*C1038</f>
        <v>0.0625</v>
      </c>
      <c r="J1038" s="0" t="n">
        <f aca="false">D1038*D1038</f>
        <v>0.36</v>
      </c>
      <c r="K1038" s="0" t="n">
        <f aca="false">SUMPRODUCT(E1038:J1038,_XtX!$B$53:$G$53)</f>
        <v>46.4286278735632</v>
      </c>
      <c r="L1038" s="0" t="n">
        <f aca="false">SUMPRODUCT(MMULT(E1038:J1038,_XtX!$B$44:$G$49),E1038:J1038)</f>
        <v>0.203173239942529</v>
      </c>
      <c r="M1038" s="0" t="n">
        <f aca="false">04_回帰ANOVA!$K$19*04_回帰ANOVA!$K$14*SQRT(1+L1038)</f>
        <v>1.48641696821649</v>
      </c>
      <c r="N1038" s="0" t="n">
        <f aca="false">K1038-M1038</f>
        <v>44.9422109053467</v>
      </c>
      <c r="O1038" s="0" t="n">
        <f aca="false">K1038+M1038</f>
        <v>47.9150448417797</v>
      </c>
      <c r="P1038" s="54" t="b">
        <f aca="false">AND(C1038&gt;=01_因子設定!$L$5-0.000000001,C1038&lt;=01_因子設定!$M$5+0.000000001,D1038&gt;=01_因子設定!$L$6-0.000000001,D1038&lt;=01_因子設定!$M$6+0.000000001,IF(01_因子設定!$B$20="Box-Behnken",C1038^2+D1038^2&lt;=2+0.000000001,TRUE()))</f>
        <v>1</v>
      </c>
      <c r="Q1038" s="55" t="n">
        <f aca="false">IF(P1038,IF(01_因子設定!$B$13="最大化",N1038-01_因子設定!$B$14,IF(01_因子設定!$B$13="最小化",01_因子設定!$B$15-O1038,MIN(N1038-01_因子設定!$B$14,01_因子設定!$B$15-O1038))),-1E+030)</f>
        <v>-1.55778909465327</v>
      </c>
      <c r="R1038" s="55" t="n">
        <f aca="false">IF(P1038,IF(01_因子設定!$B$13="最大化",K1038,IF(01_因子設定!$B$13="最小化",-K1038,-ABS(K1038-01_因子設定!$B$16))),-1E+030)</f>
        <v>46.4286278735632</v>
      </c>
      <c r="S1038" s="55" t="n">
        <f aca="false">Q1038+ROW()*0.000000001</f>
        <v>-1.55778805665327</v>
      </c>
      <c r="T1038" s="55" t="n">
        <f aca="false">R1038+ROW()*0.000000001</f>
        <v>46.4286289115632</v>
      </c>
    </row>
    <row r="1039" customFormat="false" ht="15" hidden="false" customHeight="false" outlineLevel="0" collapsed="false">
      <c r="A1039" s="0" t="n">
        <v>25</v>
      </c>
      <c r="B1039" s="0" t="n">
        <v>9</v>
      </c>
      <c r="C1039" s="0" t="n">
        <f aca="false">-1+A1039*0.05</f>
        <v>0.25</v>
      </c>
      <c r="D1039" s="0" t="n">
        <f aca="false">-1+B1039*0.05</f>
        <v>-0.55</v>
      </c>
      <c r="E1039" s="0" t="n">
        <f aca="false">1</f>
        <v>1</v>
      </c>
      <c r="F1039" s="0" t="n">
        <f aca="false">C1039</f>
        <v>0.25</v>
      </c>
      <c r="G1039" s="0" t="n">
        <f aca="false">D1039</f>
        <v>-0.55</v>
      </c>
      <c r="H1039" s="0" t="n">
        <f aca="false">C1039*D1039</f>
        <v>-0.1375</v>
      </c>
      <c r="I1039" s="0" t="n">
        <f aca="false">C1039*C1039</f>
        <v>0.0625</v>
      </c>
      <c r="J1039" s="0" t="n">
        <f aca="false">D1039*D1039</f>
        <v>0.3025</v>
      </c>
      <c r="K1039" s="0" t="n">
        <f aca="false">SUMPRODUCT(E1039:J1039,_XtX!$B$53:$G$53)</f>
        <v>46.6364188218391</v>
      </c>
      <c r="L1039" s="0" t="n">
        <f aca="false">SUMPRODUCT(MMULT(E1039:J1039,_XtX!$B$44:$G$49),E1039:J1039)</f>
        <v>0.191786835488506</v>
      </c>
      <c r="M1039" s="0" t="n">
        <f aca="false">04_回帰ANOVA!$K$19*04_回帰ANOVA!$K$14*SQRT(1+L1039)</f>
        <v>1.47936678718445</v>
      </c>
      <c r="N1039" s="0" t="n">
        <f aca="false">K1039-M1039</f>
        <v>45.1570520346546</v>
      </c>
      <c r="O1039" s="0" t="n">
        <f aca="false">K1039+M1039</f>
        <v>48.1157856090235</v>
      </c>
      <c r="P1039" s="54" t="b">
        <f aca="false">AND(C1039&gt;=01_因子設定!$L$5-0.000000001,C1039&lt;=01_因子設定!$M$5+0.000000001,D1039&gt;=01_因子設定!$L$6-0.000000001,D1039&lt;=01_因子設定!$M$6+0.000000001,IF(01_因子設定!$B$20="Box-Behnken",C1039^2+D1039^2&lt;=2+0.000000001,TRUE()))</f>
        <v>1</v>
      </c>
      <c r="Q1039" s="55" t="n">
        <f aca="false">IF(P1039,IF(01_因子設定!$B$13="最大化",N1039-01_因子設定!$B$14,IF(01_因子設定!$B$13="最小化",01_因子設定!$B$15-O1039,MIN(N1039-01_因子設定!$B$14,01_因子設定!$B$15-O1039))),-1E+030)</f>
        <v>-1.34294796534537</v>
      </c>
      <c r="R1039" s="55" t="n">
        <f aca="false">IF(P1039,IF(01_因子設定!$B$13="最大化",K1039,IF(01_因子設定!$B$13="最小化",-K1039,-ABS(K1039-01_因子設定!$B$16))),-1E+030)</f>
        <v>46.6364188218391</v>
      </c>
      <c r="S1039" s="55" t="n">
        <f aca="false">Q1039+ROW()*0.000000001</f>
        <v>-1.34294692634537</v>
      </c>
      <c r="T1039" s="55" t="n">
        <f aca="false">R1039+ROW()*0.000000001</f>
        <v>46.6364198608391</v>
      </c>
    </row>
    <row r="1040" customFormat="false" ht="15" hidden="false" customHeight="false" outlineLevel="0" collapsed="false">
      <c r="A1040" s="0" t="n">
        <v>25</v>
      </c>
      <c r="B1040" s="0" t="n">
        <v>10</v>
      </c>
      <c r="C1040" s="0" t="n">
        <f aca="false">-1+A1040*0.05</f>
        <v>0.25</v>
      </c>
      <c r="D1040" s="0" t="n">
        <f aca="false">-1+B1040*0.05</f>
        <v>-0.5</v>
      </c>
      <c r="E1040" s="0" t="n">
        <f aca="false">1</f>
        <v>1</v>
      </c>
      <c r="F1040" s="0" t="n">
        <f aca="false">C1040</f>
        <v>0.25</v>
      </c>
      <c r="G1040" s="0" t="n">
        <f aca="false">D1040</f>
        <v>-0.5</v>
      </c>
      <c r="H1040" s="0" t="n">
        <f aca="false">C1040*D1040</f>
        <v>-0.125</v>
      </c>
      <c r="I1040" s="0" t="n">
        <f aca="false">C1040*C1040</f>
        <v>0.0625</v>
      </c>
      <c r="J1040" s="0" t="n">
        <f aca="false">D1040*D1040</f>
        <v>0.25</v>
      </c>
      <c r="K1040" s="0" t="n">
        <f aca="false">SUMPRODUCT(E1040:J1040,_XtX!$B$53:$G$53)</f>
        <v>46.8364942528736</v>
      </c>
      <c r="L1040" s="0" t="n">
        <f aca="false">SUMPRODUCT(MMULT(E1040:J1040,_XtX!$B$44:$G$49),E1040:J1040)</f>
        <v>0.183481501436782</v>
      </c>
      <c r="M1040" s="0" t="n">
        <f aca="false">04_回帰ANOVA!$K$19*04_回帰ANOVA!$K$14*SQRT(1+L1040)</f>
        <v>1.47420306339561</v>
      </c>
      <c r="N1040" s="0" t="n">
        <f aca="false">K1040-M1040</f>
        <v>45.362291189478</v>
      </c>
      <c r="O1040" s="0" t="n">
        <f aca="false">K1040+M1040</f>
        <v>48.3106973162692</v>
      </c>
      <c r="P1040" s="54" t="b">
        <f aca="false">AND(C1040&gt;=01_因子設定!$L$5-0.000000001,C1040&lt;=01_因子設定!$M$5+0.000000001,D1040&gt;=01_因子設定!$L$6-0.000000001,D1040&lt;=01_因子設定!$M$6+0.000000001,IF(01_因子設定!$B$20="Box-Behnken",C1040^2+D1040^2&lt;=2+0.000000001,TRUE()))</f>
        <v>1</v>
      </c>
      <c r="Q1040" s="55" t="n">
        <f aca="false">IF(P1040,IF(01_因子設定!$B$13="最大化",N1040-01_因子設定!$B$14,IF(01_因子設定!$B$13="最小化",01_因子設定!$B$15-O1040,MIN(N1040-01_因子設定!$B$14,01_因子設定!$B$15-O1040))),-1E+030)</f>
        <v>-1.13770881052204</v>
      </c>
      <c r="R1040" s="55" t="n">
        <f aca="false">IF(P1040,IF(01_因子設定!$B$13="最大化",K1040,IF(01_因子設定!$B$13="最小化",-K1040,-ABS(K1040-01_因子設定!$B$16))),-1E+030)</f>
        <v>46.8364942528736</v>
      </c>
      <c r="S1040" s="55" t="n">
        <f aca="false">Q1040+ROW()*0.000000001</f>
        <v>-1.13770777052204</v>
      </c>
      <c r="T1040" s="55" t="n">
        <f aca="false">R1040+ROW()*0.000000001</f>
        <v>46.8364952928736</v>
      </c>
    </row>
    <row r="1041" customFormat="false" ht="15" hidden="false" customHeight="false" outlineLevel="0" collapsed="false">
      <c r="A1041" s="0" t="n">
        <v>25</v>
      </c>
      <c r="B1041" s="0" t="n">
        <v>11</v>
      </c>
      <c r="C1041" s="0" t="n">
        <f aca="false">-1+A1041*0.05</f>
        <v>0.25</v>
      </c>
      <c r="D1041" s="0" t="n">
        <f aca="false">-1+B1041*0.05</f>
        <v>-0.45</v>
      </c>
      <c r="E1041" s="0" t="n">
        <f aca="false">1</f>
        <v>1</v>
      </c>
      <c r="F1041" s="0" t="n">
        <f aca="false">C1041</f>
        <v>0.25</v>
      </c>
      <c r="G1041" s="0" t="n">
        <f aca="false">D1041</f>
        <v>-0.45</v>
      </c>
      <c r="H1041" s="0" t="n">
        <f aca="false">C1041*D1041</f>
        <v>-0.1125</v>
      </c>
      <c r="I1041" s="0" t="n">
        <f aca="false">C1041*C1041</f>
        <v>0.0625</v>
      </c>
      <c r="J1041" s="0" t="n">
        <f aca="false">D1041*D1041</f>
        <v>0.2025</v>
      </c>
      <c r="K1041" s="0" t="n">
        <f aca="false">SUMPRODUCT(E1041:J1041,_XtX!$B$53:$G$53)</f>
        <v>47.0288541666667</v>
      </c>
      <c r="L1041" s="0" t="n">
        <f aca="false">SUMPRODUCT(MMULT(E1041:J1041,_XtX!$B$44:$G$49),E1041:J1041)</f>
        <v>0.177686979166667</v>
      </c>
      <c r="M1041" s="0" t="n">
        <f aca="false">04_回帰ANOVA!$K$19*04_回帰ANOVA!$K$14*SQRT(1+L1041)</f>
        <v>1.47058966332106</v>
      </c>
      <c r="N1041" s="0" t="n">
        <f aca="false">K1041-M1041</f>
        <v>45.5582645033456</v>
      </c>
      <c r="O1041" s="0" t="n">
        <f aca="false">K1041+M1041</f>
        <v>48.4994438299877</v>
      </c>
      <c r="P1041" s="54" t="b">
        <f aca="false">AND(C1041&gt;=01_因子設定!$L$5-0.000000001,C1041&lt;=01_因子設定!$M$5+0.000000001,D1041&gt;=01_因子設定!$L$6-0.000000001,D1041&lt;=01_因子設定!$M$6+0.000000001,IF(01_因子設定!$B$20="Box-Behnken",C1041^2+D1041^2&lt;=2+0.000000001,TRUE()))</f>
        <v>1</v>
      </c>
      <c r="Q1041" s="55" t="n">
        <f aca="false">IF(P1041,IF(01_因子設定!$B$13="最大化",N1041-01_因子設定!$B$14,IF(01_因子設定!$B$13="最小化",01_因子設定!$B$15-O1041,MIN(N1041-01_因子設定!$B$14,01_因子設定!$B$15-O1041))),-1E+030)</f>
        <v>-0.941735496654395</v>
      </c>
      <c r="R1041" s="55" t="n">
        <f aca="false">IF(P1041,IF(01_因子設定!$B$13="最大化",K1041,IF(01_因子設定!$B$13="最小化",-K1041,-ABS(K1041-01_因子設定!$B$16))),-1E+030)</f>
        <v>47.0288541666667</v>
      </c>
      <c r="S1041" s="55" t="n">
        <f aca="false">Q1041+ROW()*0.000000001</f>
        <v>-0.941734455654395</v>
      </c>
      <c r="T1041" s="55" t="n">
        <f aca="false">R1041+ROW()*0.000000001</f>
        <v>47.0288552076667</v>
      </c>
    </row>
    <row r="1042" customFormat="false" ht="15" hidden="false" customHeight="false" outlineLevel="0" collapsed="false">
      <c r="A1042" s="0" t="n">
        <v>25</v>
      </c>
      <c r="B1042" s="0" t="n">
        <v>12</v>
      </c>
      <c r="C1042" s="0" t="n">
        <f aca="false">-1+A1042*0.05</f>
        <v>0.25</v>
      </c>
      <c r="D1042" s="0" t="n">
        <f aca="false">-1+B1042*0.05</f>
        <v>-0.4</v>
      </c>
      <c r="E1042" s="0" t="n">
        <f aca="false">1</f>
        <v>1</v>
      </c>
      <c r="F1042" s="0" t="n">
        <f aca="false">C1042</f>
        <v>0.25</v>
      </c>
      <c r="G1042" s="0" t="n">
        <f aca="false">D1042</f>
        <v>-0.4</v>
      </c>
      <c r="H1042" s="0" t="n">
        <f aca="false">C1042*D1042</f>
        <v>-0.1</v>
      </c>
      <c r="I1042" s="0" t="n">
        <f aca="false">C1042*C1042</f>
        <v>0.0625</v>
      </c>
      <c r="J1042" s="0" t="n">
        <f aca="false">D1042*D1042</f>
        <v>0.16</v>
      </c>
      <c r="K1042" s="0" t="n">
        <f aca="false">SUMPRODUCT(E1042:J1042,_XtX!$B$53:$G$53)</f>
        <v>47.2134985632184</v>
      </c>
      <c r="L1042" s="0" t="n">
        <f aca="false">SUMPRODUCT(MMULT(E1042:J1042,_XtX!$B$44:$G$49),E1042:J1042)</f>
        <v>0.173887320402299</v>
      </c>
      <c r="M1042" s="0" t="n">
        <f aca="false">04_回帰ANOVA!$K$19*04_回帰ANOVA!$K$14*SQRT(1+L1042)</f>
        <v>1.46821541051817</v>
      </c>
      <c r="N1042" s="0" t="n">
        <f aca="false">K1042-M1042</f>
        <v>45.7452831527002</v>
      </c>
      <c r="O1042" s="0" t="n">
        <f aca="false">K1042+M1042</f>
        <v>48.6817139737366</v>
      </c>
      <c r="P1042" s="54" t="b">
        <f aca="false">AND(C1042&gt;=01_因子設定!$L$5-0.000000001,C1042&lt;=01_因子設定!$M$5+0.000000001,D1042&gt;=01_因子設定!$L$6-0.000000001,D1042&lt;=01_因子設定!$M$6+0.000000001,IF(01_因子設定!$B$20="Box-Behnken",C1042^2+D1042^2&lt;=2+0.000000001,TRUE()))</f>
        <v>1</v>
      </c>
      <c r="Q1042" s="55" t="n">
        <f aca="false">IF(P1042,IF(01_因子設定!$B$13="最大化",N1042-01_因子設定!$B$14,IF(01_因子設定!$B$13="最小化",01_因子設定!$B$15-O1042,MIN(N1042-01_因子設定!$B$14,01_因子設定!$B$15-O1042))),-1E+030)</f>
        <v>-0.75471684729979</v>
      </c>
      <c r="R1042" s="55" t="n">
        <f aca="false">IF(P1042,IF(01_因子設定!$B$13="最大化",K1042,IF(01_因子設定!$B$13="最小化",-K1042,-ABS(K1042-01_因子設定!$B$16))),-1E+030)</f>
        <v>47.2134985632184</v>
      </c>
      <c r="S1042" s="55" t="n">
        <f aca="false">Q1042+ROW()*0.000000001</f>
        <v>-0.75471580529979</v>
      </c>
      <c r="T1042" s="55" t="n">
        <f aca="false">R1042+ROW()*0.000000001</f>
        <v>47.2134996052184</v>
      </c>
    </row>
    <row r="1043" customFormat="false" ht="15" hidden="false" customHeight="false" outlineLevel="0" collapsed="false">
      <c r="A1043" s="0" t="n">
        <v>25</v>
      </c>
      <c r="B1043" s="0" t="n">
        <v>13</v>
      </c>
      <c r="C1043" s="0" t="n">
        <f aca="false">-1+A1043*0.05</f>
        <v>0.25</v>
      </c>
      <c r="D1043" s="0" t="n">
        <f aca="false">-1+B1043*0.05</f>
        <v>-0.35</v>
      </c>
      <c r="E1043" s="0" t="n">
        <f aca="false">1</f>
        <v>1</v>
      </c>
      <c r="F1043" s="0" t="n">
        <f aca="false">C1043</f>
        <v>0.25</v>
      </c>
      <c r="G1043" s="0" t="n">
        <f aca="false">D1043</f>
        <v>-0.35</v>
      </c>
      <c r="H1043" s="0" t="n">
        <f aca="false">C1043*D1043</f>
        <v>-0.0875</v>
      </c>
      <c r="I1043" s="0" t="n">
        <f aca="false">C1043*C1043</f>
        <v>0.0625</v>
      </c>
      <c r="J1043" s="0" t="n">
        <f aca="false">D1043*D1043</f>
        <v>0.1225</v>
      </c>
      <c r="K1043" s="0" t="n">
        <f aca="false">SUMPRODUCT(E1043:J1043,_XtX!$B$53:$G$53)</f>
        <v>47.3904274425287</v>
      </c>
      <c r="L1043" s="0" t="n">
        <f aca="false">SUMPRODUCT(MMULT(E1043:J1043,_XtX!$B$44:$G$49),E1043:J1043)</f>
        <v>0.171620887212644</v>
      </c>
      <c r="M1043" s="0" t="n">
        <f aca="false">04_回帰ANOVA!$K$19*04_回帰ANOVA!$K$14*SQRT(1+L1043)</f>
        <v>1.46679737839873</v>
      </c>
      <c r="N1043" s="0" t="n">
        <f aca="false">K1043-M1043</f>
        <v>45.92363006413</v>
      </c>
      <c r="O1043" s="0" t="n">
        <f aca="false">K1043+M1043</f>
        <v>48.8572248209275</v>
      </c>
      <c r="P1043" s="54" t="b">
        <f aca="false">AND(C1043&gt;=01_因子設定!$L$5-0.000000001,C1043&lt;=01_因子設定!$M$5+0.000000001,D1043&gt;=01_因子設定!$L$6-0.000000001,D1043&lt;=01_因子設定!$M$6+0.000000001,IF(01_因子設定!$B$20="Box-Behnken",C1043^2+D1043^2&lt;=2+0.000000001,TRUE()))</f>
        <v>1</v>
      </c>
      <c r="Q1043" s="55" t="n">
        <f aca="false">IF(P1043,IF(01_因子設定!$B$13="最大化",N1043-01_因子設定!$B$14,IF(01_因子設定!$B$13="最小化",01_因子設定!$B$15-O1043,MIN(N1043-01_因子設定!$B$14,01_因子設定!$B$15-O1043))),-1E+030)</f>
        <v>-0.576369935869998</v>
      </c>
      <c r="R1043" s="55" t="n">
        <f aca="false">IF(P1043,IF(01_因子設定!$B$13="最大化",K1043,IF(01_因子設定!$B$13="最小化",-K1043,-ABS(K1043-01_因子設定!$B$16))),-1E+030)</f>
        <v>47.3904274425287</v>
      </c>
      <c r="S1043" s="55" t="n">
        <f aca="false">Q1043+ROW()*0.000000001</f>
        <v>-0.576368892869998</v>
      </c>
      <c r="T1043" s="55" t="n">
        <f aca="false">R1043+ROW()*0.000000001</f>
        <v>47.3904284855287</v>
      </c>
    </row>
    <row r="1044" customFormat="false" ht="15" hidden="false" customHeight="false" outlineLevel="0" collapsed="false">
      <c r="A1044" s="0" t="n">
        <v>25</v>
      </c>
      <c r="B1044" s="0" t="n">
        <v>14</v>
      </c>
      <c r="C1044" s="0" t="n">
        <f aca="false">-1+A1044*0.05</f>
        <v>0.25</v>
      </c>
      <c r="D1044" s="0" t="n">
        <f aca="false">-1+B1044*0.05</f>
        <v>-0.3</v>
      </c>
      <c r="E1044" s="0" t="n">
        <f aca="false">1</f>
        <v>1</v>
      </c>
      <c r="F1044" s="0" t="n">
        <f aca="false">C1044</f>
        <v>0.25</v>
      </c>
      <c r="G1044" s="0" t="n">
        <f aca="false">D1044</f>
        <v>-0.3</v>
      </c>
      <c r="H1044" s="0" t="n">
        <f aca="false">C1044*D1044</f>
        <v>-0.075</v>
      </c>
      <c r="I1044" s="0" t="n">
        <f aca="false">C1044*C1044</f>
        <v>0.0625</v>
      </c>
      <c r="J1044" s="0" t="n">
        <f aca="false">D1044*D1044</f>
        <v>0.09</v>
      </c>
      <c r="K1044" s="0" t="n">
        <f aca="false">SUMPRODUCT(E1044:J1044,_XtX!$B$53:$G$53)</f>
        <v>47.5596408045977</v>
      </c>
      <c r="L1044" s="0" t="n">
        <f aca="false">SUMPRODUCT(MMULT(E1044:J1044,_XtX!$B$44:$G$49),E1044:J1044)</f>
        <v>0.170480352011494</v>
      </c>
      <c r="M1044" s="0" t="n">
        <f aca="false">04_回帰ANOVA!$K$19*04_回帰ANOVA!$K$14*SQRT(1+L1044)</f>
        <v>1.46608326456019</v>
      </c>
      <c r="N1044" s="0" t="n">
        <f aca="false">K1044-M1044</f>
        <v>46.0935575400375</v>
      </c>
      <c r="O1044" s="0" t="n">
        <f aca="false">K1044+M1044</f>
        <v>49.0257240691579</v>
      </c>
      <c r="P1044" s="54" t="b">
        <f aca="false">AND(C1044&gt;=01_因子設定!$L$5-0.000000001,C1044&lt;=01_因子設定!$M$5+0.000000001,D1044&gt;=01_因子設定!$L$6-0.000000001,D1044&lt;=01_因子設定!$M$6+0.000000001,IF(01_因子設定!$B$20="Box-Behnken",C1044^2+D1044^2&lt;=2+0.000000001,TRUE()))</f>
        <v>1</v>
      </c>
      <c r="Q1044" s="55" t="n">
        <f aca="false">IF(P1044,IF(01_因子設定!$B$13="最大化",N1044-01_因子設定!$B$14,IF(01_因子設定!$B$13="最小化",01_因子設定!$B$15-O1044,MIN(N1044-01_因子設定!$B$14,01_因子設定!$B$15-O1044))),-1E+030)</f>
        <v>-0.406442459962491</v>
      </c>
      <c r="R1044" s="55" t="n">
        <f aca="false">IF(P1044,IF(01_因子設定!$B$13="最大化",K1044,IF(01_因子設定!$B$13="最小化",-K1044,-ABS(K1044-01_因子設定!$B$16))),-1E+030)</f>
        <v>47.5596408045977</v>
      </c>
      <c r="S1044" s="55" t="n">
        <f aca="false">Q1044+ROW()*0.000000001</f>
        <v>-0.406441415962491</v>
      </c>
      <c r="T1044" s="55" t="n">
        <f aca="false">R1044+ROW()*0.000000001</f>
        <v>47.5596418485977</v>
      </c>
    </row>
    <row r="1045" customFormat="false" ht="15" hidden="false" customHeight="false" outlineLevel="0" collapsed="false">
      <c r="A1045" s="0" t="n">
        <v>25</v>
      </c>
      <c r="B1045" s="0" t="n">
        <v>15</v>
      </c>
      <c r="C1045" s="0" t="n">
        <f aca="false">-1+A1045*0.05</f>
        <v>0.25</v>
      </c>
      <c r="D1045" s="0" t="n">
        <f aca="false">-1+B1045*0.05</f>
        <v>-0.25</v>
      </c>
      <c r="E1045" s="0" t="n">
        <f aca="false">1</f>
        <v>1</v>
      </c>
      <c r="F1045" s="0" t="n">
        <f aca="false">C1045</f>
        <v>0.25</v>
      </c>
      <c r="G1045" s="0" t="n">
        <f aca="false">D1045</f>
        <v>-0.25</v>
      </c>
      <c r="H1045" s="0" t="n">
        <f aca="false">C1045*D1045</f>
        <v>-0.0625</v>
      </c>
      <c r="I1045" s="0" t="n">
        <f aca="false">C1045*C1045</f>
        <v>0.0625</v>
      </c>
      <c r="J1045" s="0" t="n">
        <f aca="false">D1045*D1045</f>
        <v>0.0625</v>
      </c>
      <c r="K1045" s="0" t="n">
        <f aca="false">SUMPRODUCT(E1045:J1045,_XtX!$B$53:$G$53)</f>
        <v>47.7211386494253</v>
      </c>
      <c r="L1045" s="0" t="n">
        <f aca="false">SUMPRODUCT(MMULT(E1045:J1045,_XtX!$B$44:$G$49),E1045:J1045)</f>
        <v>0.170112697557471</v>
      </c>
      <c r="M1045" s="0" t="n">
        <f aca="false">04_回帰ANOVA!$K$19*04_回帰ANOVA!$K$14*SQRT(1+L1045)</f>
        <v>1.46585299398171</v>
      </c>
      <c r="N1045" s="0" t="n">
        <f aca="false">K1045-M1045</f>
        <v>46.2552856554436</v>
      </c>
      <c r="O1045" s="0" t="n">
        <f aca="false">K1045+M1045</f>
        <v>49.186991643407</v>
      </c>
      <c r="P1045" s="54" t="b">
        <f aca="false">AND(C1045&gt;=01_因子設定!$L$5-0.000000001,C1045&lt;=01_因子設定!$M$5+0.000000001,D1045&gt;=01_因子設定!$L$6-0.000000001,D1045&lt;=01_因子設定!$M$6+0.000000001,IF(01_因子設定!$B$20="Box-Behnken",C1045^2+D1045^2&lt;=2+0.000000001,TRUE()))</f>
        <v>1</v>
      </c>
      <c r="Q1045" s="55" t="n">
        <f aca="false">IF(P1045,IF(01_因子設定!$B$13="最大化",N1045-01_因子設定!$B$14,IF(01_因子設定!$B$13="最小化",01_因子設定!$B$15-O1045,MIN(N1045-01_因子設定!$B$14,01_因子設定!$B$15-O1045))),-1E+030)</f>
        <v>-0.244714344556428</v>
      </c>
      <c r="R1045" s="55" t="n">
        <f aca="false">IF(P1045,IF(01_因子設定!$B$13="最大化",K1045,IF(01_因子設定!$B$13="最小化",-K1045,-ABS(K1045-01_因子設定!$B$16))),-1E+030)</f>
        <v>47.7211386494253</v>
      </c>
      <c r="S1045" s="55" t="n">
        <f aca="false">Q1045+ROW()*0.000000001</f>
        <v>-0.244713299556428</v>
      </c>
      <c r="T1045" s="55" t="n">
        <f aca="false">R1045+ROW()*0.000000001</f>
        <v>47.7211396944253</v>
      </c>
    </row>
    <row r="1046" customFormat="false" ht="15" hidden="false" customHeight="false" outlineLevel="0" collapsed="false">
      <c r="A1046" s="0" t="n">
        <v>25</v>
      </c>
      <c r="B1046" s="0" t="n">
        <v>16</v>
      </c>
      <c r="C1046" s="0" t="n">
        <f aca="false">-1+A1046*0.05</f>
        <v>0.25</v>
      </c>
      <c r="D1046" s="0" t="n">
        <f aca="false">-1+B1046*0.05</f>
        <v>-0.2</v>
      </c>
      <c r="E1046" s="0" t="n">
        <f aca="false">1</f>
        <v>1</v>
      </c>
      <c r="F1046" s="0" t="n">
        <f aca="false">C1046</f>
        <v>0.25</v>
      </c>
      <c r="G1046" s="0" t="n">
        <f aca="false">D1046</f>
        <v>-0.2</v>
      </c>
      <c r="H1046" s="0" t="n">
        <f aca="false">C1046*D1046</f>
        <v>-0.05</v>
      </c>
      <c r="I1046" s="0" t="n">
        <f aca="false">C1046*C1046</f>
        <v>0.0625</v>
      </c>
      <c r="J1046" s="0" t="n">
        <f aca="false">D1046*D1046</f>
        <v>0.04</v>
      </c>
      <c r="K1046" s="0" t="n">
        <f aca="false">SUMPRODUCT(E1046:J1046,_XtX!$B$53:$G$53)</f>
        <v>47.8749209770115</v>
      </c>
      <c r="L1046" s="0" t="n">
        <f aca="false">SUMPRODUCT(MMULT(E1046:J1046,_XtX!$B$44:$G$49),E1046:J1046)</f>
        <v>0.170219216954023</v>
      </c>
      <c r="M1046" s="0" t="n">
        <f aca="false">04_回帰ANOVA!$K$19*04_回帰ANOVA!$K$14*SQRT(1+L1046)</f>
        <v>1.46591971329145</v>
      </c>
      <c r="N1046" s="0" t="n">
        <f aca="false">K1046-M1046</f>
        <v>46.40900126372</v>
      </c>
      <c r="O1046" s="0" t="n">
        <f aca="false">K1046+M1046</f>
        <v>49.3408406903029</v>
      </c>
      <c r="P1046" s="54" t="b">
        <f aca="false">AND(C1046&gt;=01_因子設定!$L$5-0.000000001,C1046&lt;=01_因子設定!$M$5+0.000000001,D1046&gt;=01_因子設定!$L$6-0.000000001,D1046&lt;=01_因子設定!$M$6+0.000000001,IF(01_因子設定!$B$20="Box-Behnken",C1046^2+D1046^2&lt;=2+0.000000001,TRUE()))</f>
        <v>1</v>
      </c>
      <c r="Q1046" s="55" t="n">
        <f aca="false">IF(P1046,IF(01_因子設定!$B$13="最大化",N1046-01_因子設定!$B$14,IF(01_因子設定!$B$13="最小化",01_因子設定!$B$15-O1046,MIN(N1046-01_因子設定!$B$14,01_因子設定!$B$15-O1046))),-1E+030)</f>
        <v>-0.0909987362799569</v>
      </c>
      <c r="R1046" s="55" t="n">
        <f aca="false">IF(P1046,IF(01_因子設定!$B$13="最大化",K1046,IF(01_因子設定!$B$13="最小化",-K1046,-ABS(K1046-01_因子設定!$B$16))),-1E+030)</f>
        <v>47.8749209770115</v>
      </c>
      <c r="S1046" s="55" t="n">
        <f aca="false">Q1046+ROW()*0.000000001</f>
        <v>-0.0909976902799569</v>
      </c>
      <c r="T1046" s="55" t="n">
        <f aca="false">R1046+ROW()*0.000000001</f>
        <v>47.8749220230115</v>
      </c>
    </row>
    <row r="1047" customFormat="false" ht="15" hidden="false" customHeight="false" outlineLevel="0" collapsed="false">
      <c r="A1047" s="0" t="n">
        <v>25</v>
      </c>
      <c r="B1047" s="0" t="n">
        <v>17</v>
      </c>
      <c r="C1047" s="0" t="n">
        <f aca="false">-1+A1047*0.05</f>
        <v>0.25</v>
      </c>
      <c r="D1047" s="0" t="n">
        <f aca="false">-1+B1047*0.05</f>
        <v>-0.15</v>
      </c>
      <c r="E1047" s="0" t="n">
        <f aca="false">1</f>
        <v>1</v>
      </c>
      <c r="F1047" s="0" t="n">
        <f aca="false">C1047</f>
        <v>0.25</v>
      </c>
      <c r="G1047" s="0" t="n">
        <f aca="false">D1047</f>
        <v>-0.15</v>
      </c>
      <c r="H1047" s="0" t="n">
        <f aca="false">C1047*D1047</f>
        <v>-0.0375</v>
      </c>
      <c r="I1047" s="0" t="n">
        <f aca="false">C1047*C1047</f>
        <v>0.0625</v>
      </c>
      <c r="J1047" s="0" t="n">
        <f aca="false">D1047*D1047</f>
        <v>0.0225</v>
      </c>
      <c r="K1047" s="0" t="n">
        <f aca="false">SUMPRODUCT(E1047:J1047,_XtX!$B$53:$G$53)</f>
        <v>48.0209877873563</v>
      </c>
      <c r="L1047" s="0" t="n">
        <f aca="false">SUMPRODUCT(MMULT(E1047:J1047,_XtX!$B$44:$G$49),E1047:J1047)</f>
        <v>0.170555513649425</v>
      </c>
      <c r="M1047" s="0" t="n">
        <f aca="false">04_回帰ANOVA!$K$19*04_回帰ANOVA!$K$14*SQRT(1+L1047)</f>
        <v>1.46613033559833</v>
      </c>
      <c r="N1047" s="0" t="n">
        <f aca="false">K1047-M1047</f>
        <v>46.554857451758</v>
      </c>
      <c r="O1047" s="0" t="n">
        <f aca="false">K1047+M1047</f>
        <v>49.4871181229547</v>
      </c>
      <c r="P1047" s="54" t="b">
        <f aca="false">AND(C1047&gt;=01_因子設定!$L$5-0.000000001,C1047&lt;=01_因子設定!$M$5+0.000000001,D1047&gt;=01_因子設定!$L$6-0.000000001,D1047&lt;=01_因子設定!$M$6+0.000000001,IF(01_因子設定!$B$20="Box-Behnken",C1047^2+D1047^2&lt;=2+0.000000001,TRUE()))</f>
        <v>1</v>
      </c>
      <c r="Q1047" s="55" t="n">
        <f aca="false">IF(P1047,IF(01_因子設定!$B$13="最大化",N1047-01_因子設定!$B$14,IF(01_因子設定!$B$13="最小化",01_因子設定!$B$15-O1047,MIN(N1047-01_因子設定!$B$14,01_因子設定!$B$15-O1047))),-1E+030)</f>
        <v>0.0548574517579894</v>
      </c>
      <c r="R1047" s="55" t="n">
        <f aca="false">IF(P1047,IF(01_因子設定!$B$13="最大化",K1047,IF(01_因子設定!$B$13="最小化",-K1047,-ABS(K1047-01_因子設定!$B$16))),-1E+030)</f>
        <v>48.0209877873563</v>
      </c>
      <c r="S1047" s="55" t="n">
        <f aca="false">Q1047+ROW()*0.000000001</f>
        <v>0.0548584987579894</v>
      </c>
      <c r="T1047" s="55" t="n">
        <f aca="false">R1047+ROW()*0.000000001</f>
        <v>48.0209888343563</v>
      </c>
    </row>
    <row r="1048" customFormat="false" ht="15" hidden="false" customHeight="false" outlineLevel="0" collapsed="false">
      <c r="A1048" s="0" t="n">
        <v>25</v>
      </c>
      <c r="B1048" s="0" t="n">
        <v>18</v>
      </c>
      <c r="C1048" s="0" t="n">
        <f aca="false">-1+A1048*0.05</f>
        <v>0.25</v>
      </c>
      <c r="D1048" s="0" t="n">
        <f aca="false">-1+B1048*0.05</f>
        <v>-0.1</v>
      </c>
      <c r="E1048" s="0" t="n">
        <f aca="false">1</f>
        <v>1</v>
      </c>
      <c r="F1048" s="0" t="n">
        <f aca="false">C1048</f>
        <v>0.25</v>
      </c>
      <c r="G1048" s="0" t="n">
        <f aca="false">D1048</f>
        <v>-0.1</v>
      </c>
      <c r="H1048" s="0" t="n">
        <f aca="false">C1048*D1048</f>
        <v>-0.025</v>
      </c>
      <c r="I1048" s="0" t="n">
        <f aca="false">C1048*C1048</f>
        <v>0.0625</v>
      </c>
      <c r="J1048" s="0" t="n">
        <f aca="false">D1048*D1048</f>
        <v>0.01</v>
      </c>
      <c r="K1048" s="0" t="n">
        <f aca="false">SUMPRODUCT(E1048:J1048,_XtX!$B$53:$G$53)</f>
        <v>48.1593390804598</v>
      </c>
      <c r="L1048" s="0" t="n">
        <f aca="false">SUMPRODUCT(MMULT(E1048:J1048,_XtX!$B$44:$G$49),E1048:J1048)</f>
        <v>0.170931501436782</v>
      </c>
      <c r="M1048" s="0" t="n">
        <f aca="false">04_回帰ANOVA!$K$19*04_回帰ANOVA!$K$14*SQRT(1+L1048)</f>
        <v>1.46636578057969</v>
      </c>
      <c r="N1048" s="0" t="n">
        <f aca="false">K1048-M1048</f>
        <v>46.6929732998801</v>
      </c>
      <c r="O1048" s="0" t="n">
        <f aca="false">K1048+M1048</f>
        <v>49.6257048610395</v>
      </c>
      <c r="P1048" s="54" t="b">
        <f aca="false">AND(C1048&gt;=01_因子設定!$L$5-0.000000001,C1048&lt;=01_因子設定!$M$5+0.000000001,D1048&gt;=01_因子設定!$L$6-0.000000001,D1048&lt;=01_因子設定!$M$6+0.000000001,IF(01_因子設定!$B$20="Box-Behnken",C1048^2+D1048^2&lt;=2+0.000000001,TRUE()))</f>
        <v>1</v>
      </c>
      <c r="Q1048" s="55" t="n">
        <f aca="false">IF(P1048,IF(01_因子設定!$B$13="最大化",N1048-01_因子設定!$B$14,IF(01_因子設定!$B$13="最小化",01_因子設定!$B$15-O1048,MIN(N1048-01_因子設定!$B$14,01_因子設定!$B$15-O1048))),-1E+030)</f>
        <v>0.19297329988008</v>
      </c>
      <c r="R1048" s="55" t="n">
        <f aca="false">IF(P1048,IF(01_因子設定!$B$13="最大化",K1048,IF(01_因子設定!$B$13="最小化",-K1048,-ABS(K1048-01_因子設定!$B$16))),-1E+030)</f>
        <v>48.1593390804598</v>
      </c>
      <c r="S1048" s="55" t="n">
        <f aca="false">Q1048+ROW()*0.000000001</f>
        <v>0.19297434788008</v>
      </c>
      <c r="T1048" s="55" t="n">
        <f aca="false">R1048+ROW()*0.000000001</f>
        <v>48.1593401284598</v>
      </c>
    </row>
    <row r="1049" customFormat="false" ht="15" hidden="false" customHeight="false" outlineLevel="0" collapsed="false">
      <c r="A1049" s="0" t="n">
        <v>25</v>
      </c>
      <c r="B1049" s="0" t="n">
        <v>19</v>
      </c>
      <c r="C1049" s="0" t="n">
        <f aca="false">-1+A1049*0.05</f>
        <v>0.25</v>
      </c>
      <c r="D1049" s="0" t="n">
        <f aca="false">-1+B1049*0.05</f>
        <v>-0.0499999999999999</v>
      </c>
      <c r="E1049" s="0" t="n">
        <f aca="false">1</f>
        <v>1</v>
      </c>
      <c r="F1049" s="0" t="n">
        <f aca="false">C1049</f>
        <v>0.25</v>
      </c>
      <c r="G1049" s="0" t="n">
        <f aca="false">D1049</f>
        <v>-0.0499999999999999</v>
      </c>
      <c r="H1049" s="0" t="n">
        <f aca="false">C1049*D1049</f>
        <v>-0.0125</v>
      </c>
      <c r="I1049" s="0" t="n">
        <f aca="false">C1049*C1049</f>
        <v>0.0625</v>
      </c>
      <c r="J1049" s="0" t="n">
        <f aca="false">D1049*D1049</f>
        <v>0.00249999999999999</v>
      </c>
      <c r="K1049" s="0" t="n">
        <f aca="false">SUMPRODUCT(E1049:J1049,_XtX!$B$53:$G$53)</f>
        <v>48.2899748563218</v>
      </c>
      <c r="L1049" s="0" t="n">
        <f aca="false">SUMPRODUCT(MMULT(E1049:J1049,_XtX!$B$44:$G$49),E1049:J1049)</f>
        <v>0.171211404454023</v>
      </c>
      <c r="M1049" s="0" t="n">
        <f aca="false">04_回帰ANOVA!$K$19*04_回帰ANOVA!$K$14*SQRT(1+L1049)</f>
        <v>1.46654103236879</v>
      </c>
      <c r="N1049" s="0" t="n">
        <f aca="false">K1049-M1049</f>
        <v>46.823433823953</v>
      </c>
      <c r="O1049" s="0" t="n">
        <f aca="false">K1049+M1049</f>
        <v>49.7565158886906</v>
      </c>
      <c r="P1049" s="54" t="b">
        <f aca="false">AND(C1049&gt;=01_因子設定!$L$5-0.000000001,C1049&lt;=01_因子設定!$M$5+0.000000001,D1049&gt;=01_因子設定!$L$6-0.000000001,D1049&lt;=01_因子設定!$M$6+0.000000001,IF(01_因子設定!$B$20="Box-Behnken",C1049^2+D1049^2&lt;=2+0.000000001,TRUE()))</f>
        <v>1</v>
      </c>
      <c r="Q1049" s="55" t="n">
        <f aca="false">IF(P1049,IF(01_因子設定!$B$13="最大化",N1049-01_因子設定!$B$14,IF(01_因子設定!$B$13="最小化",01_因子設定!$B$15-O1049,MIN(N1049-01_因子設定!$B$14,01_因子設定!$B$15-O1049))),-1E+030)</f>
        <v>0.323433823953046</v>
      </c>
      <c r="R1049" s="55" t="n">
        <f aca="false">IF(P1049,IF(01_因子設定!$B$13="最大化",K1049,IF(01_因子設定!$B$13="最小化",-K1049,-ABS(K1049-01_因子設定!$B$16))),-1E+030)</f>
        <v>48.2899748563218</v>
      </c>
      <c r="S1049" s="55" t="n">
        <f aca="false">Q1049+ROW()*0.000000001</f>
        <v>0.323434872953046</v>
      </c>
      <c r="T1049" s="55" t="n">
        <f aca="false">R1049+ROW()*0.000000001</f>
        <v>48.2899759053218</v>
      </c>
    </row>
    <row r="1050" customFormat="false" ht="15" hidden="false" customHeight="false" outlineLevel="0" collapsed="false">
      <c r="A1050" s="0" t="n">
        <v>25</v>
      </c>
      <c r="B1050" s="0" t="n">
        <v>20</v>
      </c>
      <c r="C1050" s="0" t="n">
        <f aca="false">-1+A1050*0.05</f>
        <v>0.25</v>
      </c>
      <c r="D1050" s="0" t="n">
        <f aca="false">-1+B1050*0.05</f>
        <v>0</v>
      </c>
      <c r="E1050" s="0" t="n">
        <f aca="false">1</f>
        <v>1</v>
      </c>
      <c r="F1050" s="0" t="n">
        <f aca="false">C1050</f>
        <v>0.25</v>
      </c>
      <c r="G1050" s="0" t="n">
        <f aca="false">D1050</f>
        <v>0</v>
      </c>
      <c r="H1050" s="0" t="n">
        <f aca="false">C1050*D1050</f>
        <v>0</v>
      </c>
      <c r="I1050" s="0" t="n">
        <f aca="false">C1050*C1050</f>
        <v>0.0625</v>
      </c>
      <c r="J1050" s="0" t="n">
        <f aca="false">D1050*D1050</f>
        <v>0</v>
      </c>
      <c r="K1050" s="0" t="n">
        <f aca="false">SUMPRODUCT(E1050:J1050,_XtX!$B$53:$G$53)</f>
        <v>48.4128951149425</v>
      </c>
      <c r="L1050" s="0" t="n">
        <f aca="false">SUMPRODUCT(MMULT(E1050:J1050,_XtX!$B$44:$G$49),E1050:J1050)</f>
        <v>0.171313757183908</v>
      </c>
      <c r="M1050" s="0" t="n">
        <f aca="false">04_回帰ANOVA!$K$19*04_回帰ANOVA!$K$14*SQRT(1+L1050)</f>
        <v>1.46660511183314</v>
      </c>
      <c r="N1050" s="0" t="n">
        <f aca="false">K1050-M1050</f>
        <v>46.9462900031094</v>
      </c>
      <c r="O1050" s="0" t="n">
        <f aca="false">K1050+M1050</f>
        <v>49.8795002267757</v>
      </c>
      <c r="P1050" s="54" t="b">
        <f aca="false">AND(C1050&gt;=01_因子設定!$L$5-0.000000001,C1050&lt;=01_因子設定!$M$5+0.000000001,D1050&gt;=01_因子設定!$L$6-0.000000001,D1050&lt;=01_因子設定!$M$6+0.000000001,IF(01_因子設定!$B$20="Box-Behnken",C1050^2+D1050^2&lt;=2+0.000000001,TRUE()))</f>
        <v>1</v>
      </c>
      <c r="Q1050" s="55" t="n">
        <f aca="false">IF(P1050,IF(01_因子設定!$B$13="最大化",N1050-01_因子設定!$B$14,IF(01_因子設定!$B$13="最小化",01_因子設定!$B$15-O1050,MIN(N1050-01_因子設定!$B$14,01_因子設定!$B$15-O1050))),-1E+030)</f>
        <v>0.446290003109397</v>
      </c>
      <c r="R1050" s="55" t="n">
        <f aca="false">IF(P1050,IF(01_因子設定!$B$13="最大化",K1050,IF(01_因子設定!$B$13="最小化",-K1050,-ABS(K1050-01_因子設定!$B$16))),-1E+030)</f>
        <v>48.4128951149425</v>
      </c>
      <c r="S1050" s="55" t="n">
        <f aca="false">Q1050+ROW()*0.000000001</f>
        <v>0.446291053109397</v>
      </c>
      <c r="T1050" s="55" t="n">
        <f aca="false">R1050+ROW()*0.000000001</f>
        <v>48.4128961649425</v>
      </c>
    </row>
    <row r="1051" customFormat="false" ht="15" hidden="false" customHeight="false" outlineLevel="0" collapsed="false">
      <c r="A1051" s="0" t="n">
        <v>25</v>
      </c>
      <c r="B1051" s="0" t="n">
        <v>21</v>
      </c>
      <c r="C1051" s="0" t="n">
        <f aca="false">-1+A1051*0.05</f>
        <v>0.25</v>
      </c>
      <c r="D1051" s="0" t="n">
        <f aca="false">-1+B1051*0.05</f>
        <v>0.05</v>
      </c>
      <c r="E1051" s="0" t="n">
        <f aca="false">1</f>
        <v>1</v>
      </c>
      <c r="F1051" s="0" t="n">
        <f aca="false">C1051</f>
        <v>0.25</v>
      </c>
      <c r="G1051" s="0" t="n">
        <f aca="false">D1051</f>
        <v>0.05</v>
      </c>
      <c r="H1051" s="0" t="n">
        <f aca="false">C1051*D1051</f>
        <v>0.0125</v>
      </c>
      <c r="I1051" s="0" t="n">
        <f aca="false">C1051*C1051</f>
        <v>0.0625</v>
      </c>
      <c r="J1051" s="0" t="n">
        <f aca="false">D1051*D1051</f>
        <v>0.0025</v>
      </c>
      <c r="K1051" s="0" t="n">
        <f aca="false">SUMPRODUCT(E1051:J1051,_XtX!$B$53:$G$53)</f>
        <v>48.5280998563218</v>
      </c>
      <c r="L1051" s="0" t="n">
        <f aca="false">SUMPRODUCT(MMULT(E1051:J1051,_XtX!$B$44:$G$49),E1051:J1051)</f>
        <v>0.171211404454023</v>
      </c>
      <c r="M1051" s="0" t="n">
        <f aca="false">04_回帰ANOVA!$K$19*04_回帰ANOVA!$K$14*SQRT(1+L1051)</f>
        <v>1.46654103236879</v>
      </c>
      <c r="N1051" s="0" t="n">
        <f aca="false">K1051-M1051</f>
        <v>47.0615588239531</v>
      </c>
      <c r="O1051" s="0" t="n">
        <f aca="false">K1051+M1051</f>
        <v>49.9946408886906</v>
      </c>
      <c r="P1051" s="54" t="b">
        <f aca="false">AND(C1051&gt;=01_因子設定!$L$5-0.000000001,C1051&lt;=01_因子設定!$M$5+0.000000001,D1051&gt;=01_因子設定!$L$6-0.000000001,D1051&lt;=01_因子設定!$M$6+0.000000001,IF(01_因子設定!$B$20="Box-Behnken",C1051^2+D1051^2&lt;=2+0.000000001,TRUE()))</f>
        <v>1</v>
      </c>
      <c r="Q1051" s="55" t="n">
        <f aca="false">IF(P1051,IF(01_因子設定!$B$13="最大化",N1051-01_因子設定!$B$14,IF(01_因子設定!$B$13="最小化",01_因子設定!$B$15-O1051,MIN(N1051-01_因子設定!$B$14,01_因子設定!$B$15-O1051))),-1E+030)</f>
        <v>0.56155882395305</v>
      </c>
      <c r="R1051" s="55" t="n">
        <f aca="false">IF(P1051,IF(01_因子設定!$B$13="最大化",K1051,IF(01_因子設定!$B$13="最小化",-K1051,-ABS(K1051-01_因子設定!$B$16))),-1E+030)</f>
        <v>48.5280998563218</v>
      </c>
      <c r="S1051" s="55" t="n">
        <f aca="false">Q1051+ROW()*0.000000001</f>
        <v>0.56155987495305</v>
      </c>
      <c r="T1051" s="55" t="n">
        <f aca="false">R1051+ROW()*0.000000001</f>
        <v>48.5281009073218</v>
      </c>
    </row>
    <row r="1052" customFormat="false" ht="15" hidden="false" customHeight="false" outlineLevel="0" collapsed="false">
      <c r="A1052" s="0" t="n">
        <v>25</v>
      </c>
      <c r="B1052" s="0" t="n">
        <v>22</v>
      </c>
      <c r="C1052" s="0" t="n">
        <f aca="false">-1+A1052*0.05</f>
        <v>0.25</v>
      </c>
      <c r="D1052" s="0" t="n">
        <f aca="false">-1+B1052*0.05</f>
        <v>0.1</v>
      </c>
      <c r="E1052" s="0" t="n">
        <f aca="false">1</f>
        <v>1</v>
      </c>
      <c r="F1052" s="0" t="n">
        <f aca="false">C1052</f>
        <v>0.25</v>
      </c>
      <c r="G1052" s="0" t="n">
        <f aca="false">D1052</f>
        <v>0.1</v>
      </c>
      <c r="H1052" s="0" t="n">
        <f aca="false">C1052*D1052</f>
        <v>0.025</v>
      </c>
      <c r="I1052" s="0" t="n">
        <f aca="false">C1052*C1052</f>
        <v>0.0625</v>
      </c>
      <c r="J1052" s="0" t="n">
        <f aca="false">D1052*D1052</f>
        <v>0.01</v>
      </c>
      <c r="K1052" s="0" t="n">
        <f aca="false">SUMPRODUCT(E1052:J1052,_XtX!$B$53:$G$53)</f>
        <v>48.6355890804598</v>
      </c>
      <c r="L1052" s="0" t="n">
        <f aca="false">SUMPRODUCT(MMULT(E1052:J1052,_XtX!$B$44:$G$49),E1052:J1052)</f>
        <v>0.170931501436782</v>
      </c>
      <c r="M1052" s="0" t="n">
        <f aca="false">04_回帰ANOVA!$K$19*04_回帰ANOVA!$K$14*SQRT(1+L1052)</f>
        <v>1.46636578057969</v>
      </c>
      <c r="N1052" s="0" t="n">
        <f aca="false">K1052-M1052</f>
        <v>47.1692232998801</v>
      </c>
      <c r="O1052" s="0" t="n">
        <f aca="false">K1052+M1052</f>
        <v>50.1019548610395</v>
      </c>
      <c r="P1052" s="54" t="b">
        <f aca="false">AND(C1052&gt;=01_因子設定!$L$5-0.000000001,C1052&lt;=01_因子設定!$M$5+0.000000001,D1052&gt;=01_因子設定!$L$6-0.000000001,D1052&lt;=01_因子設定!$M$6+0.000000001,IF(01_因子設定!$B$20="Box-Behnken",C1052^2+D1052^2&lt;=2+0.000000001,TRUE()))</f>
        <v>1</v>
      </c>
      <c r="Q1052" s="55" t="n">
        <f aca="false">IF(P1052,IF(01_因子設定!$B$13="最大化",N1052-01_因子設定!$B$14,IF(01_因子設定!$B$13="最小化",01_因子設定!$B$15-O1052,MIN(N1052-01_因子設定!$B$14,01_因子設定!$B$15-O1052))),-1E+030)</f>
        <v>0.669223299880073</v>
      </c>
      <c r="R1052" s="55" t="n">
        <f aca="false">IF(P1052,IF(01_因子設定!$B$13="最大化",K1052,IF(01_因子設定!$B$13="最小化",-K1052,-ABS(K1052-01_因子設定!$B$16))),-1E+030)</f>
        <v>48.6355890804598</v>
      </c>
      <c r="S1052" s="55" t="n">
        <f aca="false">Q1052+ROW()*0.000000001</f>
        <v>0.669224351880073</v>
      </c>
      <c r="T1052" s="55" t="n">
        <f aca="false">R1052+ROW()*0.000000001</f>
        <v>48.6355901324598</v>
      </c>
    </row>
    <row r="1053" customFormat="false" ht="15" hidden="false" customHeight="false" outlineLevel="0" collapsed="false">
      <c r="A1053" s="0" t="n">
        <v>25</v>
      </c>
      <c r="B1053" s="0" t="n">
        <v>23</v>
      </c>
      <c r="C1053" s="0" t="n">
        <f aca="false">-1+A1053*0.05</f>
        <v>0.25</v>
      </c>
      <c r="D1053" s="0" t="n">
        <f aca="false">-1+B1053*0.05</f>
        <v>0.15</v>
      </c>
      <c r="E1053" s="0" t="n">
        <f aca="false">1</f>
        <v>1</v>
      </c>
      <c r="F1053" s="0" t="n">
        <f aca="false">C1053</f>
        <v>0.25</v>
      </c>
      <c r="G1053" s="0" t="n">
        <f aca="false">D1053</f>
        <v>0.15</v>
      </c>
      <c r="H1053" s="0" t="n">
        <f aca="false">C1053*D1053</f>
        <v>0.0375</v>
      </c>
      <c r="I1053" s="0" t="n">
        <f aca="false">C1053*C1053</f>
        <v>0.0625</v>
      </c>
      <c r="J1053" s="0" t="n">
        <f aca="false">D1053*D1053</f>
        <v>0.0225</v>
      </c>
      <c r="K1053" s="0" t="n">
        <f aca="false">SUMPRODUCT(E1053:J1053,_XtX!$B$53:$G$53)</f>
        <v>48.7353627873563</v>
      </c>
      <c r="L1053" s="0" t="n">
        <f aca="false">SUMPRODUCT(MMULT(E1053:J1053,_XtX!$B$44:$G$49),E1053:J1053)</f>
        <v>0.170555513649425</v>
      </c>
      <c r="M1053" s="0" t="n">
        <f aca="false">04_回帰ANOVA!$K$19*04_回帰ANOVA!$K$14*SQRT(1+L1053)</f>
        <v>1.46613033559833</v>
      </c>
      <c r="N1053" s="0" t="n">
        <f aca="false">K1053-M1053</f>
        <v>47.269232451758</v>
      </c>
      <c r="O1053" s="0" t="n">
        <f aca="false">K1053+M1053</f>
        <v>50.2014931229547</v>
      </c>
      <c r="P1053" s="54" t="b">
        <f aca="false">AND(C1053&gt;=01_因子設定!$L$5-0.000000001,C1053&lt;=01_因子設定!$M$5+0.000000001,D1053&gt;=01_因子設定!$L$6-0.000000001,D1053&lt;=01_因子設定!$M$6+0.000000001,IF(01_因子設定!$B$20="Box-Behnken",C1053^2+D1053^2&lt;=2+0.000000001,TRUE()))</f>
        <v>1</v>
      </c>
      <c r="Q1053" s="55" t="n">
        <f aca="false">IF(P1053,IF(01_因子設定!$B$13="最大化",N1053-01_因子設定!$B$14,IF(01_因子設定!$B$13="最小化",01_因子設定!$B$15-O1053,MIN(N1053-01_因子設定!$B$14,01_因子設定!$B$15-O1053))),-1E+030)</f>
        <v>0.769232451757993</v>
      </c>
      <c r="R1053" s="55" t="n">
        <f aca="false">IF(P1053,IF(01_因子設定!$B$13="最大化",K1053,IF(01_因子設定!$B$13="最小化",-K1053,-ABS(K1053-01_因子設定!$B$16))),-1E+030)</f>
        <v>48.7353627873563</v>
      </c>
      <c r="S1053" s="55" t="n">
        <f aca="false">Q1053+ROW()*0.000000001</f>
        <v>0.769233504757993</v>
      </c>
      <c r="T1053" s="55" t="n">
        <f aca="false">R1053+ROW()*0.000000001</f>
        <v>48.7353638403563</v>
      </c>
    </row>
    <row r="1054" customFormat="false" ht="15" hidden="false" customHeight="false" outlineLevel="0" collapsed="false">
      <c r="A1054" s="0" t="n">
        <v>25</v>
      </c>
      <c r="B1054" s="0" t="n">
        <v>24</v>
      </c>
      <c r="C1054" s="0" t="n">
        <f aca="false">-1+A1054*0.05</f>
        <v>0.25</v>
      </c>
      <c r="D1054" s="0" t="n">
        <f aca="false">-1+B1054*0.05</f>
        <v>0.2</v>
      </c>
      <c r="E1054" s="0" t="n">
        <f aca="false">1</f>
        <v>1</v>
      </c>
      <c r="F1054" s="0" t="n">
        <f aca="false">C1054</f>
        <v>0.25</v>
      </c>
      <c r="G1054" s="0" t="n">
        <f aca="false">D1054</f>
        <v>0.2</v>
      </c>
      <c r="H1054" s="0" t="n">
        <f aca="false">C1054*D1054</f>
        <v>0.05</v>
      </c>
      <c r="I1054" s="0" t="n">
        <f aca="false">C1054*C1054</f>
        <v>0.0625</v>
      </c>
      <c r="J1054" s="0" t="n">
        <f aca="false">D1054*D1054</f>
        <v>0.0400000000000001</v>
      </c>
      <c r="K1054" s="0" t="n">
        <f aca="false">SUMPRODUCT(E1054:J1054,_XtX!$B$53:$G$53)</f>
        <v>48.8274209770115</v>
      </c>
      <c r="L1054" s="0" t="n">
        <f aca="false">SUMPRODUCT(MMULT(E1054:J1054,_XtX!$B$44:$G$49),E1054:J1054)</f>
        <v>0.170219216954023</v>
      </c>
      <c r="M1054" s="0" t="n">
        <f aca="false">04_回帰ANOVA!$K$19*04_回帰ANOVA!$K$14*SQRT(1+L1054)</f>
        <v>1.46591971329145</v>
      </c>
      <c r="N1054" s="0" t="n">
        <f aca="false">K1054-M1054</f>
        <v>47.36150126372</v>
      </c>
      <c r="O1054" s="0" t="n">
        <f aca="false">K1054+M1054</f>
        <v>50.2933406903029</v>
      </c>
      <c r="P1054" s="54" t="b">
        <f aca="false">AND(C1054&gt;=01_因子設定!$L$5-0.000000001,C1054&lt;=01_因子設定!$M$5+0.000000001,D1054&gt;=01_因子設定!$L$6-0.000000001,D1054&lt;=01_因子設定!$M$6+0.000000001,IF(01_因子設定!$B$20="Box-Behnken",C1054^2+D1054^2&lt;=2+0.000000001,TRUE()))</f>
        <v>1</v>
      </c>
      <c r="Q1054" s="55" t="n">
        <f aca="false">IF(P1054,IF(01_因子設定!$B$13="最大化",N1054-01_因子設定!$B$14,IF(01_因子設定!$B$13="最小化",01_因子設定!$B$15-O1054,MIN(N1054-01_因子設定!$B$14,01_因子設定!$B$15-O1054))),-1E+030)</f>
        <v>0.861501263720044</v>
      </c>
      <c r="R1054" s="55" t="n">
        <f aca="false">IF(P1054,IF(01_因子設定!$B$13="最大化",K1054,IF(01_因子設定!$B$13="最小化",-K1054,-ABS(K1054-01_因子設定!$B$16))),-1E+030)</f>
        <v>48.8274209770115</v>
      </c>
      <c r="S1054" s="55" t="n">
        <f aca="false">Q1054+ROW()*0.000000001</f>
        <v>0.861502317720044</v>
      </c>
      <c r="T1054" s="55" t="n">
        <f aca="false">R1054+ROW()*0.000000001</f>
        <v>48.8274220310115</v>
      </c>
    </row>
    <row r="1055" customFormat="false" ht="15" hidden="false" customHeight="false" outlineLevel="0" collapsed="false">
      <c r="A1055" s="0" t="n">
        <v>25</v>
      </c>
      <c r="B1055" s="0" t="n">
        <v>25</v>
      </c>
      <c r="C1055" s="0" t="n">
        <f aca="false">-1+A1055*0.05</f>
        <v>0.25</v>
      </c>
      <c r="D1055" s="0" t="n">
        <f aca="false">-1+B1055*0.05</f>
        <v>0.25</v>
      </c>
      <c r="E1055" s="0" t="n">
        <f aca="false">1</f>
        <v>1</v>
      </c>
      <c r="F1055" s="0" t="n">
        <f aca="false">C1055</f>
        <v>0.25</v>
      </c>
      <c r="G1055" s="0" t="n">
        <f aca="false">D1055</f>
        <v>0.25</v>
      </c>
      <c r="H1055" s="0" t="n">
        <f aca="false">C1055*D1055</f>
        <v>0.0625</v>
      </c>
      <c r="I1055" s="0" t="n">
        <f aca="false">C1055*C1055</f>
        <v>0.0625</v>
      </c>
      <c r="J1055" s="0" t="n">
        <f aca="false">D1055*D1055</f>
        <v>0.0625</v>
      </c>
      <c r="K1055" s="0" t="n">
        <f aca="false">SUMPRODUCT(E1055:J1055,_XtX!$B$53:$G$53)</f>
        <v>48.9117636494253</v>
      </c>
      <c r="L1055" s="0" t="n">
        <f aca="false">SUMPRODUCT(MMULT(E1055:J1055,_XtX!$B$44:$G$49),E1055:J1055)</f>
        <v>0.170112697557471</v>
      </c>
      <c r="M1055" s="0" t="n">
        <f aca="false">04_回帰ANOVA!$K$19*04_回帰ANOVA!$K$14*SQRT(1+L1055)</f>
        <v>1.46585299398171</v>
      </c>
      <c r="N1055" s="0" t="n">
        <f aca="false">K1055-M1055</f>
        <v>47.4459106554436</v>
      </c>
      <c r="O1055" s="0" t="n">
        <f aca="false">K1055+M1055</f>
        <v>50.377616643407</v>
      </c>
      <c r="P1055" s="54" t="b">
        <f aca="false">AND(C1055&gt;=01_因子設定!$L$5-0.000000001,C1055&lt;=01_因子設定!$M$5+0.000000001,D1055&gt;=01_因子設定!$L$6-0.000000001,D1055&lt;=01_因子設定!$M$6+0.000000001,IF(01_因子設定!$B$20="Box-Behnken",C1055^2+D1055^2&lt;=2+0.000000001,TRUE()))</f>
        <v>1</v>
      </c>
      <c r="Q1055" s="55" t="n">
        <f aca="false">IF(P1055,IF(01_因子設定!$B$13="最大化",N1055-01_因子設定!$B$14,IF(01_因子設定!$B$13="最小化",01_因子設定!$B$15-O1055,MIN(N1055-01_因子設定!$B$14,01_因子設定!$B$15-O1055))),-1E+030)</f>
        <v>0.945910655443569</v>
      </c>
      <c r="R1055" s="55" t="n">
        <f aca="false">IF(P1055,IF(01_因子設定!$B$13="最大化",K1055,IF(01_因子設定!$B$13="最小化",-K1055,-ABS(K1055-01_因子設定!$B$16))),-1E+030)</f>
        <v>48.9117636494253</v>
      </c>
      <c r="S1055" s="55" t="n">
        <f aca="false">Q1055+ROW()*0.000000001</f>
        <v>0.945911710443569</v>
      </c>
      <c r="T1055" s="55" t="n">
        <f aca="false">R1055+ROW()*0.000000001</f>
        <v>48.9117647044253</v>
      </c>
    </row>
    <row r="1056" customFormat="false" ht="15" hidden="false" customHeight="false" outlineLevel="0" collapsed="false">
      <c r="A1056" s="0" t="n">
        <v>25</v>
      </c>
      <c r="B1056" s="0" t="n">
        <v>26</v>
      </c>
      <c r="C1056" s="0" t="n">
        <f aca="false">-1+A1056*0.05</f>
        <v>0.25</v>
      </c>
      <c r="D1056" s="0" t="n">
        <f aca="false">-1+B1056*0.05</f>
        <v>0.3</v>
      </c>
      <c r="E1056" s="0" t="n">
        <f aca="false">1</f>
        <v>1</v>
      </c>
      <c r="F1056" s="0" t="n">
        <f aca="false">C1056</f>
        <v>0.25</v>
      </c>
      <c r="G1056" s="0" t="n">
        <f aca="false">D1056</f>
        <v>0.3</v>
      </c>
      <c r="H1056" s="0" t="n">
        <f aca="false">C1056*D1056</f>
        <v>0.075</v>
      </c>
      <c r="I1056" s="0" t="n">
        <f aca="false">C1056*C1056</f>
        <v>0.0625</v>
      </c>
      <c r="J1056" s="0" t="n">
        <f aca="false">D1056*D1056</f>
        <v>0.09</v>
      </c>
      <c r="K1056" s="0" t="n">
        <f aca="false">SUMPRODUCT(E1056:J1056,_XtX!$B$53:$G$53)</f>
        <v>48.9883908045977</v>
      </c>
      <c r="L1056" s="0" t="n">
        <f aca="false">SUMPRODUCT(MMULT(E1056:J1056,_XtX!$B$44:$G$49),E1056:J1056)</f>
        <v>0.170480352011494</v>
      </c>
      <c r="M1056" s="0" t="n">
        <f aca="false">04_回帰ANOVA!$K$19*04_回帰ANOVA!$K$14*SQRT(1+L1056)</f>
        <v>1.46608326456019</v>
      </c>
      <c r="N1056" s="0" t="n">
        <f aca="false">K1056-M1056</f>
        <v>47.5223075400375</v>
      </c>
      <c r="O1056" s="0" t="n">
        <f aca="false">K1056+M1056</f>
        <v>50.4544740691579</v>
      </c>
      <c r="P1056" s="54" t="b">
        <f aca="false">AND(C1056&gt;=01_因子設定!$L$5-0.000000001,C1056&lt;=01_因子設定!$M$5+0.000000001,D1056&gt;=01_因子設定!$L$6-0.000000001,D1056&lt;=01_因子設定!$M$6+0.000000001,IF(01_因子設定!$B$20="Box-Behnken",C1056^2+D1056^2&lt;=2+0.000000001,TRUE()))</f>
        <v>1</v>
      </c>
      <c r="Q1056" s="55" t="n">
        <f aca="false">IF(P1056,IF(01_因子設定!$B$13="最大化",N1056-01_因子設定!$B$14,IF(01_因子設定!$B$13="最小化",01_因子設定!$B$15-O1056,MIN(N1056-01_因子設定!$B$14,01_因子設定!$B$15-O1056))),-1E+030)</f>
        <v>1.02230754003751</v>
      </c>
      <c r="R1056" s="55" t="n">
        <f aca="false">IF(P1056,IF(01_因子設定!$B$13="最大化",K1056,IF(01_因子設定!$B$13="最小化",-K1056,-ABS(K1056-01_因子設定!$B$16))),-1E+030)</f>
        <v>48.9883908045977</v>
      </c>
      <c r="S1056" s="55" t="n">
        <f aca="false">Q1056+ROW()*0.000000001</f>
        <v>1.02230859603751</v>
      </c>
      <c r="T1056" s="55" t="n">
        <f aca="false">R1056+ROW()*0.000000001</f>
        <v>48.9883918605977</v>
      </c>
    </row>
    <row r="1057" customFormat="false" ht="15" hidden="false" customHeight="false" outlineLevel="0" collapsed="false">
      <c r="A1057" s="0" t="n">
        <v>25</v>
      </c>
      <c r="B1057" s="0" t="n">
        <v>27</v>
      </c>
      <c r="C1057" s="0" t="n">
        <f aca="false">-1+A1057*0.05</f>
        <v>0.25</v>
      </c>
      <c r="D1057" s="0" t="n">
        <f aca="false">-1+B1057*0.05</f>
        <v>0.35</v>
      </c>
      <c r="E1057" s="0" t="n">
        <f aca="false">1</f>
        <v>1</v>
      </c>
      <c r="F1057" s="0" t="n">
        <f aca="false">C1057</f>
        <v>0.25</v>
      </c>
      <c r="G1057" s="0" t="n">
        <f aca="false">D1057</f>
        <v>0.35</v>
      </c>
      <c r="H1057" s="0" t="n">
        <f aca="false">C1057*D1057</f>
        <v>0.0875</v>
      </c>
      <c r="I1057" s="0" t="n">
        <f aca="false">C1057*C1057</f>
        <v>0.0625</v>
      </c>
      <c r="J1057" s="0" t="n">
        <f aca="false">D1057*D1057</f>
        <v>0.1225</v>
      </c>
      <c r="K1057" s="0" t="n">
        <f aca="false">SUMPRODUCT(E1057:J1057,_XtX!$B$53:$G$53)</f>
        <v>49.0573024425287</v>
      </c>
      <c r="L1057" s="0" t="n">
        <f aca="false">SUMPRODUCT(MMULT(E1057:J1057,_XtX!$B$44:$G$49),E1057:J1057)</f>
        <v>0.171620887212644</v>
      </c>
      <c r="M1057" s="0" t="n">
        <f aca="false">04_回帰ANOVA!$K$19*04_回帰ANOVA!$K$14*SQRT(1+L1057)</f>
        <v>1.46679737839873</v>
      </c>
      <c r="N1057" s="0" t="n">
        <f aca="false">K1057-M1057</f>
        <v>47.59050506413</v>
      </c>
      <c r="O1057" s="0" t="n">
        <f aca="false">K1057+M1057</f>
        <v>50.5240998209275</v>
      </c>
      <c r="P1057" s="54" t="b">
        <f aca="false">AND(C1057&gt;=01_因子設定!$L$5-0.000000001,C1057&lt;=01_因子設定!$M$5+0.000000001,D1057&gt;=01_因子設定!$L$6-0.000000001,D1057&lt;=01_因子設定!$M$6+0.000000001,IF(01_因子設定!$B$20="Box-Behnken",C1057^2+D1057^2&lt;=2+0.000000001,TRUE()))</f>
        <v>1</v>
      </c>
      <c r="Q1057" s="55" t="n">
        <f aca="false">IF(P1057,IF(01_因子設定!$B$13="最大化",N1057-01_因子設定!$B$14,IF(01_因子設定!$B$13="最小化",01_因子設定!$B$15-O1057,MIN(N1057-01_因子設定!$B$14,01_因子設定!$B$15-O1057))),-1E+030)</f>
        <v>1.09050506413</v>
      </c>
      <c r="R1057" s="55" t="n">
        <f aca="false">IF(P1057,IF(01_因子設定!$B$13="最大化",K1057,IF(01_因子設定!$B$13="最小化",-K1057,-ABS(K1057-01_因子設定!$B$16))),-1E+030)</f>
        <v>49.0573024425287</v>
      </c>
      <c r="S1057" s="55" t="n">
        <f aca="false">Q1057+ROW()*0.000000001</f>
        <v>1.09050612113</v>
      </c>
      <c r="T1057" s="55" t="n">
        <f aca="false">R1057+ROW()*0.000000001</f>
        <v>49.0573034995287</v>
      </c>
    </row>
    <row r="1058" customFormat="false" ht="15" hidden="false" customHeight="false" outlineLevel="0" collapsed="false">
      <c r="A1058" s="0" t="n">
        <v>25</v>
      </c>
      <c r="B1058" s="0" t="n">
        <v>28</v>
      </c>
      <c r="C1058" s="0" t="n">
        <f aca="false">-1+A1058*0.05</f>
        <v>0.25</v>
      </c>
      <c r="D1058" s="0" t="n">
        <f aca="false">-1+B1058*0.05</f>
        <v>0.4</v>
      </c>
      <c r="E1058" s="0" t="n">
        <f aca="false">1</f>
        <v>1</v>
      </c>
      <c r="F1058" s="0" t="n">
        <f aca="false">C1058</f>
        <v>0.25</v>
      </c>
      <c r="G1058" s="0" t="n">
        <f aca="false">D1058</f>
        <v>0.4</v>
      </c>
      <c r="H1058" s="0" t="n">
        <f aca="false">C1058*D1058</f>
        <v>0.1</v>
      </c>
      <c r="I1058" s="0" t="n">
        <f aca="false">C1058*C1058</f>
        <v>0.0625</v>
      </c>
      <c r="J1058" s="0" t="n">
        <f aca="false">D1058*D1058</f>
        <v>0.16</v>
      </c>
      <c r="K1058" s="0" t="n">
        <f aca="false">SUMPRODUCT(E1058:J1058,_XtX!$B$53:$G$53)</f>
        <v>49.1184985632184</v>
      </c>
      <c r="L1058" s="0" t="n">
        <f aca="false">SUMPRODUCT(MMULT(E1058:J1058,_XtX!$B$44:$G$49),E1058:J1058)</f>
        <v>0.173887320402299</v>
      </c>
      <c r="M1058" s="0" t="n">
        <f aca="false">04_回帰ANOVA!$K$19*04_回帰ANOVA!$K$14*SQRT(1+L1058)</f>
        <v>1.46821541051817</v>
      </c>
      <c r="N1058" s="0" t="n">
        <f aca="false">K1058-M1058</f>
        <v>47.6502831527002</v>
      </c>
      <c r="O1058" s="0" t="n">
        <f aca="false">K1058+M1058</f>
        <v>50.5867139737366</v>
      </c>
      <c r="P1058" s="54" t="b">
        <f aca="false">AND(C1058&gt;=01_因子設定!$L$5-0.000000001,C1058&lt;=01_因子設定!$M$5+0.000000001,D1058&gt;=01_因子設定!$L$6-0.000000001,D1058&lt;=01_因子設定!$M$6+0.000000001,IF(01_因子設定!$B$20="Box-Behnken",C1058^2+D1058^2&lt;=2+0.000000001,TRUE()))</f>
        <v>1</v>
      </c>
      <c r="Q1058" s="55" t="n">
        <f aca="false">IF(P1058,IF(01_因子設定!$B$13="最大化",N1058-01_因子設定!$B$14,IF(01_因子設定!$B$13="最小化",01_因子設定!$B$15-O1058,MIN(N1058-01_因子設定!$B$14,01_因子設定!$B$15-O1058))),-1E+030)</f>
        <v>1.15028315270021</v>
      </c>
      <c r="R1058" s="55" t="n">
        <f aca="false">IF(P1058,IF(01_因子設定!$B$13="最大化",K1058,IF(01_因子設定!$B$13="最小化",-K1058,-ABS(K1058-01_因子設定!$B$16))),-1E+030)</f>
        <v>49.1184985632184</v>
      </c>
      <c r="S1058" s="55" t="n">
        <f aca="false">Q1058+ROW()*0.000000001</f>
        <v>1.15028421070021</v>
      </c>
      <c r="T1058" s="55" t="n">
        <f aca="false">R1058+ROW()*0.000000001</f>
        <v>49.1184996212184</v>
      </c>
    </row>
    <row r="1059" customFormat="false" ht="15" hidden="false" customHeight="false" outlineLevel="0" collapsed="false">
      <c r="A1059" s="0" t="n">
        <v>25</v>
      </c>
      <c r="B1059" s="0" t="n">
        <v>29</v>
      </c>
      <c r="C1059" s="0" t="n">
        <f aca="false">-1+A1059*0.05</f>
        <v>0.25</v>
      </c>
      <c r="D1059" s="0" t="n">
        <f aca="false">-1+B1059*0.05</f>
        <v>0.45</v>
      </c>
      <c r="E1059" s="0" t="n">
        <f aca="false">1</f>
        <v>1</v>
      </c>
      <c r="F1059" s="0" t="n">
        <f aca="false">C1059</f>
        <v>0.25</v>
      </c>
      <c r="G1059" s="0" t="n">
        <f aca="false">D1059</f>
        <v>0.45</v>
      </c>
      <c r="H1059" s="0" t="n">
        <f aca="false">C1059*D1059</f>
        <v>0.1125</v>
      </c>
      <c r="I1059" s="0" t="n">
        <f aca="false">C1059*C1059</f>
        <v>0.0625</v>
      </c>
      <c r="J1059" s="0" t="n">
        <f aca="false">D1059*D1059</f>
        <v>0.2025</v>
      </c>
      <c r="K1059" s="0" t="n">
        <f aca="false">SUMPRODUCT(E1059:J1059,_XtX!$B$53:$G$53)</f>
        <v>49.1719791666667</v>
      </c>
      <c r="L1059" s="0" t="n">
        <f aca="false">SUMPRODUCT(MMULT(E1059:J1059,_XtX!$B$44:$G$49),E1059:J1059)</f>
        <v>0.177686979166667</v>
      </c>
      <c r="M1059" s="0" t="n">
        <f aca="false">04_回帰ANOVA!$K$19*04_回帰ANOVA!$K$14*SQRT(1+L1059)</f>
        <v>1.47058966332106</v>
      </c>
      <c r="N1059" s="0" t="n">
        <f aca="false">K1059-M1059</f>
        <v>47.7013895033456</v>
      </c>
      <c r="O1059" s="0" t="n">
        <f aca="false">K1059+M1059</f>
        <v>50.6425688299877</v>
      </c>
      <c r="P1059" s="54" t="b">
        <f aca="false">AND(C1059&gt;=01_因子設定!$L$5-0.000000001,C1059&lt;=01_因子設定!$M$5+0.000000001,D1059&gt;=01_因子設定!$L$6-0.000000001,D1059&lt;=01_因子設定!$M$6+0.000000001,IF(01_因子設定!$B$20="Box-Behnken",C1059^2+D1059^2&lt;=2+0.000000001,TRUE()))</f>
        <v>1</v>
      </c>
      <c r="Q1059" s="55" t="n">
        <f aca="false">IF(P1059,IF(01_因子設定!$B$13="最大化",N1059-01_因子設定!$B$14,IF(01_因子設定!$B$13="最小化",01_因子設定!$B$15-O1059,MIN(N1059-01_因子設定!$B$14,01_因子設定!$B$15-O1059))),-1E+030)</f>
        <v>1.2013895033456</v>
      </c>
      <c r="R1059" s="55" t="n">
        <f aca="false">IF(P1059,IF(01_因子設定!$B$13="最大化",K1059,IF(01_因子設定!$B$13="最小化",-K1059,-ABS(K1059-01_因子設定!$B$16))),-1E+030)</f>
        <v>49.1719791666667</v>
      </c>
      <c r="S1059" s="55" t="n">
        <f aca="false">Q1059+ROW()*0.000000001</f>
        <v>1.2013905623456</v>
      </c>
      <c r="T1059" s="55" t="n">
        <f aca="false">R1059+ROW()*0.000000001</f>
        <v>49.1719802256667</v>
      </c>
    </row>
    <row r="1060" customFormat="false" ht="15" hidden="false" customHeight="false" outlineLevel="0" collapsed="false">
      <c r="A1060" s="0" t="n">
        <v>25</v>
      </c>
      <c r="B1060" s="0" t="n">
        <v>30</v>
      </c>
      <c r="C1060" s="0" t="n">
        <f aca="false">-1+A1060*0.05</f>
        <v>0.25</v>
      </c>
      <c r="D1060" s="0" t="n">
        <f aca="false">-1+B1060*0.05</f>
        <v>0.5</v>
      </c>
      <c r="E1060" s="0" t="n">
        <f aca="false">1</f>
        <v>1</v>
      </c>
      <c r="F1060" s="0" t="n">
        <f aca="false">C1060</f>
        <v>0.25</v>
      </c>
      <c r="G1060" s="0" t="n">
        <f aca="false">D1060</f>
        <v>0.5</v>
      </c>
      <c r="H1060" s="0" t="n">
        <f aca="false">C1060*D1060</f>
        <v>0.125</v>
      </c>
      <c r="I1060" s="0" t="n">
        <f aca="false">C1060*C1060</f>
        <v>0.0625</v>
      </c>
      <c r="J1060" s="0" t="n">
        <f aca="false">D1060*D1060</f>
        <v>0.25</v>
      </c>
      <c r="K1060" s="0" t="n">
        <f aca="false">SUMPRODUCT(E1060:J1060,_XtX!$B$53:$G$53)</f>
        <v>49.2177442528736</v>
      </c>
      <c r="L1060" s="0" t="n">
        <f aca="false">SUMPRODUCT(MMULT(E1060:J1060,_XtX!$B$44:$G$49),E1060:J1060)</f>
        <v>0.183481501436782</v>
      </c>
      <c r="M1060" s="0" t="n">
        <f aca="false">04_回帰ANOVA!$K$19*04_回帰ANOVA!$K$14*SQRT(1+L1060)</f>
        <v>1.47420306339561</v>
      </c>
      <c r="N1060" s="0" t="n">
        <f aca="false">K1060-M1060</f>
        <v>47.743541189478</v>
      </c>
      <c r="O1060" s="0" t="n">
        <f aca="false">K1060+M1060</f>
        <v>50.6919473162692</v>
      </c>
      <c r="P1060" s="54" t="b">
        <f aca="false">AND(C1060&gt;=01_因子設定!$L$5-0.000000001,C1060&lt;=01_因子設定!$M$5+0.000000001,D1060&gt;=01_因子設定!$L$6-0.000000001,D1060&lt;=01_因子設定!$M$6+0.000000001,IF(01_因子設定!$B$20="Box-Behnken",C1060^2+D1060^2&lt;=2+0.000000001,TRUE()))</f>
        <v>1</v>
      </c>
      <c r="Q1060" s="55" t="n">
        <f aca="false">IF(P1060,IF(01_因子設定!$B$13="最大化",N1060-01_因子設定!$B$14,IF(01_因子設定!$B$13="最小化",01_因子設定!$B$15-O1060,MIN(N1060-01_因子設定!$B$14,01_因子設定!$B$15-O1060))),-1E+030)</f>
        <v>1.24354118947795</v>
      </c>
      <c r="R1060" s="55" t="n">
        <f aca="false">IF(P1060,IF(01_因子設定!$B$13="最大化",K1060,IF(01_因子設定!$B$13="最小化",-K1060,-ABS(K1060-01_因子設定!$B$16))),-1E+030)</f>
        <v>49.2177442528736</v>
      </c>
      <c r="S1060" s="55" t="n">
        <f aca="false">Q1060+ROW()*0.000000001</f>
        <v>1.24354224947795</v>
      </c>
      <c r="T1060" s="55" t="n">
        <f aca="false">R1060+ROW()*0.000000001</f>
        <v>49.2177453128736</v>
      </c>
    </row>
    <row r="1061" customFormat="false" ht="15" hidden="false" customHeight="false" outlineLevel="0" collapsed="false">
      <c r="A1061" s="0" t="n">
        <v>25</v>
      </c>
      <c r="B1061" s="0" t="n">
        <v>31</v>
      </c>
      <c r="C1061" s="0" t="n">
        <f aca="false">-1+A1061*0.05</f>
        <v>0.25</v>
      </c>
      <c r="D1061" s="0" t="n">
        <f aca="false">-1+B1061*0.05</f>
        <v>0.55</v>
      </c>
      <c r="E1061" s="0" t="n">
        <f aca="false">1</f>
        <v>1</v>
      </c>
      <c r="F1061" s="0" t="n">
        <f aca="false">C1061</f>
        <v>0.25</v>
      </c>
      <c r="G1061" s="0" t="n">
        <f aca="false">D1061</f>
        <v>0.55</v>
      </c>
      <c r="H1061" s="0" t="n">
        <f aca="false">C1061*D1061</f>
        <v>0.1375</v>
      </c>
      <c r="I1061" s="0" t="n">
        <f aca="false">C1061*C1061</f>
        <v>0.0625</v>
      </c>
      <c r="J1061" s="0" t="n">
        <f aca="false">D1061*D1061</f>
        <v>0.3025</v>
      </c>
      <c r="K1061" s="0" t="n">
        <f aca="false">SUMPRODUCT(E1061:J1061,_XtX!$B$53:$G$53)</f>
        <v>49.2557938218391</v>
      </c>
      <c r="L1061" s="0" t="n">
        <f aca="false">SUMPRODUCT(MMULT(E1061:J1061,_XtX!$B$44:$G$49),E1061:J1061)</f>
        <v>0.191786835488506</v>
      </c>
      <c r="M1061" s="0" t="n">
        <f aca="false">04_回帰ANOVA!$K$19*04_回帰ANOVA!$K$14*SQRT(1+L1061)</f>
        <v>1.47936678718445</v>
      </c>
      <c r="N1061" s="0" t="n">
        <f aca="false">K1061-M1061</f>
        <v>47.7764270346546</v>
      </c>
      <c r="O1061" s="0" t="n">
        <f aca="false">K1061+M1061</f>
        <v>50.7351606090235</v>
      </c>
      <c r="P1061" s="54" t="b">
        <f aca="false">AND(C1061&gt;=01_因子設定!$L$5-0.000000001,C1061&lt;=01_因子設定!$M$5+0.000000001,D1061&gt;=01_因子設定!$L$6-0.000000001,D1061&lt;=01_因子設定!$M$6+0.000000001,IF(01_因子設定!$B$20="Box-Behnken",C1061^2+D1061^2&lt;=2+0.000000001,TRUE()))</f>
        <v>1</v>
      </c>
      <c r="Q1061" s="55" t="n">
        <f aca="false">IF(P1061,IF(01_因子設定!$B$13="最大化",N1061-01_因子設定!$B$14,IF(01_因子設定!$B$13="最小化",01_因子設定!$B$15-O1061,MIN(N1061-01_因子設定!$B$14,01_因子設定!$B$15-O1061))),-1E+030)</f>
        <v>1.27642703465463</v>
      </c>
      <c r="R1061" s="55" t="n">
        <f aca="false">IF(P1061,IF(01_因子設定!$B$13="最大化",K1061,IF(01_因子設定!$B$13="最小化",-K1061,-ABS(K1061-01_因子設定!$B$16))),-1E+030)</f>
        <v>49.2557938218391</v>
      </c>
      <c r="S1061" s="55" t="n">
        <f aca="false">Q1061+ROW()*0.000000001</f>
        <v>1.27642809565463</v>
      </c>
      <c r="T1061" s="55" t="n">
        <f aca="false">R1061+ROW()*0.000000001</f>
        <v>49.2557948828391</v>
      </c>
    </row>
    <row r="1062" customFormat="false" ht="15" hidden="false" customHeight="false" outlineLevel="0" collapsed="false">
      <c r="A1062" s="0" t="n">
        <v>25</v>
      </c>
      <c r="B1062" s="0" t="n">
        <v>32</v>
      </c>
      <c r="C1062" s="0" t="n">
        <f aca="false">-1+A1062*0.05</f>
        <v>0.25</v>
      </c>
      <c r="D1062" s="0" t="n">
        <f aca="false">-1+B1062*0.05</f>
        <v>0.6</v>
      </c>
      <c r="E1062" s="0" t="n">
        <f aca="false">1</f>
        <v>1</v>
      </c>
      <c r="F1062" s="0" t="n">
        <f aca="false">C1062</f>
        <v>0.25</v>
      </c>
      <c r="G1062" s="0" t="n">
        <f aca="false">D1062</f>
        <v>0.6</v>
      </c>
      <c r="H1062" s="0" t="n">
        <f aca="false">C1062*D1062</f>
        <v>0.15</v>
      </c>
      <c r="I1062" s="0" t="n">
        <f aca="false">C1062*C1062</f>
        <v>0.0625</v>
      </c>
      <c r="J1062" s="0" t="n">
        <f aca="false">D1062*D1062</f>
        <v>0.36</v>
      </c>
      <c r="K1062" s="0" t="n">
        <f aca="false">SUMPRODUCT(E1062:J1062,_XtX!$B$53:$G$53)</f>
        <v>49.2861278735632</v>
      </c>
      <c r="L1062" s="0" t="n">
        <f aca="false">SUMPRODUCT(MMULT(E1062:J1062,_XtX!$B$44:$G$49),E1062:J1062)</f>
        <v>0.203173239942529</v>
      </c>
      <c r="M1062" s="0" t="n">
        <f aca="false">04_回帰ANOVA!$K$19*04_回帰ANOVA!$K$14*SQRT(1+L1062)</f>
        <v>1.48641696821649</v>
      </c>
      <c r="N1062" s="0" t="n">
        <f aca="false">K1062-M1062</f>
        <v>47.7997109053467</v>
      </c>
      <c r="O1062" s="0" t="n">
        <f aca="false">K1062+M1062</f>
        <v>50.7725448417797</v>
      </c>
      <c r="P1062" s="54" t="b">
        <f aca="false">AND(C1062&gt;=01_因子設定!$L$5-0.000000001,C1062&lt;=01_因子設定!$M$5+0.000000001,D1062&gt;=01_因子設定!$L$6-0.000000001,D1062&lt;=01_因子設定!$M$6+0.000000001,IF(01_因子設定!$B$20="Box-Behnken",C1062^2+D1062^2&lt;=2+0.000000001,TRUE()))</f>
        <v>1</v>
      </c>
      <c r="Q1062" s="55" t="n">
        <f aca="false">IF(P1062,IF(01_因子設定!$B$13="最大化",N1062-01_因子設定!$B$14,IF(01_因子設定!$B$13="最小化",01_因子設定!$B$15-O1062,MIN(N1062-01_因子設定!$B$14,01_因子設定!$B$15-O1062))),-1E+030)</f>
        <v>1.29971090534673</v>
      </c>
      <c r="R1062" s="55" t="n">
        <f aca="false">IF(P1062,IF(01_因子設定!$B$13="最大化",K1062,IF(01_因子設定!$B$13="最小化",-K1062,-ABS(K1062-01_因子設定!$B$16))),-1E+030)</f>
        <v>49.2861278735632</v>
      </c>
      <c r="S1062" s="55" t="n">
        <f aca="false">Q1062+ROW()*0.000000001</f>
        <v>1.29971196734673</v>
      </c>
      <c r="T1062" s="55" t="n">
        <f aca="false">R1062+ROW()*0.000000001</f>
        <v>49.2861289355632</v>
      </c>
    </row>
    <row r="1063" customFormat="false" ht="15" hidden="false" customHeight="false" outlineLevel="0" collapsed="false">
      <c r="A1063" s="0" t="n">
        <v>25</v>
      </c>
      <c r="B1063" s="0" t="n">
        <v>33</v>
      </c>
      <c r="C1063" s="0" t="n">
        <f aca="false">-1+A1063*0.05</f>
        <v>0.25</v>
      </c>
      <c r="D1063" s="0" t="n">
        <f aca="false">-1+B1063*0.05</f>
        <v>0.65</v>
      </c>
      <c r="E1063" s="0" t="n">
        <f aca="false">1</f>
        <v>1</v>
      </c>
      <c r="F1063" s="0" t="n">
        <f aca="false">C1063</f>
        <v>0.25</v>
      </c>
      <c r="G1063" s="0" t="n">
        <f aca="false">D1063</f>
        <v>0.65</v>
      </c>
      <c r="H1063" s="0" t="n">
        <f aca="false">C1063*D1063</f>
        <v>0.1625</v>
      </c>
      <c r="I1063" s="0" t="n">
        <f aca="false">C1063*C1063</f>
        <v>0.0625</v>
      </c>
      <c r="J1063" s="0" t="n">
        <f aca="false">D1063*D1063</f>
        <v>0.4225</v>
      </c>
      <c r="K1063" s="0" t="n">
        <f aca="false">SUMPRODUCT(E1063:J1063,_XtX!$B$53:$G$53)</f>
        <v>49.308746408046</v>
      </c>
      <c r="L1063" s="0" t="n">
        <f aca="false">SUMPRODUCT(MMULT(E1063:J1063,_XtX!$B$44:$G$49),E1063:J1063)</f>
        <v>0.218265283764368</v>
      </c>
      <c r="M1063" s="0" t="n">
        <f aca="false">04_回帰ANOVA!$K$19*04_回帰ANOVA!$K$14*SQRT(1+L1063)</f>
        <v>1.49571037649821</v>
      </c>
      <c r="N1063" s="0" t="n">
        <f aca="false">K1063-M1063</f>
        <v>47.8130360315478</v>
      </c>
      <c r="O1063" s="0" t="n">
        <f aca="false">K1063+M1063</f>
        <v>50.8044567845442</v>
      </c>
      <c r="P1063" s="54" t="b">
        <f aca="false">AND(C1063&gt;=01_因子設定!$L$5-0.000000001,C1063&lt;=01_因子設定!$M$5+0.000000001,D1063&gt;=01_因子設定!$L$6-0.000000001,D1063&lt;=01_因子設定!$M$6+0.000000001,IF(01_因子設定!$B$20="Box-Behnken",C1063^2+D1063^2&lt;=2+0.000000001,TRUE()))</f>
        <v>1</v>
      </c>
      <c r="Q1063" s="55" t="n">
        <f aca="false">IF(P1063,IF(01_因子設定!$B$13="最大化",N1063-01_因子設定!$B$14,IF(01_因子設定!$B$13="最小化",01_因子設定!$B$15-O1063,MIN(N1063-01_因子設定!$B$14,01_因子設定!$B$15-O1063))),-1E+030)</f>
        <v>1.31303603154777</v>
      </c>
      <c r="R1063" s="55" t="n">
        <f aca="false">IF(P1063,IF(01_因子設定!$B$13="最大化",K1063,IF(01_因子設定!$B$13="最小化",-K1063,-ABS(K1063-01_因子設定!$B$16))),-1E+030)</f>
        <v>49.308746408046</v>
      </c>
      <c r="S1063" s="55" t="n">
        <f aca="false">Q1063+ROW()*0.000000001</f>
        <v>1.31303709454777</v>
      </c>
      <c r="T1063" s="55" t="n">
        <f aca="false">R1063+ROW()*0.000000001</f>
        <v>49.308747471046</v>
      </c>
    </row>
    <row r="1064" customFormat="false" ht="15" hidden="false" customHeight="false" outlineLevel="0" collapsed="false">
      <c r="A1064" s="0" t="n">
        <v>25</v>
      </c>
      <c r="B1064" s="0" t="n">
        <v>34</v>
      </c>
      <c r="C1064" s="0" t="n">
        <f aca="false">-1+A1064*0.05</f>
        <v>0.25</v>
      </c>
      <c r="D1064" s="0" t="n">
        <f aca="false">-1+B1064*0.05</f>
        <v>0.7</v>
      </c>
      <c r="E1064" s="0" t="n">
        <f aca="false">1</f>
        <v>1</v>
      </c>
      <c r="F1064" s="0" t="n">
        <f aca="false">C1064</f>
        <v>0.25</v>
      </c>
      <c r="G1064" s="0" t="n">
        <f aca="false">D1064</f>
        <v>0.7</v>
      </c>
      <c r="H1064" s="0" t="n">
        <f aca="false">C1064*D1064</f>
        <v>0.175</v>
      </c>
      <c r="I1064" s="0" t="n">
        <f aca="false">C1064*C1064</f>
        <v>0.0625</v>
      </c>
      <c r="J1064" s="0" t="n">
        <f aca="false">D1064*D1064</f>
        <v>0.49</v>
      </c>
      <c r="K1064" s="0" t="n">
        <f aca="false">SUMPRODUCT(E1064:J1064,_XtX!$B$53:$G$53)</f>
        <v>49.3236494252874</v>
      </c>
      <c r="L1064" s="0" t="n">
        <f aca="false">SUMPRODUCT(MMULT(E1064:J1064,_XtX!$B$44:$G$49),E1064:J1064)</f>
        <v>0.237741846264368</v>
      </c>
      <c r="M1064" s="0" t="n">
        <f aca="false">04_回帰ANOVA!$K$19*04_回帰ANOVA!$K$14*SQRT(1+L1064)</f>
        <v>1.50761902524781</v>
      </c>
      <c r="N1064" s="0" t="n">
        <f aca="false">K1064-M1064</f>
        <v>47.8160304000395</v>
      </c>
      <c r="O1064" s="0" t="n">
        <f aca="false">K1064+M1064</f>
        <v>50.8312684505352</v>
      </c>
      <c r="P1064" s="54" t="b">
        <f aca="false">AND(C1064&gt;=01_因子設定!$L$5-0.000000001,C1064&lt;=01_因子設定!$M$5+0.000000001,D1064&gt;=01_因子設定!$L$6-0.000000001,D1064&lt;=01_因子設定!$M$6+0.000000001,IF(01_因子設定!$B$20="Box-Behnken",C1064^2+D1064^2&lt;=2+0.000000001,TRUE()))</f>
        <v>1</v>
      </c>
      <c r="Q1064" s="55" t="n">
        <f aca="false">IF(P1064,IF(01_因子設定!$B$13="最大化",N1064-01_因子設定!$B$14,IF(01_因子設定!$B$13="最小化",01_因子設定!$B$15-O1064,MIN(N1064-01_因子設定!$B$14,01_因子設定!$B$15-O1064))),-1E+030)</f>
        <v>1.31603040003954</v>
      </c>
      <c r="R1064" s="55" t="n">
        <f aca="false">IF(P1064,IF(01_因子設定!$B$13="最大化",K1064,IF(01_因子設定!$B$13="最小化",-K1064,-ABS(K1064-01_因子設定!$B$16))),-1E+030)</f>
        <v>49.3236494252874</v>
      </c>
      <c r="S1064" s="55" t="n">
        <f aca="false">Q1064+ROW()*0.000000001</f>
        <v>1.31603146403954</v>
      </c>
      <c r="T1064" s="55" t="n">
        <f aca="false">R1064+ROW()*0.000000001</f>
        <v>49.3236504892874</v>
      </c>
    </row>
    <row r="1065" customFormat="false" ht="15" hidden="false" customHeight="false" outlineLevel="0" collapsed="false">
      <c r="A1065" s="0" t="n">
        <v>25</v>
      </c>
      <c r="B1065" s="0" t="n">
        <v>35</v>
      </c>
      <c r="C1065" s="0" t="n">
        <f aca="false">-1+A1065*0.05</f>
        <v>0.25</v>
      </c>
      <c r="D1065" s="0" t="n">
        <f aca="false">-1+B1065*0.05</f>
        <v>0.75</v>
      </c>
      <c r="E1065" s="0" t="n">
        <f aca="false">1</f>
        <v>1</v>
      </c>
      <c r="F1065" s="0" t="n">
        <f aca="false">C1065</f>
        <v>0.25</v>
      </c>
      <c r="G1065" s="0" t="n">
        <f aca="false">D1065</f>
        <v>0.75</v>
      </c>
      <c r="H1065" s="0" t="n">
        <f aca="false">C1065*D1065</f>
        <v>0.1875</v>
      </c>
      <c r="I1065" s="0" t="n">
        <f aca="false">C1065*C1065</f>
        <v>0.0625</v>
      </c>
      <c r="J1065" s="0" t="n">
        <f aca="false">D1065*D1065</f>
        <v>0.5625</v>
      </c>
      <c r="K1065" s="0" t="n">
        <f aca="false">SUMPRODUCT(E1065:J1065,_XtX!$B$53:$G$53)</f>
        <v>49.3308369252874</v>
      </c>
      <c r="L1065" s="0" t="n">
        <f aca="false">SUMPRODUCT(MMULT(E1065:J1065,_XtX!$B$44:$G$49),E1065:J1065)</f>
        <v>0.262336117097701</v>
      </c>
      <c r="M1065" s="0" t="n">
        <f aca="false">04_回帰ANOVA!$K$19*04_回帰ANOVA!$K$14*SQRT(1+L1065)</f>
        <v>1.5225237514809</v>
      </c>
      <c r="N1065" s="0" t="n">
        <f aca="false">K1065-M1065</f>
        <v>47.8083131738065</v>
      </c>
      <c r="O1065" s="0" t="n">
        <f aca="false">K1065+M1065</f>
        <v>50.8533606767683</v>
      </c>
      <c r="P1065" s="54" t="b">
        <f aca="false">AND(C1065&gt;=01_因子設定!$L$5-0.000000001,C1065&lt;=01_因子設定!$M$5+0.000000001,D1065&gt;=01_因子設定!$L$6-0.000000001,D1065&lt;=01_因子設定!$M$6+0.000000001,IF(01_因子設定!$B$20="Box-Behnken",C1065^2+D1065^2&lt;=2+0.000000001,TRUE()))</f>
        <v>1</v>
      </c>
      <c r="Q1065" s="55" t="n">
        <f aca="false">IF(P1065,IF(01_因子設定!$B$13="最大化",N1065-01_因子設定!$B$14,IF(01_因子設定!$B$13="最小化",01_因子設定!$B$15-O1065,MIN(N1065-01_因子設定!$B$14,01_因子設定!$B$15-O1065))),-1E+030)</f>
        <v>1.30831317380645</v>
      </c>
      <c r="R1065" s="55" t="n">
        <f aca="false">IF(P1065,IF(01_因子設定!$B$13="最大化",K1065,IF(01_因子設定!$B$13="最小化",-K1065,-ABS(K1065-01_因子設定!$B$16))),-1E+030)</f>
        <v>49.3308369252874</v>
      </c>
      <c r="S1065" s="55" t="n">
        <f aca="false">Q1065+ROW()*0.000000001</f>
        <v>1.30831423880645</v>
      </c>
      <c r="T1065" s="55" t="n">
        <f aca="false">R1065+ROW()*0.000000001</f>
        <v>49.3308379902874</v>
      </c>
    </row>
    <row r="1066" customFormat="false" ht="15" hidden="false" customHeight="false" outlineLevel="0" collapsed="false">
      <c r="A1066" s="0" t="n">
        <v>25</v>
      </c>
      <c r="B1066" s="0" t="n">
        <v>36</v>
      </c>
      <c r="C1066" s="0" t="n">
        <f aca="false">-1+A1066*0.05</f>
        <v>0.25</v>
      </c>
      <c r="D1066" s="0" t="n">
        <f aca="false">-1+B1066*0.05</f>
        <v>0.8</v>
      </c>
      <c r="E1066" s="0" t="n">
        <f aca="false">1</f>
        <v>1</v>
      </c>
      <c r="F1066" s="0" t="n">
        <f aca="false">C1066</f>
        <v>0.25</v>
      </c>
      <c r="G1066" s="0" t="n">
        <f aca="false">D1066</f>
        <v>0.8</v>
      </c>
      <c r="H1066" s="0" t="n">
        <f aca="false">C1066*D1066</f>
        <v>0.2</v>
      </c>
      <c r="I1066" s="0" t="n">
        <f aca="false">C1066*C1066</f>
        <v>0.0625</v>
      </c>
      <c r="J1066" s="0" t="n">
        <f aca="false">D1066*D1066</f>
        <v>0.64</v>
      </c>
      <c r="K1066" s="0" t="n">
        <f aca="false">SUMPRODUCT(E1066:J1066,_XtX!$B$53:$G$53)</f>
        <v>49.330308908046</v>
      </c>
      <c r="L1066" s="0" t="n">
        <f aca="false">SUMPRODUCT(MMULT(E1066:J1066,_XtX!$B$44:$G$49),E1066:J1066)</f>
        <v>0.292835596264368</v>
      </c>
      <c r="M1066" s="0" t="n">
        <f aca="false">04_回帰ANOVA!$K$19*04_回帰ANOVA!$K$14*SQRT(1+L1066)</f>
        <v>1.54080692946421</v>
      </c>
      <c r="N1066" s="0" t="n">
        <f aca="false">K1066-M1066</f>
        <v>47.7895019785818</v>
      </c>
      <c r="O1066" s="0" t="n">
        <f aca="false">K1066+M1066</f>
        <v>50.8711158375102</v>
      </c>
      <c r="P1066" s="54" t="b">
        <f aca="false">AND(C1066&gt;=01_因子設定!$L$5-0.000000001,C1066&lt;=01_因子設定!$M$5+0.000000001,D1066&gt;=01_因子設定!$L$6-0.000000001,D1066&lt;=01_因子設定!$M$6+0.000000001,IF(01_因子設定!$B$20="Box-Behnken",C1066^2+D1066^2&lt;=2+0.000000001,TRUE()))</f>
        <v>1</v>
      </c>
      <c r="Q1066" s="55" t="n">
        <f aca="false">IF(P1066,IF(01_因子設定!$B$13="最大化",N1066-01_因子設定!$B$14,IF(01_因子設定!$B$13="最小化",01_因子設定!$B$15-O1066,MIN(N1066-01_因子設定!$B$14,01_因子設定!$B$15-O1066))),-1E+030)</f>
        <v>1.28950197858177</v>
      </c>
      <c r="R1066" s="55" t="n">
        <f aca="false">IF(P1066,IF(01_因子設定!$B$13="最大化",K1066,IF(01_因子設定!$B$13="最小化",-K1066,-ABS(K1066-01_因子設定!$B$16))),-1E+030)</f>
        <v>49.330308908046</v>
      </c>
      <c r="S1066" s="55" t="n">
        <f aca="false">Q1066+ROW()*0.000000001</f>
        <v>1.28950304458177</v>
      </c>
      <c r="T1066" s="55" t="n">
        <f aca="false">R1066+ROW()*0.000000001</f>
        <v>49.330309974046</v>
      </c>
    </row>
    <row r="1067" customFormat="false" ht="15" hidden="false" customHeight="false" outlineLevel="0" collapsed="false">
      <c r="A1067" s="0" t="n">
        <v>25</v>
      </c>
      <c r="B1067" s="0" t="n">
        <v>37</v>
      </c>
      <c r="C1067" s="0" t="n">
        <f aca="false">-1+A1067*0.05</f>
        <v>0.25</v>
      </c>
      <c r="D1067" s="0" t="n">
        <f aca="false">-1+B1067*0.05</f>
        <v>0.85</v>
      </c>
      <c r="E1067" s="0" t="n">
        <f aca="false">1</f>
        <v>1</v>
      </c>
      <c r="F1067" s="0" t="n">
        <f aca="false">C1067</f>
        <v>0.25</v>
      </c>
      <c r="G1067" s="0" t="n">
        <f aca="false">D1067</f>
        <v>0.85</v>
      </c>
      <c r="H1067" s="0" t="n">
        <f aca="false">C1067*D1067</f>
        <v>0.2125</v>
      </c>
      <c r="I1067" s="0" t="n">
        <f aca="false">C1067*C1067</f>
        <v>0.0625</v>
      </c>
      <c r="J1067" s="0" t="n">
        <f aca="false">D1067*D1067</f>
        <v>0.7225</v>
      </c>
      <c r="K1067" s="0" t="n">
        <f aca="false">SUMPRODUCT(E1067:J1067,_XtX!$B$53:$G$53)</f>
        <v>49.3220653735632</v>
      </c>
      <c r="L1067" s="0" t="n">
        <f aca="false">SUMPRODUCT(MMULT(E1067:J1067,_XtX!$B$44:$G$49),E1067:J1067)</f>
        <v>0.330082094109195</v>
      </c>
      <c r="M1067" s="0" t="n">
        <f aca="false">04_回帰ANOVA!$K$19*04_回帰ANOVA!$K$14*SQRT(1+L1067)</f>
        <v>1.56284459741243</v>
      </c>
      <c r="N1067" s="0" t="n">
        <f aca="false">K1067-M1067</f>
        <v>47.7592207761508</v>
      </c>
      <c r="O1067" s="0" t="n">
        <f aca="false">K1067+M1067</f>
        <v>50.8849099709756</v>
      </c>
      <c r="P1067" s="54" t="b">
        <f aca="false">AND(C1067&gt;=01_因子設定!$L$5-0.000000001,C1067&lt;=01_因子設定!$M$5+0.000000001,D1067&gt;=01_因子設定!$L$6-0.000000001,D1067&lt;=01_因子設定!$M$6+0.000000001,IF(01_因子設定!$B$20="Box-Behnken",C1067^2+D1067^2&lt;=2+0.000000001,TRUE()))</f>
        <v>1</v>
      </c>
      <c r="Q1067" s="55" t="n">
        <f aca="false">IF(P1067,IF(01_因子設定!$B$13="最大化",N1067-01_因子設定!$B$14,IF(01_因子設定!$B$13="最小化",01_因子設定!$B$15-O1067,MIN(N1067-01_因子設定!$B$14,01_因子設定!$B$15-O1067))),-1E+030)</f>
        <v>1.2592207761508</v>
      </c>
      <c r="R1067" s="55" t="n">
        <f aca="false">IF(P1067,IF(01_因子設定!$B$13="最大化",K1067,IF(01_因子設定!$B$13="最小化",-K1067,-ABS(K1067-01_因子設定!$B$16))),-1E+030)</f>
        <v>49.3220653735632</v>
      </c>
      <c r="S1067" s="55" t="n">
        <f aca="false">Q1067+ROW()*0.000000001</f>
        <v>1.2592218431508</v>
      </c>
      <c r="T1067" s="55" t="n">
        <f aca="false">R1067+ROW()*0.000000001</f>
        <v>49.3220664405632</v>
      </c>
    </row>
    <row r="1068" customFormat="false" ht="15" hidden="false" customHeight="false" outlineLevel="0" collapsed="false">
      <c r="A1068" s="0" t="n">
        <v>25</v>
      </c>
      <c r="B1068" s="0" t="n">
        <v>38</v>
      </c>
      <c r="C1068" s="0" t="n">
        <f aca="false">-1+A1068*0.05</f>
        <v>0.25</v>
      </c>
      <c r="D1068" s="0" t="n">
        <f aca="false">-1+B1068*0.05</f>
        <v>0.9</v>
      </c>
      <c r="E1068" s="0" t="n">
        <f aca="false">1</f>
        <v>1</v>
      </c>
      <c r="F1068" s="0" t="n">
        <f aca="false">C1068</f>
        <v>0.25</v>
      </c>
      <c r="G1068" s="0" t="n">
        <f aca="false">D1068</f>
        <v>0.9</v>
      </c>
      <c r="H1068" s="0" t="n">
        <f aca="false">C1068*D1068</f>
        <v>0.225</v>
      </c>
      <c r="I1068" s="0" t="n">
        <f aca="false">C1068*C1068</f>
        <v>0.0625</v>
      </c>
      <c r="J1068" s="0" t="n">
        <f aca="false">D1068*D1068</f>
        <v>0.81</v>
      </c>
      <c r="K1068" s="0" t="n">
        <f aca="false">SUMPRODUCT(E1068:J1068,_XtX!$B$53:$G$53)</f>
        <v>49.3061063218391</v>
      </c>
      <c r="L1068" s="0" t="n">
        <f aca="false">SUMPRODUCT(MMULT(E1068:J1068,_XtX!$B$44:$G$49),E1068:J1068)</f>
        <v>0.374971731321839</v>
      </c>
      <c r="M1068" s="0" t="n">
        <f aca="false">04_回帰ANOVA!$K$19*04_回帰ANOVA!$K$14*SQRT(1+L1068)</f>
        <v>1.58899838942971</v>
      </c>
      <c r="N1068" s="0" t="n">
        <f aca="false">K1068-M1068</f>
        <v>47.7171079324094</v>
      </c>
      <c r="O1068" s="0" t="n">
        <f aca="false">K1068+M1068</f>
        <v>50.8951047112688</v>
      </c>
      <c r="P1068" s="54" t="b">
        <f aca="false">AND(C1068&gt;=01_因子設定!$L$5-0.000000001,C1068&lt;=01_因子設定!$M$5+0.000000001,D1068&gt;=01_因子設定!$L$6-0.000000001,D1068&lt;=01_因子設定!$M$6+0.000000001,IF(01_因子設定!$B$20="Box-Behnken",C1068^2+D1068^2&lt;=2+0.000000001,TRUE()))</f>
        <v>1</v>
      </c>
      <c r="Q1068" s="55" t="n">
        <f aca="false">IF(P1068,IF(01_因子設定!$B$13="最大化",N1068-01_因子設定!$B$14,IF(01_因子設定!$B$13="最小化",01_因子設定!$B$15-O1068,MIN(N1068-01_因子設定!$B$14,01_因子設定!$B$15-O1068))),-1E+030)</f>
        <v>1.21710793240938</v>
      </c>
      <c r="R1068" s="55" t="n">
        <f aca="false">IF(P1068,IF(01_因子設定!$B$13="最大化",K1068,IF(01_因子設定!$B$13="最小化",-K1068,-ABS(K1068-01_因子設定!$B$16))),-1E+030)</f>
        <v>49.3061063218391</v>
      </c>
      <c r="S1068" s="55" t="n">
        <f aca="false">Q1068+ROW()*0.000000001</f>
        <v>1.21710900040938</v>
      </c>
      <c r="T1068" s="55" t="n">
        <f aca="false">R1068+ROW()*0.000000001</f>
        <v>49.3061073898391</v>
      </c>
    </row>
    <row r="1069" customFormat="false" ht="15" hidden="false" customHeight="false" outlineLevel="0" collapsed="false">
      <c r="A1069" s="0" t="n">
        <v>25</v>
      </c>
      <c r="B1069" s="0" t="n">
        <v>39</v>
      </c>
      <c r="C1069" s="0" t="n">
        <f aca="false">-1+A1069*0.05</f>
        <v>0.25</v>
      </c>
      <c r="D1069" s="0" t="n">
        <f aca="false">-1+B1069*0.05</f>
        <v>0.95</v>
      </c>
      <c r="E1069" s="0" t="n">
        <f aca="false">1</f>
        <v>1</v>
      </c>
      <c r="F1069" s="0" t="n">
        <f aca="false">C1069</f>
        <v>0.25</v>
      </c>
      <c r="G1069" s="0" t="n">
        <f aca="false">D1069</f>
        <v>0.95</v>
      </c>
      <c r="H1069" s="0" t="n">
        <f aca="false">C1069*D1069</f>
        <v>0.2375</v>
      </c>
      <c r="I1069" s="0" t="n">
        <f aca="false">C1069*C1069</f>
        <v>0.0625</v>
      </c>
      <c r="J1069" s="0" t="n">
        <f aca="false">D1069*D1069</f>
        <v>0.9025</v>
      </c>
      <c r="K1069" s="0" t="n">
        <f aca="false">SUMPRODUCT(E1069:J1069,_XtX!$B$53:$G$53)</f>
        <v>49.2824317528736</v>
      </c>
      <c r="L1069" s="0" t="n">
        <f aca="false">SUMPRODUCT(MMULT(E1069:J1069,_XtX!$B$44:$G$49),E1069:J1069)</f>
        <v>0.428454938936782</v>
      </c>
      <c r="M1069" s="0" t="n">
        <f aca="false">04_回帰ANOVA!$K$19*04_回帰ANOVA!$K$14*SQRT(1+L1069)</f>
        <v>1.6196077446283</v>
      </c>
      <c r="N1069" s="0" t="n">
        <f aca="false">K1069-M1069</f>
        <v>47.6628240082453</v>
      </c>
      <c r="O1069" s="0" t="n">
        <f aca="false">K1069+M1069</f>
        <v>50.9020394975019</v>
      </c>
      <c r="P1069" s="54" t="b">
        <f aca="false">AND(C1069&gt;=01_因子設定!$L$5-0.000000001,C1069&lt;=01_因子設定!$M$5+0.000000001,D1069&gt;=01_因子設定!$L$6-0.000000001,D1069&lt;=01_因子設定!$M$6+0.000000001,IF(01_因子設定!$B$20="Box-Behnken",C1069^2+D1069^2&lt;=2+0.000000001,TRUE()))</f>
        <v>1</v>
      </c>
      <c r="Q1069" s="55" t="n">
        <f aca="false">IF(P1069,IF(01_因子設定!$B$13="最大化",N1069-01_因子設定!$B$14,IF(01_因子設定!$B$13="最小化",01_因子設定!$B$15-O1069,MIN(N1069-01_因子設定!$B$14,01_因子設定!$B$15-O1069))),-1E+030)</f>
        <v>1.16282400824527</v>
      </c>
      <c r="R1069" s="55" t="n">
        <f aca="false">IF(P1069,IF(01_因子設定!$B$13="最大化",K1069,IF(01_因子設定!$B$13="最小化",-K1069,-ABS(K1069-01_因子設定!$B$16))),-1E+030)</f>
        <v>49.2824317528736</v>
      </c>
      <c r="S1069" s="55" t="n">
        <f aca="false">Q1069+ROW()*0.000000001</f>
        <v>1.16282507724527</v>
      </c>
      <c r="T1069" s="55" t="n">
        <f aca="false">R1069+ROW()*0.000000001</f>
        <v>49.2824328218736</v>
      </c>
    </row>
    <row r="1070" customFormat="false" ht="15" hidden="false" customHeight="false" outlineLevel="0" collapsed="false">
      <c r="A1070" s="0" t="n">
        <v>25</v>
      </c>
      <c r="B1070" s="0" t="n">
        <v>40</v>
      </c>
      <c r="C1070" s="0" t="n">
        <f aca="false">-1+A1070*0.05</f>
        <v>0.25</v>
      </c>
      <c r="D1070" s="0" t="n">
        <f aca="false">-1+B1070*0.05</f>
        <v>1</v>
      </c>
      <c r="E1070" s="0" t="n">
        <f aca="false">1</f>
        <v>1</v>
      </c>
      <c r="F1070" s="0" t="n">
        <f aca="false">C1070</f>
        <v>0.25</v>
      </c>
      <c r="G1070" s="0" t="n">
        <f aca="false">D1070</f>
        <v>1</v>
      </c>
      <c r="H1070" s="0" t="n">
        <f aca="false">C1070*D1070</f>
        <v>0.25</v>
      </c>
      <c r="I1070" s="0" t="n">
        <f aca="false">C1070*C1070</f>
        <v>0.0625</v>
      </c>
      <c r="J1070" s="0" t="n">
        <f aca="false">D1070*D1070</f>
        <v>1</v>
      </c>
      <c r="K1070" s="0" t="n">
        <f aca="false">SUMPRODUCT(E1070:J1070,_XtX!$B$53:$G$53)</f>
        <v>49.2510416666667</v>
      </c>
      <c r="L1070" s="0" t="n">
        <f aca="false">SUMPRODUCT(MMULT(E1070:J1070,_XtX!$B$44:$G$49),E1070:J1070)</f>
        <v>0.491536458333333</v>
      </c>
      <c r="M1070" s="0" t="n">
        <f aca="false">04_回帰ANOVA!$K$19*04_回帰ANOVA!$K$14*SQRT(1+L1070)</f>
        <v>1.65498289332813</v>
      </c>
      <c r="N1070" s="0" t="n">
        <f aca="false">K1070-M1070</f>
        <v>47.5960587733385</v>
      </c>
      <c r="O1070" s="0" t="n">
        <f aca="false">K1070+M1070</f>
        <v>50.9060245599948</v>
      </c>
      <c r="P1070" s="54" t="b">
        <f aca="false">AND(C1070&gt;=01_因子設定!$L$5-0.000000001,C1070&lt;=01_因子設定!$M$5+0.000000001,D1070&gt;=01_因子設定!$L$6-0.000000001,D1070&lt;=01_因子設定!$M$6+0.000000001,IF(01_因子設定!$B$20="Box-Behnken",C1070^2+D1070^2&lt;=2+0.000000001,TRUE()))</f>
        <v>1</v>
      </c>
      <c r="Q1070" s="55" t="n">
        <f aca="false">IF(P1070,IF(01_因子設定!$B$13="最大化",N1070-01_因子設定!$B$14,IF(01_因子設定!$B$13="最小化",01_因子設定!$B$15-O1070,MIN(N1070-01_因子設定!$B$14,01_因子設定!$B$15-O1070))),-1E+030)</f>
        <v>1.09605877333854</v>
      </c>
      <c r="R1070" s="55" t="n">
        <f aca="false">IF(P1070,IF(01_因子設定!$B$13="最大化",K1070,IF(01_因子設定!$B$13="最小化",-K1070,-ABS(K1070-01_因子設定!$B$16))),-1E+030)</f>
        <v>49.2510416666667</v>
      </c>
      <c r="S1070" s="55" t="n">
        <f aca="false">Q1070+ROW()*0.000000001</f>
        <v>1.09605984333854</v>
      </c>
      <c r="T1070" s="55" t="n">
        <f aca="false">R1070+ROW()*0.000000001</f>
        <v>49.2510427366667</v>
      </c>
    </row>
    <row r="1071" customFormat="false" ht="15" hidden="false" customHeight="false" outlineLevel="0" collapsed="false">
      <c r="A1071" s="0" t="n">
        <v>26</v>
      </c>
      <c r="B1071" s="0" t="n">
        <v>0</v>
      </c>
      <c r="C1071" s="0" t="n">
        <f aca="false">-1+A1071*0.05</f>
        <v>0.3</v>
      </c>
      <c r="D1071" s="0" t="n">
        <f aca="false">-1+B1071*0.05</f>
        <v>-1</v>
      </c>
      <c r="E1071" s="0" t="n">
        <f aca="false">1</f>
        <v>1</v>
      </c>
      <c r="F1071" s="0" t="n">
        <f aca="false">C1071</f>
        <v>0.3</v>
      </c>
      <c r="G1071" s="0" t="n">
        <f aca="false">D1071</f>
        <v>-1</v>
      </c>
      <c r="H1071" s="0" t="n">
        <f aca="false">C1071*D1071</f>
        <v>-0.3</v>
      </c>
      <c r="I1071" s="0" t="n">
        <f aca="false">C1071*C1071</f>
        <v>0.09</v>
      </c>
      <c r="J1071" s="0" t="n">
        <f aca="false">D1071*D1071</f>
        <v>1</v>
      </c>
      <c r="K1071" s="0" t="n">
        <f aca="false">SUMPRODUCT(E1071:J1071,_XtX!$B$53:$G$53)</f>
        <v>44.4926896551724</v>
      </c>
      <c r="L1071" s="0" t="n">
        <f aca="false">SUMPRODUCT(MMULT(E1071:J1071,_XtX!$B$44:$G$49),E1071:J1071)</f>
        <v>0.491237356321839</v>
      </c>
      <c r="M1071" s="0" t="n">
        <f aca="false">04_回帰ANOVA!$K$19*04_回帰ANOVA!$K$14*SQRT(1+L1071)</f>
        <v>1.65481694581525</v>
      </c>
      <c r="N1071" s="0" t="n">
        <f aca="false">K1071-M1071</f>
        <v>42.8378727093572</v>
      </c>
      <c r="O1071" s="0" t="n">
        <f aca="false">K1071+M1071</f>
        <v>46.1475066009877</v>
      </c>
      <c r="P1071" s="54" t="b">
        <f aca="false">AND(C1071&gt;=01_因子設定!$L$5-0.000000001,C1071&lt;=01_因子設定!$M$5+0.000000001,D1071&gt;=01_因子設定!$L$6-0.000000001,D1071&lt;=01_因子設定!$M$6+0.000000001,IF(01_因子設定!$B$20="Box-Behnken",C1071^2+D1071^2&lt;=2+0.000000001,TRUE()))</f>
        <v>1</v>
      </c>
      <c r="Q1071" s="55" t="n">
        <f aca="false">IF(P1071,IF(01_因子設定!$B$13="最大化",N1071-01_因子設定!$B$14,IF(01_因子設定!$B$13="最小化",01_因子設定!$B$15-O1071,MIN(N1071-01_因子設定!$B$14,01_因子設定!$B$15-O1071))),-1E+030)</f>
        <v>-3.66212729064283</v>
      </c>
      <c r="R1071" s="55" t="n">
        <f aca="false">IF(P1071,IF(01_因子設定!$B$13="最大化",K1071,IF(01_因子設定!$B$13="最小化",-K1071,-ABS(K1071-01_因子設定!$B$16))),-1E+030)</f>
        <v>44.4926896551724</v>
      </c>
      <c r="S1071" s="55" t="n">
        <f aca="false">Q1071+ROW()*0.000000001</f>
        <v>-3.66212621964283</v>
      </c>
      <c r="T1071" s="55" t="n">
        <f aca="false">R1071+ROW()*0.000000001</f>
        <v>44.4926907261724</v>
      </c>
    </row>
    <row r="1072" customFormat="false" ht="15" hidden="false" customHeight="false" outlineLevel="0" collapsed="false">
      <c r="A1072" s="0" t="n">
        <v>26</v>
      </c>
      <c r="B1072" s="0" t="n">
        <v>1</v>
      </c>
      <c r="C1072" s="0" t="n">
        <f aca="false">-1+A1072*0.05</f>
        <v>0.3</v>
      </c>
      <c r="D1072" s="0" t="n">
        <f aca="false">-1+B1072*0.05</f>
        <v>-0.95</v>
      </c>
      <c r="E1072" s="0" t="n">
        <f aca="false">1</f>
        <v>1</v>
      </c>
      <c r="F1072" s="0" t="n">
        <f aca="false">C1072</f>
        <v>0.3</v>
      </c>
      <c r="G1072" s="0" t="n">
        <f aca="false">D1072</f>
        <v>-0.95</v>
      </c>
      <c r="H1072" s="0" t="n">
        <f aca="false">C1072*D1072</f>
        <v>-0.285</v>
      </c>
      <c r="I1072" s="0" t="n">
        <f aca="false">C1072*C1072</f>
        <v>0.09</v>
      </c>
      <c r="J1072" s="0" t="n">
        <f aca="false">D1072*D1072</f>
        <v>0.9025</v>
      </c>
      <c r="K1072" s="0" t="n">
        <f aca="false">SUMPRODUCT(E1072:J1072,_XtX!$B$53:$G$53)</f>
        <v>44.7635172413793</v>
      </c>
      <c r="L1072" s="0" t="n">
        <f aca="false">SUMPRODUCT(MMULT(E1072:J1072,_XtX!$B$44:$G$49),E1072:J1072)</f>
        <v>0.428225179597701</v>
      </c>
      <c r="M1072" s="0" t="n">
        <f aca="false">04_回帰ANOVA!$K$19*04_回帰ANOVA!$K$14*SQRT(1+L1072)</f>
        <v>1.61947748676737</v>
      </c>
      <c r="N1072" s="0" t="n">
        <f aca="false">K1072-M1072</f>
        <v>43.1440397546119</v>
      </c>
      <c r="O1072" s="0" t="n">
        <f aca="false">K1072+M1072</f>
        <v>46.3829947281467</v>
      </c>
      <c r="P1072" s="54" t="b">
        <f aca="false">AND(C1072&gt;=01_因子設定!$L$5-0.000000001,C1072&lt;=01_因子設定!$M$5+0.000000001,D1072&gt;=01_因子設定!$L$6-0.000000001,D1072&lt;=01_因子設定!$M$6+0.000000001,IF(01_因子設定!$B$20="Box-Behnken",C1072^2+D1072^2&lt;=2+0.000000001,TRUE()))</f>
        <v>1</v>
      </c>
      <c r="Q1072" s="55" t="n">
        <f aca="false">IF(P1072,IF(01_因子設定!$B$13="最大化",N1072-01_因子設定!$B$14,IF(01_因子設定!$B$13="最小化",01_因子設定!$B$15-O1072,MIN(N1072-01_因子設定!$B$14,01_因子設定!$B$15-O1072))),-1E+030)</f>
        <v>-3.35596024538805</v>
      </c>
      <c r="R1072" s="55" t="n">
        <f aca="false">IF(P1072,IF(01_因子設定!$B$13="最大化",K1072,IF(01_因子設定!$B$13="最小化",-K1072,-ABS(K1072-01_因子設定!$B$16))),-1E+030)</f>
        <v>44.7635172413793</v>
      </c>
      <c r="S1072" s="55" t="n">
        <f aca="false">Q1072+ROW()*0.000000001</f>
        <v>-3.35595917338805</v>
      </c>
      <c r="T1072" s="55" t="n">
        <f aca="false">R1072+ROW()*0.000000001</f>
        <v>44.7635183133793</v>
      </c>
    </row>
    <row r="1073" customFormat="false" ht="15" hidden="false" customHeight="false" outlineLevel="0" collapsed="false">
      <c r="A1073" s="0" t="n">
        <v>26</v>
      </c>
      <c r="B1073" s="0" t="n">
        <v>2</v>
      </c>
      <c r="C1073" s="0" t="n">
        <f aca="false">-1+A1073*0.05</f>
        <v>0.3</v>
      </c>
      <c r="D1073" s="0" t="n">
        <f aca="false">-1+B1073*0.05</f>
        <v>-0.9</v>
      </c>
      <c r="E1073" s="0" t="n">
        <f aca="false">1</f>
        <v>1</v>
      </c>
      <c r="F1073" s="0" t="n">
        <f aca="false">C1073</f>
        <v>0.3</v>
      </c>
      <c r="G1073" s="0" t="n">
        <f aca="false">D1073</f>
        <v>-0.9</v>
      </c>
      <c r="H1073" s="0" t="n">
        <f aca="false">C1073*D1073</f>
        <v>-0.27</v>
      </c>
      <c r="I1073" s="0" t="n">
        <f aca="false">C1073*C1073</f>
        <v>0.09</v>
      </c>
      <c r="J1073" s="0" t="n">
        <f aca="false">D1073*D1073</f>
        <v>0.81</v>
      </c>
      <c r="K1073" s="0" t="n">
        <f aca="false">SUMPRODUCT(E1073:J1073,_XtX!$B$53:$G$53)</f>
        <v>45.0266293103448</v>
      </c>
      <c r="L1073" s="0" t="n">
        <f aca="false">SUMPRODUCT(MMULT(E1073:J1073,_XtX!$B$44:$G$49),E1073:J1073)</f>
        <v>0.37480775862069</v>
      </c>
      <c r="M1073" s="0" t="n">
        <f aca="false">04_回帰ANOVA!$K$19*04_回帰ANOVA!$K$14*SQRT(1+L1073)</f>
        <v>1.58890363834478</v>
      </c>
      <c r="N1073" s="0" t="n">
        <f aca="false">K1073-M1073</f>
        <v>43.4377256720001</v>
      </c>
      <c r="O1073" s="0" t="n">
        <f aca="false">K1073+M1073</f>
        <v>46.6155329486896</v>
      </c>
      <c r="P1073" s="54" t="b">
        <f aca="false">AND(C1073&gt;=01_因子設定!$L$5-0.000000001,C1073&lt;=01_因子設定!$M$5+0.000000001,D1073&gt;=01_因子設定!$L$6-0.000000001,D1073&lt;=01_因子設定!$M$6+0.000000001,IF(01_因子設定!$B$20="Box-Behnken",C1073^2+D1073^2&lt;=2+0.000000001,TRUE()))</f>
        <v>1</v>
      </c>
      <c r="Q1073" s="55" t="n">
        <f aca="false">IF(P1073,IF(01_因子設定!$B$13="最大化",N1073-01_因子設定!$B$14,IF(01_因子設定!$B$13="最小化",01_因子設定!$B$15-O1073,MIN(N1073-01_因子設定!$B$14,01_因子設定!$B$15-O1073))),-1E+030)</f>
        <v>-3.06227432799995</v>
      </c>
      <c r="R1073" s="55" t="n">
        <f aca="false">IF(P1073,IF(01_因子設定!$B$13="最大化",K1073,IF(01_因子設定!$B$13="最小化",-K1073,-ABS(K1073-01_因子設定!$B$16))),-1E+030)</f>
        <v>45.0266293103448</v>
      </c>
      <c r="S1073" s="55" t="n">
        <f aca="false">Q1073+ROW()*0.000000001</f>
        <v>-3.06227325499995</v>
      </c>
      <c r="T1073" s="55" t="n">
        <f aca="false">R1073+ROW()*0.000000001</f>
        <v>45.0266303833448</v>
      </c>
    </row>
    <row r="1074" customFormat="false" ht="15" hidden="false" customHeight="false" outlineLevel="0" collapsed="false">
      <c r="A1074" s="0" t="n">
        <v>26</v>
      </c>
      <c r="B1074" s="0" t="n">
        <v>3</v>
      </c>
      <c r="C1074" s="0" t="n">
        <f aca="false">-1+A1074*0.05</f>
        <v>0.3</v>
      </c>
      <c r="D1074" s="0" t="n">
        <f aca="false">-1+B1074*0.05</f>
        <v>-0.85</v>
      </c>
      <c r="E1074" s="0" t="n">
        <f aca="false">1</f>
        <v>1</v>
      </c>
      <c r="F1074" s="0" t="n">
        <f aca="false">C1074</f>
        <v>0.3</v>
      </c>
      <c r="G1074" s="0" t="n">
        <f aca="false">D1074</f>
        <v>-0.85</v>
      </c>
      <c r="H1074" s="0" t="n">
        <f aca="false">C1074*D1074</f>
        <v>-0.255</v>
      </c>
      <c r="I1074" s="0" t="n">
        <f aca="false">C1074*C1074</f>
        <v>0.09</v>
      </c>
      <c r="J1074" s="0" t="n">
        <f aca="false">D1074*D1074</f>
        <v>0.7225</v>
      </c>
      <c r="K1074" s="0" t="n">
        <f aca="false">SUMPRODUCT(E1074:J1074,_XtX!$B$53:$G$53)</f>
        <v>45.282025862069</v>
      </c>
      <c r="L1074" s="0" t="n">
        <f aca="false">SUMPRODUCT(MMULT(E1074:J1074,_XtX!$B$44:$G$49),E1074:J1074)</f>
        <v>0.329980352011494</v>
      </c>
      <c r="M1074" s="0" t="n">
        <f aca="false">04_回帰ANOVA!$K$19*04_回帰ANOVA!$K$14*SQRT(1+L1074)</f>
        <v>1.56278482285818</v>
      </c>
      <c r="N1074" s="0" t="n">
        <f aca="false">K1074-M1074</f>
        <v>43.7192410392108</v>
      </c>
      <c r="O1074" s="0" t="n">
        <f aca="false">K1074+M1074</f>
        <v>46.8448106849272</v>
      </c>
      <c r="P1074" s="54" t="b">
        <f aca="false">AND(C1074&gt;=01_因子設定!$L$5-0.000000001,C1074&lt;=01_因子設定!$M$5+0.000000001,D1074&gt;=01_因子設定!$L$6-0.000000001,D1074&lt;=01_因子設定!$M$6+0.000000001,IF(01_因子設定!$B$20="Box-Behnken",C1074^2+D1074^2&lt;=2+0.000000001,TRUE()))</f>
        <v>1</v>
      </c>
      <c r="Q1074" s="55" t="n">
        <f aca="false">IF(P1074,IF(01_因子設定!$B$13="最大化",N1074-01_因子設定!$B$14,IF(01_因子設定!$B$13="最小化",01_因子設定!$B$15-O1074,MIN(N1074-01_因子設定!$B$14,01_因子設定!$B$15-O1074))),-1E+030)</f>
        <v>-2.78075896078921</v>
      </c>
      <c r="R1074" s="55" t="n">
        <f aca="false">IF(P1074,IF(01_因子設定!$B$13="最大化",K1074,IF(01_因子設定!$B$13="最小化",-K1074,-ABS(K1074-01_因子設定!$B$16))),-1E+030)</f>
        <v>45.282025862069</v>
      </c>
      <c r="S1074" s="55" t="n">
        <f aca="false">Q1074+ROW()*0.000000001</f>
        <v>-2.78075788678921</v>
      </c>
      <c r="T1074" s="55" t="n">
        <f aca="false">R1074+ROW()*0.000000001</f>
        <v>45.282026936069</v>
      </c>
    </row>
    <row r="1075" customFormat="false" ht="15" hidden="false" customHeight="false" outlineLevel="0" collapsed="false">
      <c r="A1075" s="0" t="n">
        <v>26</v>
      </c>
      <c r="B1075" s="0" t="n">
        <v>4</v>
      </c>
      <c r="C1075" s="0" t="n">
        <f aca="false">-1+A1075*0.05</f>
        <v>0.3</v>
      </c>
      <c r="D1075" s="0" t="n">
        <f aca="false">-1+B1075*0.05</f>
        <v>-0.8</v>
      </c>
      <c r="E1075" s="0" t="n">
        <f aca="false">1</f>
        <v>1</v>
      </c>
      <c r="F1075" s="0" t="n">
        <f aca="false">C1075</f>
        <v>0.3</v>
      </c>
      <c r="G1075" s="0" t="n">
        <f aca="false">D1075</f>
        <v>-0.8</v>
      </c>
      <c r="H1075" s="0" t="n">
        <f aca="false">C1075*D1075</f>
        <v>-0.24</v>
      </c>
      <c r="I1075" s="0" t="n">
        <f aca="false">C1075*C1075</f>
        <v>0.09</v>
      </c>
      <c r="J1075" s="0" t="n">
        <f aca="false">D1075*D1075</f>
        <v>0.64</v>
      </c>
      <c r="K1075" s="0" t="n">
        <f aca="false">SUMPRODUCT(E1075:J1075,_XtX!$B$53:$G$53)</f>
        <v>45.5297068965517</v>
      </c>
      <c r="L1075" s="0" t="n">
        <f aca="false">SUMPRODUCT(MMULT(E1075:J1075,_XtX!$B$44:$G$49),E1075:J1075)</f>
        <v>0.292792528735632</v>
      </c>
      <c r="M1075" s="0" t="n">
        <f aca="false">04_回帰ANOVA!$K$19*04_回帰ANOVA!$K$14*SQRT(1+L1075)</f>
        <v>1.54078126521906</v>
      </c>
      <c r="N1075" s="0" t="n">
        <f aca="false">K1075-M1075</f>
        <v>43.9889256313327</v>
      </c>
      <c r="O1075" s="0" t="n">
        <f aca="false">K1075+M1075</f>
        <v>47.0704881617708</v>
      </c>
      <c r="P1075" s="54" t="b">
        <f aca="false">AND(C1075&gt;=01_因子設定!$L$5-0.000000001,C1075&lt;=01_因子設定!$M$5+0.000000001,D1075&gt;=01_因子設定!$L$6-0.000000001,D1075&lt;=01_因子設定!$M$6+0.000000001,IF(01_因子設定!$B$20="Box-Behnken",C1075^2+D1075^2&lt;=2+0.000000001,TRUE()))</f>
        <v>1</v>
      </c>
      <c r="Q1075" s="55" t="n">
        <f aca="false">IF(P1075,IF(01_因子設定!$B$13="最大化",N1075-01_因子設定!$B$14,IF(01_因子設定!$B$13="最小化",01_因子設定!$B$15-O1075,MIN(N1075-01_因子設定!$B$14,01_因子設定!$B$15-O1075))),-1E+030)</f>
        <v>-2.51107436866734</v>
      </c>
      <c r="R1075" s="55" t="n">
        <f aca="false">IF(P1075,IF(01_因子設定!$B$13="最大化",K1075,IF(01_因子設定!$B$13="最小化",-K1075,-ABS(K1075-01_因子設定!$B$16))),-1E+030)</f>
        <v>45.5297068965517</v>
      </c>
      <c r="S1075" s="55" t="n">
        <f aca="false">Q1075+ROW()*0.000000001</f>
        <v>-2.51107329366734</v>
      </c>
      <c r="T1075" s="55" t="n">
        <f aca="false">R1075+ROW()*0.000000001</f>
        <v>45.5297079715517</v>
      </c>
    </row>
    <row r="1076" customFormat="false" ht="15" hidden="false" customHeight="false" outlineLevel="0" collapsed="false">
      <c r="A1076" s="0" t="n">
        <v>26</v>
      </c>
      <c r="B1076" s="0" t="n">
        <v>5</v>
      </c>
      <c r="C1076" s="0" t="n">
        <f aca="false">-1+A1076*0.05</f>
        <v>0.3</v>
      </c>
      <c r="D1076" s="0" t="n">
        <f aca="false">-1+B1076*0.05</f>
        <v>-0.75</v>
      </c>
      <c r="E1076" s="0" t="n">
        <f aca="false">1</f>
        <v>1</v>
      </c>
      <c r="F1076" s="0" t="n">
        <f aca="false">C1076</f>
        <v>0.3</v>
      </c>
      <c r="G1076" s="0" t="n">
        <f aca="false">D1076</f>
        <v>-0.75</v>
      </c>
      <c r="H1076" s="0" t="n">
        <f aca="false">C1076*D1076</f>
        <v>-0.225</v>
      </c>
      <c r="I1076" s="0" t="n">
        <f aca="false">C1076*C1076</f>
        <v>0.09</v>
      </c>
      <c r="J1076" s="0" t="n">
        <f aca="false">D1076*D1076</f>
        <v>0.5625</v>
      </c>
      <c r="K1076" s="0" t="n">
        <f aca="false">SUMPRODUCT(E1076:J1076,_XtX!$B$53:$G$53)</f>
        <v>45.7696724137931</v>
      </c>
      <c r="L1076" s="0" t="n">
        <f aca="false">SUMPRODUCT(MMULT(E1076:J1076,_XtX!$B$44:$G$49),E1076:J1076)</f>
        <v>0.262348168103448</v>
      </c>
      <c r="M1076" s="0" t="n">
        <f aca="false">04_回帰ANOVA!$K$19*04_回帰ANOVA!$K$14*SQRT(1+L1076)</f>
        <v>1.52253101891881</v>
      </c>
      <c r="N1076" s="0" t="n">
        <f aca="false">K1076-M1076</f>
        <v>44.2471413948743</v>
      </c>
      <c r="O1076" s="0" t="n">
        <f aca="false">K1076+M1076</f>
        <v>47.2922034327119</v>
      </c>
      <c r="P1076" s="54" t="b">
        <f aca="false">AND(C1076&gt;=01_因子設定!$L$5-0.000000001,C1076&lt;=01_因子設定!$M$5+0.000000001,D1076&gt;=01_因子設定!$L$6-0.000000001,D1076&lt;=01_因子設定!$M$6+0.000000001,IF(01_因子設定!$B$20="Box-Behnken",C1076^2+D1076^2&lt;=2+0.000000001,TRUE()))</f>
        <v>1</v>
      </c>
      <c r="Q1076" s="55" t="n">
        <f aca="false">IF(P1076,IF(01_因子設定!$B$13="最大化",N1076-01_因子設定!$B$14,IF(01_因子設定!$B$13="最小化",01_因子設定!$B$15-O1076,MIN(N1076-01_因子設定!$B$14,01_因子設定!$B$15-O1076))),-1E+030)</f>
        <v>-2.2528586051257</v>
      </c>
      <c r="R1076" s="55" t="n">
        <f aca="false">IF(P1076,IF(01_因子設定!$B$13="最大化",K1076,IF(01_因子設定!$B$13="最小化",-K1076,-ABS(K1076-01_因子設定!$B$16))),-1E+030)</f>
        <v>45.7696724137931</v>
      </c>
      <c r="S1076" s="55" t="n">
        <f aca="false">Q1076+ROW()*0.000000001</f>
        <v>-2.2528575291257</v>
      </c>
      <c r="T1076" s="55" t="n">
        <f aca="false">R1076+ROW()*0.000000001</f>
        <v>45.7696734897931</v>
      </c>
    </row>
    <row r="1077" customFormat="false" ht="15" hidden="false" customHeight="false" outlineLevel="0" collapsed="false">
      <c r="A1077" s="0" t="n">
        <v>26</v>
      </c>
      <c r="B1077" s="0" t="n">
        <v>6</v>
      </c>
      <c r="C1077" s="0" t="n">
        <f aca="false">-1+A1077*0.05</f>
        <v>0.3</v>
      </c>
      <c r="D1077" s="0" t="n">
        <f aca="false">-1+B1077*0.05</f>
        <v>-0.7</v>
      </c>
      <c r="E1077" s="0" t="n">
        <f aca="false">1</f>
        <v>1</v>
      </c>
      <c r="F1077" s="0" t="n">
        <f aca="false">C1077</f>
        <v>0.3</v>
      </c>
      <c r="G1077" s="0" t="n">
        <f aca="false">D1077</f>
        <v>-0.7</v>
      </c>
      <c r="H1077" s="0" t="n">
        <f aca="false">C1077*D1077</f>
        <v>-0.21</v>
      </c>
      <c r="I1077" s="0" t="n">
        <f aca="false">C1077*C1077</f>
        <v>0.09</v>
      </c>
      <c r="J1077" s="0" t="n">
        <f aca="false">D1077*D1077</f>
        <v>0.49</v>
      </c>
      <c r="K1077" s="0" t="n">
        <f aca="false">SUMPRODUCT(E1077:J1077,_XtX!$B$53:$G$53)</f>
        <v>46.0019224137931</v>
      </c>
      <c r="L1077" s="0" t="n">
        <f aca="false">SUMPRODUCT(MMULT(E1077:J1077,_XtX!$B$44:$G$49),E1077:J1077)</f>
        <v>0.237805459770115</v>
      </c>
      <c r="M1077" s="0" t="n">
        <f aca="false">04_回帰ANOVA!$K$19*04_回帰ANOVA!$K$14*SQRT(1+L1077)</f>
        <v>1.50765776664594</v>
      </c>
      <c r="N1077" s="0" t="n">
        <f aca="false">K1077-M1077</f>
        <v>44.4942646471472</v>
      </c>
      <c r="O1077" s="0" t="n">
        <f aca="false">K1077+M1077</f>
        <v>47.509580180439</v>
      </c>
      <c r="P1077" s="54" t="b">
        <f aca="false">AND(C1077&gt;=01_因子設定!$L$5-0.000000001,C1077&lt;=01_因子設定!$M$5+0.000000001,D1077&gt;=01_因子設定!$L$6-0.000000001,D1077&lt;=01_因子設定!$M$6+0.000000001,IF(01_因子設定!$B$20="Box-Behnken",C1077^2+D1077^2&lt;=2+0.000000001,TRUE()))</f>
        <v>1</v>
      </c>
      <c r="Q1077" s="55" t="n">
        <f aca="false">IF(P1077,IF(01_因子設定!$B$13="最大化",N1077-01_因子設定!$B$14,IF(01_因子設定!$B$13="最小化",01_因子設定!$B$15-O1077,MIN(N1077-01_因子設定!$B$14,01_因子設定!$B$15-O1077))),-1E+030)</f>
        <v>-2.00573535285284</v>
      </c>
      <c r="R1077" s="55" t="n">
        <f aca="false">IF(P1077,IF(01_因子設定!$B$13="最大化",K1077,IF(01_因子設定!$B$13="最小化",-K1077,-ABS(K1077-01_因子設定!$B$16))),-1E+030)</f>
        <v>46.0019224137931</v>
      </c>
      <c r="S1077" s="55" t="n">
        <f aca="false">Q1077+ROW()*0.000000001</f>
        <v>-2.00573427585284</v>
      </c>
      <c r="T1077" s="55" t="n">
        <f aca="false">R1077+ROW()*0.000000001</f>
        <v>46.0019234907931</v>
      </c>
    </row>
    <row r="1078" customFormat="false" ht="15" hidden="false" customHeight="false" outlineLevel="0" collapsed="false">
      <c r="A1078" s="0" t="n">
        <v>26</v>
      </c>
      <c r="B1078" s="0" t="n">
        <v>7</v>
      </c>
      <c r="C1078" s="0" t="n">
        <f aca="false">-1+A1078*0.05</f>
        <v>0.3</v>
      </c>
      <c r="D1078" s="0" t="n">
        <f aca="false">-1+B1078*0.05</f>
        <v>-0.65</v>
      </c>
      <c r="E1078" s="0" t="n">
        <f aca="false">1</f>
        <v>1</v>
      </c>
      <c r="F1078" s="0" t="n">
        <f aca="false">C1078</f>
        <v>0.3</v>
      </c>
      <c r="G1078" s="0" t="n">
        <f aca="false">D1078</f>
        <v>-0.65</v>
      </c>
      <c r="H1078" s="0" t="n">
        <f aca="false">C1078*D1078</f>
        <v>-0.195</v>
      </c>
      <c r="I1078" s="0" t="n">
        <f aca="false">C1078*C1078</f>
        <v>0.09</v>
      </c>
      <c r="J1078" s="0" t="n">
        <f aca="false">D1078*D1078</f>
        <v>0.4225</v>
      </c>
      <c r="K1078" s="0" t="n">
        <f aca="false">SUMPRODUCT(E1078:J1078,_XtX!$B$53:$G$53)</f>
        <v>46.2264568965517</v>
      </c>
      <c r="L1078" s="0" t="n">
        <f aca="false">SUMPRODUCT(MMULT(E1078:J1078,_XtX!$B$44:$G$49),E1078:J1078)</f>
        <v>0.218376903735632</v>
      </c>
      <c r="M1078" s="0" t="n">
        <f aca="false">04_回帰ANOVA!$K$19*04_回帰ANOVA!$K$14*SQRT(1+L1078)</f>
        <v>1.49577889495948</v>
      </c>
      <c r="N1078" s="0" t="n">
        <f aca="false">K1078-M1078</f>
        <v>44.7306780015922</v>
      </c>
      <c r="O1078" s="0" t="n">
        <f aca="false">K1078+M1078</f>
        <v>47.7222357915112</v>
      </c>
      <c r="P1078" s="54" t="b">
        <f aca="false">AND(C1078&gt;=01_因子設定!$L$5-0.000000001,C1078&lt;=01_因子設定!$M$5+0.000000001,D1078&gt;=01_因子設定!$L$6-0.000000001,D1078&lt;=01_因子設定!$M$6+0.000000001,IF(01_因子設定!$B$20="Box-Behnken",C1078^2+D1078^2&lt;=2+0.000000001,TRUE()))</f>
        <v>1</v>
      </c>
      <c r="Q1078" s="55" t="n">
        <f aca="false">IF(P1078,IF(01_因子設定!$B$13="最大化",N1078-01_因子設定!$B$14,IF(01_因子設定!$B$13="最小化",01_因子設定!$B$15-O1078,MIN(N1078-01_因子設定!$B$14,01_因子設定!$B$15-O1078))),-1E+030)</f>
        <v>-1.76932199840775</v>
      </c>
      <c r="R1078" s="55" t="n">
        <f aca="false">IF(P1078,IF(01_因子設定!$B$13="最大化",K1078,IF(01_因子設定!$B$13="最小化",-K1078,-ABS(K1078-01_因子設定!$B$16))),-1E+030)</f>
        <v>46.2264568965517</v>
      </c>
      <c r="S1078" s="55" t="n">
        <f aca="false">Q1078+ROW()*0.000000001</f>
        <v>-1.76932092040775</v>
      </c>
      <c r="T1078" s="55" t="n">
        <f aca="false">R1078+ROW()*0.000000001</f>
        <v>46.2264579745517</v>
      </c>
    </row>
    <row r="1079" customFormat="false" ht="15" hidden="false" customHeight="false" outlineLevel="0" collapsed="false">
      <c r="A1079" s="0" t="n">
        <v>26</v>
      </c>
      <c r="B1079" s="0" t="n">
        <v>8</v>
      </c>
      <c r="C1079" s="0" t="n">
        <f aca="false">-1+A1079*0.05</f>
        <v>0.3</v>
      </c>
      <c r="D1079" s="0" t="n">
        <f aca="false">-1+B1079*0.05</f>
        <v>-0.6</v>
      </c>
      <c r="E1079" s="0" t="n">
        <f aca="false">1</f>
        <v>1</v>
      </c>
      <c r="F1079" s="0" t="n">
        <f aca="false">C1079</f>
        <v>0.3</v>
      </c>
      <c r="G1079" s="0" t="n">
        <f aca="false">D1079</f>
        <v>-0.6</v>
      </c>
      <c r="H1079" s="0" t="n">
        <f aca="false">C1079*D1079</f>
        <v>-0.18</v>
      </c>
      <c r="I1079" s="0" t="n">
        <f aca="false">C1079*C1079</f>
        <v>0.09</v>
      </c>
      <c r="J1079" s="0" t="n">
        <f aca="false">D1079*D1079</f>
        <v>0.36</v>
      </c>
      <c r="K1079" s="0" t="n">
        <f aca="false">SUMPRODUCT(E1079:J1079,_XtX!$B$53:$G$53)</f>
        <v>46.443275862069</v>
      </c>
      <c r="L1079" s="0" t="n">
        <f aca="false">SUMPRODUCT(MMULT(E1079:J1079,_XtX!$B$44:$G$49),E1079:J1079)</f>
        <v>0.203329310344828</v>
      </c>
      <c r="M1079" s="0" t="n">
        <f aca="false">04_回帰ANOVA!$K$19*04_回帰ANOVA!$K$14*SQRT(1+L1079)</f>
        <v>1.48651337086407</v>
      </c>
      <c r="N1079" s="0" t="n">
        <f aca="false">K1079-M1079</f>
        <v>44.9567624912049</v>
      </c>
      <c r="O1079" s="0" t="n">
        <f aca="false">K1079+M1079</f>
        <v>47.929789232933</v>
      </c>
      <c r="P1079" s="54" t="b">
        <f aca="false">AND(C1079&gt;=01_因子設定!$L$5-0.000000001,C1079&lt;=01_因子設定!$M$5+0.000000001,D1079&gt;=01_因子設定!$L$6-0.000000001,D1079&lt;=01_因子設定!$M$6+0.000000001,IF(01_因子設定!$B$20="Box-Behnken",C1079^2+D1079^2&lt;=2+0.000000001,TRUE()))</f>
        <v>1</v>
      </c>
      <c r="Q1079" s="55" t="n">
        <f aca="false">IF(P1079,IF(01_因子設定!$B$13="最大化",N1079-01_因子設定!$B$14,IF(01_因子設定!$B$13="最小化",01_因子設定!$B$15-O1079,MIN(N1079-01_因子設定!$B$14,01_因子設定!$B$15-O1079))),-1E+030)</f>
        <v>-1.54323750879511</v>
      </c>
      <c r="R1079" s="55" t="n">
        <f aca="false">IF(P1079,IF(01_因子設定!$B$13="最大化",K1079,IF(01_因子設定!$B$13="最小化",-K1079,-ABS(K1079-01_因子設定!$B$16))),-1E+030)</f>
        <v>46.443275862069</v>
      </c>
      <c r="S1079" s="55" t="n">
        <f aca="false">Q1079+ROW()*0.000000001</f>
        <v>-1.54323642979511</v>
      </c>
      <c r="T1079" s="55" t="n">
        <f aca="false">R1079+ROW()*0.000000001</f>
        <v>46.443276941069</v>
      </c>
    </row>
    <row r="1080" customFormat="false" ht="15" hidden="false" customHeight="false" outlineLevel="0" collapsed="false">
      <c r="A1080" s="0" t="n">
        <v>26</v>
      </c>
      <c r="B1080" s="0" t="n">
        <v>9</v>
      </c>
      <c r="C1080" s="0" t="n">
        <f aca="false">-1+A1080*0.05</f>
        <v>0.3</v>
      </c>
      <c r="D1080" s="0" t="n">
        <f aca="false">-1+B1080*0.05</f>
        <v>-0.55</v>
      </c>
      <c r="E1080" s="0" t="n">
        <f aca="false">1</f>
        <v>1</v>
      </c>
      <c r="F1080" s="0" t="n">
        <f aca="false">C1080</f>
        <v>0.3</v>
      </c>
      <c r="G1080" s="0" t="n">
        <f aca="false">D1080</f>
        <v>-0.55</v>
      </c>
      <c r="H1080" s="0" t="n">
        <f aca="false">C1080*D1080</f>
        <v>-0.165</v>
      </c>
      <c r="I1080" s="0" t="n">
        <f aca="false">C1080*C1080</f>
        <v>0.09</v>
      </c>
      <c r="J1080" s="0" t="n">
        <f aca="false">D1080*D1080</f>
        <v>0.3025</v>
      </c>
      <c r="K1080" s="0" t="n">
        <f aca="false">SUMPRODUCT(E1080:J1080,_XtX!$B$53:$G$53)</f>
        <v>46.6523793103448</v>
      </c>
      <c r="L1080" s="0" t="n">
        <f aca="false">SUMPRODUCT(MMULT(E1080:J1080,_XtX!$B$44:$G$49),E1080:J1080)</f>
        <v>0.191983800287356</v>
      </c>
      <c r="M1080" s="0" t="n">
        <f aca="false">04_回帰ANOVA!$K$19*04_回帰ANOVA!$K$14*SQRT(1+L1080)</f>
        <v>1.47948902848418</v>
      </c>
      <c r="N1080" s="0" t="n">
        <f aca="false">K1080-M1080</f>
        <v>45.1728902818606</v>
      </c>
      <c r="O1080" s="0" t="n">
        <f aca="false">K1080+M1080</f>
        <v>48.131868338829</v>
      </c>
      <c r="P1080" s="54" t="b">
        <f aca="false">AND(C1080&gt;=01_因子設定!$L$5-0.000000001,C1080&lt;=01_因子設定!$M$5+0.000000001,D1080&gt;=01_因子設定!$L$6-0.000000001,D1080&lt;=01_因子設定!$M$6+0.000000001,IF(01_因子設定!$B$20="Box-Behnken",C1080^2+D1080^2&lt;=2+0.000000001,TRUE()))</f>
        <v>1</v>
      </c>
      <c r="Q1080" s="55" t="n">
        <f aca="false">IF(P1080,IF(01_因子設定!$B$13="最大化",N1080-01_因子設定!$B$14,IF(01_因子設定!$B$13="最小化",01_因子設定!$B$15-O1080,MIN(N1080-01_因子設定!$B$14,01_因子設定!$B$15-O1080))),-1E+030)</f>
        <v>-1.32710971813935</v>
      </c>
      <c r="R1080" s="55" t="n">
        <f aca="false">IF(P1080,IF(01_因子設定!$B$13="最大化",K1080,IF(01_因子設定!$B$13="最小化",-K1080,-ABS(K1080-01_因子設定!$B$16))),-1E+030)</f>
        <v>46.6523793103448</v>
      </c>
      <c r="S1080" s="55" t="n">
        <f aca="false">Q1080+ROW()*0.000000001</f>
        <v>-1.32710863813935</v>
      </c>
      <c r="T1080" s="55" t="n">
        <f aca="false">R1080+ROW()*0.000000001</f>
        <v>46.6523803903448</v>
      </c>
    </row>
    <row r="1081" customFormat="false" ht="15" hidden="false" customHeight="false" outlineLevel="0" collapsed="false">
      <c r="A1081" s="0" t="n">
        <v>26</v>
      </c>
      <c r="B1081" s="0" t="n">
        <v>10</v>
      </c>
      <c r="C1081" s="0" t="n">
        <f aca="false">-1+A1081*0.05</f>
        <v>0.3</v>
      </c>
      <c r="D1081" s="0" t="n">
        <f aca="false">-1+B1081*0.05</f>
        <v>-0.5</v>
      </c>
      <c r="E1081" s="0" t="n">
        <f aca="false">1</f>
        <v>1</v>
      </c>
      <c r="F1081" s="0" t="n">
        <f aca="false">C1081</f>
        <v>0.3</v>
      </c>
      <c r="G1081" s="0" t="n">
        <f aca="false">D1081</f>
        <v>-0.5</v>
      </c>
      <c r="H1081" s="0" t="n">
        <f aca="false">C1081*D1081</f>
        <v>-0.15</v>
      </c>
      <c r="I1081" s="0" t="n">
        <f aca="false">C1081*C1081</f>
        <v>0.09</v>
      </c>
      <c r="J1081" s="0" t="n">
        <f aca="false">D1081*D1081</f>
        <v>0.25</v>
      </c>
      <c r="K1081" s="0" t="n">
        <f aca="false">SUMPRODUCT(E1081:J1081,_XtX!$B$53:$G$53)</f>
        <v>46.8537672413793</v>
      </c>
      <c r="L1081" s="0" t="n">
        <f aca="false">SUMPRODUCT(MMULT(E1081:J1081,_XtX!$B$44:$G$49),E1081:J1081)</f>
        <v>0.183715804597701</v>
      </c>
      <c r="M1081" s="0" t="n">
        <f aca="false">04_回帰ANOVA!$K$19*04_回帰ANOVA!$K$14*SQRT(1+L1081)</f>
        <v>1.47434898597359</v>
      </c>
      <c r="N1081" s="0" t="n">
        <f aca="false">K1081-M1081</f>
        <v>45.3794182554057</v>
      </c>
      <c r="O1081" s="0" t="n">
        <f aca="false">K1081+M1081</f>
        <v>48.3281162273529</v>
      </c>
      <c r="P1081" s="54" t="b">
        <f aca="false">AND(C1081&gt;=01_因子設定!$L$5-0.000000001,C1081&lt;=01_因子設定!$M$5+0.000000001,D1081&gt;=01_因子設定!$L$6-0.000000001,D1081&lt;=01_因子設定!$M$6+0.000000001,IF(01_因子設定!$B$20="Box-Behnken",C1081^2+D1081^2&lt;=2+0.000000001,TRUE()))</f>
        <v>1</v>
      </c>
      <c r="Q1081" s="55" t="n">
        <f aca="false">IF(P1081,IF(01_因子設定!$B$13="最大化",N1081-01_因子設定!$B$14,IF(01_因子設定!$B$13="最小化",01_因子設定!$B$15-O1081,MIN(N1081-01_因子設定!$B$14,01_因子設定!$B$15-O1081))),-1E+030)</f>
        <v>-1.12058174459428</v>
      </c>
      <c r="R1081" s="55" t="n">
        <f aca="false">IF(P1081,IF(01_因子設定!$B$13="最大化",K1081,IF(01_因子設定!$B$13="最小化",-K1081,-ABS(K1081-01_因子設定!$B$16))),-1E+030)</f>
        <v>46.8537672413793</v>
      </c>
      <c r="S1081" s="55" t="n">
        <f aca="false">Q1081+ROW()*0.000000001</f>
        <v>-1.12058066359428</v>
      </c>
      <c r="T1081" s="55" t="n">
        <f aca="false">R1081+ROW()*0.000000001</f>
        <v>46.8537683223793</v>
      </c>
    </row>
    <row r="1082" customFormat="false" ht="15" hidden="false" customHeight="false" outlineLevel="0" collapsed="false">
      <c r="A1082" s="0" t="n">
        <v>26</v>
      </c>
      <c r="B1082" s="0" t="n">
        <v>11</v>
      </c>
      <c r="C1082" s="0" t="n">
        <f aca="false">-1+A1082*0.05</f>
        <v>0.3</v>
      </c>
      <c r="D1082" s="0" t="n">
        <f aca="false">-1+B1082*0.05</f>
        <v>-0.45</v>
      </c>
      <c r="E1082" s="0" t="n">
        <f aca="false">1</f>
        <v>1</v>
      </c>
      <c r="F1082" s="0" t="n">
        <f aca="false">C1082</f>
        <v>0.3</v>
      </c>
      <c r="G1082" s="0" t="n">
        <f aca="false">D1082</f>
        <v>-0.45</v>
      </c>
      <c r="H1082" s="0" t="n">
        <f aca="false">C1082*D1082</f>
        <v>-0.135</v>
      </c>
      <c r="I1082" s="0" t="n">
        <f aca="false">C1082*C1082</f>
        <v>0.09</v>
      </c>
      <c r="J1082" s="0" t="n">
        <f aca="false">D1082*D1082</f>
        <v>0.2025</v>
      </c>
      <c r="K1082" s="0" t="n">
        <f aca="false">SUMPRODUCT(E1082:J1082,_XtX!$B$53:$G$53)</f>
        <v>47.0474396551724</v>
      </c>
      <c r="L1082" s="0" t="n">
        <f aca="false">SUMPRODUCT(MMULT(E1082:J1082,_XtX!$B$44:$G$49),E1082:J1082)</f>
        <v>0.177955064655172</v>
      </c>
      <c r="M1082" s="0" t="n">
        <f aca="false">04_回帰ANOVA!$K$19*04_回帰ANOVA!$K$14*SQRT(1+L1082)</f>
        <v>1.47075703432952</v>
      </c>
      <c r="N1082" s="0" t="n">
        <f aca="false">K1082-M1082</f>
        <v>45.5766826208429</v>
      </c>
      <c r="O1082" s="0" t="n">
        <f aca="false">K1082+M1082</f>
        <v>48.5181966895019</v>
      </c>
      <c r="P1082" s="54" t="b">
        <f aca="false">AND(C1082&gt;=01_因子設定!$L$5-0.000000001,C1082&lt;=01_因子設定!$M$5+0.000000001,D1082&gt;=01_因子設定!$L$6-0.000000001,D1082&lt;=01_因子設定!$M$6+0.000000001,IF(01_因子設定!$B$20="Box-Behnken",C1082^2+D1082^2&lt;=2+0.000000001,TRUE()))</f>
        <v>1</v>
      </c>
      <c r="Q1082" s="55" t="n">
        <f aca="false">IF(P1082,IF(01_因子設定!$B$13="最大化",N1082-01_因子設定!$B$14,IF(01_因子設定!$B$13="最小化",01_因子設定!$B$15-O1082,MIN(N1082-01_因子設定!$B$14,01_因子設定!$B$15-O1082))),-1E+030)</f>
        <v>-0.923317379157105</v>
      </c>
      <c r="R1082" s="55" t="n">
        <f aca="false">IF(P1082,IF(01_因子設定!$B$13="最大化",K1082,IF(01_因子設定!$B$13="最小化",-K1082,-ABS(K1082-01_因子設定!$B$16))),-1E+030)</f>
        <v>47.0474396551724</v>
      </c>
      <c r="S1082" s="55" t="n">
        <f aca="false">Q1082+ROW()*0.000000001</f>
        <v>-0.923316297157105</v>
      </c>
      <c r="T1082" s="55" t="n">
        <f aca="false">R1082+ROW()*0.000000001</f>
        <v>47.0474407371724</v>
      </c>
    </row>
    <row r="1083" customFormat="false" ht="15" hidden="false" customHeight="false" outlineLevel="0" collapsed="false">
      <c r="A1083" s="0" t="n">
        <v>26</v>
      </c>
      <c r="B1083" s="0" t="n">
        <v>12</v>
      </c>
      <c r="C1083" s="0" t="n">
        <f aca="false">-1+A1083*0.05</f>
        <v>0.3</v>
      </c>
      <c r="D1083" s="0" t="n">
        <f aca="false">-1+B1083*0.05</f>
        <v>-0.4</v>
      </c>
      <c r="E1083" s="0" t="n">
        <f aca="false">1</f>
        <v>1</v>
      </c>
      <c r="F1083" s="0" t="n">
        <f aca="false">C1083</f>
        <v>0.3</v>
      </c>
      <c r="G1083" s="0" t="n">
        <f aca="false">D1083</f>
        <v>-0.4</v>
      </c>
      <c r="H1083" s="0" t="n">
        <f aca="false">C1083*D1083</f>
        <v>-0.12</v>
      </c>
      <c r="I1083" s="0" t="n">
        <f aca="false">C1083*C1083</f>
        <v>0.09</v>
      </c>
      <c r="J1083" s="0" t="n">
        <f aca="false">D1083*D1083</f>
        <v>0.16</v>
      </c>
      <c r="K1083" s="0" t="n">
        <f aca="false">SUMPRODUCT(E1083:J1083,_XtX!$B$53:$G$53)</f>
        <v>47.2333965517241</v>
      </c>
      <c r="L1083" s="0" t="n">
        <f aca="false">SUMPRODUCT(MMULT(E1083:J1083,_XtX!$B$44:$G$49),E1083:J1083)</f>
        <v>0.174185632183908</v>
      </c>
      <c r="M1083" s="0" t="n">
        <f aca="false">04_回帰ANOVA!$K$19*04_回帰ANOVA!$K$14*SQRT(1+L1083)</f>
        <v>1.46840195232898</v>
      </c>
      <c r="N1083" s="0" t="n">
        <f aca="false">K1083-M1083</f>
        <v>45.7649945993952</v>
      </c>
      <c r="O1083" s="0" t="n">
        <f aca="false">K1083+M1083</f>
        <v>48.7017985040531</v>
      </c>
      <c r="P1083" s="54" t="b">
        <f aca="false">AND(C1083&gt;=01_因子設定!$L$5-0.000000001,C1083&lt;=01_因子設定!$M$5+0.000000001,D1083&gt;=01_因子設定!$L$6-0.000000001,D1083&lt;=01_因子設定!$M$6+0.000000001,IF(01_因子設定!$B$20="Box-Behnken",C1083^2+D1083^2&lt;=2+0.000000001,TRUE()))</f>
        <v>1</v>
      </c>
      <c r="Q1083" s="55" t="n">
        <f aca="false">IF(P1083,IF(01_因子設定!$B$13="最大化",N1083-01_因子設定!$B$14,IF(01_因子設定!$B$13="最小化",01_因子設定!$B$15-O1083,MIN(N1083-01_因子設定!$B$14,01_因子設定!$B$15-O1083))),-1E+030)</f>
        <v>-0.735005400604841</v>
      </c>
      <c r="R1083" s="55" t="n">
        <f aca="false">IF(P1083,IF(01_因子設定!$B$13="最大化",K1083,IF(01_因子設定!$B$13="最小化",-K1083,-ABS(K1083-01_因子設定!$B$16))),-1E+030)</f>
        <v>47.2333965517241</v>
      </c>
      <c r="S1083" s="55" t="n">
        <f aca="false">Q1083+ROW()*0.000000001</f>
        <v>-0.735004317604841</v>
      </c>
      <c r="T1083" s="55" t="n">
        <f aca="false">R1083+ROW()*0.000000001</f>
        <v>47.2333976347241</v>
      </c>
    </row>
    <row r="1084" customFormat="false" ht="15" hidden="false" customHeight="false" outlineLevel="0" collapsed="false">
      <c r="A1084" s="0" t="n">
        <v>26</v>
      </c>
      <c r="B1084" s="0" t="n">
        <v>13</v>
      </c>
      <c r="C1084" s="0" t="n">
        <f aca="false">-1+A1084*0.05</f>
        <v>0.3</v>
      </c>
      <c r="D1084" s="0" t="n">
        <f aca="false">-1+B1084*0.05</f>
        <v>-0.35</v>
      </c>
      <c r="E1084" s="0" t="n">
        <f aca="false">1</f>
        <v>1</v>
      </c>
      <c r="F1084" s="0" t="n">
        <f aca="false">C1084</f>
        <v>0.3</v>
      </c>
      <c r="G1084" s="0" t="n">
        <f aca="false">D1084</f>
        <v>-0.35</v>
      </c>
      <c r="H1084" s="0" t="n">
        <f aca="false">C1084*D1084</f>
        <v>-0.105</v>
      </c>
      <c r="I1084" s="0" t="n">
        <f aca="false">C1084*C1084</f>
        <v>0.09</v>
      </c>
      <c r="J1084" s="0" t="n">
        <f aca="false">D1084*D1084</f>
        <v>0.1225</v>
      </c>
      <c r="K1084" s="0" t="n">
        <f aca="false">SUMPRODUCT(E1084:J1084,_XtX!$B$53:$G$53)</f>
        <v>47.4116379310345</v>
      </c>
      <c r="L1084" s="0" t="n">
        <f aca="false">SUMPRODUCT(MMULT(E1084:J1084,_XtX!$B$44:$G$49),E1084:J1084)</f>
        <v>0.171945869252874</v>
      </c>
      <c r="M1084" s="0" t="n">
        <f aca="false">04_回帰ANOVA!$K$19*04_回帰ANOVA!$K$14*SQRT(1+L1084)</f>
        <v>1.46700079306941</v>
      </c>
      <c r="N1084" s="0" t="n">
        <f aca="false">K1084-M1084</f>
        <v>45.9446371379651</v>
      </c>
      <c r="O1084" s="0" t="n">
        <f aca="false">K1084+M1084</f>
        <v>48.8786387241039</v>
      </c>
      <c r="P1084" s="54" t="b">
        <f aca="false">AND(C1084&gt;=01_因子設定!$L$5-0.000000001,C1084&lt;=01_因子設定!$M$5+0.000000001,D1084&gt;=01_因子設定!$L$6-0.000000001,D1084&lt;=01_因子設定!$M$6+0.000000001,IF(01_因子設定!$B$20="Box-Behnken",C1084^2+D1084^2&lt;=2+0.000000001,TRUE()))</f>
        <v>1</v>
      </c>
      <c r="Q1084" s="55" t="n">
        <f aca="false">IF(P1084,IF(01_因子設定!$B$13="最大化",N1084-01_因子設定!$B$14,IF(01_因子設定!$B$13="最小化",01_因子設定!$B$15-O1084,MIN(N1084-01_因子設定!$B$14,01_因子設定!$B$15-O1084))),-1E+030)</f>
        <v>-0.555362862034926</v>
      </c>
      <c r="R1084" s="55" t="n">
        <f aca="false">IF(P1084,IF(01_因子設定!$B$13="最大化",K1084,IF(01_因子設定!$B$13="最小化",-K1084,-ABS(K1084-01_因子設定!$B$16))),-1E+030)</f>
        <v>47.4116379310345</v>
      </c>
      <c r="S1084" s="55" t="n">
        <f aca="false">Q1084+ROW()*0.000000001</f>
        <v>-0.555361778034926</v>
      </c>
      <c r="T1084" s="55" t="n">
        <f aca="false">R1084+ROW()*0.000000001</f>
        <v>47.4116390150345</v>
      </c>
    </row>
    <row r="1085" customFormat="false" ht="15" hidden="false" customHeight="false" outlineLevel="0" collapsed="false">
      <c r="A1085" s="0" t="n">
        <v>26</v>
      </c>
      <c r="B1085" s="0" t="n">
        <v>14</v>
      </c>
      <c r="C1085" s="0" t="n">
        <f aca="false">-1+A1085*0.05</f>
        <v>0.3</v>
      </c>
      <c r="D1085" s="0" t="n">
        <f aca="false">-1+B1085*0.05</f>
        <v>-0.3</v>
      </c>
      <c r="E1085" s="0" t="n">
        <f aca="false">1</f>
        <v>1</v>
      </c>
      <c r="F1085" s="0" t="n">
        <f aca="false">C1085</f>
        <v>0.3</v>
      </c>
      <c r="G1085" s="0" t="n">
        <f aca="false">D1085</f>
        <v>-0.3</v>
      </c>
      <c r="H1085" s="0" t="n">
        <f aca="false">C1085*D1085</f>
        <v>-0.09</v>
      </c>
      <c r="I1085" s="0" t="n">
        <f aca="false">C1085*C1085</f>
        <v>0.09</v>
      </c>
      <c r="J1085" s="0" t="n">
        <f aca="false">D1085*D1085</f>
        <v>0.09</v>
      </c>
      <c r="K1085" s="0" t="n">
        <f aca="false">SUMPRODUCT(E1085:J1085,_XtX!$B$53:$G$53)</f>
        <v>47.5821637931035</v>
      </c>
      <c r="L1085" s="0" t="n">
        <f aca="false">SUMPRODUCT(MMULT(E1085:J1085,_XtX!$B$44:$G$49),E1085:J1085)</f>
        <v>0.170828448275862</v>
      </c>
      <c r="M1085" s="0" t="n">
        <f aca="false">04_回帰ANOVA!$K$19*04_回帰ANOVA!$K$14*SQRT(1+L1085)</f>
        <v>1.46630125205963</v>
      </c>
      <c r="N1085" s="0" t="n">
        <f aca="false">K1085-M1085</f>
        <v>46.1158625410438</v>
      </c>
      <c r="O1085" s="0" t="n">
        <f aca="false">K1085+M1085</f>
        <v>49.0484650451631</v>
      </c>
      <c r="P1085" s="54" t="b">
        <f aca="false">AND(C1085&gt;=01_因子設定!$L$5-0.000000001,C1085&lt;=01_因子設定!$M$5+0.000000001,D1085&gt;=01_因子設定!$L$6-0.000000001,D1085&lt;=01_因子設定!$M$6+0.000000001,IF(01_因子設定!$B$20="Box-Behnken",C1085^2+D1085^2&lt;=2+0.000000001,TRUE()))</f>
        <v>1</v>
      </c>
      <c r="Q1085" s="55" t="n">
        <f aca="false">IF(P1085,IF(01_因子設定!$B$13="最大化",N1085-01_因子設定!$B$14,IF(01_因子設定!$B$13="最小化",01_因子設定!$B$15-O1085,MIN(N1085-01_因子設定!$B$14,01_因子設定!$B$15-O1085))),-1E+030)</f>
        <v>-0.384137458956182</v>
      </c>
      <c r="R1085" s="55" t="n">
        <f aca="false">IF(P1085,IF(01_因子設定!$B$13="最大化",K1085,IF(01_因子設定!$B$13="最小化",-K1085,-ABS(K1085-01_因子設定!$B$16))),-1E+030)</f>
        <v>47.5821637931035</v>
      </c>
      <c r="S1085" s="55" t="n">
        <f aca="false">Q1085+ROW()*0.000000001</f>
        <v>-0.384136373956182</v>
      </c>
      <c r="T1085" s="55" t="n">
        <f aca="false">R1085+ROW()*0.000000001</f>
        <v>47.5821648781035</v>
      </c>
    </row>
    <row r="1086" customFormat="false" ht="15" hidden="false" customHeight="false" outlineLevel="0" collapsed="false">
      <c r="A1086" s="0" t="n">
        <v>26</v>
      </c>
      <c r="B1086" s="0" t="n">
        <v>15</v>
      </c>
      <c r="C1086" s="0" t="n">
        <f aca="false">-1+A1086*0.05</f>
        <v>0.3</v>
      </c>
      <c r="D1086" s="0" t="n">
        <f aca="false">-1+B1086*0.05</f>
        <v>-0.25</v>
      </c>
      <c r="E1086" s="0" t="n">
        <f aca="false">1</f>
        <v>1</v>
      </c>
      <c r="F1086" s="0" t="n">
        <f aca="false">C1086</f>
        <v>0.3</v>
      </c>
      <c r="G1086" s="0" t="n">
        <f aca="false">D1086</f>
        <v>-0.25</v>
      </c>
      <c r="H1086" s="0" t="n">
        <f aca="false">C1086*D1086</f>
        <v>-0.075</v>
      </c>
      <c r="I1086" s="0" t="n">
        <f aca="false">C1086*C1086</f>
        <v>0.09</v>
      </c>
      <c r="J1086" s="0" t="n">
        <f aca="false">D1086*D1086</f>
        <v>0.0625</v>
      </c>
      <c r="K1086" s="0" t="n">
        <f aca="false">SUMPRODUCT(E1086:J1086,_XtX!$B$53:$G$53)</f>
        <v>47.744974137931</v>
      </c>
      <c r="L1086" s="0" t="n">
        <f aca="false">SUMPRODUCT(MMULT(E1086:J1086,_XtX!$B$44:$G$49),E1086:J1086)</f>
        <v>0.170480352011494</v>
      </c>
      <c r="M1086" s="0" t="n">
        <f aca="false">04_回帰ANOVA!$K$19*04_回帰ANOVA!$K$14*SQRT(1+L1086)</f>
        <v>1.46608326456019</v>
      </c>
      <c r="N1086" s="0" t="n">
        <f aca="false">K1086-M1086</f>
        <v>46.2788908733708</v>
      </c>
      <c r="O1086" s="0" t="n">
        <f aca="false">K1086+M1086</f>
        <v>49.2110574024912</v>
      </c>
      <c r="P1086" s="54" t="b">
        <f aca="false">AND(C1086&gt;=01_因子設定!$L$5-0.000000001,C1086&lt;=01_因子設定!$M$5+0.000000001,D1086&gt;=01_因子設定!$L$6-0.000000001,D1086&lt;=01_因子設定!$M$6+0.000000001,IF(01_因子設定!$B$20="Box-Behnken",C1086^2+D1086^2&lt;=2+0.000000001,TRUE()))</f>
        <v>1</v>
      </c>
      <c r="Q1086" s="55" t="n">
        <f aca="false">IF(P1086,IF(01_因子設定!$B$13="最大化",N1086-01_因子設定!$B$14,IF(01_因子設定!$B$13="最小化",01_因子設定!$B$15-O1086,MIN(N1086-01_因子設定!$B$14,01_因子設定!$B$15-O1086))),-1E+030)</f>
        <v>-0.221109126629159</v>
      </c>
      <c r="R1086" s="55" t="n">
        <f aca="false">IF(P1086,IF(01_因子設定!$B$13="最大化",K1086,IF(01_因子設定!$B$13="最小化",-K1086,-ABS(K1086-01_因子設定!$B$16))),-1E+030)</f>
        <v>47.744974137931</v>
      </c>
      <c r="S1086" s="55" t="n">
        <f aca="false">Q1086+ROW()*0.000000001</f>
        <v>-0.221108040629159</v>
      </c>
      <c r="T1086" s="55" t="n">
        <f aca="false">R1086+ROW()*0.000000001</f>
        <v>47.744975223931</v>
      </c>
    </row>
    <row r="1087" customFormat="false" ht="15" hidden="false" customHeight="false" outlineLevel="0" collapsed="false">
      <c r="A1087" s="0" t="n">
        <v>26</v>
      </c>
      <c r="B1087" s="0" t="n">
        <v>16</v>
      </c>
      <c r="C1087" s="0" t="n">
        <f aca="false">-1+A1087*0.05</f>
        <v>0.3</v>
      </c>
      <c r="D1087" s="0" t="n">
        <f aca="false">-1+B1087*0.05</f>
        <v>-0.2</v>
      </c>
      <c r="E1087" s="0" t="n">
        <f aca="false">1</f>
        <v>1</v>
      </c>
      <c r="F1087" s="0" t="n">
        <f aca="false">C1087</f>
        <v>0.3</v>
      </c>
      <c r="G1087" s="0" t="n">
        <f aca="false">D1087</f>
        <v>-0.2</v>
      </c>
      <c r="H1087" s="0" t="n">
        <f aca="false">C1087*D1087</f>
        <v>-0.06</v>
      </c>
      <c r="I1087" s="0" t="n">
        <f aca="false">C1087*C1087</f>
        <v>0.09</v>
      </c>
      <c r="J1087" s="0" t="n">
        <f aca="false">D1087*D1087</f>
        <v>0.04</v>
      </c>
      <c r="K1087" s="0" t="n">
        <f aca="false">SUMPRODUCT(E1087:J1087,_XtX!$B$53:$G$53)</f>
        <v>47.9000689655172</v>
      </c>
      <c r="L1087" s="0" t="n">
        <f aca="false">SUMPRODUCT(MMULT(E1087:J1087,_XtX!$B$44:$G$49),E1087:J1087)</f>
        <v>0.170602873563218</v>
      </c>
      <c r="M1087" s="0" t="n">
        <f aca="false">04_回帰ANOVA!$K$19*04_回帰ANOVA!$K$14*SQRT(1+L1087)</f>
        <v>1.46615999463764</v>
      </c>
      <c r="N1087" s="0" t="n">
        <f aca="false">K1087-M1087</f>
        <v>46.4339089708796</v>
      </c>
      <c r="O1087" s="0" t="n">
        <f aca="false">K1087+M1087</f>
        <v>49.3662289601549</v>
      </c>
      <c r="P1087" s="54" t="b">
        <f aca="false">AND(C1087&gt;=01_因子設定!$L$5-0.000000001,C1087&lt;=01_因子設定!$M$5+0.000000001,D1087&gt;=01_因子設定!$L$6-0.000000001,D1087&lt;=01_因子設定!$M$6+0.000000001,IF(01_因子設定!$B$20="Box-Behnken",C1087^2+D1087^2&lt;=2+0.000000001,TRUE()))</f>
        <v>1</v>
      </c>
      <c r="Q1087" s="55" t="n">
        <f aca="false">IF(P1087,IF(01_因子設定!$B$13="最大化",N1087-01_因子設定!$B$14,IF(01_因子設定!$B$13="最小化",01_因子設定!$B$15-O1087,MIN(N1087-01_因子設定!$B$14,01_因子設定!$B$15-O1087))),-1E+030)</f>
        <v>-0.0660910291203933</v>
      </c>
      <c r="R1087" s="55" t="n">
        <f aca="false">IF(P1087,IF(01_因子設定!$B$13="最大化",K1087,IF(01_因子設定!$B$13="最小化",-K1087,-ABS(K1087-01_因子設定!$B$16))),-1E+030)</f>
        <v>47.9000689655172</v>
      </c>
      <c r="S1087" s="55" t="n">
        <f aca="false">Q1087+ROW()*0.000000001</f>
        <v>-0.0660899421203933</v>
      </c>
      <c r="T1087" s="55" t="n">
        <f aca="false">R1087+ROW()*0.000000001</f>
        <v>47.9000700525172</v>
      </c>
    </row>
    <row r="1088" customFormat="false" ht="15" hidden="false" customHeight="false" outlineLevel="0" collapsed="false">
      <c r="A1088" s="0" t="n">
        <v>26</v>
      </c>
      <c r="B1088" s="0" t="n">
        <v>17</v>
      </c>
      <c r="C1088" s="0" t="n">
        <f aca="false">-1+A1088*0.05</f>
        <v>0.3</v>
      </c>
      <c r="D1088" s="0" t="n">
        <f aca="false">-1+B1088*0.05</f>
        <v>-0.15</v>
      </c>
      <c r="E1088" s="0" t="n">
        <f aca="false">1</f>
        <v>1</v>
      </c>
      <c r="F1088" s="0" t="n">
        <f aca="false">C1088</f>
        <v>0.3</v>
      </c>
      <c r="G1088" s="0" t="n">
        <f aca="false">D1088</f>
        <v>-0.15</v>
      </c>
      <c r="H1088" s="0" t="n">
        <f aca="false">C1088*D1088</f>
        <v>-0.045</v>
      </c>
      <c r="I1088" s="0" t="n">
        <f aca="false">C1088*C1088</f>
        <v>0.09</v>
      </c>
      <c r="J1088" s="0" t="n">
        <f aca="false">D1088*D1088</f>
        <v>0.0225</v>
      </c>
      <c r="K1088" s="0" t="n">
        <f aca="false">SUMPRODUCT(E1088:J1088,_XtX!$B$53:$G$53)</f>
        <v>48.0474482758621</v>
      </c>
      <c r="L1088" s="0" t="n">
        <f aca="false">SUMPRODUCT(MMULT(E1088:J1088,_XtX!$B$44:$G$49),E1088:J1088)</f>
        <v>0.17095161637931</v>
      </c>
      <c r="M1088" s="0" t="n">
        <f aca="false">04_回帰ANOVA!$K$19*04_回帰ANOVA!$K$14*SQRT(1+L1088)</f>
        <v>1.46637837556782</v>
      </c>
      <c r="N1088" s="0" t="n">
        <f aca="false">K1088-M1088</f>
        <v>46.5810699002942</v>
      </c>
      <c r="O1088" s="0" t="n">
        <f aca="false">K1088+M1088</f>
        <v>49.5138266514299</v>
      </c>
      <c r="P1088" s="54" t="b">
        <f aca="false">AND(C1088&gt;=01_因子設定!$L$5-0.000000001,C1088&lt;=01_因子設定!$M$5+0.000000001,D1088&gt;=01_因子設定!$L$6-0.000000001,D1088&lt;=01_因子設定!$M$6+0.000000001,IF(01_因子設定!$B$20="Box-Behnken",C1088^2+D1088^2&lt;=2+0.000000001,TRUE()))</f>
        <v>1</v>
      </c>
      <c r="Q1088" s="55" t="n">
        <f aca="false">IF(P1088,IF(01_因子設定!$B$13="最大化",N1088-01_因子設定!$B$14,IF(01_因子設定!$B$13="最小化",01_因子設定!$B$15-O1088,MIN(N1088-01_因子設定!$B$14,01_因子設定!$B$15-O1088))),-1E+030)</f>
        <v>0.0810699002942457</v>
      </c>
      <c r="R1088" s="55" t="n">
        <f aca="false">IF(P1088,IF(01_因子設定!$B$13="最大化",K1088,IF(01_因子設定!$B$13="最小化",-K1088,-ABS(K1088-01_因子設定!$B$16))),-1E+030)</f>
        <v>48.0474482758621</v>
      </c>
      <c r="S1088" s="55" t="n">
        <f aca="false">Q1088+ROW()*0.000000001</f>
        <v>0.0810709882942457</v>
      </c>
      <c r="T1088" s="55" t="n">
        <f aca="false">R1088+ROW()*0.000000001</f>
        <v>48.0474493638621</v>
      </c>
    </row>
    <row r="1089" customFormat="false" ht="15" hidden="false" customHeight="false" outlineLevel="0" collapsed="false">
      <c r="A1089" s="0" t="n">
        <v>26</v>
      </c>
      <c r="B1089" s="0" t="n">
        <v>18</v>
      </c>
      <c r="C1089" s="0" t="n">
        <f aca="false">-1+A1089*0.05</f>
        <v>0.3</v>
      </c>
      <c r="D1089" s="0" t="n">
        <f aca="false">-1+B1089*0.05</f>
        <v>-0.1</v>
      </c>
      <c r="E1089" s="0" t="n">
        <f aca="false">1</f>
        <v>1</v>
      </c>
      <c r="F1089" s="0" t="n">
        <f aca="false">C1089</f>
        <v>0.3</v>
      </c>
      <c r="G1089" s="0" t="n">
        <f aca="false">D1089</f>
        <v>-0.1</v>
      </c>
      <c r="H1089" s="0" t="n">
        <f aca="false">C1089*D1089</f>
        <v>-0.03</v>
      </c>
      <c r="I1089" s="0" t="n">
        <f aca="false">C1089*C1089</f>
        <v>0.09</v>
      </c>
      <c r="J1089" s="0" t="n">
        <f aca="false">D1089*D1089</f>
        <v>0.01</v>
      </c>
      <c r="K1089" s="0" t="n">
        <f aca="false">SUMPRODUCT(E1089:J1089,_XtX!$B$53:$G$53)</f>
        <v>48.1871120689655</v>
      </c>
      <c r="L1089" s="0" t="n">
        <f aca="false">SUMPRODUCT(MMULT(E1089:J1089,_XtX!$B$44:$G$49),E1089:J1089)</f>
        <v>0.171336494252874</v>
      </c>
      <c r="M1089" s="0" t="n">
        <f aca="false">04_回帰ANOVA!$K$19*04_回帰ANOVA!$K$14*SQRT(1+L1089)</f>
        <v>1.46661934633672</v>
      </c>
      <c r="N1089" s="0" t="n">
        <f aca="false">K1089-M1089</f>
        <v>46.7204927226288</v>
      </c>
      <c r="O1089" s="0" t="n">
        <f aca="false">K1089+M1089</f>
        <v>49.6537314153022</v>
      </c>
      <c r="P1089" s="54" t="b">
        <f aca="false">AND(C1089&gt;=01_因子設定!$L$5-0.000000001,C1089&lt;=01_因子設定!$M$5+0.000000001,D1089&gt;=01_因子設定!$L$6-0.000000001,D1089&lt;=01_因子設定!$M$6+0.000000001,IF(01_因子設定!$B$20="Box-Behnken",C1089^2+D1089^2&lt;=2+0.000000001,TRUE()))</f>
        <v>1</v>
      </c>
      <c r="Q1089" s="55" t="n">
        <f aca="false">IF(P1089,IF(01_因子設定!$B$13="最大化",N1089-01_因子設定!$B$14,IF(01_因子設定!$B$13="最小化",01_因子設定!$B$15-O1089,MIN(N1089-01_因子設定!$B$14,01_因子設定!$B$15-O1089))),-1E+030)</f>
        <v>0.220492722628791</v>
      </c>
      <c r="R1089" s="55" t="n">
        <f aca="false">IF(P1089,IF(01_因子設定!$B$13="最大化",K1089,IF(01_因子設定!$B$13="最小化",-K1089,-ABS(K1089-01_因子設定!$B$16))),-1E+030)</f>
        <v>48.1871120689655</v>
      </c>
      <c r="S1089" s="55" t="n">
        <f aca="false">Q1089+ROW()*0.000000001</f>
        <v>0.220493811628791</v>
      </c>
      <c r="T1089" s="55" t="n">
        <f aca="false">R1089+ROW()*0.000000001</f>
        <v>48.1871131579655</v>
      </c>
    </row>
    <row r="1090" customFormat="false" ht="15" hidden="false" customHeight="false" outlineLevel="0" collapsed="false">
      <c r="A1090" s="0" t="n">
        <v>26</v>
      </c>
      <c r="B1090" s="0" t="n">
        <v>19</v>
      </c>
      <c r="C1090" s="0" t="n">
        <f aca="false">-1+A1090*0.05</f>
        <v>0.3</v>
      </c>
      <c r="D1090" s="0" t="n">
        <f aca="false">-1+B1090*0.05</f>
        <v>-0.0499999999999999</v>
      </c>
      <c r="E1090" s="0" t="n">
        <f aca="false">1</f>
        <v>1</v>
      </c>
      <c r="F1090" s="0" t="n">
        <f aca="false">C1090</f>
        <v>0.3</v>
      </c>
      <c r="G1090" s="0" t="n">
        <f aca="false">D1090</f>
        <v>-0.0499999999999999</v>
      </c>
      <c r="H1090" s="0" t="n">
        <f aca="false">C1090*D1090</f>
        <v>-0.015</v>
      </c>
      <c r="I1090" s="0" t="n">
        <f aca="false">C1090*C1090</f>
        <v>0.09</v>
      </c>
      <c r="J1090" s="0" t="n">
        <f aca="false">D1090*D1090</f>
        <v>0.00249999999999999</v>
      </c>
      <c r="K1090" s="0" t="n">
        <f aca="false">SUMPRODUCT(E1090:J1090,_XtX!$B$53:$G$53)</f>
        <v>48.3190603448276</v>
      </c>
      <c r="L1090" s="0" t="n">
        <f aca="false">SUMPRODUCT(MMULT(E1090:J1090,_XtX!$B$44:$G$49),E1090:J1090)</f>
        <v>0.171621731321839</v>
      </c>
      <c r="M1090" s="0" t="n">
        <f aca="false">04_回帰ANOVA!$K$19*04_回帰ANOVA!$K$14*SQRT(1+L1090)</f>
        <v>1.46679790678507</v>
      </c>
      <c r="N1090" s="0" t="n">
        <f aca="false">K1090-M1090</f>
        <v>46.8522624380425</v>
      </c>
      <c r="O1090" s="0" t="n">
        <f aca="false">K1090+M1090</f>
        <v>49.7858582516127</v>
      </c>
      <c r="P1090" s="54" t="b">
        <f aca="false">AND(C1090&gt;=01_因子設定!$L$5-0.000000001,C1090&lt;=01_因子設定!$M$5+0.000000001,D1090&gt;=01_因子設定!$L$6-0.000000001,D1090&lt;=01_因子設定!$M$6+0.000000001,IF(01_因子設定!$B$20="Box-Behnken",C1090^2+D1090^2&lt;=2+0.000000001,TRUE()))</f>
        <v>1</v>
      </c>
      <c r="Q1090" s="55" t="n">
        <f aca="false">IF(P1090,IF(01_因子設定!$B$13="最大化",N1090-01_因子設定!$B$14,IF(01_因子設定!$B$13="最小化",01_因子設定!$B$15-O1090,MIN(N1090-01_因子設定!$B$14,01_因子設定!$B$15-O1090))),-1E+030)</f>
        <v>0.352262438042516</v>
      </c>
      <c r="R1090" s="55" t="n">
        <f aca="false">IF(P1090,IF(01_因子設定!$B$13="最大化",K1090,IF(01_因子設定!$B$13="最小化",-K1090,-ABS(K1090-01_因子設定!$B$16))),-1E+030)</f>
        <v>48.3190603448276</v>
      </c>
      <c r="S1090" s="55" t="n">
        <f aca="false">Q1090+ROW()*0.000000001</f>
        <v>0.352263528042516</v>
      </c>
      <c r="T1090" s="55" t="n">
        <f aca="false">R1090+ROW()*0.000000001</f>
        <v>48.3190614348276</v>
      </c>
    </row>
    <row r="1091" customFormat="false" ht="15" hidden="false" customHeight="false" outlineLevel="0" collapsed="false">
      <c r="A1091" s="0" t="n">
        <v>26</v>
      </c>
      <c r="B1091" s="0" t="n">
        <v>20</v>
      </c>
      <c r="C1091" s="0" t="n">
        <f aca="false">-1+A1091*0.05</f>
        <v>0.3</v>
      </c>
      <c r="D1091" s="0" t="n">
        <f aca="false">-1+B1091*0.05</f>
        <v>0</v>
      </c>
      <c r="E1091" s="0" t="n">
        <f aca="false">1</f>
        <v>1</v>
      </c>
      <c r="F1091" s="0" t="n">
        <f aca="false">C1091</f>
        <v>0.3</v>
      </c>
      <c r="G1091" s="0" t="n">
        <f aca="false">D1091</f>
        <v>0</v>
      </c>
      <c r="H1091" s="0" t="n">
        <f aca="false">C1091*D1091</f>
        <v>0</v>
      </c>
      <c r="I1091" s="0" t="n">
        <f aca="false">C1091*C1091</f>
        <v>0.09</v>
      </c>
      <c r="J1091" s="0" t="n">
        <f aca="false">D1091*D1091</f>
        <v>0</v>
      </c>
      <c r="K1091" s="0" t="n">
        <f aca="false">SUMPRODUCT(E1091:J1091,_XtX!$B$53:$G$53)</f>
        <v>48.4432931034483</v>
      </c>
      <c r="L1091" s="0" t="n">
        <f aca="false">SUMPRODUCT(MMULT(E1091:J1091,_XtX!$B$44:$G$49),E1091:J1091)</f>
        <v>0.171725862068965</v>
      </c>
      <c r="M1091" s="0" t="n">
        <f aca="false">04_回帰ANOVA!$K$19*04_回帰ANOVA!$K$14*SQRT(1+L1091)</f>
        <v>1.46686308796267</v>
      </c>
      <c r="N1091" s="0" t="n">
        <f aca="false">K1091-M1091</f>
        <v>46.9764300154856</v>
      </c>
      <c r="O1091" s="0" t="n">
        <f aca="false">K1091+M1091</f>
        <v>49.9101561914109</v>
      </c>
      <c r="P1091" s="54" t="b">
        <f aca="false">AND(C1091&gt;=01_因子設定!$L$5-0.000000001,C1091&lt;=01_因子設定!$M$5+0.000000001,D1091&gt;=01_因子設定!$L$6-0.000000001,D1091&lt;=01_因子設定!$M$6+0.000000001,IF(01_因子設定!$B$20="Box-Behnken",C1091^2+D1091^2&lt;=2+0.000000001,TRUE()))</f>
        <v>1</v>
      </c>
      <c r="Q1091" s="55" t="n">
        <f aca="false">IF(P1091,IF(01_因子設定!$B$13="最大化",N1091-01_因子設定!$B$14,IF(01_因子設定!$B$13="最小化",01_因子設定!$B$15-O1091,MIN(N1091-01_因子設定!$B$14,01_因子設定!$B$15-O1091))),-1E+030)</f>
        <v>0.476430015485597</v>
      </c>
      <c r="R1091" s="55" t="n">
        <f aca="false">IF(P1091,IF(01_因子設定!$B$13="最大化",K1091,IF(01_因子設定!$B$13="最小化",-K1091,-ABS(K1091-01_因子設定!$B$16))),-1E+030)</f>
        <v>48.4432931034483</v>
      </c>
      <c r="S1091" s="55" t="n">
        <f aca="false">Q1091+ROW()*0.000000001</f>
        <v>0.476431106485597</v>
      </c>
      <c r="T1091" s="55" t="n">
        <f aca="false">R1091+ROW()*0.000000001</f>
        <v>48.4432941944483</v>
      </c>
    </row>
    <row r="1092" customFormat="false" ht="15" hidden="false" customHeight="false" outlineLevel="0" collapsed="false">
      <c r="A1092" s="0" t="n">
        <v>26</v>
      </c>
      <c r="B1092" s="0" t="n">
        <v>21</v>
      </c>
      <c r="C1092" s="0" t="n">
        <f aca="false">-1+A1092*0.05</f>
        <v>0.3</v>
      </c>
      <c r="D1092" s="0" t="n">
        <f aca="false">-1+B1092*0.05</f>
        <v>0.05</v>
      </c>
      <c r="E1092" s="0" t="n">
        <f aca="false">1</f>
        <v>1</v>
      </c>
      <c r="F1092" s="0" t="n">
        <f aca="false">C1092</f>
        <v>0.3</v>
      </c>
      <c r="G1092" s="0" t="n">
        <f aca="false">D1092</f>
        <v>0.05</v>
      </c>
      <c r="H1092" s="0" t="n">
        <f aca="false">C1092*D1092</f>
        <v>0.015</v>
      </c>
      <c r="I1092" s="0" t="n">
        <f aca="false">C1092*C1092</f>
        <v>0.09</v>
      </c>
      <c r="J1092" s="0" t="n">
        <f aca="false">D1092*D1092</f>
        <v>0.0025</v>
      </c>
      <c r="K1092" s="0" t="n">
        <f aca="false">SUMPRODUCT(E1092:J1092,_XtX!$B$53:$G$53)</f>
        <v>48.5598103448276</v>
      </c>
      <c r="L1092" s="0" t="n">
        <f aca="false">SUMPRODUCT(MMULT(E1092:J1092,_XtX!$B$44:$G$49),E1092:J1092)</f>
        <v>0.171621731321839</v>
      </c>
      <c r="M1092" s="0" t="n">
        <f aca="false">04_回帰ANOVA!$K$19*04_回帰ANOVA!$K$14*SQRT(1+L1092)</f>
        <v>1.46679790678507</v>
      </c>
      <c r="N1092" s="0" t="n">
        <f aca="false">K1092-M1092</f>
        <v>47.0930124380425</v>
      </c>
      <c r="O1092" s="0" t="n">
        <f aca="false">K1092+M1092</f>
        <v>50.0266082516127</v>
      </c>
      <c r="P1092" s="54" t="b">
        <f aca="false">AND(C1092&gt;=01_因子設定!$L$5-0.000000001,C1092&lt;=01_因子設定!$M$5+0.000000001,D1092&gt;=01_因子設定!$L$6-0.000000001,D1092&lt;=01_因子設定!$M$6+0.000000001,IF(01_因子設定!$B$20="Box-Behnken",C1092^2+D1092^2&lt;=2+0.000000001,TRUE()))</f>
        <v>1</v>
      </c>
      <c r="Q1092" s="55" t="n">
        <f aca="false">IF(P1092,IF(01_因子設定!$B$13="最大化",N1092-01_因子設定!$B$14,IF(01_因子設定!$B$13="最小化",01_因子設定!$B$15-O1092,MIN(N1092-01_因子設定!$B$14,01_因子設定!$B$15-O1092))),-1E+030)</f>
        <v>0.593012438042514</v>
      </c>
      <c r="R1092" s="55" t="n">
        <f aca="false">IF(P1092,IF(01_因子設定!$B$13="最大化",K1092,IF(01_因子設定!$B$13="最小化",-K1092,-ABS(K1092-01_因子設定!$B$16))),-1E+030)</f>
        <v>48.5598103448276</v>
      </c>
      <c r="S1092" s="55" t="n">
        <f aca="false">Q1092+ROW()*0.000000001</f>
        <v>0.593013530042514</v>
      </c>
      <c r="T1092" s="55" t="n">
        <f aca="false">R1092+ROW()*0.000000001</f>
        <v>48.5598114368276</v>
      </c>
    </row>
    <row r="1093" customFormat="false" ht="15" hidden="false" customHeight="false" outlineLevel="0" collapsed="false">
      <c r="A1093" s="0" t="n">
        <v>26</v>
      </c>
      <c r="B1093" s="0" t="n">
        <v>22</v>
      </c>
      <c r="C1093" s="0" t="n">
        <f aca="false">-1+A1093*0.05</f>
        <v>0.3</v>
      </c>
      <c r="D1093" s="0" t="n">
        <f aca="false">-1+B1093*0.05</f>
        <v>0.1</v>
      </c>
      <c r="E1093" s="0" t="n">
        <f aca="false">1</f>
        <v>1</v>
      </c>
      <c r="F1093" s="0" t="n">
        <f aca="false">C1093</f>
        <v>0.3</v>
      </c>
      <c r="G1093" s="0" t="n">
        <f aca="false">D1093</f>
        <v>0.1</v>
      </c>
      <c r="H1093" s="0" t="n">
        <f aca="false">C1093*D1093</f>
        <v>0.03</v>
      </c>
      <c r="I1093" s="0" t="n">
        <f aca="false">C1093*C1093</f>
        <v>0.09</v>
      </c>
      <c r="J1093" s="0" t="n">
        <f aca="false">D1093*D1093</f>
        <v>0.01</v>
      </c>
      <c r="K1093" s="0" t="n">
        <f aca="false">SUMPRODUCT(E1093:J1093,_XtX!$B$53:$G$53)</f>
        <v>48.6686120689655</v>
      </c>
      <c r="L1093" s="0" t="n">
        <f aca="false">SUMPRODUCT(MMULT(E1093:J1093,_XtX!$B$44:$G$49),E1093:J1093)</f>
        <v>0.171336494252874</v>
      </c>
      <c r="M1093" s="0" t="n">
        <f aca="false">04_回帰ANOVA!$K$19*04_回帰ANOVA!$K$14*SQRT(1+L1093)</f>
        <v>1.46661934633672</v>
      </c>
      <c r="N1093" s="0" t="n">
        <f aca="false">K1093-M1093</f>
        <v>47.2019927226288</v>
      </c>
      <c r="O1093" s="0" t="n">
        <f aca="false">K1093+M1093</f>
        <v>50.1352314153022</v>
      </c>
      <c r="P1093" s="54" t="b">
        <f aca="false">AND(C1093&gt;=01_因子設定!$L$5-0.000000001,C1093&lt;=01_因子設定!$M$5+0.000000001,D1093&gt;=01_因子設定!$L$6-0.000000001,D1093&lt;=01_因子設定!$M$6+0.000000001,IF(01_因子設定!$B$20="Box-Behnken",C1093^2+D1093^2&lt;=2+0.000000001,TRUE()))</f>
        <v>1</v>
      </c>
      <c r="Q1093" s="55" t="n">
        <f aca="false">IF(P1093,IF(01_因子設定!$B$13="最大化",N1093-01_因子設定!$B$14,IF(01_因子設定!$B$13="最小化",01_因子設定!$B$15-O1093,MIN(N1093-01_因子設定!$B$14,01_因子設定!$B$15-O1093))),-1E+030)</f>
        <v>0.701992722628795</v>
      </c>
      <c r="R1093" s="55" t="n">
        <f aca="false">IF(P1093,IF(01_因子設定!$B$13="最大化",K1093,IF(01_因子設定!$B$13="最小化",-K1093,-ABS(K1093-01_因子設定!$B$16))),-1E+030)</f>
        <v>48.6686120689655</v>
      </c>
      <c r="S1093" s="55" t="n">
        <f aca="false">Q1093+ROW()*0.000000001</f>
        <v>0.701993815628795</v>
      </c>
      <c r="T1093" s="55" t="n">
        <f aca="false">R1093+ROW()*0.000000001</f>
        <v>48.6686131619655</v>
      </c>
    </row>
    <row r="1094" customFormat="false" ht="15" hidden="false" customHeight="false" outlineLevel="0" collapsed="false">
      <c r="A1094" s="0" t="n">
        <v>26</v>
      </c>
      <c r="B1094" s="0" t="n">
        <v>23</v>
      </c>
      <c r="C1094" s="0" t="n">
        <f aca="false">-1+A1094*0.05</f>
        <v>0.3</v>
      </c>
      <c r="D1094" s="0" t="n">
        <f aca="false">-1+B1094*0.05</f>
        <v>0.15</v>
      </c>
      <c r="E1094" s="0" t="n">
        <f aca="false">1</f>
        <v>1</v>
      </c>
      <c r="F1094" s="0" t="n">
        <f aca="false">C1094</f>
        <v>0.3</v>
      </c>
      <c r="G1094" s="0" t="n">
        <f aca="false">D1094</f>
        <v>0.15</v>
      </c>
      <c r="H1094" s="0" t="n">
        <f aca="false">C1094*D1094</f>
        <v>0.0450000000000001</v>
      </c>
      <c r="I1094" s="0" t="n">
        <f aca="false">C1094*C1094</f>
        <v>0.09</v>
      </c>
      <c r="J1094" s="0" t="n">
        <f aca="false">D1094*D1094</f>
        <v>0.0225</v>
      </c>
      <c r="K1094" s="0" t="n">
        <f aca="false">SUMPRODUCT(E1094:J1094,_XtX!$B$53:$G$53)</f>
        <v>48.7696982758621</v>
      </c>
      <c r="L1094" s="0" t="n">
        <f aca="false">SUMPRODUCT(MMULT(E1094:J1094,_XtX!$B$44:$G$49),E1094:J1094)</f>
        <v>0.17095161637931</v>
      </c>
      <c r="M1094" s="0" t="n">
        <f aca="false">04_回帰ANOVA!$K$19*04_回帰ANOVA!$K$14*SQRT(1+L1094)</f>
        <v>1.46637837556782</v>
      </c>
      <c r="N1094" s="0" t="n">
        <f aca="false">K1094-M1094</f>
        <v>47.3033199002943</v>
      </c>
      <c r="O1094" s="0" t="n">
        <f aca="false">K1094+M1094</f>
        <v>50.2360766514299</v>
      </c>
      <c r="P1094" s="54" t="b">
        <f aca="false">AND(C1094&gt;=01_因子設定!$L$5-0.000000001,C1094&lt;=01_因子設定!$M$5+0.000000001,D1094&gt;=01_因子設定!$L$6-0.000000001,D1094&lt;=01_因子設定!$M$6+0.000000001,IF(01_因子設定!$B$20="Box-Behnken",C1094^2+D1094^2&lt;=2+0.000000001,TRUE()))</f>
        <v>1</v>
      </c>
      <c r="Q1094" s="55" t="n">
        <f aca="false">IF(P1094,IF(01_因子設定!$B$13="最大化",N1094-01_因子設定!$B$14,IF(01_因子設定!$B$13="最小化",01_因子設定!$B$15-O1094,MIN(N1094-01_因子設定!$B$14,01_因子設定!$B$15-O1094))),-1E+030)</f>
        <v>0.803319900294248</v>
      </c>
      <c r="R1094" s="55" t="n">
        <f aca="false">IF(P1094,IF(01_因子設定!$B$13="最大化",K1094,IF(01_因子設定!$B$13="最小化",-K1094,-ABS(K1094-01_因子設定!$B$16))),-1E+030)</f>
        <v>48.7696982758621</v>
      </c>
      <c r="S1094" s="55" t="n">
        <f aca="false">Q1094+ROW()*0.000000001</f>
        <v>0.803320994294248</v>
      </c>
      <c r="T1094" s="55" t="n">
        <f aca="false">R1094+ROW()*0.000000001</f>
        <v>48.7696993698621</v>
      </c>
    </row>
    <row r="1095" customFormat="false" ht="15" hidden="false" customHeight="false" outlineLevel="0" collapsed="false">
      <c r="A1095" s="0" t="n">
        <v>26</v>
      </c>
      <c r="B1095" s="0" t="n">
        <v>24</v>
      </c>
      <c r="C1095" s="0" t="n">
        <f aca="false">-1+A1095*0.05</f>
        <v>0.3</v>
      </c>
      <c r="D1095" s="0" t="n">
        <f aca="false">-1+B1095*0.05</f>
        <v>0.2</v>
      </c>
      <c r="E1095" s="0" t="n">
        <f aca="false">1</f>
        <v>1</v>
      </c>
      <c r="F1095" s="0" t="n">
        <f aca="false">C1095</f>
        <v>0.3</v>
      </c>
      <c r="G1095" s="0" t="n">
        <f aca="false">D1095</f>
        <v>0.2</v>
      </c>
      <c r="H1095" s="0" t="n">
        <f aca="false">C1095*D1095</f>
        <v>0.0600000000000001</v>
      </c>
      <c r="I1095" s="0" t="n">
        <f aca="false">C1095*C1095</f>
        <v>0.09</v>
      </c>
      <c r="J1095" s="0" t="n">
        <f aca="false">D1095*D1095</f>
        <v>0.0400000000000001</v>
      </c>
      <c r="K1095" s="0" t="n">
        <f aca="false">SUMPRODUCT(E1095:J1095,_XtX!$B$53:$G$53)</f>
        <v>48.8630689655172</v>
      </c>
      <c r="L1095" s="0" t="n">
        <f aca="false">SUMPRODUCT(MMULT(E1095:J1095,_XtX!$B$44:$G$49),E1095:J1095)</f>
        <v>0.170602873563218</v>
      </c>
      <c r="M1095" s="0" t="n">
        <f aca="false">04_回帰ANOVA!$K$19*04_回帰ANOVA!$K$14*SQRT(1+L1095)</f>
        <v>1.46615999463764</v>
      </c>
      <c r="N1095" s="0" t="n">
        <f aca="false">K1095-M1095</f>
        <v>47.3969089708796</v>
      </c>
      <c r="O1095" s="0" t="n">
        <f aca="false">K1095+M1095</f>
        <v>50.3292289601549</v>
      </c>
      <c r="P1095" s="54" t="b">
        <f aca="false">AND(C1095&gt;=01_因子設定!$L$5-0.000000001,C1095&lt;=01_因子設定!$M$5+0.000000001,D1095&gt;=01_因子設定!$L$6-0.000000001,D1095&lt;=01_因子設定!$M$6+0.000000001,IF(01_因子設定!$B$20="Box-Behnken",C1095^2+D1095^2&lt;=2+0.000000001,TRUE()))</f>
        <v>1</v>
      </c>
      <c r="Q1095" s="55" t="n">
        <f aca="false">IF(P1095,IF(01_因子設定!$B$13="最大化",N1095-01_因子設定!$B$14,IF(01_因子設定!$B$13="最小化",01_因子設定!$B$15-O1095,MIN(N1095-01_因子設定!$B$14,01_因子設定!$B$15-O1095))),-1E+030)</f>
        <v>0.896908970879601</v>
      </c>
      <c r="R1095" s="55" t="n">
        <f aca="false">IF(P1095,IF(01_因子設定!$B$13="最大化",K1095,IF(01_因子設定!$B$13="最小化",-K1095,-ABS(K1095-01_因子設定!$B$16))),-1E+030)</f>
        <v>48.8630689655172</v>
      </c>
      <c r="S1095" s="55" t="n">
        <f aca="false">Q1095+ROW()*0.000000001</f>
        <v>0.896910065879601</v>
      </c>
      <c r="T1095" s="55" t="n">
        <f aca="false">R1095+ROW()*0.000000001</f>
        <v>48.8630700605172</v>
      </c>
    </row>
    <row r="1096" customFormat="false" ht="15" hidden="false" customHeight="false" outlineLevel="0" collapsed="false">
      <c r="A1096" s="0" t="n">
        <v>26</v>
      </c>
      <c r="B1096" s="0" t="n">
        <v>25</v>
      </c>
      <c r="C1096" s="0" t="n">
        <f aca="false">-1+A1096*0.05</f>
        <v>0.3</v>
      </c>
      <c r="D1096" s="0" t="n">
        <f aca="false">-1+B1096*0.05</f>
        <v>0.25</v>
      </c>
      <c r="E1096" s="0" t="n">
        <f aca="false">1</f>
        <v>1</v>
      </c>
      <c r="F1096" s="0" t="n">
        <f aca="false">C1096</f>
        <v>0.3</v>
      </c>
      <c r="G1096" s="0" t="n">
        <f aca="false">D1096</f>
        <v>0.25</v>
      </c>
      <c r="H1096" s="0" t="n">
        <f aca="false">C1096*D1096</f>
        <v>0.075</v>
      </c>
      <c r="I1096" s="0" t="n">
        <f aca="false">C1096*C1096</f>
        <v>0.09</v>
      </c>
      <c r="J1096" s="0" t="n">
        <f aca="false">D1096*D1096</f>
        <v>0.0625</v>
      </c>
      <c r="K1096" s="0" t="n">
        <f aca="false">SUMPRODUCT(E1096:J1096,_XtX!$B$53:$G$53)</f>
        <v>48.948724137931</v>
      </c>
      <c r="L1096" s="0" t="n">
        <f aca="false">SUMPRODUCT(MMULT(E1096:J1096,_XtX!$B$44:$G$49),E1096:J1096)</f>
        <v>0.170480352011494</v>
      </c>
      <c r="M1096" s="0" t="n">
        <f aca="false">04_回帰ANOVA!$K$19*04_回帰ANOVA!$K$14*SQRT(1+L1096)</f>
        <v>1.46608326456019</v>
      </c>
      <c r="N1096" s="0" t="n">
        <f aca="false">K1096-M1096</f>
        <v>47.4826408733708</v>
      </c>
      <c r="O1096" s="0" t="n">
        <f aca="false">K1096+M1096</f>
        <v>50.4148074024912</v>
      </c>
      <c r="P1096" s="54" t="b">
        <f aca="false">AND(C1096&gt;=01_因子設定!$L$5-0.000000001,C1096&lt;=01_因子設定!$M$5+0.000000001,D1096&gt;=01_因子設定!$L$6-0.000000001,D1096&lt;=01_因子設定!$M$6+0.000000001,IF(01_因子設定!$B$20="Box-Behnken",C1096^2+D1096^2&lt;=2+0.000000001,TRUE()))</f>
        <v>1</v>
      </c>
      <c r="Q1096" s="55" t="n">
        <f aca="false">IF(P1096,IF(01_因子設定!$B$13="最大化",N1096-01_因子設定!$B$14,IF(01_因子設定!$B$13="最小化",01_因子設定!$B$15-O1096,MIN(N1096-01_因子設定!$B$14,01_因子設定!$B$15-O1096))),-1E+030)</f>
        <v>0.982640873370841</v>
      </c>
      <c r="R1096" s="55" t="n">
        <f aca="false">IF(P1096,IF(01_因子設定!$B$13="最大化",K1096,IF(01_因子設定!$B$13="最小化",-K1096,-ABS(K1096-01_因子設定!$B$16))),-1E+030)</f>
        <v>48.948724137931</v>
      </c>
      <c r="S1096" s="55" t="n">
        <f aca="false">Q1096+ROW()*0.000000001</f>
        <v>0.982641969370841</v>
      </c>
      <c r="T1096" s="55" t="n">
        <f aca="false">R1096+ROW()*0.000000001</f>
        <v>48.948725233931</v>
      </c>
    </row>
    <row r="1097" customFormat="false" ht="15" hidden="false" customHeight="false" outlineLevel="0" collapsed="false">
      <c r="A1097" s="0" t="n">
        <v>26</v>
      </c>
      <c r="B1097" s="0" t="n">
        <v>26</v>
      </c>
      <c r="C1097" s="0" t="n">
        <f aca="false">-1+A1097*0.05</f>
        <v>0.3</v>
      </c>
      <c r="D1097" s="0" t="n">
        <f aca="false">-1+B1097*0.05</f>
        <v>0.3</v>
      </c>
      <c r="E1097" s="0" t="n">
        <f aca="false">1</f>
        <v>1</v>
      </c>
      <c r="F1097" s="0" t="n">
        <f aca="false">C1097</f>
        <v>0.3</v>
      </c>
      <c r="G1097" s="0" t="n">
        <f aca="false">D1097</f>
        <v>0.3</v>
      </c>
      <c r="H1097" s="0" t="n">
        <f aca="false">C1097*D1097</f>
        <v>0.09</v>
      </c>
      <c r="I1097" s="0" t="n">
        <f aca="false">C1097*C1097</f>
        <v>0.09</v>
      </c>
      <c r="J1097" s="0" t="n">
        <f aca="false">D1097*D1097</f>
        <v>0.09</v>
      </c>
      <c r="K1097" s="0" t="n">
        <f aca="false">SUMPRODUCT(E1097:J1097,_XtX!$B$53:$G$53)</f>
        <v>49.0266637931034</v>
      </c>
      <c r="L1097" s="0" t="n">
        <f aca="false">SUMPRODUCT(MMULT(E1097:J1097,_XtX!$B$44:$G$49),E1097:J1097)</f>
        <v>0.170828448275862</v>
      </c>
      <c r="M1097" s="0" t="n">
        <f aca="false">04_回帰ANOVA!$K$19*04_回帰ANOVA!$K$14*SQRT(1+L1097)</f>
        <v>1.46630125205963</v>
      </c>
      <c r="N1097" s="0" t="n">
        <f aca="false">K1097-M1097</f>
        <v>47.5603625410438</v>
      </c>
      <c r="O1097" s="0" t="n">
        <f aca="false">K1097+M1097</f>
        <v>50.4929650451631</v>
      </c>
      <c r="P1097" s="54" t="b">
        <f aca="false">AND(C1097&gt;=01_因子設定!$L$5-0.000000001,C1097&lt;=01_因子設定!$M$5+0.000000001,D1097&gt;=01_因子設定!$L$6-0.000000001,D1097&lt;=01_因子設定!$M$6+0.000000001,IF(01_因子設定!$B$20="Box-Behnken",C1097^2+D1097^2&lt;=2+0.000000001,TRUE()))</f>
        <v>1</v>
      </c>
      <c r="Q1097" s="55" t="n">
        <f aca="false">IF(P1097,IF(01_因子設定!$B$13="最大化",N1097-01_因子設定!$B$14,IF(01_因子設定!$B$13="最小化",01_因子設定!$B$15-O1097,MIN(N1097-01_因子設定!$B$14,01_因子設定!$B$15-O1097))),-1E+030)</f>
        <v>1.06036254104382</v>
      </c>
      <c r="R1097" s="55" t="n">
        <f aca="false">IF(P1097,IF(01_因子設定!$B$13="最大化",K1097,IF(01_因子設定!$B$13="最小化",-K1097,-ABS(K1097-01_因子設定!$B$16))),-1E+030)</f>
        <v>49.0266637931034</v>
      </c>
      <c r="S1097" s="55" t="n">
        <f aca="false">Q1097+ROW()*0.000000001</f>
        <v>1.06036363804382</v>
      </c>
      <c r="T1097" s="55" t="n">
        <f aca="false">R1097+ROW()*0.000000001</f>
        <v>49.0266648901035</v>
      </c>
    </row>
    <row r="1098" customFormat="false" ht="15" hidden="false" customHeight="false" outlineLevel="0" collapsed="false">
      <c r="A1098" s="0" t="n">
        <v>26</v>
      </c>
      <c r="B1098" s="0" t="n">
        <v>27</v>
      </c>
      <c r="C1098" s="0" t="n">
        <f aca="false">-1+A1098*0.05</f>
        <v>0.3</v>
      </c>
      <c r="D1098" s="0" t="n">
        <f aca="false">-1+B1098*0.05</f>
        <v>0.35</v>
      </c>
      <c r="E1098" s="0" t="n">
        <f aca="false">1</f>
        <v>1</v>
      </c>
      <c r="F1098" s="0" t="n">
        <f aca="false">C1098</f>
        <v>0.3</v>
      </c>
      <c r="G1098" s="0" t="n">
        <f aca="false">D1098</f>
        <v>0.35</v>
      </c>
      <c r="H1098" s="0" t="n">
        <f aca="false">C1098*D1098</f>
        <v>0.105</v>
      </c>
      <c r="I1098" s="0" t="n">
        <f aca="false">C1098*C1098</f>
        <v>0.09</v>
      </c>
      <c r="J1098" s="0" t="n">
        <f aca="false">D1098*D1098</f>
        <v>0.1225</v>
      </c>
      <c r="K1098" s="0" t="n">
        <f aca="false">SUMPRODUCT(E1098:J1098,_XtX!$B$53:$G$53)</f>
        <v>49.0968879310345</v>
      </c>
      <c r="L1098" s="0" t="n">
        <f aca="false">SUMPRODUCT(MMULT(E1098:J1098,_XtX!$B$44:$G$49),E1098:J1098)</f>
        <v>0.171945869252874</v>
      </c>
      <c r="M1098" s="0" t="n">
        <f aca="false">04_回帰ANOVA!$K$19*04_回帰ANOVA!$K$14*SQRT(1+L1098)</f>
        <v>1.46700079306941</v>
      </c>
      <c r="N1098" s="0" t="n">
        <f aca="false">K1098-M1098</f>
        <v>47.6298871379651</v>
      </c>
      <c r="O1098" s="0" t="n">
        <f aca="false">K1098+M1098</f>
        <v>50.5638887241039</v>
      </c>
      <c r="P1098" s="54" t="b">
        <f aca="false">AND(C1098&gt;=01_因子設定!$L$5-0.000000001,C1098&lt;=01_因子設定!$M$5+0.000000001,D1098&gt;=01_因子設定!$L$6-0.000000001,D1098&lt;=01_因子設定!$M$6+0.000000001,IF(01_因子設定!$B$20="Box-Behnken",C1098^2+D1098^2&lt;=2+0.000000001,TRUE()))</f>
        <v>1</v>
      </c>
      <c r="Q1098" s="55" t="n">
        <f aca="false">IF(P1098,IF(01_因子設定!$B$13="最大化",N1098-01_因子設定!$B$14,IF(01_因子設定!$B$13="最小化",01_因子設定!$B$15-O1098,MIN(N1098-01_因子設定!$B$14,01_因子設定!$B$15-O1098))),-1E+030)</f>
        <v>1.12988713796507</v>
      </c>
      <c r="R1098" s="55" t="n">
        <f aca="false">IF(P1098,IF(01_因子設定!$B$13="最大化",K1098,IF(01_因子設定!$B$13="最小化",-K1098,-ABS(K1098-01_因子設定!$B$16))),-1E+030)</f>
        <v>49.0968879310345</v>
      </c>
      <c r="S1098" s="55" t="n">
        <f aca="false">Q1098+ROW()*0.000000001</f>
        <v>1.12988823596507</v>
      </c>
      <c r="T1098" s="55" t="n">
        <f aca="false">R1098+ROW()*0.000000001</f>
        <v>49.0968890290345</v>
      </c>
    </row>
    <row r="1099" customFormat="false" ht="15" hidden="false" customHeight="false" outlineLevel="0" collapsed="false">
      <c r="A1099" s="0" t="n">
        <v>26</v>
      </c>
      <c r="B1099" s="0" t="n">
        <v>28</v>
      </c>
      <c r="C1099" s="0" t="n">
        <f aca="false">-1+A1099*0.05</f>
        <v>0.3</v>
      </c>
      <c r="D1099" s="0" t="n">
        <f aca="false">-1+B1099*0.05</f>
        <v>0.4</v>
      </c>
      <c r="E1099" s="0" t="n">
        <f aca="false">1</f>
        <v>1</v>
      </c>
      <c r="F1099" s="0" t="n">
        <f aca="false">C1099</f>
        <v>0.3</v>
      </c>
      <c r="G1099" s="0" t="n">
        <f aca="false">D1099</f>
        <v>0.4</v>
      </c>
      <c r="H1099" s="0" t="n">
        <f aca="false">C1099*D1099</f>
        <v>0.12</v>
      </c>
      <c r="I1099" s="0" t="n">
        <f aca="false">C1099*C1099</f>
        <v>0.09</v>
      </c>
      <c r="J1099" s="0" t="n">
        <f aca="false">D1099*D1099</f>
        <v>0.16</v>
      </c>
      <c r="K1099" s="0" t="n">
        <f aca="false">SUMPRODUCT(E1099:J1099,_XtX!$B$53:$G$53)</f>
        <v>49.1593965517241</v>
      </c>
      <c r="L1099" s="0" t="n">
        <f aca="false">SUMPRODUCT(MMULT(E1099:J1099,_XtX!$B$44:$G$49),E1099:J1099)</f>
        <v>0.174185632183908</v>
      </c>
      <c r="M1099" s="0" t="n">
        <f aca="false">04_回帰ANOVA!$K$19*04_回帰ANOVA!$K$14*SQRT(1+L1099)</f>
        <v>1.46840195232898</v>
      </c>
      <c r="N1099" s="0" t="n">
        <f aca="false">K1099-M1099</f>
        <v>47.6909945993952</v>
      </c>
      <c r="O1099" s="0" t="n">
        <f aca="false">K1099+M1099</f>
        <v>50.6277985040531</v>
      </c>
      <c r="P1099" s="54" t="b">
        <f aca="false">AND(C1099&gt;=01_因子設定!$L$5-0.000000001,C1099&lt;=01_因子設定!$M$5+0.000000001,D1099&gt;=01_因子設定!$L$6-0.000000001,D1099&lt;=01_因子設定!$M$6+0.000000001,IF(01_因子設定!$B$20="Box-Behnken",C1099^2+D1099^2&lt;=2+0.000000001,TRUE()))</f>
        <v>1</v>
      </c>
      <c r="Q1099" s="55" t="n">
        <f aca="false">IF(P1099,IF(01_因子設定!$B$13="最大化",N1099-01_因子設定!$B$14,IF(01_因子設定!$B$13="最小化",01_因子設定!$B$15-O1099,MIN(N1099-01_因子設定!$B$14,01_因子設定!$B$15-O1099))),-1E+030)</f>
        <v>1.19099459939516</v>
      </c>
      <c r="R1099" s="55" t="n">
        <f aca="false">IF(P1099,IF(01_因子設定!$B$13="最大化",K1099,IF(01_因子設定!$B$13="最小化",-K1099,-ABS(K1099-01_因子設定!$B$16))),-1E+030)</f>
        <v>49.1593965517241</v>
      </c>
      <c r="S1099" s="55" t="n">
        <f aca="false">Q1099+ROW()*0.000000001</f>
        <v>1.19099569839516</v>
      </c>
      <c r="T1099" s="55" t="n">
        <f aca="false">R1099+ROW()*0.000000001</f>
        <v>49.1593976507241</v>
      </c>
    </row>
    <row r="1100" customFormat="false" ht="15" hidden="false" customHeight="false" outlineLevel="0" collapsed="false">
      <c r="A1100" s="0" t="n">
        <v>26</v>
      </c>
      <c r="B1100" s="0" t="n">
        <v>29</v>
      </c>
      <c r="C1100" s="0" t="n">
        <f aca="false">-1+A1100*0.05</f>
        <v>0.3</v>
      </c>
      <c r="D1100" s="0" t="n">
        <f aca="false">-1+B1100*0.05</f>
        <v>0.45</v>
      </c>
      <c r="E1100" s="0" t="n">
        <f aca="false">1</f>
        <v>1</v>
      </c>
      <c r="F1100" s="0" t="n">
        <f aca="false">C1100</f>
        <v>0.3</v>
      </c>
      <c r="G1100" s="0" t="n">
        <f aca="false">D1100</f>
        <v>0.45</v>
      </c>
      <c r="H1100" s="0" t="n">
        <f aca="false">C1100*D1100</f>
        <v>0.135</v>
      </c>
      <c r="I1100" s="0" t="n">
        <f aca="false">C1100*C1100</f>
        <v>0.09</v>
      </c>
      <c r="J1100" s="0" t="n">
        <f aca="false">D1100*D1100</f>
        <v>0.2025</v>
      </c>
      <c r="K1100" s="0" t="n">
        <f aca="false">SUMPRODUCT(E1100:J1100,_XtX!$B$53:$G$53)</f>
        <v>49.2141896551724</v>
      </c>
      <c r="L1100" s="0" t="n">
        <f aca="false">SUMPRODUCT(MMULT(E1100:J1100,_XtX!$B$44:$G$49),E1100:J1100)</f>
        <v>0.177955064655172</v>
      </c>
      <c r="M1100" s="0" t="n">
        <f aca="false">04_回帰ANOVA!$K$19*04_回帰ANOVA!$K$14*SQRT(1+L1100)</f>
        <v>1.47075703432952</v>
      </c>
      <c r="N1100" s="0" t="n">
        <f aca="false">K1100-M1100</f>
        <v>47.7434326208429</v>
      </c>
      <c r="O1100" s="0" t="n">
        <f aca="false">K1100+M1100</f>
        <v>50.6849466895019</v>
      </c>
      <c r="P1100" s="54" t="b">
        <f aca="false">AND(C1100&gt;=01_因子設定!$L$5-0.000000001,C1100&lt;=01_因子設定!$M$5+0.000000001,D1100&gt;=01_因子設定!$L$6-0.000000001,D1100&lt;=01_因子設定!$M$6+0.000000001,IF(01_因子設定!$B$20="Box-Behnken",C1100^2+D1100^2&lt;=2+0.000000001,TRUE()))</f>
        <v>1</v>
      </c>
      <c r="Q1100" s="55" t="n">
        <f aca="false">IF(P1100,IF(01_因子設定!$B$13="最大化",N1100-01_因子設定!$B$14,IF(01_因子設定!$B$13="最小化",01_因子設定!$B$15-O1100,MIN(N1100-01_因子設定!$B$14,01_因子設定!$B$15-O1100))),-1E+030)</f>
        <v>1.2434326208429</v>
      </c>
      <c r="R1100" s="55" t="n">
        <f aca="false">IF(P1100,IF(01_因子設定!$B$13="最大化",K1100,IF(01_因子設定!$B$13="最小化",-K1100,-ABS(K1100-01_因子設定!$B$16))),-1E+030)</f>
        <v>49.2141896551724</v>
      </c>
      <c r="S1100" s="55" t="n">
        <f aca="false">Q1100+ROW()*0.000000001</f>
        <v>1.2434337208429</v>
      </c>
      <c r="T1100" s="55" t="n">
        <f aca="false">R1100+ROW()*0.000000001</f>
        <v>49.2141907551724</v>
      </c>
    </row>
    <row r="1101" customFormat="false" ht="15" hidden="false" customHeight="false" outlineLevel="0" collapsed="false">
      <c r="A1101" s="0" t="n">
        <v>26</v>
      </c>
      <c r="B1101" s="0" t="n">
        <v>30</v>
      </c>
      <c r="C1101" s="0" t="n">
        <f aca="false">-1+A1101*0.05</f>
        <v>0.3</v>
      </c>
      <c r="D1101" s="0" t="n">
        <f aca="false">-1+B1101*0.05</f>
        <v>0.5</v>
      </c>
      <c r="E1101" s="0" t="n">
        <f aca="false">1</f>
        <v>1</v>
      </c>
      <c r="F1101" s="0" t="n">
        <f aca="false">C1101</f>
        <v>0.3</v>
      </c>
      <c r="G1101" s="0" t="n">
        <f aca="false">D1101</f>
        <v>0.5</v>
      </c>
      <c r="H1101" s="0" t="n">
        <f aca="false">C1101*D1101</f>
        <v>0.15</v>
      </c>
      <c r="I1101" s="0" t="n">
        <f aca="false">C1101*C1101</f>
        <v>0.09</v>
      </c>
      <c r="J1101" s="0" t="n">
        <f aca="false">D1101*D1101</f>
        <v>0.25</v>
      </c>
      <c r="K1101" s="0" t="n">
        <f aca="false">SUMPRODUCT(E1101:J1101,_XtX!$B$53:$G$53)</f>
        <v>49.2612672413793</v>
      </c>
      <c r="L1101" s="0" t="n">
        <f aca="false">SUMPRODUCT(MMULT(E1101:J1101,_XtX!$B$44:$G$49),E1101:J1101)</f>
        <v>0.183715804597701</v>
      </c>
      <c r="M1101" s="0" t="n">
        <f aca="false">04_回帰ANOVA!$K$19*04_回帰ANOVA!$K$14*SQRT(1+L1101)</f>
        <v>1.47434898597359</v>
      </c>
      <c r="N1101" s="0" t="n">
        <f aca="false">K1101-M1101</f>
        <v>47.7869182554057</v>
      </c>
      <c r="O1101" s="0" t="n">
        <f aca="false">K1101+M1101</f>
        <v>50.7356162273529</v>
      </c>
      <c r="P1101" s="54" t="b">
        <f aca="false">AND(C1101&gt;=01_因子設定!$L$5-0.000000001,C1101&lt;=01_因子設定!$M$5+0.000000001,D1101&gt;=01_因子設定!$L$6-0.000000001,D1101&lt;=01_因子設定!$M$6+0.000000001,IF(01_因子設定!$B$20="Box-Behnken",C1101^2+D1101^2&lt;=2+0.000000001,TRUE()))</f>
        <v>1</v>
      </c>
      <c r="Q1101" s="55" t="n">
        <f aca="false">IF(P1101,IF(01_因子設定!$B$13="最大化",N1101-01_因子設定!$B$14,IF(01_因子設定!$B$13="最小化",01_因子設定!$B$15-O1101,MIN(N1101-01_因子設定!$B$14,01_因子設定!$B$15-O1101))),-1E+030)</f>
        <v>1.28691825540572</v>
      </c>
      <c r="R1101" s="55" t="n">
        <f aca="false">IF(P1101,IF(01_因子設定!$B$13="最大化",K1101,IF(01_因子設定!$B$13="最小化",-K1101,-ABS(K1101-01_因子設定!$B$16))),-1E+030)</f>
        <v>49.2612672413793</v>
      </c>
      <c r="S1101" s="55" t="n">
        <f aca="false">Q1101+ROW()*0.000000001</f>
        <v>1.28691935640572</v>
      </c>
      <c r="T1101" s="55" t="n">
        <f aca="false">R1101+ROW()*0.000000001</f>
        <v>49.2612683423793</v>
      </c>
    </row>
    <row r="1102" customFormat="false" ht="15" hidden="false" customHeight="false" outlineLevel="0" collapsed="false">
      <c r="A1102" s="0" t="n">
        <v>26</v>
      </c>
      <c r="B1102" s="0" t="n">
        <v>31</v>
      </c>
      <c r="C1102" s="0" t="n">
        <f aca="false">-1+A1102*0.05</f>
        <v>0.3</v>
      </c>
      <c r="D1102" s="0" t="n">
        <f aca="false">-1+B1102*0.05</f>
        <v>0.55</v>
      </c>
      <c r="E1102" s="0" t="n">
        <f aca="false">1</f>
        <v>1</v>
      </c>
      <c r="F1102" s="0" t="n">
        <f aca="false">C1102</f>
        <v>0.3</v>
      </c>
      <c r="G1102" s="0" t="n">
        <f aca="false">D1102</f>
        <v>0.55</v>
      </c>
      <c r="H1102" s="0" t="n">
        <f aca="false">C1102*D1102</f>
        <v>0.165</v>
      </c>
      <c r="I1102" s="0" t="n">
        <f aca="false">C1102*C1102</f>
        <v>0.09</v>
      </c>
      <c r="J1102" s="0" t="n">
        <f aca="false">D1102*D1102</f>
        <v>0.3025</v>
      </c>
      <c r="K1102" s="0" t="n">
        <f aca="false">SUMPRODUCT(E1102:J1102,_XtX!$B$53:$G$53)</f>
        <v>49.3006293103448</v>
      </c>
      <c r="L1102" s="0" t="n">
        <f aca="false">SUMPRODUCT(MMULT(E1102:J1102,_XtX!$B$44:$G$49),E1102:J1102)</f>
        <v>0.191983800287356</v>
      </c>
      <c r="M1102" s="0" t="n">
        <f aca="false">04_回帰ANOVA!$K$19*04_回帰ANOVA!$K$14*SQRT(1+L1102)</f>
        <v>1.47948902848418</v>
      </c>
      <c r="N1102" s="0" t="n">
        <f aca="false">K1102-M1102</f>
        <v>47.8211402818606</v>
      </c>
      <c r="O1102" s="0" t="n">
        <f aca="false">K1102+M1102</f>
        <v>50.780118338829</v>
      </c>
      <c r="P1102" s="54" t="b">
        <f aca="false">AND(C1102&gt;=01_因子設定!$L$5-0.000000001,C1102&lt;=01_因子設定!$M$5+0.000000001,D1102&gt;=01_因子設定!$L$6-0.000000001,D1102&lt;=01_因子設定!$M$6+0.000000001,IF(01_因子設定!$B$20="Box-Behnken",C1102^2+D1102^2&lt;=2+0.000000001,TRUE()))</f>
        <v>1</v>
      </c>
      <c r="Q1102" s="55" t="n">
        <f aca="false">IF(P1102,IF(01_因子設定!$B$13="最大化",N1102-01_因子設定!$B$14,IF(01_因子設定!$B$13="最小化",01_因子設定!$B$15-O1102,MIN(N1102-01_因子設定!$B$14,01_因子設定!$B$15-O1102))),-1E+030)</f>
        <v>1.32114028186064</v>
      </c>
      <c r="R1102" s="55" t="n">
        <f aca="false">IF(P1102,IF(01_因子設定!$B$13="最大化",K1102,IF(01_因子設定!$B$13="最小化",-K1102,-ABS(K1102-01_因子設定!$B$16))),-1E+030)</f>
        <v>49.3006293103448</v>
      </c>
      <c r="S1102" s="55" t="n">
        <f aca="false">Q1102+ROW()*0.000000001</f>
        <v>1.32114138386064</v>
      </c>
      <c r="T1102" s="55" t="n">
        <f aca="false">R1102+ROW()*0.000000001</f>
        <v>49.3006304123448</v>
      </c>
    </row>
    <row r="1103" customFormat="false" ht="15" hidden="false" customHeight="false" outlineLevel="0" collapsed="false">
      <c r="A1103" s="0" t="n">
        <v>26</v>
      </c>
      <c r="B1103" s="0" t="n">
        <v>32</v>
      </c>
      <c r="C1103" s="0" t="n">
        <f aca="false">-1+A1103*0.05</f>
        <v>0.3</v>
      </c>
      <c r="D1103" s="0" t="n">
        <f aca="false">-1+B1103*0.05</f>
        <v>0.6</v>
      </c>
      <c r="E1103" s="0" t="n">
        <f aca="false">1</f>
        <v>1</v>
      </c>
      <c r="F1103" s="0" t="n">
        <f aca="false">C1103</f>
        <v>0.3</v>
      </c>
      <c r="G1103" s="0" t="n">
        <f aca="false">D1103</f>
        <v>0.6</v>
      </c>
      <c r="H1103" s="0" t="n">
        <f aca="false">C1103*D1103</f>
        <v>0.18</v>
      </c>
      <c r="I1103" s="0" t="n">
        <f aca="false">C1103*C1103</f>
        <v>0.09</v>
      </c>
      <c r="J1103" s="0" t="n">
        <f aca="false">D1103*D1103</f>
        <v>0.36</v>
      </c>
      <c r="K1103" s="0" t="n">
        <f aca="false">SUMPRODUCT(E1103:J1103,_XtX!$B$53:$G$53)</f>
        <v>49.332275862069</v>
      </c>
      <c r="L1103" s="0" t="n">
        <f aca="false">SUMPRODUCT(MMULT(E1103:J1103,_XtX!$B$44:$G$49),E1103:J1103)</f>
        <v>0.203329310344828</v>
      </c>
      <c r="M1103" s="0" t="n">
        <f aca="false">04_回帰ANOVA!$K$19*04_回帰ANOVA!$K$14*SQRT(1+L1103)</f>
        <v>1.48651337086407</v>
      </c>
      <c r="N1103" s="0" t="n">
        <f aca="false">K1103-M1103</f>
        <v>47.8457624912049</v>
      </c>
      <c r="O1103" s="0" t="n">
        <f aca="false">K1103+M1103</f>
        <v>50.818789232933</v>
      </c>
      <c r="P1103" s="54" t="b">
        <f aca="false">AND(C1103&gt;=01_因子設定!$L$5-0.000000001,C1103&lt;=01_因子設定!$M$5+0.000000001,D1103&gt;=01_因子設定!$L$6-0.000000001,D1103&lt;=01_因子設定!$M$6+0.000000001,IF(01_因子設定!$B$20="Box-Behnken",C1103^2+D1103^2&lt;=2+0.000000001,TRUE()))</f>
        <v>1</v>
      </c>
      <c r="Q1103" s="55" t="n">
        <f aca="false">IF(P1103,IF(01_因子設定!$B$13="最大化",N1103-01_因子設定!$B$14,IF(01_因子設定!$B$13="最小化",01_因子設定!$B$15-O1103,MIN(N1103-01_因子設定!$B$14,01_因子設定!$B$15-O1103))),-1E+030)</f>
        <v>1.34576249120489</v>
      </c>
      <c r="R1103" s="55" t="n">
        <f aca="false">IF(P1103,IF(01_因子設定!$B$13="最大化",K1103,IF(01_因子設定!$B$13="最小化",-K1103,-ABS(K1103-01_因子設定!$B$16))),-1E+030)</f>
        <v>49.332275862069</v>
      </c>
      <c r="S1103" s="55" t="n">
        <f aca="false">Q1103+ROW()*0.000000001</f>
        <v>1.34576359420489</v>
      </c>
      <c r="T1103" s="55" t="n">
        <f aca="false">R1103+ROW()*0.000000001</f>
        <v>49.332276965069</v>
      </c>
    </row>
    <row r="1104" customFormat="false" ht="15" hidden="false" customHeight="false" outlineLevel="0" collapsed="false">
      <c r="A1104" s="0" t="n">
        <v>26</v>
      </c>
      <c r="B1104" s="0" t="n">
        <v>33</v>
      </c>
      <c r="C1104" s="0" t="n">
        <f aca="false">-1+A1104*0.05</f>
        <v>0.3</v>
      </c>
      <c r="D1104" s="0" t="n">
        <f aca="false">-1+B1104*0.05</f>
        <v>0.65</v>
      </c>
      <c r="E1104" s="0" t="n">
        <f aca="false">1</f>
        <v>1</v>
      </c>
      <c r="F1104" s="0" t="n">
        <f aca="false">C1104</f>
        <v>0.3</v>
      </c>
      <c r="G1104" s="0" t="n">
        <f aca="false">D1104</f>
        <v>0.65</v>
      </c>
      <c r="H1104" s="0" t="n">
        <f aca="false">C1104*D1104</f>
        <v>0.195</v>
      </c>
      <c r="I1104" s="0" t="n">
        <f aca="false">C1104*C1104</f>
        <v>0.09</v>
      </c>
      <c r="J1104" s="0" t="n">
        <f aca="false">D1104*D1104</f>
        <v>0.4225</v>
      </c>
      <c r="K1104" s="0" t="n">
        <f aca="false">SUMPRODUCT(E1104:J1104,_XtX!$B$53:$G$53)</f>
        <v>49.3562068965517</v>
      </c>
      <c r="L1104" s="0" t="n">
        <f aca="false">SUMPRODUCT(MMULT(E1104:J1104,_XtX!$B$44:$G$49),E1104:J1104)</f>
        <v>0.218376903735632</v>
      </c>
      <c r="M1104" s="0" t="n">
        <f aca="false">04_回帰ANOVA!$K$19*04_回帰ANOVA!$K$14*SQRT(1+L1104)</f>
        <v>1.49577889495948</v>
      </c>
      <c r="N1104" s="0" t="n">
        <f aca="false">K1104-M1104</f>
        <v>47.8604280015922</v>
      </c>
      <c r="O1104" s="0" t="n">
        <f aca="false">K1104+M1104</f>
        <v>50.8519857915112</v>
      </c>
      <c r="P1104" s="54" t="b">
        <f aca="false">AND(C1104&gt;=01_因子設定!$L$5-0.000000001,C1104&lt;=01_因子設定!$M$5+0.000000001,D1104&gt;=01_因子設定!$L$6-0.000000001,D1104&lt;=01_因子設定!$M$6+0.000000001,IF(01_因子設定!$B$20="Box-Behnken",C1104^2+D1104^2&lt;=2+0.000000001,TRUE()))</f>
        <v>1</v>
      </c>
      <c r="Q1104" s="55" t="n">
        <f aca="false">IF(P1104,IF(01_因子設定!$B$13="最大化",N1104-01_因子設定!$B$14,IF(01_因子設定!$B$13="最小化",01_因子設定!$B$15-O1104,MIN(N1104-01_因子設定!$B$14,01_因子設定!$B$15-O1104))),-1E+030)</f>
        <v>1.36042800159224</v>
      </c>
      <c r="R1104" s="55" t="n">
        <f aca="false">IF(P1104,IF(01_因子設定!$B$13="最大化",K1104,IF(01_因子設定!$B$13="最小化",-K1104,-ABS(K1104-01_因子設定!$B$16))),-1E+030)</f>
        <v>49.3562068965517</v>
      </c>
      <c r="S1104" s="55" t="n">
        <f aca="false">Q1104+ROW()*0.000000001</f>
        <v>1.36042910559224</v>
      </c>
      <c r="T1104" s="55" t="n">
        <f aca="false">R1104+ROW()*0.000000001</f>
        <v>49.3562080005517</v>
      </c>
    </row>
    <row r="1105" customFormat="false" ht="15" hidden="false" customHeight="false" outlineLevel="0" collapsed="false">
      <c r="A1105" s="0" t="n">
        <v>26</v>
      </c>
      <c r="B1105" s="0" t="n">
        <v>34</v>
      </c>
      <c r="C1105" s="0" t="n">
        <f aca="false">-1+A1105*0.05</f>
        <v>0.3</v>
      </c>
      <c r="D1105" s="0" t="n">
        <f aca="false">-1+B1105*0.05</f>
        <v>0.7</v>
      </c>
      <c r="E1105" s="0" t="n">
        <f aca="false">1</f>
        <v>1</v>
      </c>
      <c r="F1105" s="0" t="n">
        <f aca="false">C1105</f>
        <v>0.3</v>
      </c>
      <c r="G1105" s="0" t="n">
        <f aca="false">D1105</f>
        <v>0.7</v>
      </c>
      <c r="H1105" s="0" t="n">
        <f aca="false">C1105*D1105</f>
        <v>0.21</v>
      </c>
      <c r="I1105" s="0" t="n">
        <f aca="false">C1105*C1105</f>
        <v>0.09</v>
      </c>
      <c r="J1105" s="0" t="n">
        <f aca="false">D1105*D1105</f>
        <v>0.49</v>
      </c>
      <c r="K1105" s="0" t="n">
        <f aca="false">SUMPRODUCT(E1105:J1105,_XtX!$B$53:$G$53)</f>
        <v>49.3724224137931</v>
      </c>
      <c r="L1105" s="0" t="n">
        <f aca="false">SUMPRODUCT(MMULT(E1105:J1105,_XtX!$B$44:$G$49),E1105:J1105)</f>
        <v>0.237805459770115</v>
      </c>
      <c r="M1105" s="0" t="n">
        <f aca="false">04_回帰ANOVA!$K$19*04_回帰ANOVA!$K$14*SQRT(1+L1105)</f>
        <v>1.50765776664594</v>
      </c>
      <c r="N1105" s="0" t="n">
        <f aca="false">K1105-M1105</f>
        <v>47.8647646471472</v>
      </c>
      <c r="O1105" s="0" t="n">
        <f aca="false">K1105+M1105</f>
        <v>50.880080180439</v>
      </c>
      <c r="P1105" s="54" t="b">
        <f aca="false">AND(C1105&gt;=01_因子設定!$L$5-0.000000001,C1105&lt;=01_因子設定!$M$5+0.000000001,D1105&gt;=01_因子設定!$L$6-0.000000001,D1105&lt;=01_因子設定!$M$6+0.000000001,IF(01_因子設定!$B$20="Box-Behnken",C1105^2+D1105^2&lt;=2+0.000000001,TRUE()))</f>
        <v>1</v>
      </c>
      <c r="Q1105" s="55" t="n">
        <f aca="false">IF(P1105,IF(01_因子設定!$B$13="最大化",N1105-01_因子設定!$B$14,IF(01_因子設定!$B$13="最小化",01_因子設定!$B$15-O1105,MIN(N1105-01_因子設定!$B$14,01_因子設定!$B$15-O1105))),-1E+030)</f>
        <v>1.36476464714716</v>
      </c>
      <c r="R1105" s="55" t="n">
        <f aca="false">IF(P1105,IF(01_因子設定!$B$13="最大化",K1105,IF(01_因子設定!$B$13="最小化",-K1105,-ABS(K1105-01_因子設定!$B$16))),-1E+030)</f>
        <v>49.3724224137931</v>
      </c>
      <c r="S1105" s="55" t="n">
        <f aca="false">Q1105+ROW()*0.000000001</f>
        <v>1.36476575214716</v>
      </c>
      <c r="T1105" s="55" t="n">
        <f aca="false">R1105+ROW()*0.000000001</f>
        <v>49.3724235187931</v>
      </c>
    </row>
    <row r="1106" customFormat="false" ht="15" hidden="false" customHeight="false" outlineLevel="0" collapsed="false">
      <c r="A1106" s="0" t="n">
        <v>26</v>
      </c>
      <c r="B1106" s="0" t="n">
        <v>35</v>
      </c>
      <c r="C1106" s="0" t="n">
        <f aca="false">-1+A1106*0.05</f>
        <v>0.3</v>
      </c>
      <c r="D1106" s="0" t="n">
        <f aca="false">-1+B1106*0.05</f>
        <v>0.75</v>
      </c>
      <c r="E1106" s="0" t="n">
        <f aca="false">1</f>
        <v>1</v>
      </c>
      <c r="F1106" s="0" t="n">
        <f aca="false">C1106</f>
        <v>0.3</v>
      </c>
      <c r="G1106" s="0" t="n">
        <f aca="false">D1106</f>
        <v>0.75</v>
      </c>
      <c r="H1106" s="0" t="n">
        <f aca="false">C1106*D1106</f>
        <v>0.225</v>
      </c>
      <c r="I1106" s="0" t="n">
        <f aca="false">C1106*C1106</f>
        <v>0.09</v>
      </c>
      <c r="J1106" s="0" t="n">
        <f aca="false">D1106*D1106</f>
        <v>0.5625</v>
      </c>
      <c r="K1106" s="0" t="n">
        <f aca="false">SUMPRODUCT(E1106:J1106,_XtX!$B$53:$G$53)</f>
        <v>49.3809224137931</v>
      </c>
      <c r="L1106" s="0" t="n">
        <f aca="false">SUMPRODUCT(MMULT(E1106:J1106,_XtX!$B$44:$G$49),E1106:J1106)</f>
        <v>0.262348168103448</v>
      </c>
      <c r="M1106" s="0" t="n">
        <f aca="false">04_回帰ANOVA!$K$19*04_回帰ANOVA!$K$14*SQRT(1+L1106)</f>
        <v>1.52253101891881</v>
      </c>
      <c r="N1106" s="0" t="n">
        <f aca="false">K1106-M1106</f>
        <v>47.8583913948743</v>
      </c>
      <c r="O1106" s="0" t="n">
        <f aca="false">K1106+M1106</f>
        <v>50.9034534327119</v>
      </c>
      <c r="P1106" s="54" t="b">
        <f aca="false">AND(C1106&gt;=01_因子設定!$L$5-0.000000001,C1106&lt;=01_因子設定!$M$5+0.000000001,D1106&gt;=01_因子設定!$L$6-0.000000001,D1106&lt;=01_因子設定!$M$6+0.000000001,IF(01_因子設定!$B$20="Box-Behnken",C1106^2+D1106^2&lt;=2+0.000000001,TRUE()))</f>
        <v>1</v>
      </c>
      <c r="Q1106" s="55" t="n">
        <f aca="false">IF(P1106,IF(01_因子設定!$B$13="最大化",N1106-01_因子設定!$B$14,IF(01_因子設定!$B$13="最小化",01_因子設定!$B$15-O1106,MIN(N1106-01_因子設定!$B$14,01_因子設定!$B$15-O1106))),-1E+030)</f>
        <v>1.3583913948743</v>
      </c>
      <c r="R1106" s="55" t="n">
        <f aca="false">IF(P1106,IF(01_因子設定!$B$13="最大化",K1106,IF(01_因子設定!$B$13="最小化",-K1106,-ABS(K1106-01_因子設定!$B$16))),-1E+030)</f>
        <v>49.3809224137931</v>
      </c>
      <c r="S1106" s="55" t="n">
        <f aca="false">Q1106+ROW()*0.000000001</f>
        <v>1.3583925008743</v>
      </c>
      <c r="T1106" s="55" t="n">
        <f aca="false">R1106+ROW()*0.000000001</f>
        <v>49.3809235197931</v>
      </c>
    </row>
    <row r="1107" customFormat="false" ht="15" hidden="false" customHeight="false" outlineLevel="0" collapsed="false">
      <c r="A1107" s="0" t="n">
        <v>26</v>
      </c>
      <c r="B1107" s="0" t="n">
        <v>36</v>
      </c>
      <c r="C1107" s="0" t="n">
        <f aca="false">-1+A1107*0.05</f>
        <v>0.3</v>
      </c>
      <c r="D1107" s="0" t="n">
        <f aca="false">-1+B1107*0.05</f>
        <v>0.8</v>
      </c>
      <c r="E1107" s="0" t="n">
        <f aca="false">1</f>
        <v>1</v>
      </c>
      <c r="F1107" s="0" t="n">
        <f aca="false">C1107</f>
        <v>0.3</v>
      </c>
      <c r="G1107" s="0" t="n">
        <f aca="false">D1107</f>
        <v>0.8</v>
      </c>
      <c r="H1107" s="0" t="n">
        <f aca="false">C1107*D1107</f>
        <v>0.24</v>
      </c>
      <c r="I1107" s="0" t="n">
        <f aca="false">C1107*C1107</f>
        <v>0.09</v>
      </c>
      <c r="J1107" s="0" t="n">
        <f aca="false">D1107*D1107</f>
        <v>0.64</v>
      </c>
      <c r="K1107" s="0" t="n">
        <f aca="false">SUMPRODUCT(E1107:J1107,_XtX!$B$53:$G$53)</f>
        <v>49.3817068965517</v>
      </c>
      <c r="L1107" s="0" t="n">
        <f aca="false">SUMPRODUCT(MMULT(E1107:J1107,_XtX!$B$44:$G$49),E1107:J1107)</f>
        <v>0.292792528735632</v>
      </c>
      <c r="M1107" s="0" t="n">
        <f aca="false">04_回帰ANOVA!$K$19*04_回帰ANOVA!$K$14*SQRT(1+L1107)</f>
        <v>1.54078126521906</v>
      </c>
      <c r="N1107" s="0" t="n">
        <f aca="false">K1107-M1107</f>
        <v>47.8409256313327</v>
      </c>
      <c r="O1107" s="0" t="n">
        <f aca="false">K1107+M1107</f>
        <v>50.9224881617708</v>
      </c>
      <c r="P1107" s="54" t="b">
        <f aca="false">AND(C1107&gt;=01_因子設定!$L$5-0.000000001,C1107&lt;=01_因子設定!$M$5+0.000000001,D1107&gt;=01_因子設定!$L$6-0.000000001,D1107&lt;=01_因子設定!$M$6+0.000000001,IF(01_因子設定!$B$20="Box-Behnken",C1107^2+D1107^2&lt;=2+0.000000001,TRUE()))</f>
        <v>1</v>
      </c>
      <c r="Q1107" s="55" t="n">
        <f aca="false">IF(P1107,IF(01_因子設定!$B$13="最大化",N1107-01_因子設定!$B$14,IF(01_因子設定!$B$13="最小化",01_因子設定!$B$15-O1107,MIN(N1107-01_因子設定!$B$14,01_因子設定!$B$15-O1107))),-1E+030)</f>
        <v>1.34092563133266</v>
      </c>
      <c r="R1107" s="55" t="n">
        <f aca="false">IF(P1107,IF(01_因子設定!$B$13="最大化",K1107,IF(01_因子設定!$B$13="最小化",-K1107,-ABS(K1107-01_因子設定!$B$16))),-1E+030)</f>
        <v>49.3817068965517</v>
      </c>
      <c r="S1107" s="55" t="n">
        <f aca="false">Q1107+ROW()*0.000000001</f>
        <v>1.34092673833266</v>
      </c>
      <c r="T1107" s="55" t="n">
        <f aca="false">R1107+ROW()*0.000000001</f>
        <v>49.3817080035517</v>
      </c>
    </row>
    <row r="1108" customFormat="false" ht="15" hidden="false" customHeight="false" outlineLevel="0" collapsed="false">
      <c r="A1108" s="0" t="n">
        <v>26</v>
      </c>
      <c r="B1108" s="0" t="n">
        <v>37</v>
      </c>
      <c r="C1108" s="0" t="n">
        <f aca="false">-1+A1108*0.05</f>
        <v>0.3</v>
      </c>
      <c r="D1108" s="0" t="n">
        <f aca="false">-1+B1108*0.05</f>
        <v>0.85</v>
      </c>
      <c r="E1108" s="0" t="n">
        <f aca="false">1</f>
        <v>1</v>
      </c>
      <c r="F1108" s="0" t="n">
        <f aca="false">C1108</f>
        <v>0.3</v>
      </c>
      <c r="G1108" s="0" t="n">
        <f aca="false">D1108</f>
        <v>0.85</v>
      </c>
      <c r="H1108" s="0" t="n">
        <f aca="false">C1108*D1108</f>
        <v>0.255</v>
      </c>
      <c r="I1108" s="0" t="n">
        <f aca="false">C1108*C1108</f>
        <v>0.09</v>
      </c>
      <c r="J1108" s="0" t="n">
        <f aca="false">D1108*D1108</f>
        <v>0.7225</v>
      </c>
      <c r="K1108" s="0" t="n">
        <f aca="false">SUMPRODUCT(E1108:J1108,_XtX!$B$53:$G$53)</f>
        <v>49.374775862069</v>
      </c>
      <c r="L1108" s="0" t="n">
        <f aca="false">SUMPRODUCT(MMULT(E1108:J1108,_XtX!$B$44:$G$49),E1108:J1108)</f>
        <v>0.329980352011494</v>
      </c>
      <c r="M1108" s="0" t="n">
        <f aca="false">04_回帰ANOVA!$K$19*04_回帰ANOVA!$K$14*SQRT(1+L1108)</f>
        <v>1.56278482285818</v>
      </c>
      <c r="N1108" s="0" t="n">
        <f aca="false">K1108-M1108</f>
        <v>47.8119910392108</v>
      </c>
      <c r="O1108" s="0" t="n">
        <f aca="false">K1108+M1108</f>
        <v>50.9375606849271</v>
      </c>
      <c r="P1108" s="54" t="b">
        <f aca="false">AND(C1108&gt;=01_因子設定!$L$5-0.000000001,C1108&lt;=01_因子設定!$M$5+0.000000001,D1108&gt;=01_因子設定!$L$6-0.000000001,D1108&lt;=01_因子設定!$M$6+0.000000001,IF(01_因子設定!$B$20="Box-Behnken",C1108^2+D1108^2&lt;=2+0.000000001,TRUE()))</f>
        <v>1</v>
      </c>
      <c r="Q1108" s="55" t="n">
        <f aca="false">IF(P1108,IF(01_因子設定!$B$13="最大化",N1108-01_因子設定!$B$14,IF(01_因子設定!$B$13="最小化",01_因子設定!$B$15-O1108,MIN(N1108-01_因子設定!$B$14,01_因子設定!$B$15-O1108))),-1E+030)</f>
        <v>1.31199103921079</v>
      </c>
      <c r="R1108" s="55" t="n">
        <f aca="false">IF(P1108,IF(01_因子設定!$B$13="最大化",K1108,IF(01_因子設定!$B$13="最小化",-K1108,-ABS(K1108-01_因子設定!$B$16))),-1E+030)</f>
        <v>49.374775862069</v>
      </c>
      <c r="S1108" s="55" t="n">
        <f aca="false">Q1108+ROW()*0.000000001</f>
        <v>1.31199214721079</v>
      </c>
      <c r="T1108" s="55" t="n">
        <f aca="false">R1108+ROW()*0.000000001</f>
        <v>49.374776970069</v>
      </c>
    </row>
    <row r="1109" customFormat="false" ht="15" hidden="false" customHeight="false" outlineLevel="0" collapsed="false">
      <c r="A1109" s="0" t="n">
        <v>26</v>
      </c>
      <c r="B1109" s="0" t="n">
        <v>38</v>
      </c>
      <c r="C1109" s="0" t="n">
        <f aca="false">-1+A1109*0.05</f>
        <v>0.3</v>
      </c>
      <c r="D1109" s="0" t="n">
        <f aca="false">-1+B1109*0.05</f>
        <v>0.9</v>
      </c>
      <c r="E1109" s="0" t="n">
        <f aca="false">1</f>
        <v>1</v>
      </c>
      <c r="F1109" s="0" t="n">
        <f aca="false">C1109</f>
        <v>0.3</v>
      </c>
      <c r="G1109" s="0" t="n">
        <f aca="false">D1109</f>
        <v>0.9</v>
      </c>
      <c r="H1109" s="0" t="n">
        <f aca="false">C1109*D1109</f>
        <v>0.27</v>
      </c>
      <c r="I1109" s="0" t="n">
        <f aca="false">C1109*C1109</f>
        <v>0.09</v>
      </c>
      <c r="J1109" s="0" t="n">
        <f aca="false">D1109*D1109</f>
        <v>0.81</v>
      </c>
      <c r="K1109" s="0" t="n">
        <f aca="false">SUMPRODUCT(E1109:J1109,_XtX!$B$53:$G$53)</f>
        <v>49.3601293103448</v>
      </c>
      <c r="L1109" s="0" t="n">
        <f aca="false">SUMPRODUCT(MMULT(E1109:J1109,_XtX!$B$44:$G$49),E1109:J1109)</f>
        <v>0.37480775862069</v>
      </c>
      <c r="M1109" s="0" t="n">
        <f aca="false">04_回帰ANOVA!$K$19*04_回帰ANOVA!$K$14*SQRT(1+L1109)</f>
        <v>1.58890363834478</v>
      </c>
      <c r="N1109" s="0" t="n">
        <f aca="false">K1109-M1109</f>
        <v>47.771225672</v>
      </c>
      <c r="O1109" s="0" t="n">
        <f aca="false">K1109+M1109</f>
        <v>50.9490329486896</v>
      </c>
      <c r="P1109" s="54" t="b">
        <f aca="false">AND(C1109&gt;=01_因子設定!$L$5-0.000000001,C1109&lt;=01_因子設定!$M$5+0.000000001,D1109&gt;=01_因子設定!$L$6-0.000000001,D1109&lt;=01_因子設定!$M$6+0.000000001,IF(01_因子設定!$B$20="Box-Behnken",C1109^2+D1109^2&lt;=2+0.000000001,TRUE()))</f>
        <v>1</v>
      </c>
      <c r="Q1109" s="55" t="n">
        <f aca="false">IF(P1109,IF(01_因子設定!$B$13="最大化",N1109-01_因子設定!$B$14,IF(01_因子設定!$B$13="最小化",01_因子設定!$B$15-O1109,MIN(N1109-01_因子設定!$B$14,01_因子設定!$B$15-O1109))),-1E+030)</f>
        <v>1.27122567200004</v>
      </c>
      <c r="R1109" s="55" t="n">
        <f aca="false">IF(P1109,IF(01_因子設定!$B$13="最大化",K1109,IF(01_因子設定!$B$13="最小化",-K1109,-ABS(K1109-01_因子設定!$B$16))),-1E+030)</f>
        <v>49.3601293103448</v>
      </c>
      <c r="S1109" s="55" t="n">
        <f aca="false">Q1109+ROW()*0.000000001</f>
        <v>1.27122678100004</v>
      </c>
      <c r="T1109" s="55" t="n">
        <f aca="false">R1109+ROW()*0.000000001</f>
        <v>49.3601304193448</v>
      </c>
    </row>
    <row r="1110" customFormat="false" ht="15" hidden="false" customHeight="false" outlineLevel="0" collapsed="false">
      <c r="A1110" s="0" t="n">
        <v>26</v>
      </c>
      <c r="B1110" s="0" t="n">
        <v>39</v>
      </c>
      <c r="C1110" s="0" t="n">
        <f aca="false">-1+A1110*0.05</f>
        <v>0.3</v>
      </c>
      <c r="D1110" s="0" t="n">
        <f aca="false">-1+B1110*0.05</f>
        <v>0.95</v>
      </c>
      <c r="E1110" s="0" t="n">
        <f aca="false">1</f>
        <v>1</v>
      </c>
      <c r="F1110" s="0" t="n">
        <f aca="false">C1110</f>
        <v>0.3</v>
      </c>
      <c r="G1110" s="0" t="n">
        <f aca="false">D1110</f>
        <v>0.95</v>
      </c>
      <c r="H1110" s="0" t="n">
        <f aca="false">C1110*D1110</f>
        <v>0.285</v>
      </c>
      <c r="I1110" s="0" t="n">
        <f aca="false">C1110*C1110</f>
        <v>0.09</v>
      </c>
      <c r="J1110" s="0" t="n">
        <f aca="false">D1110*D1110</f>
        <v>0.9025</v>
      </c>
      <c r="K1110" s="0" t="n">
        <f aca="false">SUMPRODUCT(E1110:J1110,_XtX!$B$53:$G$53)</f>
        <v>49.3377672413793</v>
      </c>
      <c r="L1110" s="0" t="n">
        <f aca="false">SUMPRODUCT(MMULT(E1110:J1110,_XtX!$B$44:$G$49),E1110:J1110)</f>
        <v>0.428225179597701</v>
      </c>
      <c r="M1110" s="0" t="n">
        <f aca="false">04_回帰ANOVA!$K$19*04_回帰ANOVA!$K$14*SQRT(1+L1110)</f>
        <v>1.61947748676737</v>
      </c>
      <c r="N1110" s="0" t="n">
        <f aca="false">K1110-M1110</f>
        <v>47.7182897546119</v>
      </c>
      <c r="O1110" s="0" t="n">
        <f aca="false">K1110+M1110</f>
        <v>50.9572447281467</v>
      </c>
      <c r="P1110" s="54" t="b">
        <f aca="false">AND(C1110&gt;=01_因子設定!$L$5-0.000000001,C1110&lt;=01_因子設定!$M$5+0.000000001,D1110&gt;=01_因子設定!$L$6-0.000000001,D1110&lt;=01_因子設定!$M$6+0.000000001,IF(01_因子設定!$B$20="Box-Behnken",C1110^2+D1110^2&lt;=2+0.000000001,TRUE()))</f>
        <v>1</v>
      </c>
      <c r="Q1110" s="55" t="n">
        <f aca="false">IF(P1110,IF(01_因子設定!$B$13="最大化",N1110-01_因子設定!$B$14,IF(01_因子設定!$B$13="最小化",01_因子設定!$B$15-O1110,MIN(N1110-01_因子設定!$B$14,01_因子設定!$B$15-O1110))),-1E+030)</f>
        <v>1.21828975461194</v>
      </c>
      <c r="R1110" s="55" t="n">
        <f aca="false">IF(P1110,IF(01_因子設定!$B$13="最大化",K1110,IF(01_因子設定!$B$13="最小化",-K1110,-ABS(K1110-01_因子設定!$B$16))),-1E+030)</f>
        <v>49.3377672413793</v>
      </c>
      <c r="S1110" s="55" t="n">
        <f aca="false">Q1110+ROW()*0.000000001</f>
        <v>1.21829086461194</v>
      </c>
      <c r="T1110" s="55" t="n">
        <f aca="false">R1110+ROW()*0.000000001</f>
        <v>49.3377683513793</v>
      </c>
    </row>
    <row r="1111" customFormat="false" ht="15" hidden="false" customHeight="false" outlineLevel="0" collapsed="false">
      <c r="A1111" s="0" t="n">
        <v>26</v>
      </c>
      <c r="B1111" s="0" t="n">
        <v>40</v>
      </c>
      <c r="C1111" s="0" t="n">
        <f aca="false">-1+A1111*0.05</f>
        <v>0.3</v>
      </c>
      <c r="D1111" s="0" t="n">
        <f aca="false">-1+B1111*0.05</f>
        <v>1</v>
      </c>
      <c r="E1111" s="0" t="n">
        <f aca="false">1</f>
        <v>1</v>
      </c>
      <c r="F1111" s="0" t="n">
        <f aca="false">C1111</f>
        <v>0.3</v>
      </c>
      <c r="G1111" s="0" t="n">
        <f aca="false">D1111</f>
        <v>1</v>
      </c>
      <c r="H1111" s="0" t="n">
        <f aca="false">C1111*D1111</f>
        <v>0.3</v>
      </c>
      <c r="I1111" s="0" t="n">
        <f aca="false">C1111*C1111</f>
        <v>0.09</v>
      </c>
      <c r="J1111" s="0" t="n">
        <f aca="false">D1111*D1111</f>
        <v>1</v>
      </c>
      <c r="K1111" s="0" t="n">
        <f aca="false">SUMPRODUCT(E1111:J1111,_XtX!$B$53:$G$53)</f>
        <v>49.3076896551724</v>
      </c>
      <c r="L1111" s="0" t="n">
        <f aca="false">SUMPRODUCT(MMULT(E1111:J1111,_XtX!$B$44:$G$49),E1111:J1111)</f>
        <v>0.491237356321839</v>
      </c>
      <c r="M1111" s="0" t="n">
        <f aca="false">04_回帰ANOVA!$K$19*04_回帰ANOVA!$K$14*SQRT(1+L1111)</f>
        <v>1.65481694581525</v>
      </c>
      <c r="N1111" s="0" t="n">
        <f aca="false">K1111-M1111</f>
        <v>47.6528727093572</v>
      </c>
      <c r="O1111" s="0" t="n">
        <f aca="false">K1111+M1111</f>
        <v>50.9625066009877</v>
      </c>
      <c r="P1111" s="54" t="b">
        <f aca="false">AND(C1111&gt;=01_因子設定!$L$5-0.000000001,C1111&lt;=01_因子設定!$M$5+0.000000001,D1111&gt;=01_因子設定!$L$6-0.000000001,D1111&lt;=01_因子設定!$M$6+0.000000001,IF(01_因子設定!$B$20="Box-Behnken",C1111^2+D1111^2&lt;=2+0.000000001,TRUE()))</f>
        <v>1</v>
      </c>
      <c r="Q1111" s="55" t="n">
        <f aca="false">IF(P1111,IF(01_因子設定!$B$13="最大化",N1111-01_因子設定!$B$14,IF(01_因子設定!$B$13="最小化",01_因子設定!$B$15-O1111,MIN(N1111-01_因子設定!$B$14,01_因子設定!$B$15-O1111))),-1E+030)</f>
        <v>1.15287270935716</v>
      </c>
      <c r="R1111" s="55" t="n">
        <f aca="false">IF(P1111,IF(01_因子設定!$B$13="最大化",K1111,IF(01_因子設定!$B$13="最小化",-K1111,-ABS(K1111-01_因子設定!$B$16))),-1E+030)</f>
        <v>49.3076896551724</v>
      </c>
      <c r="S1111" s="55" t="n">
        <f aca="false">Q1111+ROW()*0.000000001</f>
        <v>1.15287382035716</v>
      </c>
      <c r="T1111" s="55" t="n">
        <f aca="false">R1111+ROW()*0.000000001</f>
        <v>49.3076907661724</v>
      </c>
    </row>
    <row r="1112" customFormat="false" ht="15" hidden="false" customHeight="false" outlineLevel="0" collapsed="false">
      <c r="A1112" s="0" t="n">
        <v>27</v>
      </c>
      <c r="B1112" s="0" t="n">
        <v>0</v>
      </c>
      <c r="C1112" s="0" t="n">
        <f aca="false">-1+A1112*0.05</f>
        <v>0.35</v>
      </c>
      <c r="D1112" s="0" t="n">
        <f aca="false">-1+B1112*0.05</f>
        <v>-1</v>
      </c>
      <c r="E1112" s="0" t="n">
        <f aca="false">1</f>
        <v>1</v>
      </c>
      <c r="F1112" s="0" t="n">
        <f aca="false">C1112</f>
        <v>0.35</v>
      </c>
      <c r="G1112" s="0" t="n">
        <f aca="false">D1112</f>
        <v>-1</v>
      </c>
      <c r="H1112" s="0" t="n">
        <f aca="false">C1112*D1112</f>
        <v>-0.35</v>
      </c>
      <c r="I1112" s="0" t="n">
        <f aca="false">C1112*C1112</f>
        <v>0.1225</v>
      </c>
      <c r="J1112" s="0" t="n">
        <f aca="false">D1112*D1112</f>
        <v>1</v>
      </c>
      <c r="K1112" s="0" t="n">
        <f aca="false">SUMPRODUCT(E1112:J1112,_XtX!$B$53:$G$53)</f>
        <v>44.4831221264368</v>
      </c>
      <c r="L1112" s="0" t="n">
        <f aca="false">SUMPRODUCT(MMULT(E1112:J1112,_XtX!$B$44:$G$49),E1112:J1112)</f>
        <v>0.491589906609195</v>
      </c>
      <c r="M1112" s="0" t="n">
        <f aca="false">04_回帰ANOVA!$K$19*04_回帰ANOVA!$K$14*SQRT(1+L1112)</f>
        <v>1.65501254570079</v>
      </c>
      <c r="N1112" s="0" t="n">
        <f aca="false">K1112-M1112</f>
        <v>42.828109580736</v>
      </c>
      <c r="O1112" s="0" t="n">
        <f aca="false">K1112+M1112</f>
        <v>46.1381346721376</v>
      </c>
      <c r="P1112" s="54" t="b">
        <f aca="false">AND(C1112&gt;=01_因子設定!$L$5-0.000000001,C1112&lt;=01_因子設定!$M$5+0.000000001,D1112&gt;=01_因子設定!$L$6-0.000000001,D1112&lt;=01_因子設定!$M$6+0.000000001,IF(01_因子設定!$B$20="Box-Behnken",C1112^2+D1112^2&lt;=2+0.000000001,TRUE()))</f>
        <v>1</v>
      </c>
      <c r="Q1112" s="55" t="n">
        <f aca="false">IF(P1112,IF(01_因子設定!$B$13="最大化",N1112-01_因子設定!$B$14,IF(01_因子設定!$B$13="最小化",01_因子設定!$B$15-O1112,MIN(N1112-01_因子設定!$B$14,01_因子設定!$B$15-O1112))),-1E+030)</f>
        <v>-3.671890419264</v>
      </c>
      <c r="R1112" s="55" t="n">
        <f aca="false">IF(P1112,IF(01_因子設定!$B$13="最大化",K1112,IF(01_因子設定!$B$13="最小化",-K1112,-ABS(K1112-01_因子設定!$B$16))),-1E+030)</f>
        <v>44.4831221264368</v>
      </c>
      <c r="S1112" s="55" t="n">
        <f aca="false">Q1112+ROW()*0.000000001</f>
        <v>-3.671889307264</v>
      </c>
      <c r="T1112" s="55" t="n">
        <f aca="false">R1112+ROW()*0.000000001</f>
        <v>44.4831232384368</v>
      </c>
    </row>
    <row r="1113" customFormat="false" ht="15" hidden="false" customHeight="false" outlineLevel="0" collapsed="false">
      <c r="A1113" s="0" t="n">
        <v>27</v>
      </c>
      <c r="B1113" s="0" t="n">
        <v>1</v>
      </c>
      <c r="C1113" s="0" t="n">
        <f aca="false">-1+A1113*0.05</f>
        <v>0.35</v>
      </c>
      <c r="D1113" s="0" t="n">
        <f aca="false">-1+B1113*0.05</f>
        <v>-0.95</v>
      </c>
      <c r="E1113" s="0" t="n">
        <f aca="false">1</f>
        <v>1</v>
      </c>
      <c r="F1113" s="0" t="n">
        <f aca="false">C1113</f>
        <v>0.35</v>
      </c>
      <c r="G1113" s="0" t="n">
        <f aca="false">D1113</f>
        <v>-0.95</v>
      </c>
      <c r="H1113" s="0" t="n">
        <f aca="false">C1113*D1113</f>
        <v>-0.3325</v>
      </c>
      <c r="I1113" s="0" t="n">
        <f aca="false">C1113*C1113</f>
        <v>0.1225</v>
      </c>
      <c r="J1113" s="0" t="n">
        <f aca="false">D1113*D1113</f>
        <v>0.9025</v>
      </c>
      <c r="K1113" s="0" t="n">
        <f aca="false">SUMPRODUCT(E1113:J1113,_XtX!$B$53:$G$53)</f>
        <v>44.7552622126437</v>
      </c>
      <c r="L1113" s="0" t="n">
        <f aca="false">SUMPRODUCT(MMULT(E1113:J1113,_XtX!$B$44:$G$49),E1113:J1113)</f>
        <v>0.428659680316092</v>
      </c>
      <c r="M1113" s="0" t="n">
        <f aca="false">04_回帰ANOVA!$K$19*04_回帰ANOVA!$K$14*SQRT(1+L1113)</f>
        <v>1.6197238101874</v>
      </c>
      <c r="N1113" s="0" t="n">
        <f aca="false">K1113-M1113</f>
        <v>43.1355384024563</v>
      </c>
      <c r="O1113" s="0" t="n">
        <f aca="false">K1113+M1113</f>
        <v>46.3749860228311</v>
      </c>
      <c r="P1113" s="54" t="b">
        <f aca="false">AND(C1113&gt;=01_因子設定!$L$5-0.000000001,C1113&lt;=01_因子設定!$M$5+0.000000001,D1113&gt;=01_因子設定!$L$6-0.000000001,D1113&lt;=01_因子設定!$M$6+0.000000001,IF(01_因子設定!$B$20="Box-Behnken",C1113^2+D1113^2&lt;=2+0.000000001,TRUE()))</f>
        <v>1</v>
      </c>
      <c r="Q1113" s="55" t="n">
        <f aca="false">IF(P1113,IF(01_因子設定!$B$13="最大化",N1113-01_因子設定!$B$14,IF(01_因子設定!$B$13="最小化",01_因子設定!$B$15-O1113,MIN(N1113-01_因子設定!$B$14,01_因子設定!$B$15-O1113))),-1E+030)</f>
        <v>-3.36446159754372</v>
      </c>
      <c r="R1113" s="55" t="n">
        <f aca="false">IF(P1113,IF(01_因子設定!$B$13="最大化",K1113,IF(01_因子設定!$B$13="最小化",-K1113,-ABS(K1113-01_因子設定!$B$16))),-1E+030)</f>
        <v>44.7552622126437</v>
      </c>
      <c r="S1113" s="55" t="n">
        <f aca="false">Q1113+ROW()*0.000000001</f>
        <v>-3.36446048454372</v>
      </c>
      <c r="T1113" s="55" t="n">
        <f aca="false">R1113+ROW()*0.000000001</f>
        <v>44.7552633256437</v>
      </c>
    </row>
    <row r="1114" customFormat="false" ht="15" hidden="false" customHeight="false" outlineLevel="0" collapsed="false">
      <c r="A1114" s="0" t="n">
        <v>27</v>
      </c>
      <c r="B1114" s="0" t="n">
        <v>2</v>
      </c>
      <c r="C1114" s="0" t="n">
        <f aca="false">-1+A1114*0.05</f>
        <v>0.35</v>
      </c>
      <c r="D1114" s="0" t="n">
        <f aca="false">-1+B1114*0.05</f>
        <v>-0.9</v>
      </c>
      <c r="E1114" s="0" t="n">
        <f aca="false">1</f>
        <v>1</v>
      </c>
      <c r="F1114" s="0" t="n">
        <f aca="false">C1114</f>
        <v>0.35</v>
      </c>
      <c r="G1114" s="0" t="n">
        <f aca="false">D1114</f>
        <v>-0.9</v>
      </c>
      <c r="H1114" s="0" t="n">
        <f aca="false">C1114*D1114</f>
        <v>-0.315</v>
      </c>
      <c r="I1114" s="0" t="n">
        <f aca="false">C1114*C1114</f>
        <v>0.1225</v>
      </c>
      <c r="J1114" s="0" t="n">
        <f aca="false">D1114*D1114</f>
        <v>0.81</v>
      </c>
      <c r="K1114" s="0" t="n">
        <f aca="false">SUMPRODUCT(E1114:J1114,_XtX!$B$53:$G$53)</f>
        <v>45.0196867816092</v>
      </c>
      <c r="L1114" s="0" t="n">
        <f aca="false">SUMPRODUCT(MMULT(E1114:J1114,_XtX!$B$44:$G$49),E1114:J1114)</f>
        <v>0.375320007183908</v>
      </c>
      <c r="M1114" s="0" t="n">
        <f aca="false">04_回帰ANOVA!$K$19*04_回帰ANOVA!$K$14*SQRT(1+L1114)</f>
        <v>1.58919962074651</v>
      </c>
      <c r="N1114" s="0" t="n">
        <f aca="false">K1114-M1114</f>
        <v>43.4304871608627</v>
      </c>
      <c r="O1114" s="0" t="n">
        <f aca="false">K1114+M1114</f>
        <v>46.6088864023557</v>
      </c>
      <c r="P1114" s="54" t="b">
        <f aca="false">AND(C1114&gt;=01_因子設定!$L$5-0.000000001,C1114&lt;=01_因子設定!$M$5+0.000000001,D1114&gt;=01_因子設定!$L$6-0.000000001,D1114&lt;=01_因子設定!$M$6+0.000000001,IF(01_因子設定!$B$20="Box-Behnken",C1114^2+D1114^2&lt;=2+0.000000001,TRUE()))</f>
        <v>1</v>
      </c>
      <c r="Q1114" s="55" t="n">
        <f aca="false">IF(P1114,IF(01_因子設定!$B$13="最大化",N1114-01_因子設定!$B$14,IF(01_因子設定!$B$13="最小化",01_因子設定!$B$15-O1114,MIN(N1114-01_因子設定!$B$14,01_因子設定!$B$15-O1114))),-1E+030)</f>
        <v>-3.06951283913731</v>
      </c>
      <c r="R1114" s="55" t="n">
        <f aca="false">IF(P1114,IF(01_因子設定!$B$13="最大化",K1114,IF(01_因子設定!$B$13="最小化",-K1114,-ABS(K1114-01_因子設定!$B$16))),-1E+030)</f>
        <v>45.0196867816092</v>
      </c>
      <c r="S1114" s="55" t="n">
        <f aca="false">Q1114+ROW()*0.000000001</f>
        <v>-3.06951172513731</v>
      </c>
      <c r="T1114" s="55" t="n">
        <f aca="false">R1114+ROW()*0.000000001</f>
        <v>45.0196878956092</v>
      </c>
    </row>
    <row r="1115" customFormat="false" ht="15" hidden="false" customHeight="false" outlineLevel="0" collapsed="false">
      <c r="A1115" s="0" t="n">
        <v>27</v>
      </c>
      <c r="B1115" s="0" t="n">
        <v>3</v>
      </c>
      <c r="C1115" s="0" t="n">
        <f aca="false">-1+A1115*0.05</f>
        <v>0.35</v>
      </c>
      <c r="D1115" s="0" t="n">
        <f aca="false">-1+B1115*0.05</f>
        <v>-0.85</v>
      </c>
      <c r="E1115" s="0" t="n">
        <f aca="false">1</f>
        <v>1</v>
      </c>
      <c r="F1115" s="0" t="n">
        <f aca="false">C1115</f>
        <v>0.35</v>
      </c>
      <c r="G1115" s="0" t="n">
        <f aca="false">D1115</f>
        <v>-0.85</v>
      </c>
      <c r="H1115" s="0" t="n">
        <f aca="false">C1115*D1115</f>
        <v>-0.2975</v>
      </c>
      <c r="I1115" s="0" t="n">
        <f aca="false">C1115*C1115</f>
        <v>0.1225</v>
      </c>
      <c r="J1115" s="0" t="n">
        <f aca="false">D1115*D1115</f>
        <v>0.7225</v>
      </c>
      <c r="K1115" s="0" t="n">
        <f aca="false">SUMPRODUCT(E1115:J1115,_XtX!$B$53:$G$53)</f>
        <v>45.2763958333333</v>
      </c>
      <c r="L1115" s="0" t="n">
        <f aca="false">SUMPRODUCT(MMULT(E1115:J1115,_XtX!$B$44:$G$49),E1115:J1115)</f>
        <v>0.330566145833333</v>
      </c>
      <c r="M1115" s="0" t="n">
        <f aca="false">04_回帰ANOVA!$K$19*04_回帰ANOVA!$K$14*SQRT(1+L1115)</f>
        <v>1.5631289515927</v>
      </c>
      <c r="N1115" s="0" t="n">
        <f aca="false">K1115-M1115</f>
        <v>43.7132668817406</v>
      </c>
      <c r="O1115" s="0" t="n">
        <f aca="false">K1115+M1115</f>
        <v>46.839524784926</v>
      </c>
      <c r="P1115" s="54" t="b">
        <f aca="false">AND(C1115&gt;=01_因子設定!$L$5-0.000000001,C1115&lt;=01_因子設定!$M$5+0.000000001,D1115&gt;=01_因子設定!$L$6-0.000000001,D1115&lt;=01_因子設定!$M$6+0.000000001,IF(01_因子設定!$B$20="Box-Behnken",C1115^2+D1115^2&lt;=2+0.000000001,TRUE()))</f>
        <v>1</v>
      </c>
      <c r="Q1115" s="55" t="n">
        <f aca="false">IF(P1115,IF(01_因子設定!$B$13="最大化",N1115-01_因子設定!$B$14,IF(01_因子設定!$B$13="最小化",01_因子設定!$B$15-O1115,MIN(N1115-01_因子設定!$B$14,01_因子設定!$B$15-O1115))),-1E+030)</f>
        <v>-2.78673311825936</v>
      </c>
      <c r="R1115" s="55" t="n">
        <f aca="false">IF(P1115,IF(01_因子設定!$B$13="最大化",K1115,IF(01_因子設定!$B$13="最小化",-K1115,-ABS(K1115-01_因子設定!$B$16))),-1E+030)</f>
        <v>45.2763958333333</v>
      </c>
      <c r="S1115" s="55" t="n">
        <f aca="false">Q1115+ROW()*0.000000001</f>
        <v>-2.78673200325936</v>
      </c>
      <c r="T1115" s="55" t="n">
        <f aca="false">R1115+ROW()*0.000000001</f>
        <v>45.2763969483333</v>
      </c>
    </row>
    <row r="1116" customFormat="false" ht="15" hidden="false" customHeight="false" outlineLevel="0" collapsed="false">
      <c r="A1116" s="0" t="n">
        <v>27</v>
      </c>
      <c r="B1116" s="0" t="n">
        <v>4</v>
      </c>
      <c r="C1116" s="0" t="n">
        <f aca="false">-1+A1116*0.05</f>
        <v>0.35</v>
      </c>
      <c r="D1116" s="0" t="n">
        <f aca="false">-1+B1116*0.05</f>
        <v>-0.8</v>
      </c>
      <c r="E1116" s="0" t="n">
        <f aca="false">1</f>
        <v>1</v>
      </c>
      <c r="F1116" s="0" t="n">
        <f aca="false">C1116</f>
        <v>0.35</v>
      </c>
      <c r="G1116" s="0" t="n">
        <f aca="false">D1116</f>
        <v>-0.8</v>
      </c>
      <c r="H1116" s="0" t="n">
        <f aca="false">C1116*D1116</f>
        <v>-0.28</v>
      </c>
      <c r="I1116" s="0" t="n">
        <f aca="false">C1116*C1116</f>
        <v>0.1225</v>
      </c>
      <c r="J1116" s="0" t="n">
        <f aca="false">D1116*D1116</f>
        <v>0.64</v>
      </c>
      <c r="K1116" s="0" t="n">
        <f aca="false">SUMPRODUCT(E1116:J1116,_XtX!$B$53:$G$53)</f>
        <v>45.5253893678161</v>
      </c>
      <c r="L1116" s="0" t="n">
        <f aca="false">SUMPRODUCT(MMULT(E1116:J1116,_XtX!$B$44:$G$49),E1116:J1116)</f>
        <v>0.293447665229885</v>
      </c>
      <c r="M1116" s="0" t="n">
        <f aca="false">04_回帰ANOVA!$K$19*04_回帰ANOVA!$K$14*SQRT(1+L1116)</f>
        <v>1.54117161949579</v>
      </c>
      <c r="N1116" s="0" t="n">
        <f aca="false">K1116-M1116</f>
        <v>43.9842177483203</v>
      </c>
      <c r="O1116" s="0" t="n">
        <f aca="false">K1116+M1116</f>
        <v>47.0665609873119</v>
      </c>
      <c r="P1116" s="54" t="b">
        <f aca="false">AND(C1116&gt;=01_因子設定!$L$5-0.000000001,C1116&lt;=01_因子設定!$M$5+0.000000001,D1116&gt;=01_因子設定!$L$6-0.000000001,D1116&lt;=01_因子設定!$M$6+0.000000001,IF(01_因子設定!$B$20="Box-Behnken",C1116^2+D1116^2&lt;=2+0.000000001,TRUE()))</f>
        <v>1</v>
      </c>
      <c r="Q1116" s="55" t="n">
        <f aca="false">IF(P1116,IF(01_因子設定!$B$13="最大化",N1116-01_因子設定!$B$14,IF(01_因子設定!$B$13="最小化",01_因子設定!$B$15-O1116,MIN(N1116-01_因子設定!$B$14,01_因子設定!$B$15-O1116))),-1E+030)</f>
        <v>-2.5157822516797</v>
      </c>
      <c r="R1116" s="55" t="n">
        <f aca="false">IF(P1116,IF(01_因子設定!$B$13="最大化",K1116,IF(01_因子設定!$B$13="最小化",-K1116,-ABS(K1116-01_因子設定!$B$16))),-1E+030)</f>
        <v>45.5253893678161</v>
      </c>
      <c r="S1116" s="55" t="n">
        <f aca="false">Q1116+ROW()*0.000000001</f>
        <v>-2.5157811356797</v>
      </c>
      <c r="T1116" s="55" t="n">
        <f aca="false">R1116+ROW()*0.000000001</f>
        <v>45.5253904838161</v>
      </c>
    </row>
    <row r="1117" customFormat="false" ht="15" hidden="false" customHeight="false" outlineLevel="0" collapsed="false">
      <c r="A1117" s="0" t="n">
        <v>27</v>
      </c>
      <c r="B1117" s="0" t="n">
        <v>5</v>
      </c>
      <c r="C1117" s="0" t="n">
        <f aca="false">-1+A1117*0.05</f>
        <v>0.35</v>
      </c>
      <c r="D1117" s="0" t="n">
        <f aca="false">-1+B1117*0.05</f>
        <v>-0.75</v>
      </c>
      <c r="E1117" s="0" t="n">
        <f aca="false">1</f>
        <v>1</v>
      </c>
      <c r="F1117" s="0" t="n">
        <f aca="false">C1117</f>
        <v>0.35</v>
      </c>
      <c r="G1117" s="0" t="n">
        <f aca="false">D1117</f>
        <v>-0.75</v>
      </c>
      <c r="H1117" s="0" t="n">
        <f aca="false">C1117*D1117</f>
        <v>-0.2625</v>
      </c>
      <c r="I1117" s="0" t="n">
        <f aca="false">C1117*C1117</f>
        <v>0.1225</v>
      </c>
      <c r="J1117" s="0" t="n">
        <f aca="false">D1117*D1117</f>
        <v>0.5625</v>
      </c>
      <c r="K1117" s="0" t="n">
        <f aca="false">SUMPRODUCT(E1117:J1117,_XtX!$B$53:$G$53)</f>
        <v>45.7666673850575</v>
      </c>
      <c r="L1117" s="0" t="n">
        <f aca="false">SUMPRODUCT(MMULT(E1117:J1117,_XtX!$B$44:$G$49),E1117:J1117)</f>
        <v>0.263068444683908</v>
      </c>
      <c r="M1117" s="0" t="n">
        <f aca="false">04_回帰ANOVA!$K$19*04_回帰ANOVA!$K$14*SQRT(1+L1117)</f>
        <v>1.52296532344599</v>
      </c>
      <c r="N1117" s="0" t="n">
        <f aca="false">K1117-M1117</f>
        <v>44.2437020616115</v>
      </c>
      <c r="O1117" s="0" t="n">
        <f aca="false">K1117+M1117</f>
        <v>47.2896327085035</v>
      </c>
      <c r="P1117" s="54" t="b">
        <f aca="false">AND(C1117&gt;=01_因子設定!$L$5-0.000000001,C1117&lt;=01_因子設定!$M$5+0.000000001,D1117&gt;=01_因子設定!$L$6-0.000000001,D1117&lt;=01_因子設定!$M$6+0.000000001,IF(01_因子設定!$B$20="Box-Behnken",C1117^2+D1117^2&lt;=2+0.000000001,TRUE()))</f>
        <v>1</v>
      </c>
      <c r="Q1117" s="55" t="n">
        <f aca="false">IF(P1117,IF(01_因子設定!$B$13="最大化",N1117-01_因子設定!$B$14,IF(01_因子設定!$B$13="最小化",01_因子設定!$B$15-O1117,MIN(N1117-01_因子設定!$B$14,01_因子設定!$B$15-O1117))),-1E+030)</f>
        <v>-2.25629793838851</v>
      </c>
      <c r="R1117" s="55" t="n">
        <f aca="false">IF(P1117,IF(01_因子設定!$B$13="最大化",K1117,IF(01_因子設定!$B$13="最小化",-K1117,-ABS(K1117-01_因子設定!$B$16))),-1E+030)</f>
        <v>45.7666673850575</v>
      </c>
      <c r="S1117" s="55" t="n">
        <f aca="false">Q1117+ROW()*0.000000001</f>
        <v>-2.25629682138851</v>
      </c>
      <c r="T1117" s="55" t="n">
        <f aca="false">R1117+ROW()*0.000000001</f>
        <v>45.7666685020575</v>
      </c>
    </row>
    <row r="1118" customFormat="false" ht="15" hidden="false" customHeight="false" outlineLevel="0" collapsed="false">
      <c r="A1118" s="0" t="n">
        <v>27</v>
      </c>
      <c r="B1118" s="0" t="n">
        <v>6</v>
      </c>
      <c r="C1118" s="0" t="n">
        <f aca="false">-1+A1118*0.05</f>
        <v>0.35</v>
      </c>
      <c r="D1118" s="0" t="n">
        <f aca="false">-1+B1118*0.05</f>
        <v>-0.7</v>
      </c>
      <c r="E1118" s="0" t="n">
        <f aca="false">1</f>
        <v>1</v>
      </c>
      <c r="F1118" s="0" t="n">
        <f aca="false">C1118</f>
        <v>0.35</v>
      </c>
      <c r="G1118" s="0" t="n">
        <f aca="false">D1118</f>
        <v>-0.7</v>
      </c>
      <c r="H1118" s="0" t="n">
        <f aca="false">C1118*D1118</f>
        <v>-0.245</v>
      </c>
      <c r="I1118" s="0" t="n">
        <f aca="false">C1118*C1118</f>
        <v>0.1225</v>
      </c>
      <c r="J1118" s="0" t="n">
        <f aca="false">D1118*D1118</f>
        <v>0.49</v>
      </c>
      <c r="K1118" s="0" t="n">
        <f aca="false">SUMPRODUCT(E1118:J1118,_XtX!$B$53:$G$53)</f>
        <v>46.0002298850575</v>
      </c>
      <c r="L1118" s="0" t="n">
        <f aca="false">SUMPRODUCT(MMULT(E1118:J1118,_XtX!$B$44:$G$49),E1118:J1118)</f>
        <v>0.238586673850575</v>
      </c>
      <c r="M1118" s="0" t="n">
        <f aca="false">04_回帰ANOVA!$K$19*04_回帰ANOVA!$K$14*SQRT(1+L1118)</f>
        <v>1.50813345435958</v>
      </c>
      <c r="N1118" s="0" t="n">
        <f aca="false">K1118-M1118</f>
        <v>44.4920964306979</v>
      </c>
      <c r="O1118" s="0" t="n">
        <f aca="false">K1118+M1118</f>
        <v>47.508363339417</v>
      </c>
      <c r="P1118" s="54" t="b">
        <f aca="false">AND(C1118&gt;=01_因子設定!$L$5-0.000000001,C1118&lt;=01_因子設定!$M$5+0.000000001,D1118&gt;=01_因子設定!$L$6-0.000000001,D1118&lt;=01_因子設定!$M$6+0.000000001,IF(01_因子設定!$B$20="Box-Behnken",C1118^2+D1118^2&lt;=2+0.000000001,TRUE()))</f>
        <v>1</v>
      </c>
      <c r="Q1118" s="55" t="n">
        <f aca="false">IF(P1118,IF(01_因子設定!$B$13="最大化",N1118-01_因子設定!$B$14,IF(01_因子設定!$B$13="最小化",01_因子設定!$B$15-O1118,MIN(N1118-01_因子設定!$B$14,01_因子設定!$B$15-O1118))),-1E+030)</f>
        <v>-2.0079035693021</v>
      </c>
      <c r="R1118" s="55" t="n">
        <f aca="false">IF(P1118,IF(01_因子設定!$B$13="最大化",K1118,IF(01_因子設定!$B$13="最小化",-K1118,-ABS(K1118-01_因子設定!$B$16))),-1E+030)</f>
        <v>46.0002298850575</v>
      </c>
      <c r="S1118" s="55" t="n">
        <f aca="false">Q1118+ROW()*0.000000001</f>
        <v>-2.0079024513021</v>
      </c>
      <c r="T1118" s="55" t="n">
        <f aca="false">R1118+ROW()*0.000000001</f>
        <v>46.0002310030575</v>
      </c>
    </row>
    <row r="1119" customFormat="false" ht="15" hidden="false" customHeight="false" outlineLevel="0" collapsed="false">
      <c r="A1119" s="0" t="n">
        <v>27</v>
      </c>
      <c r="B1119" s="0" t="n">
        <v>7</v>
      </c>
      <c r="C1119" s="0" t="n">
        <f aca="false">-1+A1119*0.05</f>
        <v>0.35</v>
      </c>
      <c r="D1119" s="0" t="n">
        <f aca="false">-1+B1119*0.05</f>
        <v>-0.65</v>
      </c>
      <c r="E1119" s="0" t="n">
        <f aca="false">1</f>
        <v>1</v>
      </c>
      <c r="F1119" s="0" t="n">
        <f aca="false">C1119</f>
        <v>0.35</v>
      </c>
      <c r="G1119" s="0" t="n">
        <f aca="false">D1119</f>
        <v>-0.65</v>
      </c>
      <c r="H1119" s="0" t="n">
        <f aca="false">C1119*D1119</f>
        <v>-0.2275</v>
      </c>
      <c r="I1119" s="0" t="n">
        <f aca="false">C1119*C1119</f>
        <v>0.1225</v>
      </c>
      <c r="J1119" s="0" t="n">
        <f aca="false">D1119*D1119</f>
        <v>0.4225</v>
      </c>
      <c r="K1119" s="0" t="n">
        <f aca="false">SUMPRODUCT(E1119:J1119,_XtX!$B$53:$G$53)</f>
        <v>46.2260768678161</v>
      </c>
      <c r="L1119" s="0" t="n">
        <f aca="false">SUMPRODUCT(MMULT(E1119:J1119,_XtX!$B$44:$G$49),E1119:J1119)</f>
        <v>0.219214852729885</v>
      </c>
      <c r="M1119" s="0" t="n">
        <f aca="false">04_回帰ANOVA!$K$19*04_回帰ANOVA!$K$14*SQRT(1+L1119)</f>
        <v>1.49629317382676</v>
      </c>
      <c r="N1119" s="0" t="n">
        <f aca="false">K1119-M1119</f>
        <v>44.7297836939893</v>
      </c>
      <c r="O1119" s="0" t="n">
        <f aca="false">K1119+M1119</f>
        <v>47.7223700416429</v>
      </c>
      <c r="P1119" s="54" t="b">
        <f aca="false">AND(C1119&gt;=01_因子設定!$L$5-0.000000001,C1119&lt;=01_因子設定!$M$5+0.000000001,D1119&gt;=01_因子設定!$L$6-0.000000001,D1119&lt;=01_因子設定!$M$6+0.000000001,IF(01_因子設定!$B$20="Box-Behnken",C1119^2+D1119^2&lt;=2+0.000000001,TRUE()))</f>
        <v>1</v>
      </c>
      <c r="Q1119" s="55" t="n">
        <f aca="false">IF(P1119,IF(01_因子設定!$B$13="最大化",N1119-01_因子設定!$B$14,IF(01_因子設定!$B$13="最小化",01_因子設定!$B$15-O1119,MIN(N1119-01_因子設定!$B$14,01_因子設定!$B$15-O1119))),-1E+030)</f>
        <v>-1.77021630601067</v>
      </c>
      <c r="R1119" s="55" t="n">
        <f aca="false">IF(P1119,IF(01_因子設定!$B$13="最大化",K1119,IF(01_因子設定!$B$13="最小化",-K1119,-ABS(K1119-01_因子設定!$B$16))),-1E+030)</f>
        <v>46.2260768678161</v>
      </c>
      <c r="S1119" s="55" t="n">
        <f aca="false">Q1119+ROW()*0.000000001</f>
        <v>-1.77021518701067</v>
      </c>
      <c r="T1119" s="55" t="n">
        <f aca="false">R1119+ROW()*0.000000001</f>
        <v>46.2260779868161</v>
      </c>
    </row>
    <row r="1120" customFormat="false" ht="15" hidden="false" customHeight="false" outlineLevel="0" collapsed="false">
      <c r="A1120" s="0" t="n">
        <v>27</v>
      </c>
      <c r="B1120" s="0" t="n">
        <v>8</v>
      </c>
      <c r="C1120" s="0" t="n">
        <f aca="false">-1+A1120*0.05</f>
        <v>0.35</v>
      </c>
      <c r="D1120" s="0" t="n">
        <f aca="false">-1+B1120*0.05</f>
        <v>-0.6</v>
      </c>
      <c r="E1120" s="0" t="n">
        <f aca="false">1</f>
        <v>1</v>
      </c>
      <c r="F1120" s="0" t="n">
        <f aca="false">C1120</f>
        <v>0.35</v>
      </c>
      <c r="G1120" s="0" t="n">
        <f aca="false">D1120</f>
        <v>-0.6</v>
      </c>
      <c r="H1120" s="0" t="n">
        <f aca="false">C1120*D1120</f>
        <v>-0.21</v>
      </c>
      <c r="I1120" s="0" t="n">
        <f aca="false">C1120*C1120</f>
        <v>0.1225</v>
      </c>
      <c r="J1120" s="0" t="n">
        <f aca="false">D1120*D1120</f>
        <v>0.36</v>
      </c>
      <c r="K1120" s="0" t="n">
        <f aca="false">SUMPRODUCT(E1120:J1120,_XtX!$B$53:$G$53)</f>
        <v>46.4442083333333</v>
      </c>
      <c r="L1120" s="0" t="n">
        <f aca="false">SUMPRODUCT(MMULT(E1120:J1120,_XtX!$B$44:$G$49),E1120:J1120)</f>
        <v>0.204219791666667</v>
      </c>
      <c r="M1120" s="0" t="n">
        <f aca="false">04_回帰ANOVA!$K$19*04_回帰ANOVA!$K$14*SQRT(1+L1120)</f>
        <v>1.48706328998387</v>
      </c>
      <c r="N1120" s="0" t="n">
        <f aca="false">K1120-M1120</f>
        <v>44.9571450433495</v>
      </c>
      <c r="O1120" s="0" t="n">
        <f aca="false">K1120+M1120</f>
        <v>47.9312716233172</v>
      </c>
      <c r="P1120" s="54" t="b">
        <f aca="false">AND(C1120&gt;=01_因子設定!$L$5-0.000000001,C1120&lt;=01_因子設定!$M$5+0.000000001,D1120&gt;=01_因子設定!$L$6-0.000000001,D1120&lt;=01_因子設定!$M$6+0.000000001,IF(01_因子設定!$B$20="Box-Behnken",C1120^2+D1120^2&lt;=2+0.000000001,TRUE()))</f>
        <v>1</v>
      </c>
      <c r="Q1120" s="55" t="n">
        <f aca="false">IF(P1120,IF(01_因子設定!$B$13="最大化",N1120-01_因子設定!$B$14,IF(01_因子設定!$B$13="最小化",01_因子設定!$B$15-O1120,MIN(N1120-01_因子設定!$B$14,01_因子設定!$B$15-O1120))),-1E+030)</f>
        <v>-1.54285495665054</v>
      </c>
      <c r="R1120" s="55" t="n">
        <f aca="false">IF(P1120,IF(01_因子設定!$B$13="最大化",K1120,IF(01_因子設定!$B$13="最小化",-K1120,-ABS(K1120-01_因子設定!$B$16))),-1E+030)</f>
        <v>46.4442083333333</v>
      </c>
      <c r="S1120" s="55" t="n">
        <f aca="false">Q1120+ROW()*0.000000001</f>
        <v>-1.54285383665054</v>
      </c>
      <c r="T1120" s="55" t="n">
        <f aca="false">R1120+ROW()*0.000000001</f>
        <v>46.4442094533333</v>
      </c>
    </row>
    <row r="1121" customFormat="false" ht="15" hidden="false" customHeight="false" outlineLevel="0" collapsed="false">
      <c r="A1121" s="0" t="n">
        <v>27</v>
      </c>
      <c r="B1121" s="0" t="n">
        <v>9</v>
      </c>
      <c r="C1121" s="0" t="n">
        <f aca="false">-1+A1121*0.05</f>
        <v>0.35</v>
      </c>
      <c r="D1121" s="0" t="n">
        <f aca="false">-1+B1121*0.05</f>
        <v>-0.55</v>
      </c>
      <c r="E1121" s="0" t="n">
        <f aca="false">1</f>
        <v>1</v>
      </c>
      <c r="F1121" s="0" t="n">
        <f aca="false">C1121</f>
        <v>0.35</v>
      </c>
      <c r="G1121" s="0" t="n">
        <f aca="false">D1121</f>
        <v>-0.55</v>
      </c>
      <c r="H1121" s="0" t="n">
        <f aca="false">C1121*D1121</f>
        <v>-0.1925</v>
      </c>
      <c r="I1121" s="0" t="n">
        <f aca="false">C1121*C1121</f>
        <v>0.1225</v>
      </c>
      <c r="J1121" s="0" t="n">
        <f aca="false">D1121*D1121</f>
        <v>0.3025</v>
      </c>
      <c r="K1121" s="0" t="n">
        <f aca="false">SUMPRODUCT(E1121:J1121,_XtX!$B$53:$G$53)</f>
        <v>46.6546242816092</v>
      </c>
      <c r="L1121" s="0" t="n">
        <f aca="false">SUMPRODUCT(MMULT(E1121:J1121,_XtX!$B$44:$G$49),E1121:J1121)</f>
        <v>0.192922611350575</v>
      </c>
      <c r="M1121" s="0" t="n">
        <f aca="false">04_回帰ANOVA!$K$19*04_回帰ANOVA!$K$14*SQRT(1+L1121)</f>
        <v>1.48007153945768</v>
      </c>
      <c r="N1121" s="0" t="n">
        <f aca="false">K1121-M1121</f>
        <v>45.1745527421515</v>
      </c>
      <c r="O1121" s="0" t="n">
        <f aca="false">K1121+M1121</f>
        <v>48.1346958210669</v>
      </c>
      <c r="P1121" s="54" t="b">
        <f aca="false">AND(C1121&gt;=01_因子設定!$L$5-0.000000001,C1121&lt;=01_因子設定!$M$5+0.000000001,D1121&gt;=01_因子設定!$L$6-0.000000001,D1121&lt;=01_因子設定!$M$6+0.000000001,IF(01_因子設定!$B$20="Box-Behnken",C1121^2+D1121^2&lt;=2+0.000000001,TRUE()))</f>
        <v>1</v>
      </c>
      <c r="Q1121" s="55" t="n">
        <f aca="false">IF(P1121,IF(01_因子設定!$B$13="最大化",N1121-01_因子設定!$B$14,IF(01_因子設定!$B$13="最小化",01_因子設定!$B$15-O1121,MIN(N1121-01_因子設定!$B$14,01_因子設定!$B$15-O1121))),-1E+030)</f>
        <v>-1.32544725784848</v>
      </c>
      <c r="R1121" s="55" t="n">
        <f aca="false">IF(P1121,IF(01_因子設定!$B$13="最大化",K1121,IF(01_因子設定!$B$13="最小化",-K1121,-ABS(K1121-01_因子設定!$B$16))),-1E+030)</f>
        <v>46.6546242816092</v>
      </c>
      <c r="S1121" s="55" t="n">
        <f aca="false">Q1121+ROW()*0.000000001</f>
        <v>-1.32544613684848</v>
      </c>
      <c r="T1121" s="55" t="n">
        <f aca="false">R1121+ROW()*0.000000001</f>
        <v>46.6546254026092</v>
      </c>
    </row>
    <row r="1122" customFormat="false" ht="15" hidden="false" customHeight="false" outlineLevel="0" collapsed="false">
      <c r="A1122" s="0" t="n">
        <v>27</v>
      </c>
      <c r="B1122" s="0" t="n">
        <v>10</v>
      </c>
      <c r="C1122" s="0" t="n">
        <f aca="false">-1+A1122*0.05</f>
        <v>0.35</v>
      </c>
      <c r="D1122" s="0" t="n">
        <f aca="false">-1+B1122*0.05</f>
        <v>-0.5</v>
      </c>
      <c r="E1122" s="0" t="n">
        <f aca="false">1</f>
        <v>1</v>
      </c>
      <c r="F1122" s="0" t="n">
        <f aca="false">C1122</f>
        <v>0.35</v>
      </c>
      <c r="G1122" s="0" t="n">
        <f aca="false">D1122</f>
        <v>-0.5</v>
      </c>
      <c r="H1122" s="0" t="n">
        <f aca="false">C1122*D1122</f>
        <v>-0.175</v>
      </c>
      <c r="I1122" s="0" t="n">
        <f aca="false">C1122*C1122</f>
        <v>0.1225</v>
      </c>
      <c r="J1122" s="0" t="n">
        <f aca="false">D1122*D1122</f>
        <v>0.25</v>
      </c>
      <c r="K1122" s="0" t="n">
        <f aca="false">SUMPRODUCT(E1122:J1122,_XtX!$B$53:$G$53)</f>
        <v>46.8573247126437</v>
      </c>
      <c r="L1122" s="0" t="n">
        <f aca="false">SUMPRODUCT(MMULT(E1122:J1122,_XtX!$B$44:$G$49),E1122:J1122)</f>
        <v>0.184698742816092</v>
      </c>
      <c r="M1122" s="0" t="n">
        <f aca="false">04_回帰ANOVA!$K$19*04_回帰ANOVA!$K$14*SQRT(1+L1122)</f>
        <v>1.47496099657531</v>
      </c>
      <c r="N1122" s="0" t="n">
        <f aca="false">K1122-M1122</f>
        <v>45.3823637160684</v>
      </c>
      <c r="O1122" s="0" t="n">
        <f aca="false">K1122+M1122</f>
        <v>48.332285709219</v>
      </c>
      <c r="P1122" s="54" t="b">
        <f aca="false">AND(C1122&gt;=01_因子設定!$L$5-0.000000001,C1122&lt;=01_因子設定!$M$5+0.000000001,D1122&gt;=01_因子設定!$L$6-0.000000001,D1122&lt;=01_因子設定!$M$6+0.000000001,IF(01_因子設定!$B$20="Box-Behnken",C1122^2+D1122^2&lt;=2+0.000000001,TRUE()))</f>
        <v>1</v>
      </c>
      <c r="Q1122" s="55" t="n">
        <f aca="false">IF(P1122,IF(01_因子設定!$B$13="最大化",N1122-01_因子設定!$B$14,IF(01_因子設定!$B$13="最小化",01_因子設定!$B$15-O1122,MIN(N1122-01_因子設定!$B$14,01_因子設定!$B$15-O1122))),-1E+030)</f>
        <v>-1.11763628393164</v>
      </c>
      <c r="R1122" s="55" t="n">
        <f aca="false">IF(P1122,IF(01_因子設定!$B$13="最大化",K1122,IF(01_因子設定!$B$13="最小化",-K1122,-ABS(K1122-01_因子設定!$B$16))),-1E+030)</f>
        <v>46.8573247126437</v>
      </c>
      <c r="S1122" s="55" t="n">
        <f aca="false">Q1122+ROW()*0.000000001</f>
        <v>-1.11763516193164</v>
      </c>
      <c r="T1122" s="55" t="n">
        <f aca="false">R1122+ROW()*0.000000001</f>
        <v>46.8573258346437</v>
      </c>
    </row>
    <row r="1123" customFormat="false" ht="15" hidden="false" customHeight="false" outlineLevel="0" collapsed="false">
      <c r="A1123" s="0" t="n">
        <v>27</v>
      </c>
      <c r="B1123" s="0" t="n">
        <v>11</v>
      </c>
      <c r="C1123" s="0" t="n">
        <f aca="false">-1+A1123*0.05</f>
        <v>0.35</v>
      </c>
      <c r="D1123" s="0" t="n">
        <f aca="false">-1+B1123*0.05</f>
        <v>-0.45</v>
      </c>
      <c r="E1123" s="0" t="n">
        <f aca="false">1</f>
        <v>1</v>
      </c>
      <c r="F1123" s="0" t="n">
        <f aca="false">C1123</f>
        <v>0.35</v>
      </c>
      <c r="G1123" s="0" t="n">
        <f aca="false">D1123</f>
        <v>-0.45</v>
      </c>
      <c r="H1123" s="0" t="n">
        <f aca="false">C1123*D1123</f>
        <v>-0.1575</v>
      </c>
      <c r="I1123" s="0" t="n">
        <f aca="false">C1123*C1123</f>
        <v>0.1225</v>
      </c>
      <c r="J1123" s="0" t="n">
        <f aca="false">D1123*D1123</f>
        <v>0.2025</v>
      </c>
      <c r="K1123" s="0" t="n">
        <f aca="false">SUMPRODUCT(E1123:J1123,_XtX!$B$53:$G$53)</f>
        <v>47.0523096264368</v>
      </c>
      <c r="L1123" s="0" t="n">
        <f aca="false">SUMPRODUCT(MMULT(E1123:J1123,_XtX!$B$44:$G$49),E1123:J1123)</f>
        <v>0.178977927442529</v>
      </c>
      <c r="M1123" s="0" t="n">
        <f aca="false">04_回帰ANOVA!$K$19*04_回帰ANOVA!$K$14*SQRT(1+L1123)</f>
        <v>1.47139545265652</v>
      </c>
      <c r="N1123" s="0" t="n">
        <f aca="false">K1123-M1123</f>
        <v>45.5809141737803</v>
      </c>
      <c r="O1123" s="0" t="n">
        <f aca="false">K1123+M1123</f>
        <v>48.5237050790933</v>
      </c>
      <c r="P1123" s="54" t="b">
        <f aca="false">AND(C1123&gt;=01_因子設定!$L$5-0.000000001,C1123&lt;=01_因子設定!$M$5+0.000000001,D1123&gt;=01_因子設定!$L$6-0.000000001,D1123&lt;=01_因子設定!$M$6+0.000000001,IF(01_因子設定!$B$20="Box-Behnken",C1123^2+D1123^2&lt;=2+0.000000001,TRUE()))</f>
        <v>1</v>
      </c>
      <c r="Q1123" s="55" t="n">
        <f aca="false">IF(P1123,IF(01_因子設定!$B$13="最大化",N1123-01_因子設定!$B$14,IF(01_因子設定!$B$13="最小化",01_因子設定!$B$15-O1123,MIN(N1123-01_因子設定!$B$14,01_因子設定!$B$15-O1123))),-1E+030)</f>
        <v>-0.919085826219742</v>
      </c>
      <c r="R1123" s="55" t="n">
        <f aca="false">IF(P1123,IF(01_因子設定!$B$13="最大化",K1123,IF(01_因子設定!$B$13="最小化",-K1123,-ABS(K1123-01_因子設定!$B$16))),-1E+030)</f>
        <v>47.0523096264368</v>
      </c>
      <c r="S1123" s="55" t="n">
        <f aca="false">Q1123+ROW()*0.000000001</f>
        <v>-0.919084703219742</v>
      </c>
      <c r="T1123" s="55" t="n">
        <f aca="false">R1123+ROW()*0.000000001</f>
        <v>47.0523107494368</v>
      </c>
    </row>
    <row r="1124" customFormat="false" ht="15" hidden="false" customHeight="false" outlineLevel="0" collapsed="false">
      <c r="A1124" s="0" t="n">
        <v>27</v>
      </c>
      <c r="B1124" s="0" t="n">
        <v>12</v>
      </c>
      <c r="C1124" s="0" t="n">
        <f aca="false">-1+A1124*0.05</f>
        <v>0.35</v>
      </c>
      <c r="D1124" s="0" t="n">
        <f aca="false">-1+B1124*0.05</f>
        <v>-0.4</v>
      </c>
      <c r="E1124" s="0" t="n">
        <f aca="false">1</f>
        <v>1</v>
      </c>
      <c r="F1124" s="0" t="n">
        <f aca="false">C1124</f>
        <v>0.35</v>
      </c>
      <c r="G1124" s="0" t="n">
        <f aca="false">D1124</f>
        <v>-0.4</v>
      </c>
      <c r="H1124" s="0" t="n">
        <f aca="false">C1124*D1124</f>
        <v>-0.14</v>
      </c>
      <c r="I1124" s="0" t="n">
        <f aca="false">C1124*C1124</f>
        <v>0.1225</v>
      </c>
      <c r="J1124" s="0" t="n">
        <f aca="false">D1124*D1124</f>
        <v>0.16</v>
      </c>
      <c r="K1124" s="0" t="n">
        <f aca="false">SUMPRODUCT(E1124:J1124,_XtX!$B$53:$G$53)</f>
        <v>47.2395790229885</v>
      </c>
      <c r="L1124" s="0" t="n">
        <f aca="false">SUMPRODUCT(MMULT(E1124:J1124,_XtX!$B$44:$G$49),E1124:J1124)</f>
        <v>0.175244216954023</v>
      </c>
      <c r="M1124" s="0" t="n">
        <f aca="false">04_回帰ANOVA!$K$19*04_回帰ANOVA!$K$14*SQRT(1+L1124)</f>
        <v>1.46906372066889</v>
      </c>
      <c r="N1124" s="0" t="n">
        <f aca="false">K1124-M1124</f>
        <v>45.7705153023196</v>
      </c>
      <c r="O1124" s="0" t="n">
        <f aca="false">K1124+M1124</f>
        <v>48.7086427436574</v>
      </c>
      <c r="P1124" s="54" t="b">
        <f aca="false">AND(C1124&gt;=01_因子設定!$L$5-0.000000001,C1124&lt;=01_因子設定!$M$5+0.000000001,D1124&gt;=01_因子設定!$L$6-0.000000001,D1124&lt;=01_因子設定!$M$6+0.000000001,IF(01_因子設定!$B$20="Box-Behnken",C1124^2+D1124^2&lt;=2+0.000000001,TRUE()))</f>
        <v>1</v>
      </c>
      <c r="Q1124" s="55" t="n">
        <f aca="false">IF(P1124,IF(01_因子設定!$B$13="最大化",N1124-01_因子設定!$B$14,IF(01_因子設定!$B$13="最小化",01_因子設定!$B$15-O1124,MIN(N1124-01_因子設定!$B$14,01_因子設定!$B$15-O1124))),-1E+030)</f>
        <v>-0.729484697680384</v>
      </c>
      <c r="R1124" s="55" t="n">
        <f aca="false">IF(P1124,IF(01_因子設定!$B$13="最大化",K1124,IF(01_因子設定!$B$13="最小化",-K1124,-ABS(K1124-01_因子設定!$B$16))),-1E+030)</f>
        <v>47.2395790229885</v>
      </c>
      <c r="S1124" s="55" t="n">
        <f aca="false">Q1124+ROW()*0.000000001</f>
        <v>-0.729483573680384</v>
      </c>
      <c r="T1124" s="55" t="n">
        <f aca="false">R1124+ROW()*0.000000001</f>
        <v>47.2395801469885</v>
      </c>
    </row>
    <row r="1125" customFormat="false" ht="15" hidden="false" customHeight="false" outlineLevel="0" collapsed="false">
      <c r="A1125" s="0" t="n">
        <v>27</v>
      </c>
      <c r="B1125" s="0" t="n">
        <v>13</v>
      </c>
      <c r="C1125" s="0" t="n">
        <f aca="false">-1+A1125*0.05</f>
        <v>0.35</v>
      </c>
      <c r="D1125" s="0" t="n">
        <f aca="false">-1+B1125*0.05</f>
        <v>-0.35</v>
      </c>
      <c r="E1125" s="0" t="n">
        <f aca="false">1</f>
        <v>1</v>
      </c>
      <c r="F1125" s="0" t="n">
        <f aca="false">C1125</f>
        <v>0.35</v>
      </c>
      <c r="G1125" s="0" t="n">
        <f aca="false">D1125</f>
        <v>-0.35</v>
      </c>
      <c r="H1125" s="0" t="n">
        <f aca="false">C1125*D1125</f>
        <v>-0.1225</v>
      </c>
      <c r="I1125" s="0" t="n">
        <f aca="false">C1125*C1125</f>
        <v>0.1225</v>
      </c>
      <c r="J1125" s="0" t="n">
        <f aca="false">D1125*D1125</f>
        <v>0.1225</v>
      </c>
      <c r="K1125" s="0" t="n">
        <f aca="false">SUMPRODUCT(E1125:J1125,_XtX!$B$53:$G$53)</f>
        <v>47.4191329022989</v>
      </c>
      <c r="L1125" s="0" t="n">
        <f aca="false">SUMPRODUCT(MMULT(E1125:J1125,_XtX!$B$44:$G$49),E1125:J1125)</f>
        <v>0.17303597341954</v>
      </c>
      <c r="M1125" s="0" t="n">
        <f aca="false">04_回帰ANOVA!$K$19*04_回帰ANOVA!$K$14*SQRT(1+L1125)</f>
        <v>1.46768291159351</v>
      </c>
      <c r="N1125" s="0" t="n">
        <f aca="false">K1125-M1125</f>
        <v>45.9514499907053</v>
      </c>
      <c r="O1125" s="0" t="n">
        <f aca="false">K1125+M1125</f>
        <v>48.8868158138924</v>
      </c>
      <c r="P1125" s="54" t="b">
        <f aca="false">AND(C1125&gt;=01_因子設定!$L$5-0.000000001,C1125&lt;=01_因子設定!$M$5+0.000000001,D1125&gt;=01_因子設定!$L$6-0.000000001,D1125&lt;=01_因子設定!$M$6+0.000000001,IF(01_因子設定!$B$20="Box-Behnken",C1125^2+D1125^2&lt;=2+0.000000001,TRUE()))</f>
        <v>1</v>
      </c>
      <c r="Q1125" s="55" t="n">
        <f aca="false">IF(P1125,IF(01_因子設定!$B$13="最大化",N1125-01_因子設定!$B$14,IF(01_因子設定!$B$13="最小化",01_因子設定!$B$15-O1125,MIN(N1125-01_因子設定!$B$14,01_因子設定!$B$15-O1125))),-1E+030)</f>
        <v>-0.548550009294665</v>
      </c>
      <c r="R1125" s="55" t="n">
        <f aca="false">IF(P1125,IF(01_因子設定!$B$13="最大化",K1125,IF(01_因子設定!$B$13="最小化",-K1125,-ABS(K1125-01_因子設定!$B$16))),-1E+030)</f>
        <v>47.4191329022989</v>
      </c>
      <c r="S1125" s="55" t="n">
        <f aca="false">Q1125+ROW()*0.000000001</f>
        <v>-0.548548884294665</v>
      </c>
      <c r="T1125" s="55" t="n">
        <f aca="false">R1125+ROW()*0.000000001</f>
        <v>47.4191340272988</v>
      </c>
    </row>
    <row r="1126" customFormat="false" ht="15" hidden="false" customHeight="false" outlineLevel="0" collapsed="false">
      <c r="A1126" s="0" t="n">
        <v>27</v>
      </c>
      <c r="B1126" s="0" t="n">
        <v>14</v>
      </c>
      <c r="C1126" s="0" t="n">
        <f aca="false">-1+A1126*0.05</f>
        <v>0.35</v>
      </c>
      <c r="D1126" s="0" t="n">
        <f aca="false">-1+B1126*0.05</f>
        <v>-0.3</v>
      </c>
      <c r="E1126" s="0" t="n">
        <f aca="false">1</f>
        <v>1</v>
      </c>
      <c r="F1126" s="0" t="n">
        <f aca="false">C1126</f>
        <v>0.35</v>
      </c>
      <c r="G1126" s="0" t="n">
        <f aca="false">D1126</f>
        <v>-0.3</v>
      </c>
      <c r="H1126" s="0" t="n">
        <f aca="false">C1126*D1126</f>
        <v>-0.105</v>
      </c>
      <c r="I1126" s="0" t="n">
        <f aca="false">C1126*C1126</f>
        <v>0.1225</v>
      </c>
      <c r="J1126" s="0" t="n">
        <f aca="false">D1126*D1126</f>
        <v>0.09</v>
      </c>
      <c r="K1126" s="0" t="n">
        <f aca="false">SUMPRODUCT(E1126:J1126,_XtX!$B$53:$G$53)</f>
        <v>47.5909712643678</v>
      </c>
      <c r="L1126" s="0" t="n">
        <f aca="false">SUMPRODUCT(MMULT(E1126:J1126,_XtX!$B$44:$G$49),E1126:J1126)</f>
        <v>0.171945869252874</v>
      </c>
      <c r="M1126" s="0" t="n">
        <f aca="false">04_回帰ANOVA!$K$19*04_回帰ANOVA!$K$14*SQRT(1+L1126)</f>
        <v>1.46700079306941</v>
      </c>
      <c r="N1126" s="0" t="n">
        <f aca="false">K1126-M1126</f>
        <v>46.1239704712984</v>
      </c>
      <c r="O1126" s="0" t="n">
        <f aca="false">K1126+M1126</f>
        <v>49.0579720574372</v>
      </c>
      <c r="P1126" s="54" t="b">
        <f aca="false">AND(C1126&gt;=01_因子設定!$L$5-0.000000001,C1126&lt;=01_因子設定!$M$5+0.000000001,D1126&gt;=01_因子設定!$L$6-0.000000001,D1126&lt;=01_因子設定!$M$6+0.000000001,IF(01_因子設定!$B$20="Box-Behnken",C1126^2+D1126^2&lt;=2+0.000000001,TRUE()))</f>
        <v>1</v>
      </c>
      <c r="Q1126" s="55" t="n">
        <f aca="false">IF(P1126,IF(01_因子設定!$B$13="最大化",N1126-01_因子設定!$B$14,IF(01_因子設定!$B$13="最小化",01_因子設定!$B$15-O1126,MIN(N1126-01_因子設定!$B$14,01_因子設定!$B$15-O1126))),-1E+030)</f>
        <v>-0.376029528701594</v>
      </c>
      <c r="R1126" s="55" t="n">
        <f aca="false">IF(P1126,IF(01_因子設定!$B$13="最大化",K1126,IF(01_因子設定!$B$13="最小化",-K1126,-ABS(K1126-01_因子設定!$B$16))),-1E+030)</f>
        <v>47.5909712643678</v>
      </c>
      <c r="S1126" s="55" t="n">
        <f aca="false">Q1126+ROW()*0.000000001</f>
        <v>-0.376028402701594</v>
      </c>
      <c r="T1126" s="55" t="n">
        <f aca="false">R1126+ROW()*0.000000001</f>
        <v>47.5909723903678</v>
      </c>
    </row>
    <row r="1127" customFormat="false" ht="15" hidden="false" customHeight="false" outlineLevel="0" collapsed="false">
      <c r="A1127" s="0" t="n">
        <v>27</v>
      </c>
      <c r="B1127" s="0" t="n">
        <v>15</v>
      </c>
      <c r="C1127" s="0" t="n">
        <f aca="false">-1+A1127*0.05</f>
        <v>0.35</v>
      </c>
      <c r="D1127" s="0" t="n">
        <f aca="false">-1+B1127*0.05</f>
        <v>-0.25</v>
      </c>
      <c r="E1127" s="0" t="n">
        <f aca="false">1</f>
        <v>1</v>
      </c>
      <c r="F1127" s="0" t="n">
        <f aca="false">C1127</f>
        <v>0.35</v>
      </c>
      <c r="G1127" s="0" t="n">
        <f aca="false">D1127</f>
        <v>-0.25</v>
      </c>
      <c r="H1127" s="0" t="n">
        <f aca="false">C1127*D1127</f>
        <v>-0.0875</v>
      </c>
      <c r="I1127" s="0" t="n">
        <f aca="false">C1127*C1127</f>
        <v>0.1225</v>
      </c>
      <c r="J1127" s="0" t="n">
        <f aca="false">D1127*D1127</f>
        <v>0.0625</v>
      </c>
      <c r="K1127" s="0" t="n">
        <f aca="false">SUMPRODUCT(E1127:J1127,_XtX!$B$53:$G$53)</f>
        <v>47.7550941091954</v>
      </c>
      <c r="L1127" s="0" t="n">
        <f aca="false">SUMPRODUCT(MMULT(E1127:J1127,_XtX!$B$44:$G$49),E1127:J1127)</f>
        <v>0.171620887212644</v>
      </c>
      <c r="M1127" s="0" t="n">
        <f aca="false">04_回帰ANOVA!$K$19*04_回帰ANOVA!$K$14*SQRT(1+L1127)</f>
        <v>1.46679737839873</v>
      </c>
      <c r="N1127" s="0" t="n">
        <f aca="false">K1127-M1127</f>
        <v>46.2882967307967</v>
      </c>
      <c r="O1127" s="0" t="n">
        <f aca="false">K1127+M1127</f>
        <v>49.2218914875941</v>
      </c>
      <c r="P1127" s="54" t="b">
        <f aca="false">AND(C1127&gt;=01_因子設定!$L$5-0.000000001,C1127&lt;=01_因子設定!$M$5+0.000000001,D1127&gt;=01_因子設定!$L$6-0.000000001,D1127&lt;=01_因子設定!$M$6+0.000000001,IF(01_因子設定!$B$20="Box-Behnken",C1127^2+D1127^2&lt;=2+0.000000001,TRUE()))</f>
        <v>1</v>
      </c>
      <c r="Q1127" s="55" t="n">
        <f aca="false">IF(P1127,IF(01_因子設定!$B$13="最大化",N1127-01_因子設定!$B$14,IF(01_因子設定!$B$13="最小化",01_因子設定!$B$15-O1127,MIN(N1127-01_因子設定!$B$14,01_因子設定!$B$15-O1127))),-1E+030)</f>
        <v>-0.211703269203333</v>
      </c>
      <c r="R1127" s="55" t="n">
        <f aca="false">IF(P1127,IF(01_因子設定!$B$13="最大化",K1127,IF(01_因子設定!$B$13="最小化",-K1127,-ABS(K1127-01_因子設定!$B$16))),-1E+030)</f>
        <v>47.7550941091954</v>
      </c>
      <c r="S1127" s="55" t="n">
        <f aca="false">Q1127+ROW()*0.000000001</f>
        <v>-0.211702142203333</v>
      </c>
      <c r="T1127" s="55" t="n">
        <f aca="false">R1127+ROW()*0.000000001</f>
        <v>47.7550952361954</v>
      </c>
    </row>
    <row r="1128" customFormat="false" ht="15" hidden="false" customHeight="false" outlineLevel="0" collapsed="false">
      <c r="A1128" s="0" t="n">
        <v>27</v>
      </c>
      <c r="B1128" s="0" t="n">
        <v>16</v>
      </c>
      <c r="C1128" s="0" t="n">
        <f aca="false">-1+A1128*0.05</f>
        <v>0.35</v>
      </c>
      <c r="D1128" s="0" t="n">
        <f aca="false">-1+B1128*0.05</f>
        <v>-0.2</v>
      </c>
      <c r="E1128" s="0" t="n">
        <f aca="false">1</f>
        <v>1</v>
      </c>
      <c r="F1128" s="0" t="n">
        <f aca="false">C1128</f>
        <v>0.35</v>
      </c>
      <c r="G1128" s="0" t="n">
        <f aca="false">D1128</f>
        <v>-0.2</v>
      </c>
      <c r="H1128" s="0" t="n">
        <f aca="false">C1128*D1128</f>
        <v>-0.07</v>
      </c>
      <c r="I1128" s="0" t="n">
        <f aca="false">C1128*C1128</f>
        <v>0.1225</v>
      </c>
      <c r="J1128" s="0" t="n">
        <f aca="false">D1128*D1128</f>
        <v>0.04</v>
      </c>
      <c r="K1128" s="0" t="n">
        <f aca="false">SUMPRODUCT(E1128:J1128,_XtX!$B$53:$G$53)</f>
        <v>47.9115014367816</v>
      </c>
      <c r="L1128" s="0" t="n">
        <f aca="false">SUMPRODUCT(MMULT(E1128:J1128,_XtX!$B$44:$G$49),E1128:J1128)</f>
        <v>0.171762320402299</v>
      </c>
      <c r="M1128" s="0" t="n">
        <f aca="false">04_回帰ANOVA!$K$19*04_回帰ANOVA!$K$14*SQRT(1+L1128)</f>
        <v>1.46688590855968</v>
      </c>
      <c r="N1128" s="0" t="n">
        <f aca="false">K1128-M1128</f>
        <v>46.4446155282219</v>
      </c>
      <c r="O1128" s="0" t="n">
        <f aca="false">K1128+M1128</f>
        <v>49.3783873453413</v>
      </c>
      <c r="P1128" s="54" t="b">
        <f aca="false">AND(C1128&gt;=01_因子設定!$L$5-0.000000001,C1128&lt;=01_因子設定!$M$5+0.000000001,D1128&gt;=01_因子設定!$L$6-0.000000001,D1128&lt;=01_因子設定!$M$6+0.000000001,IF(01_因子設定!$B$20="Box-Behnken",C1128^2+D1128^2&lt;=2+0.000000001,TRUE()))</f>
        <v>1</v>
      </c>
      <c r="Q1128" s="55" t="n">
        <f aca="false">IF(P1128,IF(01_因子設定!$B$13="最大化",N1128-01_因子設定!$B$14,IF(01_因子設定!$B$13="最小化",01_因子設定!$B$15-O1128,MIN(N1128-01_因子設定!$B$14,01_因子設定!$B$15-O1128))),-1E+030)</f>
        <v>-0.0553844717780763</v>
      </c>
      <c r="R1128" s="55" t="n">
        <f aca="false">IF(P1128,IF(01_因子設定!$B$13="最大化",K1128,IF(01_因子設定!$B$13="最小化",-K1128,-ABS(K1128-01_因子設定!$B$16))),-1E+030)</f>
        <v>47.9115014367816</v>
      </c>
      <c r="S1128" s="55" t="n">
        <f aca="false">Q1128+ROW()*0.000000001</f>
        <v>-0.0553833437780763</v>
      </c>
      <c r="T1128" s="55" t="n">
        <f aca="false">R1128+ROW()*0.000000001</f>
        <v>47.9115025647816</v>
      </c>
    </row>
    <row r="1129" customFormat="false" ht="15" hidden="false" customHeight="false" outlineLevel="0" collapsed="false">
      <c r="A1129" s="0" t="n">
        <v>27</v>
      </c>
      <c r="B1129" s="0" t="n">
        <v>17</v>
      </c>
      <c r="C1129" s="0" t="n">
        <f aca="false">-1+A1129*0.05</f>
        <v>0.35</v>
      </c>
      <c r="D1129" s="0" t="n">
        <f aca="false">-1+B1129*0.05</f>
        <v>-0.15</v>
      </c>
      <c r="E1129" s="0" t="n">
        <f aca="false">1</f>
        <v>1</v>
      </c>
      <c r="F1129" s="0" t="n">
        <f aca="false">C1129</f>
        <v>0.35</v>
      </c>
      <c r="G1129" s="0" t="n">
        <f aca="false">D1129</f>
        <v>-0.15</v>
      </c>
      <c r="H1129" s="0" t="n">
        <f aca="false">C1129*D1129</f>
        <v>-0.0525</v>
      </c>
      <c r="I1129" s="0" t="n">
        <f aca="false">C1129*C1129</f>
        <v>0.1225</v>
      </c>
      <c r="J1129" s="0" t="n">
        <f aca="false">D1129*D1129</f>
        <v>0.0225</v>
      </c>
      <c r="K1129" s="0" t="n">
        <f aca="false">SUMPRODUCT(E1129:J1129,_XtX!$B$53:$G$53)</f>
        <v>48.0601932471264</v>
      </c>
      <c r="L1129" s="0" t="n">
        <f aca="false">SUMPRODUCT(MMULT(E1129:J1129,_XtX!$B$44:$G$49),E1129:J1129)</f>
        <v>0.172125772270115</v>
      </c>
      <c r="M1129" s="0" t="n">
        <f aca="false">04_回帰ANOVA!$K$19*04_回帰ANOVA!$K$14*SQRT(1+L1129)</f>
        <v>1.46711338689661</v>
      </c>
      <c r="N1129" s="0" t="n">
        <f aca="false">K1129-M1129</f>
        <v>46.5930798602298</v>
      </c>
      <c r="O1129" s="0" t="n">
        <f aca="false">K1129+M1129</f>
        <v>49.527306634023</v>
      </c>
      <c r="P1129" s="54" t="b">
        <f aca="false">AND(C1129&gt;=01_因子設定!$L$5-0.000000001,C1129&lt;=01_因子設定!$M$5+0.000000001,D1129&gt;=01_因子設定!$L$6-0.000000001,D1129&lt;=01_因子設定!$M$6+0.000000001,IF(01_因子設定!$B$20="Box-Behnken",C1129^2+D1129^2&lt;=2+0.000000001,TRUE()))</f>
        <v>1</v>
      </c>
      <c r="Q1129" s="55" t="n">
        <f aca="false">IF(P1129,IF(01_因子設定!$B$13="最大化",N1129-01_因子設定!$B$14,IF(01_因子設定!$B$13="最小化",01_因子設定!$B$15-O1129,MIN(N1129-01_因子設定!$B$14,01_因子設定!$B$15-O1129))),-1E+030)</f>
        <v>0.0930798602298282</v>
      </c>
      <c r="R1129" s="55" t="n">
        <f aca="false">IF(P1129,IF(01_因子設定!$B$13="最大化",K1129,IF(01_因子設定!$B$13="最小化",-K1129,-ABS(K1129-01_因子設定!$B$16))),-1E+030)</f>
        <v>48.0601932471264</v>
      </c>
      <c r="S1129" s="55" t="n">
        <f aca="false">Q1129+ROW()*0.000000001</f>
        <v>0.0930809892298282</v>
      </c>
      <c r="T1129" s="55" t="n">
        <f aca="false">R1129+ROW()*0.000000001</f>
        <v>48.0601943761264</v>
      </c>
    </row>
    <row r="1130" customFormat="false" ht="15" hidden="false" customHeight="false" outlineLevel="0" collapsed="false">
      <c r="A1130" s="0" t="n">
        <v>27</v>
      </c>
      <c r="B1130" s="0" t="n">
        <v>18</v>
      </c>
      <c r="C1130" s="0" t="n">
        <f aca="false">-1+A1130*0.05</f>
        <v>0.35</v>
      </c>
      <c r="D1130" s="0" t="n">
        <f aca="false">-1+B1130*0.05</f>
        <v>-0.1</v>
      </c>
      <c r="E1130" s="0" t="n">
        <f aca="false">1</f>
        <v>1</v>
      </c>
      <c r="F1130" s="0" t="n">
        <f aca="false">C1130</f>
        <v>0.35</v>
      </c>
      <c r="G1130" s="0" t="n">
        <f aca="false">D1130</f>
        <v>-0.1</v>
      </c>
      <c r="H1130" s="0" t="n">
        <f aca="false">C1130*D1130</f>
        <v>-0.035</v>
      </c>
      <c r="I1130" s="0" t="n">
        <f aca="false">C1130*C1130</f>
        <v>0.1225</v>
      </c>
      <c r="J1130" s="0" t="n">
        <f aca="false">D1130*D1130</f>
        <v>0.01</v>
      </c>
      <c r="K1130" s="0" t="n">
        <f aca="false">SUMPRODUCT(E1130:J1130,_XtX!$B$53:$G$53)</f>
        <v>48.2011695402299</v>
      </c>
      <c r="L1130" s="0" t="n">
        <f aca="false">SUMPRODUCT(MMULT(E1130:J1130,_XtX!$B$44:$G$49),E1130:J1130)</f>
        <v>0.172521156609195</v>
      </c>
      <c r="M1130" s="0" t="n">
        <f aca="false">04_回帰ANOVA!$K$19*04_回帰ANOVA!$K$14*SQRT(1+L1130)</f>
        <v>1.46736081117514</v>
      </c>
      <c r="N1130" s="0" t="n">
        <f aca="false">K1130-M1130</f>
        <v>46.7338087290547</v>
      </c>
      <c r="O1130" s="0" t="n">
        <f aca="false">K1130+M1130</f>
        <v>49.668530351405</v>
      </c>
      <c r="P1130" s="54" t="b">
        <f aca="false">AND(C1130&gt;=01_因子設定!$L$5-0.000000001,C1130&lt;=01_因子設定!$M$5+0.000000001,D1130&gt;=01_因子設定!$L$6-0.000000001,D1130&lt;=01_因子設定!$M$6+0.000000001,IF(01_因子設定!$B$20="Box-Behnken",C1130^2+D1130^2&lt;=2+0.000000001,TRUE()))</f>
        <v>1</v>
      </c>
      <c r="Q1130" s="55" t="n">
        <f aca="false">IF(P1130,IF(01_因子設定!$B$13="最大化",N1130-01_因子設定!$B$14,IF(01_因子設定!$B$13="最小化",01_因子設定!$B$15-O1130,MIN(N1130-01_因子設定!$B$14,01_因子設定!$B$15-O1130))),-1E+030)</f>
        <v>0.233808729054736</v>
      </c>
      <c r="R1130" s="55" t="n">
        <f aca="false">IF(P1130,IF(01_因子設定!$B$13="最大化",K1130,IF(01_因子設定!$B$13="最小化",-K1130,-ABS(K1130-01_因子設定!$B$16))),-1E+030)</f>
        <v>48.2011695402299</v>
      </c>
      <c r="S1130" s="55" t="n">
        <f aca="false">Q1130+ROW()*0.000000001</f>
        <v>0.233809859054736</v>
      </c>
      <c r="T1130" s="55" t="n">
        <f aca="false">R1130+ROW()*0.000000001</f>
        <v>48.2011706702299</v>
      </c>
    </row>
    <row r="1131" customFormat="false" ht="15" hidden="false" customHeight="false" outlineLevel="0" collapsed="false">
      <c r="A1131" s="0" t="n">
        <v>27</v>
      </c>
      <c r="B1131" s="0" t="n">
        <v>19</v>
      </c>
      <c r="C1131" s="0" t="n">
        <f aca="false">-1+A1131*0.05</f>
        <v>0.35</v>
      </c>
      <c r="D1131" s="0" t="n">
        <f aca="false">-1+B1131*0.05</f>
        <v>-0.0499999999999999</v>
      </c>
      <c r="E1131" s="0" t="n">
        <f aca="false">1</f>
        <v>1</v>
      </c>
      <c r="F1131" s="0" t="n">
        <f aca="false">C1131</f>
        <v>0.35</v>
      </c>
      <c r="G1131" s="0" t="n">
        <f aca="false">D1131</f>
        <v>-0.0499999999999999</v>
      </c>
      <c r="H1131" s="0" t="n">
        <f aca="false">C1131*D1131</f>
        <v>-0.0175</v>
      </c>
      <c r="I1131" s="0" t="n">
        <f aca="false">C1131*C1131</f>
        <v>0.1225</v>
      </c>
      <c r="J1131" s="0" t="n">
        <f aca="false">D1131*D1131</f>
        <v>0.00249999999999999</v>
      </c>
      <c r="K1131" s="0" t="n">
        <f aca="false">SUMPRODUCT(E1131:J1131,_XtX!$B$53:$G$53)</f>
        <v>48.334430316092</v>
      </c>
      <c r="L1131" s="0" t="n">
        <f aca="false">SUMPRODUCT(MMULT(E1131:J1131,_XtX!$B$44:$G$49),E1131:J1131)</f>
        <v>0.172812697557471</v>
      </c>
      <c r="M1131" s="0" t="n">
        <f aca="false">04_回帰ANOVA!$K$19*04_回帰ANOVA!$K$14*SQRT(1+L1131)</f>
        <v>1.46754322544161</v>
      </c>
      <c r="N1131" s="0" t="n">
        <f aca="false">K1131-M1131</f>
        <v>46.8668870906503</v>
      </c>
      <c r="O1131" s="0" t="n">
        <f aca="false">K1131+M1131</f>
        <v>49.8019735415336</v>
      </c>
      <c r="P1131" s="54" t="b">
        <f aca="false">AND(C1131&gt;=01_因子設定!$L$5-0.000000001,C1131&lt;=01_因子設定!$M$5+0.000000001,D1131&gt;=01_因子設定!$L$6-0.000000001,D1131&lt;=01_因子設定!$M$6+0.000000001,IF(01_因子設定!$B$20="Box-Behnken",C1131^2+D1131^2&lt;=2+0.000000001,TRUE()))</f>
        <v>1</v>
      </c>
      <c r="Q1131" s="55" t="n">
        <f aca="false">IF(P1131,IF(01_因子設定!$B$13="最大化",N1131-01_因子設定!$B$14,IF(01_因子設定!$B$13="最小化",01_因子設定!$B$15-O1131,MIN(N1131-01_因子設定!$B$14,01_因子設定!$B$15-O1131))),-1E+030)</f>
        <v>0.366887090650344</v>
      </c>
      <c r="R1131" s="55" t="n">
        <f aca="false">IF(P1131,IF(01_因子設定!$B$13="最大化",K1131,IF(01_因子設定!$B$13="最小化",-K1131,-ABS(K1131-01_因子設定!$B$16))),-1E+030)</f>
        <v>48.334430316092</v>
      </c>
      <c r="S1131" s="55" t="n">
        <f aca="false">Q1131+ROW()*0.000000001</f>
        <v>0.366888221650344</v>
      </c>
      <c r="T1131" s="55" t="n">
        <f aca="false">R1131+ROW()*0.000000001</f>
        <v>48.334431447092</v>
      </c>
    </row>
    <row r="1132" customFormat="false" ht="15" hidden="false" customHeight="false" outlineLevel="0" collapsed="false">
      <c r="A1132" s="0" t="n">
        <v>27</v>
      </c>
      <c r="B1132" s="0" t="n">
        <v>20</v>
      </c>
      <c r="C1132" s="0" t="n">
        <f aca="false">-1+A1132*0.05</f>
        <v>0.35</v>
      </c>
      <c r="D1132" s="0" t="n">
        <f aca="false">-1+B1132*0.05</f>
        <v>0</v>
      </c>
      <c r="E1132" s="0" t="n">
        <f aca="false">1</f>
        <v>1</v>
      </c>
      <c r="F1132" s="0" t="n">
        <f aca="false">C1132</f>
        <v>0.35</v>
      </c>
      <c r="G1132" s="0" t="n">
        <f aca="false">D1132</f>
        <v>0</v>
      </c>
      <c r="H1132" s="0" t="n">
        <f aca="false">C1132*D1132</f>
        <v>0</v>
      </c>
      <c r="I1132" s="0" t="n">
        <f aca="false">C1132*C1132</f>
        <v>0.1225</v>
      </c>
      <c r="J1132" s="0" t="n">
        <f aca="false">D1132*D1132</f>
        <v>0</v>
      </c>
      <c r="K1132" s="0" t="n">
        <f aca="false">SUMPRODUCT(E1132:J1132,_XtX!$B$53:$G$53)</f>
        <v>48.4599755747126</v>
      </c>
      <c r="L1132" s="0" t="n">
        <f aca="false">SUMPRODUCT(MMULT(E1132:J1132,_XtX!$B$44:$G$49),E1132:J1132)</f>
        <v>0.172918929597701</v>
      </c>
      <c r="M1132" s="0" t="n">
        <f aca="false">04_回帰ANOVA!$K$19*04_回帰ANOVA!$K$14*SQRT(1+L1132)</f>
        <v>1.46760968813473</v>
      </c>
      <c r="N1132" s="0" t="n">
        <f aca="false">K1132-M1132</f>
        <v>46.9923658865779</v>
      </c>
      <c r="O1132" s="0" t="n">
        <f aca="false">K1132+M1132</f>
        <v>49.9275852628474</v>
      </c>
      <c r="P1132" s="54" t="b">
        <f aca="false">AND(C1132&gt;=01_因子設定!$L$5-0.000000001,C1132&lt;=01_因子設定!$M$5+0.000000001,D1132&gt;=01_因子設定!$L$6-0.000000001,D1132&lt;=01_因子設定!$M$6+0.000000001,IF(01_因子設定!$B$20="Box-Behnken",C1132^2+D1132^2&lt;=2+0.000000001,TRUE()))</f>
        <v>1</v>
      </c>
      <c r="Q1132" s="55" t="n">
        <f aca="false">IF(P1132,IF(01_因子設定!$B$13="最大化",N1132-01_因子設定!$B$14,IF(01_因子設定!$B$13="最小化",01_因子設定!$B$15-O1132,MIN(N1132-01_因子設定!$B$14,01_因子設定!$B$15-O1132))),-1E+030)</f>
        <v>0.492365886577908</v>
      </c>
      <c r="R1132" s="55" t="n">
        <f aca="false">IF(P1132,IF(01_因子設定!$B$13="最大化",K1132,IF(01_因子設定!$B$13="最小化",-K1132,-ABS(K1132-01_因子設定!$B$16))),-1E+030)</f>
        <v>48.4599755747126</v>
      </c>
      <c r="S1132" s="55" t="n">
        <f aca="false">Q1132+ROW()*0.000000001</f>
        <v>0.492367018577908</v>
      </c>
      <c r="T1132" s="55" t="n">
        <f aca="false">R1132+ROW()*0.000000001</f>
        <v>48.4599767067126</v>
      </c>
    </row>
    <row r="1133" customFormat="false" ht="15" hidden="false" customHeight="false" outlineLevel="0" collapsed="false">
      <c r="A1133" s="0" t="n">
        <v>27</v>
      </c>
      <c r="B1133" s="0" t="n">
        <v>21</v>
      </c>
      <c r="C1133" s="0" t="n">
        <f aca="false">-1+A1133*0.05</f>
        <v>0.35</v>
      </c>
      <c r="D1133" s="0" t="n">
        <f aca="false">-1+B1133*0.05</f>
        <v>0.05</v>
      </c>
      <c r="E1133" s="0" t="n">
        <f aca="false">1</f>
        <v>1</v>
      </c>
      <c r="F1133" s="0" t="n">
        <f aca="false">C1133</f>
        <v>0.35</v>
      </c>
      <c r="G1133" s="0" t="n">
        <f aca="false">D1133</f>
        <v>0.05</v>
      </c>
      <c r="H1133" s="0" t="n">
        <f aca="false">C1133*D1133</f>
        <v>0.0175</v>
      </c>
      <c r="I1133" s="0" t="n">
        <f aca="false">C1133*C1133</f>
        <v>0.1225</v>
      </c>
      <c r="J1133" s="0" t="n">
        <f aca="false">D1133*D1133</f>
        <v>0.0025</v>
      </c>
      <c r="K1133" s="0" t="n">
        <f aca="false">SUMPRODUCT(E1133:J1133,_XtX!$B$53:$G$53)</f>
        <v>48.577805316092</v>
      </c>
      <c r="L1133" s="0" t="n">
        <f aca="false">SUMPRODUCT(MMULT(E1133:J1133,_XtX!$B$44:$G$49),E1133:J1133)</f>
        <v>0.172812697557471</v>
      </c>
      <c r="M1133" s="0" t="n">
        <f aca="false">04_回帰ANOVA!$K$19*04_回帰ANOVA!$K$14*SQRT(1+L1133)</f>
        <v>1.46754322544161</v>
      </c>
      <c r="N1133" s="0" t="n">
        <f aca="false">K1133-M1133</f>
        <v>47.1102620906503</v>
      </c>
      <c r="O1133" s="0" t="n">
        <f aca="false">K1133+M1133</f>
        <v>50.0453485415336</v>
      </c>
      <c r="P1133" s="54" t="b">
        <f aca="false">AND(C1133&gt;=01_因子設定!$L$5-0.000000001,C1133&lt;=01_因子設定!$M$5+0.000000001,D1133&gt;=01_因子設定!$L$6-0.000000001,D1133&lt;=01_因子設定!$M$6+0.000000001,IF(01_因子設定!$B$20="Box-Behnken",C1133^2+D1133^2&lt;=2+0.000000001,TRUE()))</f>
        <v>1</v>
      </c>
      <c r="Q1133" s="55" t="n">
        <f aca="false">IF(P1133,IF(01_因子設定!$B$13="最大化",N1133-01_因子設定!$B$14,IF(01_因子設定!$B$13="最小化",01_因子設定!$B$15-O1133,MIN(N1133-01_因子設定!$B$14,01_因子設定!$B$15-O1133))),-1E+030)</f>
        <v>0.610262090650338</v>
      </c>
      <c r="R1133" s="55" t="n">
        <f aca="false">IF(P1133,IF(01_因子設定!$B$13="最大化",K1133,IF(01_因子設定!$B$13="最小化",-K1133,-ABS(K1133-01_因子設定!$B$16))),-1E+030)</f>
        <v>48.577805316092</v>
      </c>
      <c r="S1133" s="55" t="n">
        <f aca="false">Q1133+ROW()*0.000000001</f>
        <v>0.610263223650338</v>
      </c>
      <c r="T1133" s="55" t="n">
        <f aca="false">R1133+ROW()*0.000000001</f>
        <v>48.5778064490919</v>
      </c>
    </row>
    <row r="1134" customFormat="false" ht="15" hidden="false" customHeight="false" outlineLevel="0" collapsed="false">
      <c r="A1134" s="0" t="n">
        <v>27</v>
      </c>
      <c r="B1134" s="0" t="n">
        <v>22</v>
      </c>
      <c r="C1134" s="0" t="n">
        <f aca="false">-1+A1134*0.05</f>
        <v>0.35</v>
      </c>
      <c r="D1134" s="0" t="n">
        <f aca="false">-1+B1134*0.05</f>
        <v>0.1</v>
      </c>
      <c r="E1134" s="0" t="n">
        <f aca="false">1</f>
        <v>1</v>
      </c>
      <c r="F1134" s="0" t="n">
        <f aca="false">C1134</f>
        <v>0.35</v>
      </c>
      <c r="G1134" s="0" t="n">
        <f aca="false">D1134</f>
        <v>0.1</v>
      </c>
      <c r="H1134" s="0" t="n">
        <f aca="false">C1134*D1134</f>
        <v>0.035</v>
      </c>
      <c r="I1134" s="0" t="n">
        <f aca="false">C1134*C1134</f>
        <v>0.1225</v>
      </c>
      <c r="J1134" s="0" t="n">
        <f aca="false">D1134*D1134</f>
        <v>0.01</v>
      </c>
      <c r="K1134" s="0" t="n">
        <f aca="false">SUMPRODUCT(E1134:J1134,_XtX!$B$53:$G$53)</f>
        <v>48.6879195402299</v>
      </c>
      <c r="L1134" s="0" t="n">
        <f aca="false">SUMPRODUCT(MMULT(E1134:J1134,_XtX!$B$44:$G$49),E1134:J1134)</f>
        <v>0.172521156609195</v>
      </c>
      <c r="M1134" s="0" t="n">
        <f aca="false">04_回帰ANOVA!$K$19*04_回帰ANOVA!$K$14*SQRT(1+L1134)</f>
        <v>1.46736081117514</v>
      </c>
      <c r="N1134" s="0" t="n">
        <f aca="false">K1134-M1134</f>
        <v>47.2205587290547</v>
      </c>
      <c r="O1134" s="0" t="n">
        <f aca="false">K1134+M1134</f>
        <v>50.155280351405</v>
      </c>
      <c r="P1134" s="54" t="b">
        <f aca="false">AND(C1134&gt;=01_因子設定!$L$5-0.000000001,C1134&lt;=01_因子設定!$M$5+0.000000001,D1134&gt;=01_因子設定!$L$6-0.000000001,D1134&lt;=01_因子設定!$M$6+0.000000001,IF(01_因子設定!$B$20="Box-Behnken",C1134^2+D1134^2&lt;=2+0.000000001,TRUE()))</f>
        <v>1</v>
      </c>
      <c r="Q1134" s="55" t="n">
        <f aca="false">IF(P1134,IF(01_因子設定!$B$13="最大化",N1134-01_因子設定!$B$14,IF(01_因子設定!$B$13="最小化",01_因子設定!$B$15-O1134,MIN(N1134-01_因子設定!$B$14,01_因子設定!$B$15-O1134))),-1E+030)</f>
        <v>0.72055872905473</v>
      </c>
      <c r="R1134" s="55" t="n">
        <f aca="false">IF(P1134,IF(01_因子設定!$B$13="最大化",K1134,IF(01_因子設定!$B$13="最小化",-K1134,-ABS(K1134-01_因子設定!$B$16))),-1E+030)</f>
        <v>48.6879195402299</v>
      </c>
      <c r="S1134" s="55" t="n">
        <f aca="false">Q1134+ROW()*0.000000001</f>
        <v>0.72055986305473</v>
      </c>
      <c r="T1134" s="55" t="n">
        <f aca="false">R1134+ROW()*0.000000001</f>
        <v>48.6879206742299</v>
      </c>
    </row>
    <row r="1135" customFormat="false" ht="15" hidden="false" customHeight="false" outlineLevel="0" collapsed="false">
      <c r="A1135" s="0" t="n">
        <v>27</v>
      </c>
      <c r="B1135" s="0" t="n">
        <v>23</v>
      </c>
      <c r="C1135" s="0" t="n">
        <f aca="false">-1+A1135*0.05</f>
        <v>0.35</v>
      </c>
      <c r="D1135" s="0" t="n">
        <f aca="false">-1+B1135*0.05</f>
        <v>0.15</v>
      </c>
      <c r="E1135" s="0" t="n">
        <f aca="false">1</f>
        <v>1</v>
      </c>
      <c r="F1135" s="0" t="n">
        <f aca="false">C1135</f>
        <v>0.35</v>
      </c>
      <c r="G1135" s="0" t="n">
        <f aca="false">D1135</f>
        <v>0.15</v>
      </c>
      <c r="H1135" s="0" t="n">
        <f aca="false">C1135*D1135</f>
        <v>0.0525000000000001</v>
      </c>
      <c r="I1135" s="0" t="n">
        <f aca="false">C1135*C1135</f>
        <v>0.1225</v>
      </c>
      <c r="J1135" s="0" t="n">
        <f aca="false">D1135*D1135</f>
        <v>0.0225</v>
      </c>
      <c r="K1135" s="0" t="n">
        <f aca="false">SUMPRODUCT(E1135:J1135,_XtX!$B$53:$G$53)</f>
        <v>48.7903182471264</v>
      </c>
      <c r="L1135" s="0" t="n">
        <f aca="false">SUMPRODUCT(MMULT(E1135:J1135,_XtX!$B$44:$G$49),E1135:J1135)</f>
        <v>0.172125772270115</v>
      </c>
      <c r="M1135" s="0" t="n">
        <f aca="false">04_回帰ANOVA!$K$19*04_回帰ANOVA!$K$14*SQRT(1+L1135)</f>
        <v>1.46711338689661</v>
      </c>
      <c r="N1135" s="0" t="n">
        <f aca="false">K1135-M1135</f>
        <v>47.3232048602298</v>
      </c>
      <c r="O1135" s="0" t="n">
        <f aca="false">K1135+M1135</f>
        <v>50.257431634023</v>
      </c>
      <c r="P1135" s="54" t="b">
        <f aca="false">AND(C1135&gt;=01_因子設定!$L$5-0.000000001,C1135&lt;=01_因子設定!$M$5+0.000000001,D1135&gt;=01_因子設定!$L$6-0.000000001,D1135&lt;=01_因子設定!$M$6+0.000000001,IF(01_因子設定!$B$20="Box-Behnken",C1135^2+D1135^2&lt;=2+0.000000001,TRUE()))</f>
        <v>1</v>
      </c>
      <c r="Q1135" s="55" t="n">
        <f aca="false">IF(P1135,IF(01_因子設定!$B$13="最大化",N1135-01_因子設定!$B$14,IF(01_因子設定!$B$13="最小化",01_因子設定!$B$15-O1135,MIN(N1135-01_因子設定!$B$14,01_因子設定!$B$15-O1135))),-1E+030)</f>
        <v>0.823204860229829</v>
      </c>
      <c r="R1135" s="55" t="n">
        <f aca="false">IF(P1135,IF(01_因子設定!$B$13="最大化",K1135,IF(01_因子設定!$B$13="最小化",-K1135,-ABS(K1135-01_因子設定!$B$16))),-1E+030)</f>
        <v>48.7903182471264</v>
      </c>
      <c r="S1135" s="55" t="n">
        <f aca="false">Q1135+ROW()*0.000000001</f>
        <v>0.823205995229829</v>
      </c>
      <c r="T1135" s="55" t="n">
        <f aca="false">R1135+ROW()*0.000000001</f>
        <v>48.7903193821264</v>
      </c>
    </row>
    <row r="1136" customFormat="false" ht="15" hidden="false" customHeight="false" outlineLevel="0" collapsed="false">
      <c r="A1136" s="0" t="n">
        <v>27</v>
      </c>
      <c r="B1136" s="0" t="n">
        <v>24</v>
      </c>
      <c r="C1136" s="0" t="n">
        <f aca="false">-1+A1136*0.05</f>
        <v>0.35</v>
      </c>
      <c r="D1136" s="0" t="n">
        <f aca="false">-1+B1136*0.05</f>
        <v>0.2</v>
      </c>
      <c r="E1136" s="0" t="n">
        <f aca="false">1</f>
        <v>1</v>
      </c>
      <c r="F1136" s="0" t="n">
        <f aca="false">C1136</f>
        <v>0.35</v>
      </c>
      <c r="G1136" s="0" t="n">
        <f aca="false">D1136</f>
        <v>0.2</v>
      </c>
      <c r="H1136" s="0" t="n">
        <f aca="false">C1136*D1136</f>
        <v>0.0700000000000001</v>
      </c>
      <c r="I1136" s="0" t="n">
        <f aca="false">C1136*C1136</f>
        <v>0.1225</v>
      </c>
      <c r="J1136" s="0" t="n">
        <f aca="false">D1136*D1136</f>
        <v>0.0400000000000001</v>
      </c>
      <c r="K1136" s="0" t="n">
        <f aca="false">SUMPRODUCT(E1136:J1136,_XtX!$B$53:$G$53)</f>
        <v>48.8850014367816</v>
      </c>
      <c r="L1136" s="0" t="n">
        <f aca="false">SUMPRODUCT(MMULT(E1136:J1136,_XtX!$B$44:$G$49),E1136:J1136)</f>
        <v>0.171762320402299</v>
      </c>
      <c r="M1136" s="0" t="n">
        <f aca="false">04_回帰ANOVA!$K$19*04_回帰ANOVA!$K$14*SQRT(1+L1136)</f>
        <v>1.46688590855968</v>
      </c>
      <c r="N1136" s="0" t="n">
        <f aca="false">K1136-M1136</f>
        <v>47.4181155282219</v>
      </c>
      <c r="O1136" s="0" t="n">
        <f aca="false">K1136+M1136</f>
        <v>50.3518873453413</v>
      </c>
      <c r="P1136" s="54" t="b">
        <f aca="false">AND(C1136&gt;=01_因子設定!$L$5-0.000000001,C1136&lt;=01_因子設定!$M$5+0.000000001,D1136&gt;=01_因子設定!$L$6-0.000000001,D1136&lt;=01_因子設定!$M$6+0.000000001,IF(01_因子設定!$B$20="Box-Behnken",C1136^2+D1136^2&lt;=2+0.000000001,TRUE()))</f>
        <v>1</v>
      </c>
      <c r="Q1136" s="55" t="n">
        <f aca="false">IF(P1136,IF(01_因子設定!$B$13="最大化",N1136-01_因子設定!$B$14,IF(01_因子設定!$B$13="最小化",01_因子設定!$B$15-O1136,MIN(N1136-01_因子設定!$B$14,01_因子設定!$B$15-O1136))),-1E+030)</f>
        <v>0.918115528221925</v>
      </c>
      <c r="R1136" s="55" t="n">
        <f aca="false">IF(P1136,IF(01_因子設定!$B$13="最大化",K1136,IF(01_因子設定!$B$13="最小化",-K1136,-ABS(K1136-01_因子設定!$B$16))),-1E+030)</f>
        <v>48.8850014367816</v>
      </c>
      <c r="S1136" s="55" t="n">
        <f aca="false">Q1136+ROW()*0.000000001</f>
        <v>0.918116664221925</v>
      </c>
      <c r="T1136" s="55" t="n">
        <f aca="false">R1136+ROW()*0.000000001</f>
        <v>48.8850025727816</v>
      </c>
    </row>
    <row r="1137" customFormat="false" ht="15" hidden="false" customHeight="false" outlineLevel="0" collapsed="false">
      <c r="A1137" s="0" t="n">
        <v>27</v>
      </c>
      <c r="B1137" s="0" t="n">
        <v>25</v>
      </c>
      <c r="C1137" s="0" t="n">
        <f aca="false">-1+A1137*0.05</f>
        <v>0.35</v>
      </c>
      <c r="D1137" s="0" t="n">
        <f aca="false">-1+B1137*0.05</f>
        <v>0.25</v>
      </c>
      <c r="E1137" s="0" t="n">
        <f aca="false">1</f>
        <v>1</v>
      </c>
      <c r="F1137" s="0" t="n">
        <f aca="false">C1137</f>
        <v>0.35</v>
      </c>
      <c r="G1137" s="0" t="n">
        <f aca="false">D1137</f>
        <v>0.25</v>
      </c>
      <c r="H1137" s="0" t="n">
        <f aca="false">C1137*D1137</f>
        <v>0.0875</v>
      </c>
      <c r="I1137" s="0" t="n">
        <f aca="false">C1137*C1137</f>
        <v>0.1225</v>
      </c>
      <c r="J1137" s="0" t="n">
        <f aca="false">D1137*D1137</f>
        <v>0.0625</v>
      </c>
      <c r="K1137" s="0" t="n">
        <f aca="false">SUMPRODUCT(E1137:J1137,_XtX!$B$53:$G$53)</f>
        <v>48.9719691091954</v>
      </c>
      <c r="L1137" s="0" t="n">
        <f aca="false">SUMPRODUCT(MMULT(E1137:J1137,_XtX!$B$44:$G$49),E1137:J1137)</f>
        <v>0.171620887212644</v>
      </c>
      <c r="M1137" s="0" t="n">
        <f aca="false">04_回帰ANOVA!$K$19*04_回帰ANOVA!$K$14*SQRT(1+L1137)</f>
        <v>1.46679737839873</v>
      </c>
      <c r="N1137" s="0" t="n">
        <f aca="false">K1137-M1137</f>
        <v>47.5051717307967</v>
      </c>
      <c r="O1137" s="0" t="n">
        <f aca="false">K1137+M1137</f>
        <v>50.4387664875941</v>
      </c>
      <c r="P1137" s="54" t="b">
        <f aca="false">AND(C1137&gt;=01_因子設定!$L$5-0.000000001,C1137&lt;=01_因子設定!$M$5+0.000000001,D1137&gt;=01_因子設定!$L$6-0.000000001,D1137&lt;=01_因子設定!$M$6+0.000000001,IF(01_因子設定!$B$20="Box-Behnken",C1137^2+D1137^2&lt;=2+0.000000001,TRUE()))</f>
        <v>1</v>
      </c>
      <c r="Q1137" s="55" t="n">
        <f aca="false">IF(P1137,IF(01_因子設定!$B$13="最大化",N1137-01_因子設定!$B$14,IF(01_因子設定!$B$13="最小化",01_因子設定!$B$15-O1137,MIN(N1137-01_因子設定!$B$14,01_因子設定!$B$15-O1137))),-1E+030)</f>
        <v>1.00517173079667</v>
      </c>
      <c r="R1137" s="55" t="n">
        <f aca="false">IF(P1137,IF(01_因子設定!$B$13="最大化",K1137,IF(01_因子設定!$B$13="最小化",-K1137,-ABS(K1137-01_因子設定!$B$16))),-1E+030)</f>
        <v>48.9719691091954</v>
      </c>
      <c r="S1137" s="55" t="n">
        <f aca="false">Q1137+ROW()*0.000000001</f>
        <v>1.00517286779667</v>
      </c>
      <c r="T1137" s="55" t="n">
        <f aca="false">R1137+ROW()*0.000000001</f>
        <v>48.9719702461954</v>
      </c>
    </row>
    <row r="1138" customFormat="false" ht="15" hidden="false" customHeight="false" outlineLevel="0" collapsed="false">
      <c r="A1138" s="0" t="n">
        <v>27</v>
      </c>
      <c r="B1138" s="0" t="n">
        <v>26</v>
      </c>
      <c r="C1138" s="0" t="n">
        <f aca="false">-1+A1138*0.05</f>
        <v>0.35</v>
      </c>
      <c r="D1138" s="0" t="n">
        <f aca="false">-1+B1138*0.05</f>
        <v>0.3</v>
      </c>
      <c r="E1138" s="0" t="n">
        <f aca="false">1</f>
        <v>1</v>
      </c>
      <c r="F1138" s="0" t="n">
        <f aca="false">C1138</f>
        <v>0.35</v>
      </c>
      <c r="G1138" s="0" t="n">
        <f aca="false">D1138</f>
        <v>0.3</v>
      </c>
      <c r="H1138" s="0" t="n">
        <f aca="false">C1138*D1138</f>
        <v>0.105</v>
      </c>
      <c r="I1138" s="0" t="n">
        <f aca="false">C1138*C1138</f>
        <v>0.1225</v>
      </c>
      <c r="J1138" s="0" t="n">
        <f aca="false">D1138*D1138</f>
        <v>0.09</v>
      </c>
      <c r="K1138" s="0" t="n">
        <f aca="false">SUMPRODUCT(E1138:J1138,_XtX!$B$53:$G$53)</f>
        <v>49.0512212643678</v>
      </c>
      <c r="L1138" s="0" t="n">
        <f aca="false">SUMPRODUCT(MMULT(E1138:J1138,_XtX!$B$44:$G$49),E1138:J1138)</f>
        <v>0.171945869252874</v>
      </c>
      <c r="M1138" s="0" t="n">
        <f aca="false">04_回帰ANOVA!$K$19*04_回帰ANOVA!$K$14*SQRT(1+L1138)</f>
        <v>1.46700079306941</v>
      </c>
      <c r="N1138" s="0" t="n">
        <f aca="false">K1138-M1138</f>
        <v>47.5842204712984</v>
      </c>
      <c r="O1138" s="0" t="n">
        <f aca="false">K1138+M1138</f>
        <v>50.5182220574372</v>
      </c>
      <c r="P1138" s="54" t="b">
        <f aca="false">AND(C1138&gt;=01_因子設定!$L$5-0.000000001,C1138&lt;=01_因子設定!$M$5+0.000000001,D1138&gt;=01_因子設定!$L$6-0.000000001,D1138&lt;=01_因子設定!$M$6+0.000000001,IF(01_因子設定!$B$20="Box-Behnken",C1138^2+D1138^2&lt;=2+0.000000001,TRUE()))</f>
        <v>1</v>
      </c>
      <c r="Q1138" s="55" t="n">
        <f aca="false">IF(P1138,IF(01_因子設定!$B$13="最大化",N1138-01_因子設定!$B$14,IF(01_因子設定!$B$13="最小化",01_因子設定!$B$15-O1138,MIN(N1138-01_因子設定!$B$14,01_因子設定!$B$15-O1138))),-1E+030)</f>
        <v>1.0842204712984</v>
      </c>
      <c r="R1138" s="55" t="n">
        <f aca="false">IF(P1138,IF(01_因子設定!$B$13="最大化",K1138,IF(01_因子設定!$B$13="最小化",-K1138,-ABS(K1138-01_因子設定!$B$16))),-1E+030)</f>
        <v>49.0512212643678</v>
      </c>
      <c r="S1138" s="55" t="n">
        <f aca="false">Q1138+ROW()*0.000000001</f>
        <v>1.0842216092984</v>
      </c>
      <c r="T1138" s="55" t="n">
        <f aca="false">R1138+ROW()*0.000000001</f>
        <v>49.0512224023678</v>
      </c>
    </row>
    <row r="1139" customFormat="false" ht="15" hidden="false" customHeight="false" outlineLevel="0" collapsed="false">
      <c r="A1139" s="0" t="n">
        <v>27</v>
      </c>
      <c r="B1139" s="0" t="n">
        <v>27</v>
      </c>
      <c r="C1139" s="0" t="n">
        <f aca="false">-1+A1139*0.05</f>
        <v>0.35</v>
      </c>
      <c r="D1139" s="0" t="n">
        <f aca="false">-1+B1139*0.05</f>
        <v>0.35</v>
      </c>
      <c r="E1139" s="0" t="n">
        <f aca="false">1</f>
        <v>1</v>
      </c>
      <c r="F1139" s="0" t="n">
        <f aca="false">C1139</f>
        <v>0.35</v>
      </c>
      <c r="G1139" s="0" t="n">
        <f aca="false">D1139</f>
        <v>0.35</v>
      </c>
      <c r="H1139" s="0" t="n">
        <f aca="false">C1139*D1139</f>
        <v>0.1225</v>
      </c>
      <c r="I1139" s="0" t="n">
        <f aca="false">C1139*C1139</f>
        <v>0.1225</v>
      </c>
      <c r="J1139" s="0" t="n">
        <f aca="false">D1139*D1139</f>
        <v>0.1225</v>
      </c>
      <c r="K1139" s="0" t="n">
        <f aca="false">SUMPRODUCT(E1139:J1139,_XtX!$B$53:$G$53)</f>
        <v>49.1227579022988</v>
      </c>
      <c r="L1139" s="0" t="n">
        <f aca="false">SUMPRODUCT(MMULT(E1139:J1139,_XtX!$B$44:$G$49),E1139:J1139)</f>
        <v>0.17303597341954</v>
      </c>
      <c r="M1139" s="0" t="n">
        <f aca="false">04_回帰ANOVA!$K$19*04_回帰ANOVA!$K$14*SQRT(1+L1139)</f>
        <v>1.46768291159351</v>
      </c>
      <c r="N1139" s="0" t="n">
        <f aca="false">K1139-M1139</f>
        <v>47.6550749907053</v>
      </c>
      <c r="O1139" s="0" t="n">
        <f aca="false">K1139+M1139</f>
        <v>50.5904408138924</v>
      </c>
      <c r="P1139" s="54" t="b">
        <f aca="false">AND(C1139&gt;=01_因子設定!$L$5-0.000000001,C1139&lt;=01_因子設定!$M$5+0.000000001,D1139&gt;=01_因子設定!$L$6-0.000000001,D1139&lt;=01_因子設定!$M$6+0.000000001,IF(01_因子設定!$B$20="Box-Behnken",C1139^2+D1139^2&lt;=2+0.000000001,TRUE()))</f>
        <v>1</v>
      </c>
      <c r="Q1139" s="55" t="n">
        <f aca="false">IF(P1139,IF(01_因子設定!$B$13="最大化",N1139-01_因子設定!$B$14,IF(01_因子設定!$B$13="最小化",01_因子設定!$B$15-O1139,MIN(N1139-01_因子設定!$B$14,01_因子設定!$B$15-O1139))),-1E+030)</f>
        <v>1.15507499070533</v>
      </c>
      <c r="R1139" s="55" t="n">
        <f aca="false">IF(P1139,IF(01_因子設定!$B$13="最大化",K1139,IF(01_因子設定!$B$13="最小化",-K1139,-ABS(K1139-01_因子設定!$B$16))),-1E+030)</f>
        <v>49.1227579022988</v>
      </c>
      <c r="S1139" s="55" t="n">
        <f aca="false">Q1139+ROW()*0.000000001</f>
        <v>1.15507612970533</v>
      </c>
      <c r="T1139" s="55" t="n">
        <f aca="false">R1139+ROW()*0.000000001</f>
        <v>49.1227590412988</v>
      </c>
    </row>
    <row r="1140" customFormat="false" ht="15" hidden="false" customHeight="false" outlineLevel="0" collapsed="false">
      <c r="A1140" s="0" t="n">
        <v>27</v>
      </c>
      <c r="B1140" s="0" t="n">
        <v>28</v>
      </c>
      <c r="C1140" s="0" t="n">
        <f aca="false">-1+A1140*0.05</f>
        <v>0.35</v>
      </c>
      <c r="D1140" s="0" t="n">
        <f aca="false">-1+B1140*0.05</f>
        <v>0.4</v>
      </c>
      <c r="E1140" s="0" t="n">
        <f aca="false">1</f>
        <v>1</v>
      </c>
      <c r="F1140" s="0" t="n">
        <f aca="false">C1140</f>
        <v>0.35</v>
      </c>
      <c r="G1140" s="0" t="n">
        <f aca="false">D1140</f>
        <v>0.4</v>
      </c>
      <c r="H1140" s="0" t="n">
        <f aca="false">C1140*D1140</f>
        <v>0.14</v>
      </c>
      <c r="I1140" s="0" t="n">
        <f aca="false">C1140*C1140</f>
        <v>0.1225</v>
      </c>
      <c r="J1140" s="0" t="n">
        <f aca="false">D1140*D1140</f>
        <v>0.16</v>
      </c>
      <c r="K1140" s="0" t="n">
        <f aca="false">SUMPRODUCT(E1140:J1140,_XtX!$B$53:$G$53)</f>
        <v>49.1865790229885</v>
      </c>
      <c r="L1140" s="0" t="n">
        <f aca="false">SUMPRODUCT(MMULT(E1140:J1140,_XtX!$B$44:$G$49),E1140:J1140)</f>
        <v>0.175244216954023</v>
      </c>
      <c r="M1140" s="0" t="n">
        <f aca="false">04_回帰ANOVA!$K$19*04_回帰ANOVA!$K$14*SQRT(1+L1140)</f>
        <v>1.46906372066889</v>
      </c>
      <c r="N1140" s="0" t="n">
        <f aca="false">K1140-M1140</f>
        <v>47.7175153023196</v>
      </c>
      <c r="O1140" s="0" t="n">
        <f aca="false">K1140+M1140</f>
        <v>50.6556427436574</v>
      </c>
      <c r="P1140" s="54" t="b">
        <f aca="false">AND(C1140&gt;=01_因子設定!$L$5-0.000000001,C1140&lt;=01_因子設定!$M$5+0.000000001,D1140&gt;=01_因子設定!$L$6-0.000000001,D1140&lt;=01_因子設定!$M$6+0.000000001,IF(01_因子設定!$B$20="Box-Behnken",C1140^2+D1140^2&lt;=2+0.000000001,TRUE()))</f>
        <v>1</v>
      </c>
      <c r="Q1140" s="55" t="n">
        <f aca="false">IF(P1140,IF(01_因子設定!$B$13="最大化",N1140-01_因子設定!$B$14,IF(01_因子設定!$B$13="最小化",01_因子設定!$B$15-O1140,MIN(N1140-01_因子設定!$B$14,01_因子設定!$B$15-O1140))),-1E+030)</f>
        <v>1.21751530231962</v>
      </c>
      <c r="R1140" s="55" t="n">
        <f aca="false">IF(P1140,IF(01_因子設定!$B$13="最大化",K1140,IF(01_因子設定!$B$13="最小化",-K1140,-ABS(K1140-01_因子設定!$B$16))),-1E+030)</f>
        <v>49.1865790229885</v>
      </c>
      <c r="S1140" s="55" t="n">
        <f aca="false">Q1140+ROW()*0.000000001</f>
        <v>1.21751644231962</v>
      </c>
      <c r="T1140" s="55" t="n">
        <f aca="false">R1140+ROW()*0.000000001</f>
        <v>49.1865801629885</v>
      </c>
    </row>
    <row r="1141" customFormat="false" ht="15" hidden="false" customHeight="false" outlineLevel="0" collapsed="false">
      <c r="A1141" s="0" t="n">
        <v>27</v>
      </c>
      <c r="B1141" s="0" t="n">
        <v>29</v>
      </c>
      <c r="C1141" s="0" t="n">
        <f aca="false">-1+A1141*0.05</f>
        <v>0.35</v>
      </c>
      <c r="D1141" s="0" t="n">
        <f aca="false">-1+B1141*0.05</f>
        <v>0.45</v>
      </c>
      <c r="E1141" s="0" t="n">
        <f aca="false">1</f>
        <v>1</v>
      </c>
      <c r="F1141" s="0" t="n">
        <f aca="false">C1141</f>
        <v>0.35</v>
      </c>
      <c r="G1141" s="0" t="n">
        <f aca="false">D1141</f>
        <v>0.45</v>
      </c>
      <c r="H1141" s="0" t="n">
        <f aca="false">C1141*D1141</f>
        <v>0.1575</v>
      </c>
      <c r="I1141" s="0" t="n">
        <f aca="false">C1141*C1141</f>
        <v>0.1225</v>
      </c>
      <c r="J1141" s="0" t="n">
        <f aca="false">D1141*D1141</f>
        <v>0.2025</v>
      </c>
      <c r="K1141" s="0" t="n">
        <f aca="false">SUMPRODUCT(E1141:J1141,_XtX!$B$53:$G$53)</f>
        <v>49.2426846264368</v>
      </c>
      <c r="L1141" s="0" t="n">
        <f aca="false">SUMPRODUCT(MMULT(E1141:J1141,_XtX!$B$44:$G$49),E1141:J1141)</f>
        <v>0.178977927442529</v>
      </c>
      <c r="M1141" s="0" t="n">
        <f aca="false">04_回帰ANOVA!$K$19*04_回帰ANOVA!$K$14*SQRT(1+L1141)</f>
        <v>1.47139545265652</v>
      </c>
      <c r="N1141" s="0" t="n">
        <f aca="false">K1141-M1141</f>
        <v>47.7712891737803</v>
      </c>
      <c r="O1141" s="0" t="n">
        <f aca="false">K1141+M1141</f>
        <v>50.7140800790933</v>
      </c>
      <c r="P1141" s="54" t="b">
        <f aca="false">AND(C1141&gt;=01_因子設定!$L$5-0.000000001,C1141&lt;=01_因子設定!$M$5+0.000000001,D1141&gt;=01_因子設定!$L$6-0.000000001,D1141&lt;=01_因子設定!$M$6+0.000000001,IF(01_因子設定!$B$20="Box-Behnken",C1141^2+D1141^2&lt;=2+0.000000001,TRUE()))</f>
        <v>1</v>
      </c>
      <c r="Q1141" s="55" t="n">
        <f aca="false">IF(P1141,IF(01_因子設定!$B$13="最大化",N1141-01_因子設定!$B$14,IF(01_因子設定!$B$13="最小化",01_因子設定!$B$15-O1141,MIN(N1141-01_因子設定!$B$14,01_因子設定!$B$15-O1141))),-1E+030)</f>
        <v>1.27128917378025</v>
      </c>
      <c r="R1141" s="55" t="n">
        <f aca="false">IF(P1141,IF(01_因子設定!$B$13="最大化",K1141,IF(01_因子設定!$B$13="最小化",-K1141,-ABS(K1141-01_因子設定!$B$16))),-1E+030)</f>
        <v>49.2426846264368</v>
      </c>
      <c r="S1141" s="55" t="n">
        <f aca="false">Q1141+ROW()*0.000000001</f>
        <v>1.27129031478025</v>
      </c>
      <c r="T1141" s="55" t="n">
        <f aca="false">R1141+ROW()*0.000000001</f>
        <v>49.2426857674368</v>
      </c>
    </row>
    <row r="1142" customFormat="false" ht="15" hidden="false" customHeight="false" outlineLevel="0" collapsed="false">
      <c r="A1142" s="0" t="n">
        <v>27</v>
      </c>
      <c r="B1142" s="0" t="n">
        <v>30</v>
      </c>
      <c r="C1142" s="0" t="n">
        <f aca="false">-1+A1142*0.05</f>
        <v>0.35</v>
      </c>
      <c r="D1142" s="0" t="n">
        <f aca="false">-1+B1142*0.05</f>
        <v>0.5</v>
      </c>
      <c r="E1142" s="0" t="n">
        <f aca="false">1</f>
        <v>1</v>
      </c>
      <c r="F1142" s="0" t="n">
        <f aca="false">C1142</f>
        <v>0.35</v>
      </c>
      <c r="G1142" s="0" t="n">
        <f aca="false">D1142</f>
        <v>0.5</v>
      </c>
      <c r="H1142" s="0" t="n">
        <f aca="false">C1142*D1142</f>
        <v>0.175</v>
      </c>
      <c r="I1142" s="0" t="n">
        <f aca="false">C1142*C1142</f>
        <v>0.1225</v>
      </c>
      <c r="J1142" s="0" t="n">
        <f aca="false">D1142*D1142</f>
        <v>0.25</v>
      </c>
      <c r="K1142" s="0" t="n">
        <f aca="false">SUMPRODUCT(E1142:J1142,_XtX!$B$53:$G$53)</f>
        <v>49.2910747126437</v>
      </c>
      <c r="L1142" s="0" t="n">
        <f aca="false">SUMPRODUCT(MMULT(E1142:J1142,_XtX!$B$44:$G$49),E1142:J1142)</f>
        <v>0.184698742816092</v>
      </c>
      <c r="M1142" s="0" t="n">
        <f aca="false">04_回帰ANOVA!$K$19*04_回帰ANOVA!$K$14*SQRT(1+L1142)</f>
        <v>1.47496099657531</v>
      </c>
      <c r="N1142" s="0" t="n">
        <f aca="false">K1142-M1142</f>
        <v>47.8161137160684</v>
      </c>
      <c r="O1142" s="0" t="n">
        <f aca="false">K1142+M1142</f>
        <v>50.766035709219</v>
      </c>
      <c r="P1142" s="54" t="b">
        <f aca="false">AND(C1142&gt;=01_因子設定!$L$5-0.000000001,C1142&lt;=01_因子設定!$M$5+0.000000001,D1142&gt;=01_因子設定!$L$6-0.000000001,D1142&lt;=01_因子設定!$M$6+0.000000001,IF(01_因子設定!$B$20="Box-Behnken",C1142^2+D1142^2&lt;=2+0.000000001,TRUE()))</f>
        <v>1</v>
      </c>
      <c r="Q1142" s="55" t="n">
        <f aca="false">IF(P1142,IF(01_因子設定!$B$13="最大化",N1142-01_因子設定!$B$14,IF(01_因子設定!$B$13="最小化",01_因子設定!$B$15-O1142,MIN(N1142-01_因子設定!$B$14,01_因子設定!$B$15-O1142))),-1E+030)</f>
        <v>1.31611371606837</v>
      </c>
      <c r="R1142" s="55" t="n">
        <f aca="false">IF(P1142,IF(01_因子設定!$B$13="最大化",K1142,IF(01_因子設定!$B$13="最小化",-K1142,-ABS(K1142-01_因子設定!$B$16))),-1E+030)</f>
        <v>49.2910747126437</v>
      </c>
      <c r="S1142" s="55" t="n">
        <f aca="false">Q1142+ROW()*0.000000001</f>
        <v>1.31611485806837</v>
      </c>
      <c r="T1142" s="55" t="n">
        <f aca="false">R1142+ROW()*0.000000001</f>
        <v>49.2910758546437</v>
      </c>
    </row>
    <row r="1143" customFormat="false" ht="15" hidden="false" customHeight="false" outlineLevel="0" collapsed="false">
      <c r="A1143" s="0" t="n">
        <v>27</v>
      </c>
      <c r="B1143" s="0" t="n">
        <v>31</v>
      </c>
      <c r="C1143" s="0" t="n">
        <f aca="false">-1+A1143*0.05</f>
        <v>0.35</v>
      </c>
      <c r="D1143" s="0" t="n">
        <f aca="false">-1+B1143*0.05</f>
        <v>0.55</v>
      </c>
      <c r="E1143" s="0" t="n">
        <f aca="false">1</f>
        <v>1</v>
      </c>
      <c r="F1143" s="0" t="n">
        <f aca="false">C1143</f>
        <v>0.35</v>
      </c>
      <c r="G1143" s="0" t="n">
        <f aca="false">D1143</f>
        <v>0.55</v>
      </c>
      <c r="H1143" s="0" t="n">
        <f aca="false">C1143*D1143</f>
        <v>0.1925</v>
      </c>
      <c r="I1143" s="0" t="n">
        <f aca="false">C1143*C1143</f>
        <v>0.1225</v>
      </c>
      <c r="J1143" s="0" t="n">
        <f aca="false">D1143*D1143</f>
        <v>0.3025</v>
      </c>
      <c r="K1143" s="0" t="n">
        <f aca="false">SUMPRODUCT(E1143:J1143,_XtX!$B$53:$G$53)</f>
        <v>49.3317492816092</v>
      </c>
      <c r="L1143" s="0" t="n">
        <f aca="false">SUMPRODUCT(MMULT(E1143:J1143,_XtX!$B$44:$G$49),E1143:J1143)</f>
        <v>0.192922611350575</v>
      </c>
      <c r="M1143" s="0" t="n">
        <f aca="false">04_回帰ANOVA!$K$19*04_回帰ANOVA!$K$14*SQRT(1+L1143)</f>
        <v>1.48007153945768</v>
      </c>
      <c r="N1143" s="0" t="n">
        <f aca="false">K1143-M1143</f>
        <v>47.8516777421515</v>
      </c>
      <c r="O1143" s="0" t="n">
        <f aca="false">K1143+M1143</f>
        <v>50.8118208210669</v>
      </c>
      <c r="P1143" s="54" t="b">
        <f aca="false">AND(C1143&gt;=01_因子設定!$L$5-0.000000001,C1143&lt;=01_因子設定!$M$5+0.000000001,D1143&gt;=01_因子設定!$L$6-0.000000001,D1143&lt;=01_因子設定!$M$6+0.000000001,IF(01_因子設定!$B$20="Box-Behnken",C1143^2+D1143^2&lt;=2+0.000000001,TRUE()))</f>
        <v>1</v>
      </c>
      <c r="Q1143" s="55" t="n">
        <f aca="false">IF(P1143,IF(01_因子設定!$B$13="最大化",N1143-01_因子設定!$B$14,IF(01_因子設定!$B$13="最小化",01_因子設定!$B$15-O1143,MIN(N1143-01_因子設定!$B$14,01_因子設定!$B$15-O1143))),-1E+030)</f>
        <v>1.35167774215152</v>
      </c>
      <c r="R1143" s="55" t="n">
        <f aca="false">IF(P1143,IF(01_因子設定!$B$13="最大化",K1143,IF(01_因子設定!$B$13="最小化",-K1143,-ABS(K1143-01_因子設定!$B$16))),-1E+030)</f>
        <v>49.3317492816092</v>
      </c>
      <c r="S1143" s="55" t="n">
        <f aca="false">Q1143+ROW()*0.000000001</f>
        <v>1.35167888515152</v>
      </c>
      <c r="T1143" s="55" t="n">
        <f aca="false">R1143+ROW()*0.000000001</f>
        <v>49.3317504246092</v>
      </c>
    </row>
    <row r="1144" customFormat="false" ht="15" hidden="false" customHeight="false" outlineLevel="0" collapsed="false">
      <c r="A1144" s="0" t="n">
        <v>27</v>
      </c>
      <c r="B1144" s="0" t="n">
        <v>32</v>
      </c>
      <c r="C1144" s="0" t="n">
        <f aca="false">-1+A1144*0.05</f>
        <v>0.35</v>
      </c>
      <c r="D1144" s="0" t="n">
        <f aca="false">-1+B1144*0.05</f>
        <v>0.6</v>
      </c>
      <c r="E1144" s="0" t="n">
        <f aca="false">1</f>
        <v>1</v>
      </c>
      <c r="F1144" s="0" t="n">
        <f aca="false">C1144</f>
        <v>0.35</v>
      </c>
      <c r="G1144" s="0" t="n">
        <f aca="false">D1144</f>
        <v>0.6</v>
      </c>
      <c r="H1144" s="0" t="n">
        <f aca="false">C1144*D1144</f>
        <v>0.21</v>
      </c>
      <c r="I1144" s="0" t="n">
        <f aca="false">C1144*C1144</f>
        <v>0.1225</v>
      </c>
      <c r="J1144" s="0" t="n">
        <f aca="false">D1144*D1144</f>
        <v>0.36</v>
      </c>
      <c r="K1144" s="0" t="n">
        <f aca="false">SUMPRODUCT(E1144:J1144,_XtX!$B$53:$G$53)</f>
        <v>49.3647083333333</v>
      </c>
      <c r="L1144" s="0" t="n">
        <f aca="false">SUMPRODUCT(MMULT(E1144:J1144,_XtX!$B$44:$G$49),E1144:J1144)</f>
        <v>0.204219791666667</v>
      </c>
      <c r="M1144" s="0" t="n">
        <f aca="false">04_回帰ANOVA!$K$19*04_回帰ANOVA!$K$14*SQRT(1+L1144)</f>
        <v>1.48706328998387</v>
      </c>
      <c r="N1144" s="0" t="n">
        <f aca="false">K1144-M1144</f>
        <v>47.8776450433495</v>
      </c>
      <c r="O1144" s="0" t="n">
        <f aca="false">K1144+M1144</f>
        <v>50.8517716233172</v>
      </c>
      <c r="P1144" s="54" t="b">
        <f aca="false">AND(C1144&gt;=01_因子設定!$L$5-0.000000001,C1144&lt;=01_因子設定!$M$5+0.000000001,D1144&gt;=01_因子設定!$L$6-0.000000001,D1144&lt;=01_因子設定!$M$6+0.000000001,IF(01_因子設定!$B$20="Box-Behnken",C1144^2+D1144^2&lt;=2+0.000000001,TRUE()))</f>
        <v>1</v>
      </c>
      <c r="Q1144" s="55" t="n">
        <f aca="false">IF(P1144,IF(01_因子設定!$B$13="最大化",N1144-01_因子設定!$B$14,IF(01_因子設定!$B$13="最小化",01_因子設定!$B$15-O1144,MIN(N1144-01_因子設定!$B$14,01_因子設定!$B$15-O1144))),-1E+030)</f>
        <v>1.37764504334946</v>
      </c>
      <c r="R1144" s="55" t="n">
        <f aca="false">IF(P1144,IF(01_因子設定!$B$13="最大化",K1144,IF(01_因子設定!$B$13="最小化",-K1144,-ABS(K1144-01_因子設定!$B$16))),-1E+030)</f>
        <v>49.3647083333333</v>
      </c>
      <c r="S1144" s="55" t="n">
        <f aca="false">Q1144+ROW()*0.000000001</f>
        <v>1.37764618734946</v>
      </c>
      <c r="T1144" s="55" t="n">
        <f aca="false">R1144+ROW()*0.000000001</f>
        <v>49.3647094773333</v>
      </c>
    </row>
    <row r="1145" customFormat="false" ht="15" hidden="false" customHeight="false" outlineLevel="0" collapsed="false">
      <c r="A1145" s="0" t="n">
        <v>27</v>
      </c>
      <c r="B1145" s="0" t="n">
        <v>33</v>
      </c>
      <c r="C1145" s="0" t="n">
        <f aca="false">-1+A1145*0.05</f>
        <v>0.35</v>
      </c>
      <c r="D1145" s="0" t="n">
        <f aca="false">-1+B1145*0.05</f>
        <v>0.65</v>
      </c>
      <c r="E1145" s="0" t="n">
        <f aca="false">1</f>
        <v>1</v>
      </c>
      <c r="F1145" s="0" t="n">
        <f aca="false">C1145</f>
        <v>0.35</v>
      </c>
      <c r="G1145" s="0" t="n">
        <f aca="false">D1145</f>
        <v>0.65</v>
      </c>
      <c r="H1145" s="0" t="n">
        <f aca="false">C1145*D1145</f>
        <v>0.2275</v>
      </c>
      <c r="I1145" s="0" t="n">
        <f aca="false">C1145*C1145</f>
        <v>0.1225</v>
      </c>
      <c r="J1145" s="0" t="n">
        <f aca="false">D1145*D1145</f>
        <v>0.4225</v>
      </c>
      <c r="K1145" s="0" t="n">
        <f aca="false">SUMPRODUCT(E1145:J1145,_XtX!$B$53:$G$53)</f>
        <v>49.3899518678161</v>
      </c>
      <c r="L1145" s="0" t="n">
        <f aca="false">SUMPRODUCT(MMULT(E1145:J1145,_XtX!$B$44:$G$49),E1145:J1145)</f>
        <v>0.219214852729885</v>
      </c>
      <c r="M1145" s="0" t="n">
        <f aca="false">04_回帰ANOVA!$K$19*04_回帰ANOVA!$K$14*SQRT(1+L1145)</f>
        <v>1.49629317382676</v>
      </c>
      <c r="N1145" s="0" t="n">
        <f aca="false">K1145-M1145</f>
        <v>47.8936586939893</v>
      </c>
      <c r="O1145" s="0" t="n">
        <f aca="false">K1145+M1145</f>
        <v>50.8862450416429</v>
      </c>
      <c r="P1145" s="54" t="b">
        <f aca="false">AND(C1145&gt;=01_因子設定!$L$5-0.000000001,C1145&lt;=01_因子設定!$M$5+0.000000001,D1145&gt;=01_因子設定!$L$6-0.000000001,D1145&lt;=01_因子設定!$M$6+0.000000001,IF(01_因子設定!$B$20="Box-Behnken",C1145^2+D1145^2&lt;=2+0.000000001,TRUE()))</f>
        <v>1</v>
      </c>
      <c r="Q1145" s="55" t="n">
        <f aca="false">IF(P1145,IF(01_因子設定!$B$13="最大化",N1145-01_因子設定!$B$14,IF(01_因子設定!$B$13="最小化",01_因子設定!$B$15-O1145,MIN(N1145-01_因子設定!$B$14,01_因子設定!$B$15-O1145))),-1E+030)</f>
        <v>1.39365869398932</v>
      </c>
      <c r="R1145" s="55" t="n">
        <f aca="false">IF(P1145,IF(01_因子設定!$B$13="最大化",K1145,IF(01_因子設定!$B$13="最小化",-K1145,-ABS(K1145-01_因子設定!$B$16))),-1E+030)</f>
        <v>49.3899518678161</v>
      </c>
      <c r="S1145" s="55" t="n">
        <f aca="false">Q1145+ROW()*0.000000001</f>
        <v>1.39365983898932</v>
      </c>
      <c r="T1145" s="55" t="n">
        <f aca="false">R1145+ROW()*0.000000001</f>
        <v>49.3899530128161</v>
      </c>
    </row>
    <row r="1146" customFormat="false" ht="15" hidden="false" customHeight="false" outlineLevel="0" collapsed="false">
      <c r="A1146" s="0" t="n">
        <v>27</v>
      </c>
      <c r="B1146" s="0" t="n">
        <v>34</v>
      </c>
      <c r="C1146" s="0" t="n">
        <f aca="false">-1+A1146*0.05</f>
        <v>0.35</v>
      </c>
      <c r="D1146" s="0" t="n">
        <f aca="false">-1+B1146*0.05</f>
        <v>0.7</v>
      </c>
      <c r="E1146" s="0" t="n">
        <f aca="false">1</f>
        <v>1</v>
      </c>
      <c r="F1146" s="0" t="n">
        <f aca="false">C1146</f>
        <v>0.35</v>
      </c>
      <c r="G1146" s="0" t="n">
        <f aca="false">D1146</f>
        <v>0.7</v>
      </c>
      <c r="H1146" s="0" t="n">
        <f aca="false">C1146*D1146</f>
        <v>0.245</v>
      </c>
      <c r="I1146" s="0" t="n">
        <f aca="false">C1146*C1146</f>
        <v>0.1225</v>
      </c>
      <c r="J1146" s="0" t="n">
        <f aca="false">D1146*D1146</f>
        <v>0.49</v>
      </c>
      <c r="K1146" s="0" t="n">
        <f aca="false">SUMPRODUCT(E1146:J1146,_XtX!$B$53:$G$53)</f>
        <v>49.4074798850575</v>
      </c>
      <c r="L1146" s="0" t="n">
        <f aca="false">SUMPRODUCT(MMULT(E1146:J1146,_XtX!$B$44:$G$49),E1146:J1146)</f>
        <v>0.238586673850575</v>
      </c>
      <c r="M1146" s="0" t="n">
        <f aca="false">04_回帰ANOVA!$K$19*04_回帰ANOVA!$K$14*SQRT(1+L1146)</f>
        <v>1.50813345435958</v>
      </c>
      <c r="N1146" s="0" t="n">
        <f aca="false">K1146-M1146</f>
        <v>47.8993464306979</v>
      </c>
      <c r="O1146" s="0" t="n">
        <f aca="false">K1146+M1146</f>
        <v>50.915613339417</v>
      </c>
      <c r="P1146" s="54" t="b">
        <f aca="false">AND(C1146&gt;=01_因子設定!$L$5-0.000000001,C1146&lt;=01_因子設定!$M$5+0.000000001,D1146&gt;=01_因子設定!$L$6-0.000000001,D1146&lt;=01_因子設定!$M$6+0.000000001,IF(01_因子設定!$B$20="Box-Behnken",C1146^2+D1146^2&lt;=2+0.000000001,TRUE()))</f>
        <v>1</v>
      </c>
      <c r="Q1146" s="55" t="n">
        <f aca="false">IF(P1146,IF(01_因子設定!$B$13="最大化",N1146-01_因子設定!$B$14,IF(01_因子設定!$B$13="最小化",01_因子設定!$B$15-O1146,MIN(N1146-01_因子設定!$B$14,01_因子設定!$B$15-O1146))),-1E+030)</f>
        <v>1.3993464306979</v>
      </c>
      <c r="R1146" s="55" t="n">
        <f aca="false">IF(P1146,IF(01_因子設定!$B$13="最大化",K1146,IF(01_因子設定!$B$13="最小化",-K1146,-ABS(K1146-01_因子設定!$B$16))),-1E+030)</f>
        <v>49.4074798850575</v>
      </c>
      <c r="S1146" s="55" t="n">
        <f aca="false">Q1146+ROW()*0.000000001</f>
        <v>1.3993475766979</v>
      </c>
      <c r="T1146" s="55" t="n">
        <f aca="false">R1146+ROW()*0.000000001</f>
        <v>49.4074810310575</v>
      </c>
    </row>
    <row r="1147" customFormat="false" ht="15" hidden="false" customHeight="false" outlineLevel="0" collapsed="false">
      <c r="A1147" s="0" t="n">
        <v>27</v>
      </c>
      <c r="B1147" s="0" t="n">
        <v>35</v>
      </c>
      <c r="C1147" s="0" t="n">
        <f aca="false">-1+A1147*0.05</f>
        <v>0.35</v>
      </c>
      <c r="D1147" s="0" t="n">
        <f aca="false">-1+B1147*0.05</f>
        <v>0.75</v>
      </c>
      <c r="E1147" s="0" t="n">
        <f aca="false">1</f>
        <v>1</v>
      </c>
      <c r="F1147" s="0" t="n">
        <f aca="false">C1147</f>
        <v>0.35</v>
      </c>
      <c r="G1147" s="0" t="n">
        <f aca="false">D1147</f>
        <v>0.75</v>
      </c>
      <c r="H1147" s="0" t="n">
        <f aca="false">C1147*D1147</f>
        <v>0.2625</v>
      </c>
      <c r="I1147" s="0" t="n">
        <f aca="false">C1147*C1147</f>
        <v>0.1225</v>
      </c>
      <c r="J1147" s="0" t="n">
        <f aca="false">D1147*D1147</f>
        <v>0.5625</v>
      </c>
      <c r="K1147" s="0" t="n">
        <f aca="false">SUMPRODUCT(E1147:J1147,_XtX!$B$53:$G$53)</f>
        <v>49.4172923850575</v>
      </c>
      <c r="L1147" s="0" t="n">
        <f aca="false">SUMPRODUCT(MMULT(E1147:J1147,_XtX!$B$44:$G$49),E1147:J1147)</f>
        <v>0.263068444683908</v>
      </c>
      <c r="M1147" s="0" t="n">
        <f aca="false">04_回帰ANOVA!$K$19*04_回帰ANOVA!$K$14*SQRT(1+L1147)</f>
        <v>1.52296532344599</v>
      </c>
      <c r="N1147" s="0" t="n">
        <f aca="false">K1147-M1147</f>
        <v>47.8943270616115</v>
      </c>
      <c r="O1147" s="0" t="n">
        <f aca="false">K1147+M1147</f>
        <v>50.9402577085035</v>
      </c>
      <c r="P1147" s="54" t="b">
        <f aca="false">AND(C1147&gt;=01_因子設定!$L$5-0.000000001,C1147&lt;=01_因子設定!$M$5+0.000000001,D1147&gt;=01_因子設定!$L$6-0.000000001,D1147&lt;=01_因子設定!$M$6+0.000000001,IF(01_因子設定!$B$20="Box-Behnken",C1147^2+D1147^2&lt;=2+0.000000001,TRUE()))</f>
        <v>1</v>
      </c>
      <c r="Q1147" s="55" t="n">
        <f aca="false">IF(P1147,IF(01_因子設定!$B$13="最大化",N1147-01_因子設定!$B$14,IF(01_因子設定!$B$13="最小化",01_因子設定!$B$15-O1147,MIN(N1147-01_因子設定!$B$14,01_因子設定!$B$15-O1147))),-1E+030)</f>
        <v>1.39432706161148</v>
      </c>
      <c r="R1147" s="55" t="n">
        <f aca="false">IF(P1147,IF(01_因子設定!$B$13="最大化",K1147,IF(01_因子設定!$B$13="最小化",-K1147,-ABS(K1147-01_因子設定!$B$16))),-1E+030)</f>
        <v>49.4172923850575</v>
      </c>
      <c r="S1147" s="55" t="n">
        <f aca="false">Q1147+ROW()*0.000000001</f>
        <v>1.39432820861148</v>
      </c>
      <c r="T1147" s="55" t="n">
        <f aca="false">R1147+ROW()*0.000000001</f>
        <v>49.4172935320575</v>
      </c>
    </row>
    <row r="1148" customFormat="false" ht="15" hidden="false" customHeight="false" outlineLevel="0" collapsed="false">
      <c r="A1148" s="0" t="n">
        <v>27</v>
      </c>
      <c r="B1148" s="0" t="n">
        <v>36</v>
      </c>
      <c r="C1148" s="0" t="n">
        <f aca="false">-1+A1148*0.05</f>
        <v>0.35</v>
      </c>
      <c r="D1148" s="0" t="n">
        <f aca="false">-1+B1148*0.05</f>
        <v>0.8</v>
      </c>
      <c r="E1148" s="0" t="n">
        <f aca="false">1</f>
        <v>1</v>
      </c>
      <c r="F1148" s="0" t="n">
        <f aca="false">C1148</f>
        <v>0.35</v>
      </c>
      <c r="G1148" s="0" t="n">
        <f aca="false">D1148</f>
        <v>0.8</v>
      </c>
      <c r="H1148" s="0" t="n">
        <f aca="false">C1148*D1148</f>
        <v>0.28</v>
      </c>
      <c r="I1148" s="0" t="n">
        <f aca="false">C1148*C1148</f>
        <v>0.1225</v>
      </c>
      <c r="J1148" s="0" t="n">
        <f aca="false">D1148*D1148</f>
        <v>0.64</v>
      </c>
      <c r="K1148" s="0" t="n">
        <f aca="false">SUMPRODUCT(E1148:J1148,_XtX!$B$53:$G$53)</f>
        <v>49.4193893678161</v>
      </c>
      <c r="L1148" s="0" t="n">
        <f aca="false">SUMPRODUCT(MMULT(E1148:J1148,_XtX!$B$44:$G$49),E1148:J1148)</f>
        <v>0.293447665229885</v>
      </c>
      <c r="M1148" s="0" t="n">
        <f aca="false">04_回帰ANOVA!$K$19*04_回帰ANOVA!$K$14*SQRT(1+L1148)</f>
        <v>1.54117161949579</v>
      </c>
      <c r="N1148" s="0" t="n">
        <f aca="false">K1148-M1148</f>
        <v>47.8782177483203</v>
      </c>
      <c r="O1148" s="0" t="n">
        <f aca="false">K1148+M1148</f>
        <v>50.9605609873119</v>
      </c>
      <c r="P1148" s="54" t="b">
        <f aca="false">AND(C1148&gt;=01_因子設定!$L$5-0.000000001,C1148&lt;=01_因子設定!$M$5+0.000000001,D1148&gt;=01_因子設定!$L$6-0.000000001,D1148&lt;=01_因子設定!$M$6+0.000000001,IF(01_因子設定!$B$20="Box-Behnken",C1148^2+D1148^2&lt;=2+0.000000001,TRUE()))</f>
        <v>1</v>
      </c>
      <c r="Q1148" s="55" t="n">
        <f aca="false">IF(P1148,IF(01_因子設定!$B$13="最大化",N1148-01_因子設定!$B$14,IF(01_因子設定!$B$13="最小化",01_因子設定!$B$15-O1148,MIN(N1148-01_因子設定!$B$14,01_因子設定!$B$15-O1148))),-1E+030)</f>
        <v>1.3782177483203</v>
      </c>
      <c r="R1148" s="55" t="n">
        <f aca="false">IF(P1148,IF(01_因子設定!$B$13="最大化",K1148,IF(01_因子設定!$B$13="最小化",-K1148,-ABS(K1148-01_因子設定!$B$16))),-1E+030)</f>
        <v>49.4193893678161</v>
      </c>
      <c r="S1148" s="55" t="n">
        <f aca="false">Q1148+ROW()*0.000000001</f>
        <v>1.3782188963203</v>
      </c>
      <c r="T1148" s="55" t="n">
        <f aca="false">R1148+ROW()*0.000000001</f>
        <v>49.4193905158161</v>
      </c>
    </row>
    <row r="1149" customFormat="false" ht="15" hidden="false" customHeight="false" outlineLevel="0" collapsed="false">
      <c r="A1149" s="0" t="n">
        <v>27</v>
      </c>
      <c r="B1149" s="0" t="n">
        <v>37</v>
      </c>
      <c r="C1149" s="0" t="n">
        <f aca="false">-1+A1149*0.05</f>
        <v>0.35</v>
      </c>
      <c r="D1149" s="0" t="n">
        <f aca="false">-1+B1149*0.05</f>
        <v>0.85</v>
      </c>
      <c r="E1149" s="0" t="n">
        <f aca="false">1</f>
        <v>1</v>
      </c>
      <c r="F1149" s="0" t="n">
        <f aca="false">C1149</f>
        <v>0.35</v>
      </c>
      <c r="G1149" s="0" t="n">
        <f aca="false">D1149</f>
        <v>0.85</v>
      </c>
      <c r="H1149" s="0" t="n">
        <f aca="false">C1149*D1149</f>
        <v>0.2975</v>
      </c>
      <c r="I1149" s="0" t="n">
        <f aca="false">C1149*C1149</f>
        <v>0.1225</v>
      </c>
      <c r="J1149" s="0" t="n">
        <f aca="false">D1149*D1149</f>
        <v>0.7225</v>
      </c>
      <c r="K1149" s="0" t="n">
        <f aca="false">SUMPRODUCT(E1149:J1149,_XtX!$B$53:$G$53)</f>
        <v>49.4137708333333</v>
      </c>
      <c r="L1149" s="0" t="n">
        <f aca="false">SUMPRODUCT(MMULT(E1149:J1149,_XtX!$B$44:$G$49),E1149:J1149)</f>
        <v>0.330566145833333</v>
      </c>
      <c r="M1149" s="0" t="n">
        <f aca="false">04_回帰ANOVA!$K$19*04_回帰ANOVA!$K$14*SQRT(1+L1149)</f>
        <v>1.5631289515927</v>
      </c>
      <c r="N1149" s="0" t="n">
        <f aca="false">K1149-M1149</f>
        <v>47.8506418817406</v>
      </c>
      <c r="O1149" s="0" t="n">
        <f aca="false">K1149+M1149</f>
        <v>50.976899784926</v>
      </c>
      <c r="P1149" s="54" t="b">
        <f aca="false">AND(C1149&gt;=01_因子設定!$L$5-0.000000001,C1149&lt;=01_因子設定!$M$5+0.000000001,D1149&gt;=01_因子設定!$L$6-0.000000001,D1149&lt;=01_因子設定!$M$6+0.000000001,IF(01_因子設定!$B$20="Box-Behnken",C1149^2+D1149^2&lt;=2+0.000000001,TRUE()))</f>
        <v>1</v>
      </c>
      <c r="Q1149" s="55" t="n">
        <f aca="false">IF(P1149,IF(01_因子設定!$B$13="最大化",N1149-01_因子設定!$B$14,IF(01_因子設定!$B$13="最小化",01_因子設定!$B$15-O1149,MIN(N1149-01_因子設定!$B$14,01_因子設定!$B$15-O1149))),-1E+030)</f>
        <v>1.35064188174064</v>
      </c>
      <c r="R1149" s="55" t="n">
        <f aca="false">IF(P1149,IF(01_因子設定!$B$13="最大化",K1149,IF(01_因子設定!$B$13="最小化",-K1149,-ABS(K1149-01_因子設定!$B$16))),-1E+030)</f>
        <v>49.4137708333333</v>
      </c>
      <c r="S1149" s="55" t="n">
        <f aca="false">Q1149+ROW()*0.000000001</f>
        <v>1.35064303074064</v>
      </c>
      <c r="T1149" s="55" t="n">
        <f aca="false">R1149+ROW()*0.000000001</f>
        <v>49.4137719823333</v>
      </c>
    </row>
    <row r="1150" customFormat="false" ht="15" hidden="false" customHeight="false" outlineLevel="0" collapsed="false">
      <c r="A1150" s="0" t="n">
        <v>27</v>
      </c>
      <c r="B1150" s="0" t="n">
        <v>38</v>
      </c>
      <c r="C1150" s="0" t="n">
        <f aca="false">-1+A1150*0.05</f>
        <v>0.35</v>
      </c>
      <c r="D1150" s="0" t="n">
        <f aca="false">-1+B1150*0.05</f>
        <v>0.9</v>
      </c>
      <c r="E1150" s="0" t="n">
        <f aca="false">1</f>
        <v>1</v>
      </c>
      <c r="F1150" s="0" t="n">
        <f aca="false">C1150</f>
        <v>0.35</v>
      </c>
      <c r="G1150" s="0" t="n">
        <f aca="false">D1150</f>
        <v>0.9</v>
      </c>
      <c r="H1150" s="0" t="n">
        <f aca="false">C1150*D1150</f>
        <v>0.315</v>
      </c>
      <c r="I1150" s="0" t="n">
        <f aca="false">C1150*C1150</f>
        <v>0.1225</v>
      </c>
      <c r="J1150" s="0" t="n">
        <f aca="false">D1150*D1150</f>
        <v>0.81</v>
      </c>
      <c r="K1150" s="0" t="n">
        <f aca="false">SUMPRODUCT(E1150:J1150,_XtX!$B$53:$G$53)</f>
        <v>49.4004367816092</v>
      </c>
      <c r="L1150" s="0" t="n">
        <f aca="false">SUMPRODUCT(MMULT(E1150:J1150,_XtX!$B$44:$G$49),E1150:J1150)</f>
        <v>0.375320007183908</v>
      </c>
      <c r="M1150" s="0" t="n">
        <f aca="false">04_回帰ANOVA!$K$19*04_回帰ANOVA!$K$14*SQRT(1+L1150)</f>
        <v>1.58919962074651</v>
      </c>
      <c r="N1150" s="0" t="n">
        <f aca="false">K1150-M1150</f>
        <v>47.8112371608627</v>
      </c>
      <c r="O1150" s="0" t="n">
        <f aca="false">K1150+M1150</f>
        <v>50.9896364023557</v>
      </c>
      <c r="P1150" s="54" t="b">
        <f aca="false">AND(C1150&gt;=01_因子設定!$L$5-0.000000001,C1150&lt;=01_因子設定!$M$5+0.000000001,D1150&gt;=01_因子設定!$L$6-0.000000001,D1150&lt;=01_因子設定!$M$6+0.000000001,IF(01_因子設定!$B$20="Box-Behnken",C1150^2+D1150^2&lt;=2+0.000000001,TRUE()))</f>
        <v>1</v>
      </c>
      <c r="Q1150" s="55" t="n">
        <f aca="false">IF(P1150,IF(01_因子設定!$B$13="最大化",N1150-01_因子設定!$B$14,IF(01_因子設定!$B$13="最小化",01_因子設定!$B$15-O1150,MIN(N1150-01_因子設定!$B$14,01_因子設定!$B$15-O1150))),-1E+030)</f>
        <v>1.31123716086269</v>
      </c>
      <c r="R1150" s="55" t="n">
        <f aca="false">IF(P1150,IF(01_因子設定!$B$13="最大化",K1150,IF(01_因子設定!$B$13="最小化",-K1150,-ABS(K1150-01_因子設定!$B$16))),-1E+030)</f>
        <v>49.4004367816092</v>
      </c>
      <c r="S1150" s="55" t="n">
        <f aca="false">Q1150+ROW()*0.000000001</f>
        <v>1.31123831086269</v>
      </c>
      <c r="T1150" s="55" t="n">
        <f aca="false">R1150+ROW()*0.000000001</f>
        <v>49.4004379316092</v>
      </c>
    </row>
    <row r="1151" customFormat="false" ht="15" hidden="false" customHeight="false" outlineLevel="0" collapsed="false">
      <c r="A1151" s="0" t="n">
        <v>27</v>
      </c>
      <c r="B1151" s="0" t="n">
        <v>39</v>
      </c>
      <c r="C1151" s="0" t="n">
        <f aca="false">-1+A1151*0.05</f>
        <v>0.35</v>
      </c>
      <c r="D1151" s="0" t="n">
        <f aca="false">-1+B1151*0.05</f>
        <v>0.95</v>
      </c>
      <c r="E1151" s="0" t="n">
        <f aca="false">1</f>
        <v>1</v>
      </c>
      <c r="F1151" s="0" t="n">
        <f aca="false">C1151</f>
        <v>0.35</v>
      </c>
      <c r="G1151" s="0" t="n">
        <f aca="false">D1151</f>
        <v>0.95</v>
      </c>
      <c r="H1151" s="0" t="n">
        <f aca="false">C1151*D1151</f>
        <v>0.3325</v>
      </c>
      <c r="I1151" s="0" t="n">
        <f aca="false">C1151*C1151</f>
        <v>0.1225</v>
      </c>
      <c r="J1151" s="0" t="n">
        <f aca="false">D1151*D1151</f>
        <v>0.9025</v>
      </c>
      <c r="K1151" s="0" t="n">
        <f aca="false">SUMPRODUCT(E1151:J1151,_XtX!$B$53:$G$53)</f>
        <v>49.3793872126437</v>
      </c>
      <c r="L1151" s="0" t="n">
        <f aca="false">SUMPRODUCT(MMULT(E1151:J1151,_XtX!$B$44:$G$49),E1151:J1151)</f>
        <v>0.428659680316092</v>
      </c>
      <c r="M1151" s="0" t="n">
        <f aca="false">04_回帰ANOVA!$K$19*04_回帰ANOVA!$K$14*SQRT(1+L1151)</f>
        <v>1.6197238101874</v>
      </c>
      <c r="N1151" s="0" t="n">
        <f aca="false">K1151-M1151</f>
        <v>47.7596634024563</v>
      </c>
      <c r="O1151" s="0" t="n">
        <f aca="false">K1151+M1151</f>
        <v>50.9991110228311</v>
      </c>
      <c r="P1151" s="54" t="b">
        <f aca="false">AND(C1151&gt;=01_因子設定!$L$5-0.000000001,C1151&lt;=01_因子設定!$M$5+0.000000001,D1151&gt;=01_因子設定!$L$6-0.000000001,D1151&lt;=01_因子設定!$M$6+0.000000001,IF(01_因子設定!$B$20="Box-Behnken",C1151^2+D1151^2&lt;=2+0.000000001,TRUE()))</f>
        <v>1</v>
      </c>
      <c r="Q1151" s="55" t="n">
        <f aca="false">IF(P1151,IF(01_因子設定!$B$13="最大化",N1151-01_因子設定!$B$14,IF(01_因子設定!$B$13="最小化",01_因子設定!$B$15-O1151,MIN(N1151-01_因子設定!$B$14,01_因子設定!$B$15-O1151))),-1E+030)</f>
        <v>1.25966340245628</v>
      </c>
      <c r="R1151" s="55" t="n">
        <f aca="false">IF(P1151,IF(01_因子設定!$B$13="最大化",K1151,IF(01_因子設定!$B$13="最小化",-K1151,-ABS(K1151-01_因子設定!$B$16))),-1E+030)</f>
        <v>49.3793872126437</v>
      </c>
      <c r="S1151" s="55" t="n">
        <f aca="false">Q1151+ROW()*0.000000001</f>
        <v>1.25966455345628</v>
      </c>
      <c r="T1151" s="55" t="n">
        <f aca="false">R1151+ROW()*0.000000001</f>
        <v>49.3793883636437</v>
      </c>
    </row>
    <row r="1152" customFormat="false" ht="15" hidden="false" customHeight="false" outlineLevel="0" collapsed="false">
      <c r="A1152" s="0" t="n">
        <v>27</v>
      </c>
      <c r="B1152" s="0" t="n">
        <v>40</v>
      </c>
      <c r="C1152" s="0" t="n">
        <f aca="false">-1+A1152*0.05</f>
        <v>0.35</v>
      </c>
      <c r="D1152" s="0" t="n">
        <f aca="false">-1+B1152*0.05</f>
        <v>1</v>
      </c>
      <c r="E1152" s="0" t="n">
        <f aca="false">1</f>
        <v>1</v>
      </c>
      <c r="F1152" s="0" t="n">
        <f aca="false">C1152</f>
        <v>0.35</v>
      </c>
      <c r="G1152" s="0" t="n">
        <f aca="false">D1152</f>
        <v>1</v>
      </c>
      <c r="H1152" s="0" t="n">
        <f aca="false">C1152*D1152</f>
        <v>0.35</v>
      </c>
      <c r="I1152" s="0" t="n">
        <f aca="false">C1152*C1152</f>
        <v>0.1225</v>
      </c>
      <c r="J1152" s="0" t="n">
        <f aca="false">D1152*D1152</f>
        <v>1</v>
      </c>
      <c r="K1152" s="0" t="n">
        <f aca="false">SUMPRODUCT(E1152:J1152,_XtX!$B$53:$G$53)</f>
        <v>49.3506221264368</v>
      </c>
      <c r="L1152" s="0" t="n">
        <f aca="false">SUMPRODUCT(MMULT(E1152:J1152,_XtX!$B$44:$G$49),E1152:J1152)</f>
        <v>0.491589906609195</v>
      </c>
      <c r="M1152" s="0" t="n">
        <f aca="false">04_回帰ANOVA!$K$19*04_回帰ANOVA!$K$14*SQRT(1+L1152)</f>
        <v>1.65501254570079</v>
      </c>
      <c r="N1152" s="0" t="n">
        <f aca="false">K1152-M1152</f>
        <v>47.695609580736</v>
      </c>
      <c r="O1152" s="0" t="n">
        <f aca="false">K1152+M1152</f>
        <v>51.0056346721376</v>
      </c>
      <c r="P1152" s="54" t="b">
        <f aca="false">AND(C1152&gt;=01_因子設定!$L$5-0.000000001,C1152&lt;=01_因子設定!$M$5+0.000000001,D1152&gt;=01_因子設定!$L$6-0.000000001,D1152&lt;=01_因子設定!$M$6+0.000000001,IF(01_因子設定!$B$20="Box-Behnken",C1152^2+D1152^2&lt;=2+0.000000001,TRUE()))</f>
        <v>1</v>
      </c>
      <c r="Q1152" s="55" t="n">
        <f aca="false">IF(P1152,IF(01_因子設定!$B$13="最大化",N1152-01_因子設定!$B$14,IF(01_因子設定!$B$13="最小化",01_因子設定!$B$15-O1152,MIN(N1152-01_因子設定!$B$14,01_因子設定!$B$15-O1152))),-1E+030)</f>
        <v>1.195609580736</v>
      </c>
      <c r="R1152" s="55" t="n">
        <f aca="false">IF(P1152,IF(01_因子設定!$B$13="最大化",K1152,IF(01_因子設定!$B$13="最小化",-K1152,-ABS(K1152-01_因子設定!$B$16))),-1E+030)</f>
        <v>49.3506221264368</v>
      </c>
      <c r="S1152" s="55" t="n">
        <f aca="false">Q1152+ROW()*0.000000001</f>
        <v>1.195610732736</v>
      </c>
      <c r="T1152" s="55" t="n">
        <f aca="false">R1152+ROW()*0.000000001</f>
        <v>49.3506232784368</v>
      </c>
    </row>
    <row r="1153" customFormat="false" ht="15" hidden="false" customHeight="false" outlineLevel="0" collapsed="false">
      <c r="A1153" s="0" t="n">
        <v>28</v>
      </c>
      <c r="B1153" s="0" t="n">
        <v>0</v>
      </c>
      <c r="C1153" s="0" t="n">
        <f aca="false">-1+A1153*0.05</f>
        <v>0.4</v>
      </c>
      <c r="D1153" s="0" t="n">
        <f aca="false">-1+B1153*0.05</f>
        <v>-1</v>
      </c>
      <c r="E1153" s="0" t="n">
        <f aca="false">1</f>
        <v>1</v>
      </c>
      <c r="F1153" s="0" t="n">
        <f aca="false">C1153</f>
        <v>0.4</v>
      </c>
      <c r="G1153" s="0" t="n">
        <f aca="false">D1153</f>
        <v>-1</v>
      </c>
      <c r="H1153" s="0" t="n">
        <f aca="false">C1153*D1153</f>
        <v>-0.4</v>
      </c>
      <c r="I1153" s="0" t="n">
        <f aca="false">C1153*C1153</f>
        <v>0.16</v>
      </c>
      <c r="J1153" s="0" t="n">
        <f aca="false">D1153*D1153</f>
        <v>1</v>
      </c>
      <c r="K1153" s="0" t="n">
        <f aca="false">SUMPRODUCT(E1153:J1153,_XtX!$B$53:$G$53)</f>
        <v>44.4598390804598</v>
      </c>
      <c r="L1153" s="0" t="n">
        <f aca="false">SUMPRODUCT(MMULT(E1153:J1153,_XtX!$B$44:$G$49),E1153:J1153)</f>
        <v>0.492947126436782</v>
      </c>
      <c r="M1153" s="0" t="n">
        <f aca="false">04_回帰ANOVA!$K$19*04_回帰ANOVA!$K$14*SQRT(1+L1153)</f>
        <v>1.65576533475427</v>
      </c>
      <c r="N1153" s="0" t="n">
        <f aca="false">K1153-M1153</f>
        <v>42.8040737457055</v>
      </c>
      <c r="O1153" s="0" t="n">
        <f aca="false">K1153+M1153</f>
        <v>46.115604415214</v>
      </c>
      <c r="P1153" s="54" t="b">
        <f aca="false">AND(C1153&gt;=01_因子設定!$L$5-0.000000001,C1153&lt;=01_因子設定!$M$5+0.000000001,D1153&gt;=01_因子設定!$L$6-0.000000001,D1153&lt;=01_因子設定!$M$6+0.000000001,IF(01_因子設定!$B$20="Box-Behnken",C1153^2+D1153^2&lt;=2+0.000000001,TRUE()))</f>
        <v>1</v>
      </c>
      <c r="Q1153" s="55" t="n">
        <f aca="false">IF(P1153,IF(01_因子設定!$B$13="最大化",N1153-01_因子設定!$B$14,IF(01_因子設定!$B$13="最小化",01_因子設定!$B$15-O1153,MIN(N1153-01_因子設定!$B$14,01_因子設定!$B$15-O1153))),-1E+030)</f>
        <v>-3.6959262542945</v>
      </c>
      <c r="R1153" s="55" t="n">
        <f aca="false">IF(P1153,IF(01_因子設定!$B$13="最大化",K1153,IF(01_因子設定!$B$13="最小化",-K1153,-ABS(K1153-01_因子設定!$B$16))),-1E+030)</f>
        <v>44.4598390804598</v>
      </c>
      <c r="S1153" s="55" t="n">
        <f aca="false">Q1153+ROW()*0.000000001</f>
        <v>-3.6959251012945</v>
      </c>
      <c r="T1153" s="55" t="n">
        <f aca="false">R1153+ROW()*0.000000001</f>
        <v>44.4598402334598</v>
      </c>
    </row>
    <row r="1154" customFormat="false" ht="15" hidden="false" customHeight="false" outlineLevel="0" collapsed="false">
      <c r="A1154" s="0" t="n">
        <v>28</v>
      </c>
      <c r="B1154" s="0" t="n">
        <v>1</v>
      </c>
      <c r="C1154" s="0" t="n">
        <f aca="false">-1+A1154*0.05</f>
        <v>0.4</v>
      </c>
      <c r="D1154" s="0" t="n">
        <f aca="false">-1+B1154*0.05</f>
        <v>-0.95</v>
      </c>
      <c r="E1154" s="0" t="n">
        <f aca="false">1</f>
        <v>1</v>
      </c>
      <c r="F1154" s="0" t="n">
        <f aca="false">C1154</f>
        <v>0.4</v>
      </c>
      <c r="G1154" s="0" t="n">
        <f aca="false">D1154</f>
        <v>-0.95</v>
      </c>
      <c r="H1154" s="0" t="n">
        <f aca="false">C1154*D1154</f>
        <v>-0.38</v>
      </c>
      <c r="I1154" s="0" t="n">
        <f aca="false">C1154*C1154</f>
        <v>0.16</v>
      </c>
      <c r="J1154" s="0" t="n">
        <f aca="false">D1154*D1154</f>
        <v>0.9025</v>
      </c>
      <c r="K1154" s="0" t="n">
        <f aca="false">SUMPRODUCT(E1154:J1154,_XtX!$B$53:$G$53)</f>
        <v>44.7332916666667</v>
      </c>
      <c r="L1154" s="0" t="n">
        <f aca="false">SUMPRODUCT(MMULT(E1154:J1154,_XtX!$B$44:$G$49),E1154:J1154)</f>
        <v>0.430111458333333</v>
      </c>
      <c r="M1154" s="0" t="n">
        <f aca="false">04_回帰ANOVA!$K$19*04_回帰ANOVA!$K$14*SQRT(1+L1154)</f>
        <v>1.62054656818033</v>
      </c>
      <c r="N1154" s="0" t="n">
        <f aca="false">K1154-M1154</f>
        <v>43.1127450984863</v>
      </c>
      <c r="O1154" s="0" t="n">
        <f aca="false">K1154+M1154</f>
        <v>46.353838234847</v>
      </c>
      <c r="P1154" s="54" t="b">
        <f aca="false">AND(C1154&gt;=01_因子設定!$L$5-0.000000001,C1154&lt;=01_因子設定!$M$5+0.000000001,D1154&gt;=01_因子設定!$L$6-0.000000001,D1154&lt;=01_因子設定!$M$6+0.000000001,IF(01_因子設定!$B$20="Box-Behnken",C1154^2+D1154^2&lt;=2+0.000000001,TRUE()))</f>
        <v>1</v>
      </c>
      <c r="Q1154" s="55" t="n">
        <f aca="false">IF(P1154,IF(01_因子設定!$B$13="最大化",N1154-01_因子設定!$B$14,IF(01_因子設定!$B$13="最小化",01_因子設定!$B$15-O1154,MIN(N1154-01_因子設定!$B$14,01_因子設定!$B$15-O1154))),-1E+030)</f>
        <v>-3.38725490151366</v>
      </c>
      <c r="R1154" s="55" t="n">
        <f aca="false">IF(P1154,IF(01_因子設定!$B$13="最大化",K1154,IF(01_因子設定!$B$13="最小化",-K1154,-ABS(K1154-01_因子設定!$B$16))),-1E+030)</f>
        <v>44.7332916666667</v>
      </c>
      <c r="S1154" s="55" t="n">
        <f aca="false">Q1154+ROW()*0.000000001</f>
        <v>-3.38725374751366</v>
      </c>
      <c r="T1154" s="55" t="n">
        <f aca="false">R1154+ROW()*0.000000001</f>
        <v>44.7332928206667</v>
      </c>
    </row>
    <row r="1155" customFormat="false" ht="15" hidden="false" customHeight="false" outlineLevel="0" collapsed="false">
      <c r="A1155" s="0" t="n">
        <v>28</v>
      </c>
      <c r="B1155" s="0" t="n">
        <v>2</v>
      </c>
      <c r="C1155" s="0" t="n">
        <f aca="false">-1+A1155*0.05</f>
        <v>0.4</v>
      </c>
      <c r="D1155" s="0" t="n">
        <f aca="false">-1+B1155*0.05</f>
        <v>-0.9</v>
      </c>
      <c r="E1155" s="0" t="n">
        <f aca="false">1</f>
        <v>1</v>
      </c>
      <c r="F1155" s="0" t="n">
        <f aca="false">C1155</f>
        <v>0.4</v>
      </c>
      <c r="G1155" s="0" t="n">
        <f aca="false">D1155</f>
        <v>-0.9</v>
      </c>
      <c r="H1155" s="0" t="n">
        <f aca="false">C1155*D1155</f>
        <v>-0.36</v>
      </c>
      <c r="I1155" s="0" t="n">
        <f aca="false">C1155*C1155</f>
        <v>0.16</v>
      </c>
      <c r="J1155" s="0" t="n">
        <f aca="false">D1155*D1155</f>
        <v>0.81</v>
      </c>
      <c r="K1155" s="0" t="n">
        <f aca="false">SUMPRODUCT(E1155:J1155,_XtX!$B$53:$G$53)</f>
        <v>44.9990287356322</v>
      </c>
      <c r="L1155" s="0" t="n">
        <f aca="false">SUMPRODUCT(MMULT(E1155:J1155,_XtX!$B$44:$G$49),E1155:J1155)</f>
        <v>0.376861494252874</v>
      </c>
      <c r="M1155" s="0" t="n">
        <f aca="false">04_回帰ANOVA!$K$19*04_回帰ANOVA!$K$14*SQRT(1+L1155)</f>
        <v>1.59008997521304</v>
      </c>
      <c r="N1155" s="0" t="n">
        <f aca="false">K1155-M1155</f>
        <v>43.4089387604192</v>
      </c>
      <c r="O1155" s="0" t="n">
        <f aca="false">K1155+M1155</f>
        <v>46.5891187108452</v>
      </c>
      <c r="P1155" s="54" t="b">
        <f aca="false">AND(C1155&gt;=01_因子設定!$L$5-0.000000001,C1155&lt;=01_因子設定!$M$5+0.000000001,D1155&gt;=01_因子設定!$L$6-0.000000001,D1155&lt;=01_因子設定!$M$6+0.000000001,IF(01_因子設定!$B$20="Box-Behnken",C1155^2+D1155^2&lt;=2+0.000000001,TRUE()))</f>
        <v>1</v>
      </c>
      <c r="Q1155" s="55" t="n">
        <f aca="false">IF(P1155,IF(01_因子設定!$B$13="最大化",N1155-01_因子設定!$B$14,IF(01_因子設定!$B$13="最小化",01_因子設定!$B$15-O1155,MIN(N1155-01_因子設定!$B$14,01_因子設定!$B$15-O1155))),-1E+030)</f>
        <v>-3.09106123958085</v>
      </c>
      <c r="R1155" s="55" t="n">
        <f aca="false">IF(P1155,IF(01_因子設定!$B$13="最大化",K1155,IF(01_因子設定!$B$13="最小化",-K1155,-ABS(K1155-01_因子設定!$B$16))),-1E+030)</f>
        <v>44.9990287356322</v>
      </c>
      <c r="S1155" s="55" t="n">
        <f aca="false">Q1155+ROW()*0.000000001</f>
        <v>-3.09106008458085</v>
      </c>
      <c r="T1155" s="55" t="n">
        <f aca="false">R1155+ROW()*0.000000001</f>
        <v>44.9990298906322</v>
      </c>
    </row>
    <row r="1156" customFormat="false" ht="15" hidden="false" customHeight="false" outlineLevel="0" collapsed="false">
      <c r="A1156" s="0" t="n">
        <v>28</v>
      </c>
      <c r="B1156" s="0" t="n">
        <v>3</v>
      </c>
      <c r="C1156" s="0" t="n">
        <f aca="false">-1+A1156*0.05</f>
        <v>0.4</v>
      </c>
      <c r="D1156" s="0" t="n">
        <f aca="false">-1+B1156*0.05</f>
        <v>-0.85</v>
      </c>
      <c r="E1156" s="0" t="n">
        <f aca="false">1</f>
        <v>1</v>
      </c>
      <c r="F1156" s="0" t="n">
        <f aca="false">C1156</f>
        <v>0.4</v>
      </c>
      <c r="G1156" s="0" t="n">
        <f aca="false">D1156</f>
        <v>-0.85</v>
      </c>
      <c r="H1156" s="0" t="n">
        <f aca="false">C1156*D1156</f>
        <v>-0.34</v>
      </c>
      <c r="I1156" s="0" t="n">
        <f aca="false">C1156*C1156</f>
        <v>0.16</v>
      </c>
      <c r="J1156" s="0" t="n">
        <f aca="false">D1156*D1156</f>
        <v>0.7225</v>
      </c>
      <c r="K1156" s="0" t="n">
        <f aca="false">SUMPRODUCT(E1156:J1156,_XtX!$B$53:$G$53)</f>
        <v>45.2570502873563</v>
      </c>
      <c r="L1156" s="0" t="n">
        <f aca="false">SUMPRODUCT(MMULT(E1156:J1156,_XtX!$B$44:$G$49),E1156:J1156)</f>
        <v>0.332192492816092</v>
      </c>
      <c r="M1156" s="0" t="n">
        <f aca="false">04_回帰ANOVA!$K$19*04_回帰ANOVA!$K$14*SQRT(1+L1156)</f>
        <v>1.56408396375374</v>
      </c>
      <c r="N1156" s="0" t="n">
        <f aca="false">K1156-M1156</f>
        <v>43.6929663236026</v>
      </c>
      <c r="O1156" s="0" t="n">
        <f aca="false">K1156+M1156</f>
        <v>46.8211342511101</v>
      </c>
      <c r="P1156" s="54" t="b">
        <f aca="false">AND(C1156&gt;=01_因子設定!$L$5-0.000000001,C1156&lt;=01_因子設定!$M$5+0.000000001,D1156&gt;=01_因子設定!$L$6-0.000000001,D1156&lt;=01_因子設定!$M$6+0.000000001,IF(01_因子設定!$B$20="Box-Behnken",C1156^2+D1156^2&lt;=2+0.000000001,TRUE()))</f>
        <v>1</v>
      </c>
      <c r="Q1156" s="55" t="n">
        <f aca="false">IF(P1156,IF(01_因子設定!$B$13="最大化",N1156-01_因子設定!$B$14,IF(01_因子設定!$B$13="最小化",01_因子設定!$B$15-O1156,MIN(N1156-01_因子設定!$B$14,01_因子設定!$B$15-O1156))),-1E+030)</f>
        <v>-2.80703367639742</v>
      </c>
      <c r="R1156" s="55" t="n">
        <f aca="false">IF(P1156,IF(01_因子設定!$B$13="最大化",K1156,IF(01_因子設定!$B$13="最小化",-K1156,-ABS(K1156-01_因子設定!$B$16))),-1E+030)</f>
        <v>45.2570502873563</v>
      </c>
      <c r="S1156" s="55" t="n">
        <f aca="false">Q1156+ROW()*0.000000001</f>
        <v>-2.80703252039742</v>
      </c>
      <c r="T1156" s="55" t="n">
        <f aca="false">R1156+ROW()*0.000000001</f>
        <v>45.2570514433563</v>
      </c>
    </row>
    <row r="1157" customFormat="false" ht="15" hidden="false" customHeight="false" outlineLevel="0" collapsed="false">
      <c r="A1157" s="0" t="n">
        <v>28</v>
      </c>
      <c r="B1157" s="0" t="n">
        <v>4</v>
      </c>
      <c r="C1157" s="0" t="n">
        <f aca="false">-1+A1157*0.05</f>
        <v>0.4</v>
      </c>
      <c r="D1157" s="0" t="n">
        <f aca="false">-1+B1157*0.05</f>
        <v>-0.8</v>
      </c>
      <c r="E1157" s="0" t="n">
        <f aca="false">1</f>
        <v>1</v>
      </c>
      <c r="F1157" s="0" t="n">
        <f aca="false">C1157</f>
        <v>0.4</v>
      </c>
      <c r="G1157" s="0" t="n">
        <f aca="false">D1157</f>
        <v>-0.8</v>
      </c>
      <c r="H1157" s="0" t="n">
        <f aca="false">C1157*D1157</f>
        <v>-0.32</v>
      </c>
      <c r="I1157" s="0" t="n">
        <f aca="false">C1157*C1157</f>
        <v>0.16</v>
      </c>
      <c r="J1157" s="0" t="n">
        <f aca="false">D1157*D1157</f>
        <v>0.64</v>
      </c>
      <c r="K1157" s="0" t="n">
        <f aca="false">SUMPRODUCT(E1157:J1157,_XtX!$B$53:$G$53)</f>
        <v>45.5073563218391</v>
      </c>
      <c r="L1157" s="0" t="n">
        <f aca="false">SUMPRODUCT(MMULT(E1157:J1157,_XtX!$B$44:$G$49),E1157:J1157)</f>
        <v>0.295154022988506</v>
      </c>
      <c r="M1157" s="0" t="n">
        <f aca="false">04_回帰ANOVA!$K$19*04_回帰ANOVA!$K$14*SQRT(1+L1157)</f>
        <v>1.54218786602306</v>
      </c>
      <c r="N1157" s="0" t="n">
        <f aca="false">K1157-M1157</f>
        <v>43.965168455816</v>
      </c>
      <c r="O1157" s="0" t="n">
        <f aca="false">K1157+M1157</f>
        <v>47.0495441878621</v>
      </c>
      <c r="P1157" s="54" t="b">
        <f aca="false">AND(C1157&gt;=01_因子設定!$L$5-0.000000001,C1157&lt;=01_因子設定!$M$5+0.000000001,D1157&gt;=01_因子設定!$L$6-0.000000001,D1157&lt;=01_因子設定!$M$6+0.000000001,IF(01_因子設定!$B$20="Box-Behnken",C1157^2+D1157^2&lt;=2+0.000000001,TRUE()))</f>
        <v>1</v>
      </c>
      <c r="Q1157" s="55" t="n">
        <f aca="false">IF(P1157,IF(01_因子設定!$B$13="最大化",N1157-01_因子設定!$B$14,IF(01_因子設定!$B$13="最小化",01_因子設定!$B$15-O1157,MIN(N1157-01_因子設定!$B$14,01_因子設定!$B$15-O1157))),-1E+030)</f>
        <v>-2.53483154418398</v>
      </c>
      <c r="R1157" s="55" t="n">
        <f aca="false">IF(P1157,IF(01_因子設定!$B$13="最大化",K1157,IF(01_因子設定!$B$13="最小化",-K1157,-ABS(K1157-01_因子設定!$B$16))),-1E+030)</f>
        <v>45.5073563218391</v>
      </c>
      <c r="S1157" s="55" t="n">
        <f aca="false">Q1157+ROW()*0.000000001</f>
        <v>-2.53483038718398</v>
      </c>
      <c r="T1157" s="55" t="n">
        <f aca="false">R1157+ROW()*0.000000001</f>
        <v>45.5073574788391</v>
      </c>
    </row>
    <row r="1158" customFormat="false" ht="15" hidden="false" customHeight="false" outlineLevel="0" collapsed="false">
      <c r="A1158" s="0" t="n">
        <v>28</v>
      </c>
      <c r="B1158" s="0" t="n">
        <v>5</v>
      </c>
      <c r="C1158" s="0" t="n">
        <f aca="false">-1+A1158*0.05</f>
        <v>0.4</v>
      </c>
      <c r="D1158" s="0" t="n">
        <f aca="false">-1+B1158*0.05</f>
        <v>-0.75</v>
      </c>
      <c r="E1158" s="0" t="n">
        <f aca="false">1</f>
        <v>1</v>
      </c>
      <c r="F1158" s="0" t="n">
        <f aca="false">C1158</f>
        <v>0.4</v>
      </c>
      <c r="G1158" s="0" t="n">
        <f aca="false">D1158</f>
        <v>-0.75</v>
      </c>
      <c r="H1158" s="0" t="n">
        <f aca="false">C1158*D1158</f>
        <v>-0.3</v>
      </c>
      <c r="I1158" s="0" t="n">
        <f aca="false">C1158*C1158</f>
        <v>0.16</v>
      </c>
      <c r="J1158" s="0" t="n">
        <f aca="false">D1158*D1158</f>
        <v>0.5625</v>
      </c>
      <c r="K1158" s="0" t="n">
        <f aca="false">SUMPRODUCT(E1158:J1158,_XtX!$B$53:$G$53)</f>
        <v>45.7499468390805</v>
      </c>
      <c r="L1158" s="0" t="n">
        <f aca="false">SUMPRODUCT(MMULT(E1158:J1158,_XtX!$B$44:$G$49),E1158:J1158)</f>
        <v>0.26484996408046</v>
      </c>
      <c r="M1158" s="0" t="n">
        <f aca="false">04_回帰ANOVA!$K$19*04_回帰ANOVA!$K$14*SQRT(1+L1158)</f>
        <v>1.52403899298102</v>
      </c>
      <c r="N1158" s="0" t="n">
        <f aca="false">K1158-M1158</f>
        <v>44.2259078460994</v>
      </c>
      <c r="O1158" s="0" t="n">
        <f aca="false">K1158+M1158</f>
        <v>47.2739858320615</v>
      </c>
      <c r="P1158" s="54" t="b">
        <f aca="false">AND(C1158&gt;=01_因子設定!$L$5-0.000000001,C1158&lt;=01_因子設定!$M$5+0.000000001,D1158&gt;=01_因子設定!$L$6-0.000000001,D1158&lt;=01_因子設定!$M$6+0.000000001,IF(01_因子設定!$B$20="Box-Behnken",C1158^2+D1158^2&lt;=2+0.000000001,TRUE()))</f>
        <v>1</v>
      </c>
      <c r="Q1158" s="55" t="n">
        <f aca="false">IF(P1158,IF(01_因子設定!$B$13="最大化",N1158-01_因子設定!$B$14,IF(01_因子設定!$B$13="最小化",01_因子設定!$B$15-O1158,MIN(N1158-01_因子設定!$B$14,01_因子設定!$B$15-O1158))),-1E+030)</f>
        <v>-2.27409215390056</v>
      </c>
      <c r="R1158" s="55" t="n">
        <f aca="false">IF(P1158,IF(01_因子設定!$B$13="最大化",K1158,IF(01_因子設定!$B$13="最小化",-K1158,-ABS(K1158-01_因子設定!$B$16))),-1E+030)</f>
        <v>45.7499468390805</v>
      </c>
      <c r="S1158" s="55" t="n">
        <f aca="false">Q1158+ROW()*0.000000001</f>
        <v>-2.27409099590056</v>
      </c>
      <c r="T1158" s="55" t="n">
        <f aca="false">R1158+ROW()*0.000000001</f>
        <v>45.7499479970805</v>
      </c>
    </row>
    <row r="1159" customFormat="false" ht="15" hidden="false" customHeight="false" outlineLevel="0" collapsed="false">
      <c r="A1159" s="0" t="n">
        <v>28</v>
      </c>
      <c r="B1159" s="0" t="n">
        <v>6</v>
      </c>
      <c r="C1159" s="0" t="n">
        <f aca="false">-1+A1159*0.05</f>
        <v>0.4</v>
      </c>
      <c r="D1159" s="0" t="n">
        <f aca="false">-1+B1159*0.05</f>
        <v>-0.7</v>
      </c>
      <c r="E1159" s="0" t="n">
        <f aca="false">1</f>
        <v>1</v>
      </c>
      <c r="F1159" s="0" t="n">
        <f aca="false">C1159</f>
        <v>0.4</v>
      </c>
      <c r="G1159" s="0" t="n">
        <f aca="false">D1159</f>
        <v>-0.7</v>
      </c>
      <c r="H1159" s="0" t="n">
        <f aca="false">C1159*D1159</f>
        <v>-0.28</v>
      </c>
      <c r="I1159" s="0" t="n">
        <f aca="false">C1159*C1159</f>
        <v>0.16</v>
      </c>
      <c r="J1159" s="0" t="n">
        <f aca="false">D1159*D1159</f>
        <v>0.49</v>
      </c>
      <c r="K1159" s="0" t="n">
        <f aca="false">SUMPRODUCT(E1159:J1159,_XtX!$B$53:$G$53)</f>
        <v>45.9848218390805</v>
      </c>
      <c r="L1159" s="0" t="n">
        <f aca="false">SUMPRODUCT(MMULT(E1159:J1159,_XtX!$B$44:$G$49),E1159:J1159)</f>
        <v>0.240438505747126</v>
      </c>
      <c r="M1159" s="0" t="n">
        <f aca="false">04_回帰ANOVA!$K$19*04_回帰ANOVA!$K$14*SQRT(1+L1159)</f>
        <v>1.5092604511937</v>
      </c>
      <c r="N1159" s="0" t="n">
        <f aca="false">K1159-M1159</f>
        <v>44.4755613878868</v>
      </c>
      <c r="O1159" s="0" t="n">
        <f aca="false">K1159+M1159</f>
        <v>47.4940822902742</v>
      </c>
      <c r="P1159" s="54" t="b">
        <f aca="false">AND(C1159&gt;=01_因子設定!$L$5-0.000000001,C1159&lt;=01_因子設定!$M$5+0.000000001,D1159&gt;=01_因子設定!$L$6-0.000000001,D1159&lt;=01_因子設定!$M$6+0.000000001,IF(01_因子設定!$B$20="Box-Behnken",C1159^2+D1159^2&lt;=2+0.000000001,TRUE()))</f>
        <v>1</v>
      </c>
      <c r="Q1159" s="55" t="n">
        <f aca="false">IF(P1159,IF(01_因子設定!$B$13="最大化",N1159-01_因子設定!$B$14,IF(01_因子設定!$B$13="最小化",01_因子設定!$B$15-O1159,MIN(N1159-01_因子設定!$B$14,01_因子設定!$B$15-O1159))),-1E+030)</f>
        <v>-2.02443861211324</v>
      </c>
      <c r="R1159" s="55" t="n">
        <f aca="false">IF(P1159,IF(01_因子設定!$B$13="最大化",K1159,IF(01_因子設定!$B$13="最小化",-K1159,-ABS(K1159-01_因子設定!$B$16))),-1E+030)</f>
        <v>45.9848218390805</v>
      </c>
      <c r="S1159" s="55" t="n">
        <f aca="false">Q1159+ROW()*0.000000001</f>
        <v>-2.02443745311324</v>
      </c>
      <c r="T1159" s="55" t="n">
        <f aca="false">R1159+ROW()*0.000000001</f>
        <v>45.9848229980805</v>
      </c>
    </row>
    <row r="1160" customFormat="false" ht="15" hidden="false" customHeight="false" outlineLevel="0" collapsed="false">
      <c r="A1160" s="0" t="n">
        <v>28</v>
      </c>
      <c r="B1160" s="0" t="n">
        <v>7</v>
      </c>
      <c r="C1160" s="0" t="n">
        <f aca="false">-1+A1160*0.05</f>
        <v>0.4</v>
      </c>
      <c r="D1160" s="0" t="n">
        <f aca="false">-1+B1160*0.05</f>
        <v>-0.65</v>
      </c>
      <c r="E1160" s="0" t="n">
        <f aca="false">1</f>
        <v>1</v>
      </c>
      <c r="F1160" s="0" t="n">
        <f aca="false">C1160</f>
        <v>0.4</v>
      </c>
      <c r="G1160" s="0" t="n">
        <f aca="false">D1160</f>
        <v>-0.65</v>
      </c>
      <c r="H1160" s="0" t="n">
        <f aca="false">C1160*D1160</f>
        <v>-0.26</v>
      </c>
      <c r="I1160" s="0" t="n">
        <f aca="false">C1160*C1160</f>
        <v>0.16</v>
      </c>
      <c r="J1160" s="0" t="n">
        <f aca="false">D1160*D1160</f>
        <v>0.4225</v>
      </c>
      <c r="K1160" s="0" t="n">
        <f aca="false">SUMPRODUCT(E1160:J1160,_XtX!$B$53:$G$53)</f>
        <v>46.2119813218391</v>
      </c>
      <c r="L1160" s="0" t="n">
        <f aca="false">SUMPRODUCT(MMULT(E1160:J1160,_XtX!$B$44:$G$49),E1160:J1160)</f>
        <v>0.221132147988506</v>
      </c>
      <c r="M1160" s="0" t="n">
        <f aca="false">04_回帰ANOVA!$K$19*04_回帰ANOVA!$K$14*SQRT(1+L1160)</f>
        <v>1.4974692211941</v>
      </c>
      <c r="N1160" s="0" t="n">
        <f aca="false">K1160-M1160</f>
        <v>44.714512100645</v>
      </c>
      <c r="O1160" s="0" t="n">
        <f aca="false">K1160+M1160</f>
        <v>47.7094505430332</v>
      </c>
      <c r="P1160" s="54" t="b">
        <f aca="false">AND(C1160&gt;=01_因子設定!$L$5-0.000000001,C1160&lt;=01_因子設定!$M$5+0.000000001,D1160&gt;=01_因子設定!$L$6-0.000000001,D1160&lt;=01_因子設定!$M$6+0.000000001,IF(01_因子設定!$B$20="Box-Behnken",C1160^2+D1160^2&lt;=2+0.000000001,TRUE()))</f>
        <v>1</v>
      </c>
      <c r="Q1160" s="55" t="n">
        <f aca="false">IF(P1160,IF(01_因子設定!$B$13="最大化",N1160-01_因子設定!$B$14,IF(01_因子設定!$B$13="最小化",01_因子設定!$B$15-O1160,MIN(N1160-01_因子設定!$B$14,01_因子設定!$B$15-O1160))),-1E+030)</f>
        <v>-1.78548789935503</v>
      </c>
      <c r="R1160" s="55" t="n">
        <f aca="false">IF(P1160,IF(01_因子設定!$B$13="最大化",K1160,IF(01_因子設定!$B$13="最小化",-K1160,-ABS(K1160-01_因子設定!$B$16))),-1E+030)</f>
        <v>46.2119813218391</v>
      </c>
      <c r="S1160" s="55" t="n">
        <f aca="false">Q1160+ROW()*0.000000001</f>
        <v>-1.78548673935503</v>
      </c>
      <c r="T1160" s="55" t="n">
        <f aca="false">R1160+ROW()*0.000000001</f>
        <v>46.2119824818391</v>
      </c>
    </row>
    <row r="1161" customFormat="false" ht="15" hidden="false" customHeight="false" outlineLevel="0" collapsed="false">
      <c r="A1161" s="0" t="n">
        <v>28</v>
      </c>
      <c r="B1161" s="0" t="n">
        <v>8</v>
      </c>
      <c r="C1161" s="0" t="n">
        <f aca="false">-1+A1161*0.05</f>
        <v>0.4</v>
      </c>
      <c r="D1161" s="0" t="n">
        <f aca="false">-1+B1161*0.05</f>
        <v>-0.6</v>
      </c>
      <c r="E1161" s="0" t="n">
        <f aca="false">1</f>
        <v>1</v>
      </c>
      <c r="F1161" s="0" t="n">
        <f aca="false">C1161</f>
        <v>0.4</v>
      </c>
      <c r="G1161" s="0" t="n">
        <f aca="false">D1161</f>
        <v>-0.6</v>
      </c>
      <c r="H1161" s="0" t="n">
        <f aca="false">C1161*D1161</f>
        <v>-0.24</v>
      </c>
      <c r="I1161" s="0" t="n">
        <f aca="false">C1161*C1161</f>
        <v>0.16</v>
      </c>
      <c r="J1161" s="0" t="n">
        <f aca="false">D1161*D1161</f>
        <v>0.36</v>
      </c>
      <c r="K1161" s="0" t="n">
        <f aca="false">SUMPRODUCT(E1161:J1161,_XtX!$B$53:$G$53)</f>
        <v>46.4314252873563</v>
      </c>
      <c r="L1161" s="0" t="n">
        <f aca="false">SUMPRODUCT(MMULT(E1161:J1161,_XtX!$B$44:$G$49),E1161:J1161)</f>
        <v>0.206197701149425</v>
      </c>
      <c r="M1161" s="0" t="n">
        <f aca="false">04_回帰ANOVA!$K$19*04_回帰ANOVA!$K$14*SQRT(1+L1161)</f>
        <v>1.48828402636661</v>
      </c>
      <c r="N1161" s="0" t="n">
        <f aca="false">K1161-M1161</f>
        <v>44.9431412609897</v>
      </c>
      <c r="O1161" s="0" t="n">
        <f aca="false">K1161+M1161</f>
        <v>47.9197093137229</v>
      </c>
      <c r="P1161" s="54" t="b">
        <f aca="false">AND(C1161&gt;=01_因子設定!$L$5-0.000000001,C1161&lt;=01_因子設定!$M$5+0.000000001,D1161&gt;=01_因子設定!$L$6-0.000000001,D1161&lt;=01_因子設定!$M$6+0.000000001,IF(01_因子設定!$B$20="Box-Behnken",C1161^2+D1161^2&lt;=2+0.000000001,TRUE()))</f>
        <v>1</v>
      </c>
      <c r="Q1161" s="55" t="n">
        <f aca="false">IF(P1161,IF(01_因子設定!$B$13="最大化",N1161-01_因子設定!$B$14,IF(01_因子設定!$B$13="最小化",01_因子設定!$B$15-O1161,MIN(N1161-01_因子設定!$B$14,01_因子設定!$B$15-O1161))),-1E+030)</f>
        <v>-1.55685873901029</v>
      </c>
      <c r="R1161" s="55" t="n">
        <f aca="false">IF(P1161,IF(01_因子設定!$B$13="最大化",K1161,IF(01_因子設定!$B$13="最小化",-K1161,-ABS(K1161-01_因子設定!$B$16))),-1E+030)</f>
        <v>46.4314252873563</v>
      </c>
      <c r="S1161" s="55" t="n">
        <f aca="false">Q1161+ROW()*0.000000001</f>
        <v>-1.5568575780103</v>
      </c>
      <c r="T1161" s="55" t="n">
        <f aca="false">R1161+ROW()*0.000000001</f>
        <v>46.4314264483563</v>
      </c>
    </row>
    <row r="1162" customFormat="false" ht="15" hidden="false" customHeight="false" outlineLevel="0" collapsed="false">
      <c r="A1162" s="0" t="n">
        <v>28</v>
      </c>
      <c r="B1162" s="0" t="n">
        <v>9</v>
      </c>
      <c r="C1162" s="0" t="n">
        <f aca="false">-1+A1162*0.05</f>
        <v>0.4</v>
      </c>
      <c r="D1162" s="0" t="n">
        <f aca="false">-1+B1162*0.05</f>
        <v>-0.55</v>
      </c>
      <c r="E1162" s="0" t="n">
        <f aca="false">1</f>
        <v>1</v>
      </c>
      <c r="F1162" s="0" t="n">
        <f aca="false">C1162</f>
        <v>0.4</v>
      </c>
      <c r="G1162" s="0" t="n">
        <f aca="false">D1162</f>
        <v>-0.55</v>
      </c>
      <c r="H1162" s="0" t="n">
        <f aca="false">C1162*D1162</f>
        <v>-0.22</v>
      </c>
      <c r="I1162" s="0" t="n">
        <f aca="false">C1162*C1162</f>
        <v>0.16</v>
      </c>
      <c r="J1162" s="0" t="n">
        <f aca="false">D1162*D1162</f>
        <v>0.3025</v>
      </c>
      <c r="K1162" s="0" t="n">
        <f aca="false">SUMPRODUCT(E1162:J1162,_XtX!$B$53:$G$53)</f>
        <v>46.6431537356322</v>
      </c>
      <c r="L1162" s="0" t="n">
        <f aca="false">SUMPRODUCT(MMULT(E1162:J1162,_XtX!$B$44:$G$49),E1162:J1162)</f>
        <v>0.19495628591954</v>
      </c>
      <c r="M1162" s="0" t="n">
        <f aca="false">04_回帰ANOVA!$K$19*04_回帰ANOVA!$K$14*SQRT(1+L1162)</f>
        <v>1.48133260286245</v>
      </c>
      <c r="N1162" s="0" t="n">
        <f aca="false">K1162-M1162</f>
        <v>45.1618211327697</v>
      </c>
      <c r="O1162" s="0" t="n">
        <f aca="false">K1162+M1162</f>
        <v>48.1244863384946</v>
      </c>
      <c r="P1162" s="54" t="b">
        <f aca="false">AND(C1162&gt;=01_因子設定!$L$5-0.000000001,C1162&lt;=01_因子設定!$M$5+0.000000001,D1162&gt;=01_因子設定!$L$6-0.000000001,D1162&lt;=01_因子設定!$M$6+0.000000001,IF(01_因子設定!$B$20="Box-Behnken",C1162^2+D1162^2&lt;=2+0.000000001,TRUE()))</f>
        <v>1</v>
      </c>
      <c r="Q1162" s="55" t="n">
        <f aca="false">IF(P1162,IF(01_因子設定!$B$13="最大化",N1162-01_因子設定!$B$14,IF(01_因子設定!$B$13="最小化",01_因子設定!$B$15-O1162,MIN(N1162-01_因子設定!$B$14,01_因子設定!$B$15-O1162))),-1E+030)</f>
        <v>-1.33817886723027</v>
      </c>
      <c r="R1162" s="55" t="n">
        <f aca="false">IF(P1162,IF(01_因子設定!$B$13="最大化",K1162,IF(01_因子設定!$B$13="最小化",-K1162,-ABS(K1162-01_因子設定!$B$16))),-1E+030)</f>
        <v>46.6431537356322</v>
      </c>
      <c r="S1162" s="55" t="n">
        <f aca="false">Q1162+ROW()*0.000000001</f>
        <v>-1.33817770523027</v>
      </c>
      <c r="T1162" s="55" t="n">
        <f aca="false">R1162+ROW()*0.000000001</f>
        <v>46.6431548976322</v>
      </c>
    </row>
    <row r="1163" customFormat="false" ht="15" hidden="false" customHeight="false" outlineLevel="0" collapsed="false">
      <c r="A1163" s="0" t="n">
        <v>28</v>
      </c>
      <c r="B1163" s="0" t="n">
        <v>10</v>
      </c>
      <c r="C1163" s="0" t="n">
        <f aca="false">-1+A1163*0.05</f>
        <v>0.4</v>
      </c>
      <c r="D1163" s="0" t="n">
        <f aca="false">-1+B1163*0.05</f>
        <v>-0.5</v>
      </c>
      <c r="E1163" s="0" t="n">
        <f aca="false">1</f>
        <v>1</v>
      </c>
      <c r="F1163" s="0" t="n">
        <f aca="false">C1163</f>
        <v>0.4</v>
      </c>
      <c r="G1163" s="0" t="n">
        <f aca="false">D1163</f>
        <v>-0.5</v>
      </c>
      <c r="H1163" s="0" t="n">
        <f aca="false">C1163*D1163</f>
        <v>-0.2</v>
      </c>
      <c r="I1163" s="0" t="n">
        <f aca="false">C1163*C1163</f>
        <v>0.16</v>
      </c>
      <c r="J1163" s="0" t="n">
        <f aca="false">D1163*D1163</f>
        <v>0.25</v>
      </c>
      <c r="K1163" s="0" t="n">
        <f aca="false">SUMPRODUCT(E1163:J1163,_XtX!$B$53:$G$53)</f>
        <v>46.8471666666667</v>
      </c>
      <c r="L1163" s="0" t="n">
        <f aca="false">SUMPRODUCT(MMULT(E1163:J1163,_XtX!$B$44:$G$49),E1163:J1163)</f>
        <v>0.186783333333333</v>
      </c>
      <c r="M1163" s="0" t="n">
        <f aca="false">04_回帰ANOVA!$K$19*04_回帰ANOVA!$K$14*SQRT(1+L1163)</f>
        <v>1.47625809356371</v>
      </c>
      <c r="N1163" s="0" t="n">
        <f aca="false">K1163-M1163</f>
        <v>45.370908573103</v>
      </c>
      <c r="O1163" s="0" t="n">
        <f aca="false">K1163+M1163</f>
        <v>48.3234247602304</v>
      </c>
      <c r="P1163" s="54" t="b">
        <f aca="false">AND(C1163&gt;=01_因子設定!$L$5-0.000000001,C1163&lt;=01_因子設定!$M$5+0.000000001,D1163&gt;=01_因子設定!$L$6-0.000000001,D1163&lt;=01_因子設定!$M$6+0.000000001,IF(01_因子設定!$B$20="Box-Behnken",C1163^2+D1163^2&lt;=2+0.000000001,TRUE()))</f>
        <v>1</v>
      </c>
      <c r="Q1163" s="55" t="n">
        <f aca="false">IF(P1163,IF(01_因子設定!$B$13="最大化",N1163-01_因子設定!$B$14,IF(01_因子設定!$B$13="最小化",01_因子設定!$B$15-O1163,MIN(N1163-01_因子設定!$B$14,01_因子設定!$B$15-O1163))),-1E+030)</f>
        <v>-1.12909142689704</v>
      </c>
      <c r="R1163" s="55" t="n">
        <f aca="false">IF(P1163,IF(01_因子設定!$B$13="最大化",K1163,IF(01_因子設定!$B$13="最小化",-K1163,-ABS(K1163-01_因子設定!$B$16))),-1E+030)</f>
        <v>46.8471666666667</v>
      </c>
      <c r="S1163" s="55" t="n">
        <f aca="false">Q1163+ROW()*0.000000001</f>
        <v>-1.12909026389704</v>
      </c>
      <c r="T1163" s="55" t="n">
        <f aca="false">R1163+ROW()*0.000000001</f>
        <v>46.8471678296667</v>
      </c>
    </row>
    <row r="1164" customFormat="false" ht="15" hidden="false" customHeight="false" outlineLevel="0" collapsed="false">
      <c r="A1164" s="0" t="n">
        <v>28</v>
      </c>
      <c r="B1164" s="0" t="n">
        <v>11</v>
      </c>
      <c r="C1164" s="0" t="n">
        <f aca="false">-1+A1164*0.05</f>
        <v>0.4</v>
      </c>
      <c r="D1164" s="0" t="n">
        <f aca="false">-1+B1164*0.05</f>
        <v>-0.45</v>
      </c>
      <c r="E1164" s="0" t="n">
        <f aca="false">1</f>
        <v>1</v>
      </c>
      <c r="F1164" s="0" t="n">
        <f aca="false">C1164</f>
        <v>0.4</v>
      </c>
      <c r="G1164" s="0" t="n">
        <f aca="false">D1164</f>
        <v>-0.45</v>
      </c>
      <c r="H1164" s="0" t="n">
        <f aca="false">C1164*D1164</f>
        <v>-0.18</v>
      </c>
      <c r="I1164" s="0" t="n">
        <f aca="false">C1164*C1164</f>
        <v>0.16</v>
      </c>
      <c r="J1164" s="0" t="n">
        <f aca="false">D1164*D1164</f>
        <v>0.2025</v>
      </c>
      <c r="K1164" s="0" t="n">
        <f aca="false">SUMPRODUCT(E1164:J1164,_XtX!$B$53:$G$53)</f>
        <v>47.0434640804598</v>
      </c>
      <c r="L1164" s="0" t="n">
        <f aca="false">SUMPRODUCT(MMULT(E1164:J1164,_XtX!$B$44:$G$49),E1164:J1164)</f>
        <v>0.181108584770115</v>
      </c>
      <c r="M1164" s="0" t="n">
        <f aca="false">04_回帰ANOVA!$K$19*04_回帰ANOVA!$K$14*SQRT(1+L1164)</f>
        <v>1.47272441068535</v>
      </c>
      <c r="N1164" s="0" t="n">
        <f aca="false">K1164-M1164</f>
        <v>45.5707396697744</v>
      </c>
      <c r="O1164" s="0" t="n">
        <f aca="false">K1164+M1164</f>
        <v>48.5161884911451</v>
      </c>
      <c r="P1164" s="54" t="b">
        <f aca="false">AND(C1164&gt;=01_因子設定!$L$5-0.000000001,C1164&lt;=01_因子設定!$M$5+0.000000001,D1164&gt;=01_因子設定!$L$6-0.000000001,D1164&lt;=01_因子設定!$M$6+0.000000001,IF(01_因子設定!$B$20="Box-Behnken",C1164^2+D1164^2&lt;=2+0.000000001,TRUE()))</f>
        <v>1</v>
      </c>
      <c r="Q1164" s="55" t="n">
        <f aca="false">IF(P1164,IF(01_因子設定!$B$13="最大化",N1164-01_因子設定!$B$14,IF(01_因子設定!$B$13="最小化",01_因子設定!$B$15-O1164,MIN(N1164-01_因子設定!$B$14,01_因子設定!$B$15-O1164))),-1E+030)</f>
        <v>-0.929260330225581</v>
      </c>
      <c r="R1164" s="55" t="n">
        <f aca="false">IF(P1164,IF(01_因子設定!$B$13="最大化",K1164,IF(01_因子設定!$B$13="最小化",-K1164,-ABS(K1164-01_因子設定!$B$16))),-1E+030)</f>
        <v>47.0434640804598</v>
      </c>
      <c r="S1164" s="55" t="n">
        <f aca="false">Q1164+ROW()*0.000000001</f>
        <v>-0.929259166225581</v>
      </c>
      <c r="T1164" s="55" t="n">
        <f aca="false">R1164+ROW()*0.000000001</f>
        <v>47.0434652444598</v>
      </c>
    </row>
    <row r="1165" customFormat="false" ht="15" hidden="false" customHeight="false" outlineLevel="0" collapsed="false">
      <c r="A1165" s="0" t="n">
        <v>28</v>
      </c>
      <c r="B1165" s="0" t="n">
        <v>12</v>
      </c>
      <c r="C1165" s="0" t="n">
        <f aca="false">-1+A1165*0.05</f>
        <v>0.4</v>
      </c>
      <c r="D1165" s="0" t="n">
        <f aca="false">-1+B1165*0.05</f>
        <v>-0.4</v>
      </c>
      <c r="E1165" s="0" t="n">
        <f aca="false">1</f>
        <v>1</v>
      </c>
      <c r="F1165" s="0" t="n">
        <f aca="false">C1165</f>
        <v>0.4</v>
      </c>
      <c r="G1165" s="0" t="n">
        <f aca="false">D1165</f>
        <v>-0.4</v>
      </c>
      <c r="H1165" s="0" t="n">
        <f aca="false">C1165*D1165</f>
        <v>-0.16</v>
      </c>
      <c r="I1165" s="0" t="n">
        <f aca="false">C1165*C1165</f>
        <v>0.16</v>
      </c>
      <c r="J1165" s="0" t="n">
        <f aca="false">D1165*D1165</f>
        <v>0.16</v>
      </c>
      <c r="K1165" s="0" t="n">
        <f aca="false">SUMPRODUCT(E1165:J1165,_XtX!$B$53:$G$53)</f>
        <v>47.2320459770115</v>
      </c>
      <c r="L1165" s="0" t="n">
        <f aca="false">SUMPRODUCT(MMULT(E1165:J1165,_XtX!$B$44:$G$49),E1165:J1165)</f>
        <v>0.177416091954023</v>
      </c>
      <c r="M1165" s="0" t="n">
        <f aca="false">04_回帰ANOVA!$K$19*04_回帰ANOVA!$K$14*SQRT(1+L1165)</f>
        <v>1.47042052379075</v>
      </c>
      <c r="N1165" s="0" t="n">
        <f aca="false">K1165-M1165</f>
        <v>45.7616254532207</v>
      </c>
      <c r="O1165" s="0" t="n">
        <f aca="false">K1165+M1165</f>
        <v>48.7024665008022</v>
      </c>
      <c r="P1165" s="54" t="b">
        <f aca="false">AND(C1165&gt;=01_因子設定!$L$5-0.000000001,C1165&lt;=01_因子設定!$M$5+0.000000001,D1165&gt;=01_因子設定!$L$6-0.000000001,D1165&lt;=01_因子設定!$M$6+0.000000001,IF(01_因子設定!$B$20="Box-Behnken",C1165^2+D1165^2&lt;=2+0.000000001,TRUE()))</f>
        <v>1</v>
      </c>
      <c r="Q1165" s="55" t="n">
        <f aca="false">IF(P1165,IF(01_因子設定!$B$13="最大化",N1165-01_因子設定!$B$14,IF(01_因子設定!$B$13="最小化",01_因子設定!$B$15-O1165,MIN(N1165-01_因子設定!$B$14,01_因子設定!$B$15-O1165))),-1E+030)</f>
        <v>-0.738374546779262</v>
      </c>
      <c r="R1165" s="55" t="n">
        <f aca="false">IF(P1165,IF(01_因子設定!$B$13="最大化",K1165,IF(01_因子設定!$B$13="最小化",-K1165,-ABS(K1165-01_因子設定!$B$16))),-1E+030)</f>
        <v>47.2320459770115</v>
      </c>
      <c r="S1165" s="55" t="n">
        <f aca="false">Q1165+ROW()*0.000000001</f>
        <v>-0.738373381779262</v>
      </c>
      <c r="T1165" s="55" t="n">
        <f aca="false">R1165+ROW()*0.000000001</f>
        <v>47.2320471420115</v>
      </c>
    </row>
    <row r="1166" customFormat="false" ht="15" hidden="false" customHeight="false" outlineLevel="0" collapsed="false">
      <c r="A1166" s="0" t="n">
        <v>28</v>
      </c>
      <c r="B1166" s="0" t="n">
        <v>13</v>
      </c>
      <c r="C1166" s="0" t="n">
        <f aca="false">-1+A1166*0.05</f>
        <v>0.4</v>
      </c>
      <c r="D1166" s="0" t="n">
        <f aca="false">-1+B1166*0.05</f>
        <v>-0.35</v>
      </c>
      <c r="E1166" s="0" t="n">
        <f aca="false">1</f>
        <v>1</v>
      </c>
      <c r="F1166" s="0" t="n">
        <f aca="false">C1166</f>
        <v>0.4</v>
      </c>
      <c r="G1166" s="0" t="n">
        <f aca="false">D1166</f>
        <v>-0.35</v>
      </c>
      <c r="H1166" s="0" t="n">
        <f aca="false">C1166*D1166</f>
        <v>-0.14</v>
      </c>
      <c r="I1166" s="0" t="n">
        <f aca="false">C1166*C1166</f>
        <v>0.16</v>
      </c>
      <c r="J1166" s="0" t="n">
        <f aca="false">D1166*D1166</f>
        <v>0.1225</v>
      </c>
      <c r="K1166" s="0" t="n">
        <f aca="false">SUMPRODUCT(E1166:J1166,_XtX!$B$53:$G$53)</f>
        <v>47.4129123563218</v>
      </c>
      <c r="L1166" s="0" t="n">
        <f aca="false">SUMPRODUCT(MMULT(E1166:J1166,_XtX!$B$44:$G$49),E1166:J1166)</f>
        <v>0.175244216954023</v>
      </c>
      <c r="M1166" s="0" t="n">
        <f aca="false">04_回帰ANOVA!$K$19*04_回帰ANOVA!$K$14*SQRT(1+L1166)</f>
        <v>1.46906372066889</v>
      </c>
      <c r="N1166" s="0" t="n">
        <f aca="false">K1166-M1166</f>
        <v>45.943848635653</v>
      </c>
      <c r="O1166" s="0" t="n">
        <f aca="false">K1166+M1166</f>
        <v>48.8819760769907</v>
      </c>
      <c r="P1166" s="54" t="b">
        <f aca="false">AND(C1166&gt;=01_因子設定!$L$5-0.000000001,C1166&lt;=01_因子設定!$M$5+0.000000001,D1166&gt;=01_因子設定!$L$6-0.000000001,D1166&lt;=01_因子設定!$M$6+0.000000001,IF(01_因子設定!$B$20="Box-Behnken",C1166^2+D1166^2&lt;=2+0.000000001,TRUE()))</f>
        <v>1</v>
      </c>
      <c r="Q1166" s="55" t="n">
        <f aca="false">IF(P1166,IF(01_因子設定!$B$13="最大化",N1166-01_因子設定!$B$14,IF(01_因子設定!$B$13="最小化",01_因子設定!$B$15-O1166,MIN(N1166-01_因子設定!$B$14,01_因子設定!$B$15-O1166))),-1E+030)</f>
        <v>-0.556151364347052</v>
      </c>
      <c r="R1166" s="55" t="n">
        <f aca="false">IF(P1166,IF(01_因子設定!$B$13="最大化",K1166,IF(01_因子設定!$B$13="最小化",-K1166,-ABS(K1166-01_因子設定!$B$16))),-1E+030)</f>
        <v>47.4129123563218</v>
      </c>
      <c r="S1166" s="55" t="n">
        <f aca="false">Q1166+ROW()*0.000000001</f>
        <v>-0.556150198347052</v>
      </c>
      <c r="T1166" s="55" t="n">
        <f aca="false">R1166+ROW()*0.000000001</f>
        <v>47.4129135223218</v>
      </c>
    </row>
    <row r="1167" customFormat="false" ht="15" hidden="false" customHeight="false" outlineLevel="0" collapsed="false">
      <c r="A1167" s="0" t="n">
        <v>28</v>
      </c>
      <c r="B1167" s="0" t="n">
        <v>14</v>
      </c>
      <c r="C1167" s="0" t="n">
        <f aca="false">-1+A1167*0.05</f>
        <v>0.4</v>
      </c>
      <c r="D1167" s="0" t="n">
        <f aca="false">-1+B1167*0.05</f>
        <v>-0.3</v>
      </c>
      <c r="E1167" s="0" t="n">
        <f aca="false">1</f>
        <v>1</v>
      </c>
      <c r="F1167" s="0" t="n">
        <f aca="false">C1167</f>
        <v>0.4</v>
      </c>
      <c r="G1167" s="0" t="n">
        <f aca="false">D1167</f>
        <v>-0.3</v>
      </c>
      <c r="H1167" s="0" t="n">
        <f aca="false">C1167*D1167</f>
        <v>-0.12</v>
      </c>
      <c r="I1167" s="0" t="n">
        <f aca="false">C1167*C1167</f>
        <v>0.16</v>
      </c>
      <c r="J1167" s="0" t="n">
        <f aca="false">D1167*D1167</f>
        <v>0.09</v>
      </c>
      <c r="K1167" s="0" t="n">
        <f aca="false">SUMPRODUCT(E1167:J1167,_XtX!$B$53:$G$53)</f>
        <v>47.5860632183908</v>
      </c>
      <c r="L1167" s="0" t="n">
        <f aca="false">SUMPRODUCT(MMULT(E1167:J1167,_XtX!$B$44:$G$49),E1167:J1167)</f>
        <v>0.174185632183908</v>
      </c>
      <c r="M1167" s="0" t="n">
        <f aca="false">04_回帰ANOVA!$K$19*04_回帰ANOVA!$K$14*SQRT(1+L1167)</f>
        <v>1.46840195232898</v>
      </c>
      <c r="N1167" s="0" t="n">
        <f aca="false">K1167-M1167</f>
        <v>46.1176612660618</v>
      </c>
      <c r="O1167" s="0" t="n">
        <f aca="false">K1167+M1167</f>
        <v>49.0544651707198</v>
      </c>
      <c r="P1167" s="54" t="b">
        <f aca="false">AND(C1167&gt;=01_因子設定!$L$5-0.000000001,C1167&lt;=01_因子設定!$M$5+0.000000001,D1167&gt;=01_因子設定!$L$6-0.000000001,D1167&lt;=01_因子設定!$M$6+0.000000001,IF(01_因子設定!$B$20="Box-Behnken",C1167^2+D1167^2&lt;=2+0.000000001,TRUE()))</f>
        <v>1</v>
      </c>
      <c r="Q1167" s="55" t="n">
        <f aca="false">IF(P1167,IF(01_因子設定!$B$13="最大化",N1167-01_因子設定!$B$14,IF(01_因子設定!$B$13="最小化",01_因子設定!$B$15-O1167,MIN(N1167-01_因子設定!$B$14,01_因子設定!$B$15-O1167))),-1E+030)</f>
        <v>-0.382338733938177</v>
      </c>
      <c r="R1167" s="55" t="n">
        <f aca="false">IF(P1167,IF(01_因子設定!$B$13="最大化",K1167,IF(01_因子設定!$B$13="最小化",-K1167,-ABS(K1167-01_因子設定!$B$16))),-1E+030)</f>
        <v>47.5860632183908</v>
      </c>
      <c r="S1167" s="55" t="n">
        <f aca="false">Q1167+ROW()*0.000000001</f>
        <v>-0.382337566938177</v>
      </c>
      <c r="T1167" s="55" t="n">
        <f aca="false">R1167+ROW()*0.000000001</f>
        <v>47.5860643853908</v>
      </c>
    </row>
    <row r="1168" customFormat="false" ht="15" hidden="false" customHeight="false" outlineLevel="0" collapsed="false">
      <c r="A1168" s="0" t="n">
        <v>28</v>
      </c>
      <c r="B1168" s="0" t="n">
        <v>15</v>
      </c>
      <c r="C1168" s="0" t="n">
        <f aca="false">-1+A1168*0.05</f>
        <v>0.4</v>
      </c>
      <c r="D1168" s="0" t="n">
        <f aca="false">-1+B1168*0.05</f>
        <v>-0.25</v>
      </c>
      <c r="E1168" s="0" t="n">
        <f aca="false">1</f>
        <v>1</v>
      </c>
      <c r="F1168" s="0" t="n">
        <f aca="false">C1168</f>
        <v>0.4</v>
      </c>
      <c r="G1168" s="0" t="n">
        <f aca="false">D1168</f>
        <v>-0.25</v>
      </c>
      <c r="H1168" s="0" t="n">
        <f aca="false">C1168*D1168</f>
        <v>-0.1</v>
      </c>
      <c r="I1168" s="0" t="n">
        <f aca="false">C1168*C1168</f>
        <v>0.16</v>
      </c>
      <c r="J1168" s="0" t="n">
        <f aca="false">D1168*D1168</f>
        <v>0.0625</v>
      </c>
      <c r="K1168" s="0" t="n">
        <f aca="false">SUMPRODUCT(E1168:J1168,_XtX!$B$53:$G$53)</f>
        <v>47.7514985632184</v>
      </c>
      <c r="L1168" s="0" t="n">
        <f aca="false">SUMPRODUCT(MMULT(E1168:J1168,_XtX!$B$44:$G$49),E1168:J1168)</f>
        <v>0.173887320402299</v>
      </c>
      <c r="M1168" s="0" t="n">
        <f aca="false">04_回帰ANOVA!$K$19*04_回帰ANOVA!$K$14*SQRT(1+L1168)</f>
        <v>1.46821541051817</v>
      </c>
      <c r="N1168" s="0" t="n">
        <f aca="false">K1168-M1168</f>
        <v>46.2832831527002</v>
      </c>
      <c r="O1168" s="0" t="n">
        <f aca="false">K1168+M1168</f>
        <v>49.2197139737366</v>
      </c>
      <c r="P1168" s="54" t="b">
        <f aca="false">AND(C1168&gt;=01_因子設定!$L$5-0.000000001,C1168&lt;=01_因子設定!$M$5+0.000000001,D1168&gt;=01_因子設定!$L$6-0.000000001,D1168&lt;=01_因子設定!$M$6+0.000000001,IF(01_因子設定!$B$20="Box-Behnken",C1168^2+D1168^2&lt;=2+0.000000001,TRUE()))</f>
        <v>1</v>
      </c>
      <c r="Q1168" s="55" t="n">
        <f aca="false">IF(P1168,IF(01_因子設定!$B$13="最大化",N1168-01_因子設定!$B$14,IF(01_因子設定!$B$13="最小化",01_因子設定!$B$15-O1168,MIN(N1168-01_因子設定!$B$14,01_因子設定!$B$15-O1168))),-1E+030)</f>
        <v>-0.216716847299793</v>
      </c>
      <c r="R1168" s="55" t="n">
        <f aca="false">IF(P1168,IF(01_因子設定!$B$13="最大化",K1168,IF(01_因子設定!$B$13="最小化",-K1168,-ABS(K1168-01_因子設定!$B$16))),-1E+030)</f>
        <v>47.7514985632184</v>
      </c>
      <c r="S1168" s="55" t="n">
        <f aca="false">Q1168+ROW()*0.000000001</f>
        <v>-0.216715679299793</v>
      </c>
      <c r="T1168" s="55" t="n">
        <f aca="false">R1168+ROW()*0.000000001</f>
        <v>47.7514997312184</v>
      </c>
    </row>
    <row r="1169" customFormat="false" ht="15" hidden="false" customHeight="false" outlineLevel="0" collapsed="false">
      <c r="A1169" s="0" t="n">
        <v>28</v>
      </c>
      <c r="B1169" s="0" t="n">
        <v>16</v>
      </c>
      <c r="C1169" s="0" t="n">
        <f aca="false">-1+A1169*0.05</f>
        <v>0.4</v>
      </c>
      <c r="D1169" s="0" t="n">
        <f aca="false">-1+B1169*0.05</f>
        <v>-0.2</v>
      </c>
      <c r="E1169" s="0" t="n">
        <f aca="false">1</f>
        <v>1</v>
      </c>
      <c r="F1169" s="0" t="n">
        <f aca="false">C1169</f>
        <v>0.4</v>
      </c>
      <c r="G1169" s="0" t="n">
        <f aca="false">D1169</f>
        <v>-0.2</v>
      </c>
      <c r="H1169" s="0" t="n">
        <f aca="false">C1169*D1169</f>
        <v>-0.08</v>
      </c>
      <c r="I1169" s="0" t="n">
        <f aca="false">C1169*C1169</f>
        <v>0.16</v>
      </c>
      <c r="J1169" s="0" t="n">
        <f aca="false">D1169*D1169</f>
        <v>0.04</v>
      </c>
      <c r="K1169" s="0" t="n">
        <f aca="false">SUMPRODUCT(E1169:J1169,_XtX!$B$53:$G$53)</f>
        <v>47.9092183908046</v>
      </c>
      <c r="L1169" s="0" t="n">
        <f aca="false">SUMPRODUCT(MMULT(E1169:J1169,_XtX!$B$44:$G$49),E1169:J1169)</f>
        <v>0.174050574712644</v>
      </c>
      <c r="M1169" s="0" t="n">
        <f aca="false">04_回帰ANOVA!$K$19*04_回帰ANOVA!$K$14*SQRT(1+L1169)</f>
        <v>1.46831750045351</v>
      </c>
      <c r="N1169" s="0" t="n">
        <f aca="false">K1169-M1169</f>
        <v>46.4409008903511</v>
      </c>
      <c r="O1169" s="0" t="n">
        <f aca="false">K1169+M1169</f>
        <v>49.3775358912581</v>
      </c>
      <c r="P1169" s="54" t="b">
        <f aca="false">AND(C1169&gt;=01_因子設定!$L$5-0.000000001,C1169&lt;=01_因子設定!$M$5+0.000000001,D1169&gt;=01_因子設定!$L$6-0.000000001,D1169&lt;=01_因子設定!$M$6+0.000000001,IF(01_因子設定!$B$20="Box-Behnken",C1169^2+D1169^2&lt;=2+0.000000001,TRUE()))</f>
        <v>1</v>
      </c>
      <c r="Q1169" s="55" t="n">
        <f aca="false">IF(P1169,IF(01_因子設定!$B$13="最大化",N1169-01_因子設定!$B$14,IF(01_因子設定!$B$13="最小化",01_因子設定!$B$15-O1169,MIN(N1169-01_因子設定!$B$14,01_因子設定!$B$15-O1169))),-1E+030)</f>
        <v>-0.059099109648912</v>
      </c>
      <c r="R1169" s="55" t="n">
        <f aca="false">IF(P1169,IF(01_因子設定!$B$13="最大化",K1169,IF(01_因子設定!$B$13="最小化",-K1169,-ABS(K1169-01_因子設定!$B$16))),-1E+030)</f>
        <v>47.9092183908046</v>
      </c>
      <c r="S1169" s="55" t="n">
        <f aca="false">Q1169+ROW()*0.000000001</f>
        <v>-0.059097940648912</v>
      </c>
      <c r="T1169" s="55" t="n">
        <f aca="false">R1169+ROW()*0.000000001</f>
        <v>47.9092195598046</v>
      </c>
    </row>
    <row r="1170" customFormat="false" ht="15" hidden="false" customHeight="false" outlineLevel="0" collapsed="false">
      <c r="A1170" s="0" t="n">
        <v>28</v>
      </c>
      <c r="B1170" s="0" t="n">
        <v>17</v>
      </c>
      <c r="C1170" s="0" t="n">
        <f aca="false">-1+A1170*0.05</f>
        <v>0.4</v>
      </c>
      <c r="D1170" s="0" t="n">
        <f aca="false">-1+B1170*0.05</f>
        <v>-0.15</v>
      </c>
      <c r="E1170" s="0" t="n">
        <f aca="false">1</f>
        <v>1</v>
      </c>
      <c r="F1170" s="0" t="n">
        <f aca="false">C1170</f>
        <v>0.4</v>
      </c>
      <c r="G1170" s="0" t="n">
        <f aca="false">D1170</f>
        <v>-0.15</v>
      </c>
      <c r="H1170" s="0" t="n">
        <f aca="false">C1170*D1170</f>
        <v>-0.06</v>
      </c>
      <c r="I1170" s="0" t="n">
        <f aca="false">C1170*C1170</f>
        <v>0.16</v>
      </c>
      <c r="J1170" s="0" t="n">
        <f aca="false">D1170*D1170</f>
        <v>0.0225</v>
      </c>
      <c r="K1170" s="0" t="n">
        <f aca="false">SUMPRODUCT(E1170:J1170,_XtX!$B$53:$G$53)</f>
        <v>48.0592227011494</v>
      </c>
      <c r="L1170" s="0" t="n">
        <f aca="false">SUMPRODUCT(MMULT(E1170:J1170,_XtX!$B$44:$G$49),E1170:J1170)</f>
        <v>0.174430998563218</v>
      </c>
      <c r="M1170" s="0" t="n">
        <f aca="false">04_回帰ANOVA!$K$19*04_回帰ANOVA!$K$14*SQRT(1+L1170)</f>
        <v>1.46855536829659</v>
      </c>
      <c r="N1170" s="0" t="n">
        <f aca="false">K1170-M1170</f>
        <v>46.5906673328528</v>
      </c>
      <c r="O1170" s="0" t="n">
        <f aca="false">K1170+M1170</f>
        <v>49.527778069446</v>
      </c>
      <c r="P1170" s="54" t="b">
        <f aca="false">AND(C1170&gt;=01_因子設定!$L$5-0.000000001,C1170&lt;=01_因子設定!$M$5+0.000000001,D1170&gt;=01_因子設定!$L$6-0.000000001,D1170&lt;=01_因子設定!$M$6+0.000000001,IF(01_因子設定!$B$20="Box-Behnken",C1170^2+D1170^2&lt;=2+0.000000001,TRUE()))</f>
        <v>1</v>
      </c>
      <c r="Q1170" s="55" t="n">
        <f aca="false">IF(P1170,IF(01_因子設定!$B$13="最大化",N1170-01_因子設定!$B$14,IF(01_因子設定!$B$13="最小化",01_因子設定!$B$15-O1170,MIN(N1170-01_因子設定!$B$14,01_因子設定!$B$15-O1170))),-1E+030)</f>
        <v>0.0906673328528314</v>
      </c>
      <c r="R1170" s="55" t="n">
        <f aca="false">IF(P1170,IF(01_因子設定!$B$13="最大化",K1170,IF(01_因子設定!$B$13="最小化",-K1170,-ABS(K1170-01_因子設定!$B$16))),-1E+030)</f>
        <v>48.0592227011494</v>
      </c>
      <c r="S1170" s="55" t="n">
        <f aca="false">Q1170+ROW()*0.000000001</f>
        <v>0.0906685028528314</v>
      </c>
      <c r="T1170" s="55" t="n">
        <f aca="false">R1170+ROW()*0.000000001</f>
        <v>48.0592238711494</v>
      </c>
    </row>
    <row r="1171" customFormat="false" ht="15" hidden="false" customHeight="false" outlineLevel="0" collapsed="false">
      <c r="A1171" s="0" t="n">
        <v>28</v>
      </c>
      <c r="B1171" s="0" t="n">
        <v>18</v>
      </c>
      <c r="C1171" s="0" t="n">
        <f aca="false">-1+A1171*0.05</f>
        <v>0.4</v>
      </c>
      <c r="D1171" s="0" t="n">
        <f aca="false">-1+B1171*0.05</f>
        <v>-0.1</v>
      </c>
      <c r="E1171" s="0" t="n">
        <f aca="false">1</f>
        <v>1</v>
      </c>
      <c r="F1171" s="0" t="n">
        <f aca="false">C1171</f>
        <v>0.4</v>
      </c>
      <c r="G1171" s="0" t="n">
        <f aca="false">D1171</f>
        <v>-0.1</v>
      </c>
      <c r="H1171" s="0" t="n">
        <f aca="false">C1171*D1171</f>
        <v>-0.04</v>
      </c>
      <c r="I1171" s="0" t="n">
        <f aca="false">C1171*C1171</f>
        <v>0.16</v>
      </c>
      <c r="J1171" s="0" t="n">
        <f aca="false">D1171*D1171</f>
        <v>0.01</v>
      </c>
      <c r="K1171" s="0" t="n">
        <f aca="false">SUMPRODUCT(E1171:J1171,_XtX!$B$53:$G$53)</f>
        <v>48.2015114942529</v>
      </c>
      <c r="L1171" s="0" t="n">
        <f aca="false">SUMPRODUCT(MMULT(E1171:J1171,_XtX!$B$44:$G$49),E1171:J1171)</f>
        <v>0.174838505747126</v>
      </c>
      <c r="M1171" s="0" t="n">
        <f aca="false">04_回帰ANOVA!$K$19*04_回帰ANOVA!$K$14*SQRT(1+L1171)</f>
        <v>1.46881012781827</v>
      </c>
      <c r="N1171" s="0" t="n">
        <f aca="false">K1171-M1171</f>
        <v>46.7327013664346</v>
      </c>
      <c r="O1171" s="0" t="n">
        <f aca="false">K1171+M1171</f>
        <v>49.6703216220711</v>
      </c>
      <c r="P1171" s="54" t="b">
        <f aca="false">AND(C1171&gt;=01_因子設定!$L$5-0.000000001,C1171&lt;=01_因子設定!$M$5+0.000000001,D1171&gt;=01_因子設定!$L$6-0.000000001,D1171&lt;=01_因子設定!$M$6+0.000000001,IF(01_因子設定!$B$20="Box-Behnken",C1171^2+D1171^2&lt;=2+0.000000001,TRUE()))</f>
        <v>1</v>
      </c>
      <c r="Q1171" s="55" t="n">
        <f aca="false">IF(P1171,IF(01_因子設定!$B$13="最大化",N1171-01_因子設定!$B$14,IF(01_因子設定!$B$13="最小化",01_因子設定!$B$15-O1171,MIN(N1171-01_因子設定!$B$14,01_因子設定!$B$15-O1171))),-1E+030)</f>
        <v>0.232701366434597</v>
      </c>
      <c r="R1171" s="55" t="n">
        <f aca="false">IF(P1171,IF(01_因子設定!$B$13="最大化",K1171,IF(01_因子設定!$B$13="最小化",-K1171,-ABS(K1171-01_因子設定!$B$16))),-1E+030)</f>
        <v>48.2015114942529</v>
      </c>
      <c r="S1171" s="55" t="n">
        <f aca="false">Q1171+ROW()*0.000000001</f>
        <v>0.232702537434597</v>
      </c>
      <c r="T1171" s="55" t="n">
        <f aca="false">R1171+ROW()*0.000000001</f>
        <v>48.2015126652529</v>
      </c>
    </row>
    <row r="1172" customFormat="false" ht="15" hidden="false" customHeight="false" outlineLevel="0" collapsed="false">
      <c r="A1172" s="0" t="n">
        <v>28</v>
      </c>
      <c r="B1172" s="0" t="n">
        <v>19</v>
      </c>
      <c r="C1172" s="0" t="n">
        <f aca="false">-1+A1172*0.05</f>
        <v>0.4</v>
      </c>
      <c r="D1172" s="0" t="n">
        <f aca="false">-1+B1172*0.05</f>
        <v>-0.0499999999999999</v>
      </c>
      <c r="E1172" s="0" t="n">
        <f aca="false">1</f>
        <v>1</v>
      </c>
      <c r="F1172" s="0" t="n">
        <f aca="false">C1172</f>
        <v>0.4</v>
      </c>
      <c r="G1172" s="0" t="n">
        <f aca="false">D1172</f>
        <v>-0.0499999999999999</v>
      </c>
      <c r="H1172" s="0" t="n">
        <f aca="false">C1172*D1172</f>
        <v>-0.02</v>
      </c>
      <c r="I1172" s="0" t="n">
        <f aca="false">C1172*C1172</f>
        <v>0.16</v>
      </c>
      <c r="J1172" s="0" t="n">
        <f aca="false">D1172*D1172</f>
        <v>0.00249999999999999</v>
      </c>
      <c r="K1172" s="0" t="n">
        <f aca="false">SUMPRODUCT(E1172:J1172,_XtX!$B$53:$G$53)</f>
        <v>48.3360847701149</v>
      </c>
      <c r="L1172" s="0" t="n">
        <f aca="false">SUMPRODUCT(MMULT(E1172:J1172,_XtX!$B$44:$G$49),E1172:J1172)</f>
        <v>0.175137320402299</v>
      </c>
      <c r="M1172" s="0" t="n">
        <f aca="false">04_回帰ANOVA!$K$19*04_回帰ANOVA!$K$14*SQRT(1+L1172)</f>
        <v>1.4689969084205</v>
      </c>
      <c r="N1172" s="0" t="n">
        <f aca="false">K1172-M1172</f>
        <v>46.8670878616944</v>
      </c>
      <c r="O1172" s="0" t="n">
        <f aca="false">K1172+M1172</f>
        <v>49.8050816785354</v>
      </c>
      <c r="P1172" s="54" t="b">
        <f aca="false">AND(C1172&gt;=01_因子設定!$L$5-0.000000001,C1172&lt;=01_因子設定!$M$5+0.000000001,D1172&gt;=01_因子設定!$L$6-0.000000001,D1172&lt;=01_因子設定!$M$6+0.000000001,IF(01_因子設定!$B$20="Box-Behnken",C1172^2+D1172^2&lt;=2+0.000000001,TRUE()))</f>
        <v>1</v>
      </c>
      <c r="Q1172" s="55" t="n">
        <f aca="false">IF(P1172,IF(01_因子設定!$B$13="最大化",N1172-01_因子設定!$B$14,IF(01_因子設定!$B$13="最小化",01_因子設定!$B$15-O1172,MIN(N1172-01_因子設定!$B$14,01_因子設定!$B$15-O1172))),-1E+030)</f>
        <v>0.367087861694444</v>
      </c>
      <c r="R1172" s="55" t="n">
        <f aca="false">IF(P1172,IF(01_因子設定!$B$13="最大化",K1172,IF(01_因子設定!$B$13="最小化",-K1172,-ABS(K1172-01_因子設定!$B$16))),-1E+030)</f>
        <v>48.3360847701149</v>
      </c>
      <c r="S1172" s="55" t="n">
        <f aca="false">Q1172+ROW()*0.000000001</f>
        <v>0.367089033694444</v>
      </c>
      <c r="T1172" s="55" t="n">
        <f aca="false">R1172+ROW()*0.000000001</f>
        <v>48.3360859421149</v>
      </c>
    </row>
    <row r="1173" customFormat="false" ht="15" hidden="false" customHeight="false" outlineLevel="0" collapsed="false">
      <c r="A1173" s="0" t="n">
        <v>28</v>
      </c>
      <c r="B1173" s="0" t="n">
        <v>20</v>
      </c>
      <c r="C1173" s="0" t="n">
        <f aca="false">-1+A1173*0.05</f>
        <v>0.4</v>
      </c>
      <c r="D1173" s="0" t="n">
        <f aca="false">-1+B1173*0.05</f>
        <v>0</v>
      </c>
      <c r="E1173" s="0" t="n">
        <f aca="false">1</f>
        <v>1</v>
      </c>
      <c r="F1173" s="0" t="n">
        <f aca="false">C1173</f>
        <v>0.4</v>
      </c>
      <c r="G1173" s="0" t="n">
        <f aca="false">D1173</f>
        <v>0</v>
      </c>
      <c r="H1173" s="0" t="n">
        <f aca="false">C1173*D1173</f>
        <v>0</v>
      </c>
      <c r="I1173" s="0" t="n">
        <f aca="false">C1173*C1173</f>
        <v>0.16</v>
      </c>
      <c r="J1173" s="0" t="n">
        <f aca="false">D1173*D1173</f>
        <v>0</v>
      </c>
      <c r="K1173" s="0" t="n">
        <f aca="false">SUMPRODUCT(E1173:J1173,_XtX!$B$53:$G$53)</f>
        <v>48.4629425287356</v>
      </c>
      <c r="L1173" s="0" t="n">
        <f aca="false">SUMPRODUCT(MMULT(E1173:J1173,_XtX!$B$44:$G$49),E1173:J1173)</f>
        <v>0.175245977011494</v>
      </c>
      <c r="M1173" s="0" t="n">
        <f aca="false">04_回帰ANOVA!$K$19*04_回帰ANOVA!$K$14*SQRT(1+L1173)</f>
        <v>1.46906482071072</v>
      </c>
      <c r="N1173" s="0" t="n">
        <f aca="false">K1173-M1173</f>
        <v>46.9938777080249</v>
      </c>
      <c r="O1173" s="0" t="n">
        <f aca="false">K1173+M1173</f>
        <v>49.9320073494463</v>
      </c>
      <c r="P1173" s="54" t="b">
        <f aca="false">AND(C1173&gt;=01_因子設定!$L$5-0.000000001,C1173&lt;=01_因子設定!$M$5+0.000000001,D1173&gt;=01_因子設定!$L$6-0.000000001,D1173&lt;=01_因子設定!$M$6+0.000000001,IF(01_因子設定!$B$20="Box-Behnken",C1173^2+D1173^2&lt;=2+0.000000001,TRUE()))</f>
        <v>1</v>
      </c>
      <c r="Q1173" s="55" t="n">
        <f aca="false">IF(P1173,IF(01_因子設定!$B$13="最大化",N1173-01_因子設定!$B$14,IF(01_因子設定!$B$13="最小化",01_因子設定!$B$15-O1173,MIN(N1173-01_因子設定!$B$14,01_因子設定!$B$15-O1173))),-1E+030)</f>
        <v>0.493877708024904</v>
      </c>
      <c r="R1173" s="55" t="n">
        <f aca="false">IF(P1173,IF(01_因子設定!$B$13="最大化",K1173,IF(01_因子設定!$B$13="最小化",-K1173,-ABS(K1173-01_因子設定!$B$16))),-1E+030)</f>
        <v>48.4629425287356</v>
      </c>
      <c r="S1173" s="55" t="n">
        <f aca="false">Q1173+ROW()*0.000000001</f>
        <v>0.493878881024904</v>
      </c>
      <c r="T1173" s="55" t="n">
        <f aca="false">R1173+ROW()*0.000000001</f>
        <v>48.4629437017356</v>
      </c>
    </row>
    <row r="1174" customFormat="false" ht="15" hidden="false" customHeight="false" outlineLevel="0" collapsed="false">
      <c r="A1174" s="0" t="n">
        <v>28</v>
      </c>
      <c r="B1174" s="0" t="n">
        <v>21</v>
      </c>
      <c r="C1174" s="0" t="n">
        <f aca="false">-1+A1174*0.05</f>
        <v>0.4</v>
      </c>
      <c r="D1174" s="0" t="n">
        <f aca="false">-1+B1174*0.05</f>
        <v>0.05</v>
      </c>
      <c r="E1174" s="0" t="n">
        <f aca="false">1</f>
        <v>1</v>
      </c>
      <c r="F1174" s="0" t="n">
        <f aca="false">C1174</f>
        <v>0.4</v>
      </c>
      <c r="G1174" s="0" t="n">
        <f aca="false">D1174</f>
        <v>0.05</v>
      </c>
      <c r="H1174" s="0" t="n">
        <f aca="false">C1174*D1174</f>
        <v>0.02</v>
      </c>
      <c r="I1174" s="0" t="n">
        <f aca="false">C1174*C1174</f>
        <v>0.16</v>
      </c>
      <c r="J1174" s="0" t="n">
        <f aca="false">D1174*D1174</f>
        <v>0.0025</v>
      </c>
      <c r="K1174" s="0" t="n">
        <f aca="false">SUMPRODUCT(E1174:J1174,_XtX!$B$53:$G$53)</f>
        <v>48.5820847701149</v>
      </c>
      <c r="L1174" s="0" t="n">
        <f aca="false">SUMPRODUCT(MMULT(E1174:J1174,_XtX!$B$44:$G$49),E1174:J1174)</f>
        <v>0.175137320402299</v>
      </c>
      <c r="M1174" s="0" t="n">
        <f aca="false">04_回帰ANOVA!$K$19*04_回帰ANOVA!$K$14*SQRT(1+L1174)</f>
        <v>1.4689969084205</v>
      </c>
      <c r="N1174" s="0" t="n">
        <f aca="false">K1174-M1174</f>
        <v>47.1130878616944</v>
      </c>
      <c r="O1174" s="0" t="n">
        <f aca="false">K1174+M1174</f>
        <v>50.0510816785354</v>
      </c>
      <c r="P1174" s="54" t="b">
        <f aca="false">AND(C1174&gt;=01_因子設定!$L$5-0.000000001,C1174&lt;=01_因子設定!$M$5+0.000000001,D1174&gt;=01_因子設定!$L$6-0.000000001,D1174&lt;=01_因子設定!$M$6+0.000000001,IF(01_因子設定!$B$20="Box-Behnken",C1174^2+D1174^2&lt;=2+0.000000001,TRUE()))</f>
        <v>1</v>
      </c>
      <c r="Q1174" s="55" t="n">
        <f aca="false">IF(P1174,IF(01_因子設定!$B$13="最大化",N1174-01_因子設定!$B$14,IF(01_因子設定!$B$13="最小化",01_因子設定!$B$15-O1174,MIN(N1174-01_因子設定!$B$14,01_因子設定!$B$15-O1174))),-1E+030)</f>
        <v>0.613087861694446</v>
      </c>
      <c r="R1174" s="55" t="n">
        <f aca="false">IF(P1174,IF(01_因子設定!$B$13="最大化",K1174,IF(01_因子設定!$B$13="最小化",-K1174,-ABS(K1174-01_因子設定!$B$16))),-1E+030)</f>
        <v>48.5820847701149</v>
      </c>
      <c r="S1174" s="55" t="n">
        <f aca="false">Q1174+ROW()*0.000000001</f>
        <v>0.613089035694446</v>
      </c>
      <c r="T1174" s="55" t="n">
        <f aca="false">R1174+ROW()*0.000000001</f>
        <v>48.5820859441149</v>
      </c>
    </row>
    <row r="1175" customFormat="false" ht="15" hidden="false" customHeight="false" outlineLevel="0" collapsed="false">
      <c r="A1175" s="0" t="n">
        <v>28</v>
      </c>
      <c r="B1175" s="0" t="n">
        <v>22</v>
      </c>
      <c r="C1175" s="0" t="n">
        <f aca="false">-1+A1175*0.05</f>
        <v>0.4</v>
      </c>
      <c r="D1175" s="0" t="n">
        <f aca="false">-1+B1175*0.05</f>
        <v>0.1</v>
      </c>
      <c r="E1175" s="0" t="n">
        <f aca="false">1</f>
        <v>1</v>
      </c>
      <c r="F1175" s="0" t="n">
        <f aca="false">C1175</f>
        <v>0.4</v>
      </c>
      <c r="G1175" s="0" t="n">
        <f aca="false">D1175</f>
        <v>0.1</v>
      </c>
      <c r="H1175" s="0" t="n">
        <f aca="false">C1175*D1175</f>
        <v>0.0400000000000001</v>
      </c>
      <c r="I1175" s="0" t="n">
        <f aca="false">C1175*C1175</f>
        <v>0.16</v>
      </c>
      <c r="J1175" s="0" t="n">
        <f aca="false">D1175*D1175</f>
        <v>0.01</v>
      </c>
      <c r="K1175" s="0" t="n">
        <f aca="false">SUMPRODUCT(E1175:J1175,_XtX!$B$53:$G$53)</f>
        <v>48.6935114942529</v>
      </c>
      <c r="L1175" s="0" t="n">
        <f aca="false">SUMPRODUCT(MMULT(E1175:J1175,_XtX!$B$44:$G$49),E1175:J1175)</f>
        <v>0.174838505747126</v>
      </c>
      <c r="M1175" s="0" t="n">
        <f aca="false">04_回帰ANOVA!$K$19*04_回帰ANOVA!$K$14*SQRT(1+L1175)</f>
        <v>1.46881012781827</v>
      </c>
      <c r="N1175" s="0" t="n">
        <f aca="false">K1175-M1175</f>
        <v>47.2247013664346</v>
      </c>
      <c r="O1175" s="0" t="n">
        <f aca="false">K1175+M1175</f>
        <v>50.1623216220711</v>
      </c>
      <c r="P1175" s="54" t="b">
        <f aca="false">AND(C1175&gt;=01_因子設定!$L$5-0.000000001,C1175&lt;=01_因子設定!$M$5+0.000000001,D1175&gt;=01_因子設定!$L$6-0.000000001,D1175&lt;=01_因子設定!$M$6+0.000000001,IF(01_因子設定!$B$20="Box-Behnken",C1175^2+D1175^2&lt;=2+0.000000001,TRUE()))</f>
        <v>1</v>
      </c>
      <c r="Q1175" s="55" t="n">
        <f aca="false">IF(P1175,IF(01_因子設定!$B$13="最大化",N1175-01_因子設定!$B$14,IF(01_因子設定!$B$13="最小化",01_因子設定!$B$15-O1175,MIN(N1175-01_因子設定!$B$14,01_因子設定!$B$15-O1175))),-1E+030)</f>
        <v>0.724701366434594</v>
      </c>
      <c r="R1175" s="55" t="n">
        <f aca="false">IF(P1175,IF(01_因子設定!$B$13="最大化",K1175,IF(01_因子設定!$B$13="最小化",-K1175,-ABS(K1175-01_因子設定!$B$16))),-1E+030)</f>
        <v>48.6935114942529</v>
      </c>
      <c r="S1175" s="55" t="n">
        <f aca="false">Q1175+ROW()*0.000000001</f>
        <v>0.724702541434594</v>
      </c>
      <c r="T1175" s="55" t="n">
        <f aca="false">R1175+ROW()*0.000000001</f>
        <v>48.6935126692529</v>
      </c>
    </row>
    <row r="1176" customFormat="false" ht="15" hidden="false" customHeight="false" outlineLevel="0" collapsed="false">
      <c r="A1176" s="0" t="n">
        <v>28</v>
      </c>
      <c r="B1176" s="0" t="n">
        <v>23</v>
      </c>
      <c r="C1176" s="0" t="n">
        <f aca="false">-1+A1176*0.05</f>
        <v>0.4</v>
      </c>
      <c r="D1176" s="0" t="n">
        <f aca="false">-1+B1176*0.05</f>
        <v>0.15</v>
      </c>
      <c r="E1176" s="0" t="n">
        <f aca="false">1</f>
        <v>1</v>
      </c>
      <c r="F1176" s="0" t="n">
        <f aca="false">C1176</f>
        <v>0.4</v>
      </c>
      <c r="G1176" s="0" t="n">
        <f aca="false">D1176</f>
        <v>0.15</v>
      </c>
      <c r="H1176" s="0" t="n">
        <f aca="false">C1176*D1176</f>
        <v>0.0600000000000001</v>
      </c>
      <c r="I1176" s="0" t="n">
        <f aca="false">C1176*C1176</f>
        <v>0.16</v>
      </c>
      <c r="J1176" s="0" t="n">
        <f aca="false">D1176*D1176</f>
        <v>0.0225</v>
      </c>
      <c r="K1176" s="0" t="n">
        <f aca="false">SUMPRODUCT(E1176:J1176,_XtX!$B$53:$G$53)</f>
        <v>48.7972227011494</v>
      </c>
      <c r="L1176" s="0" t="n">
        <f aca="false">SUMPRODUCT(MMULT(E1176:J1176,_XtX!$B$44:$G$49),E1176:J1176)</f>
        <v>0.174430998563218</v>
      </c>
      <c r="M1176" s="0" t="n">
        <f aca="false">04_回帰ANOVA!$K$19*04_回帰ANOVA!$K$14*SQRT(1+L1176)</f>
        <v>1.46855536829659</v>
      </c>
      <c r="N1176" s="0" t="n">
        <f aca="false">K1176-M1176</f>
        <v>47.3286673328528</v>
      </c>
      <c r="O1176" s="0" t="n">
        <f aca="false">K1176+M1176</f>
        <v>50.265778069446</v>
      </c>
      <c r="P1176" s="54" t="b">
        <f aca="false">AND(C1176&gt;=01_因子設定!$L$5-0.000000001,C1176&lt;=01_因子設定!$M$5+0.000000001,D1176&gt;=01_因子設定!$L$6-0.000000001,D1176&lt;=01_因子設定!$M$6+0.000000001,IF(01_因子設定!$B$20="Box-Behnken",C1176^2+D1176^2&lt;=2+0.000000001,TRUE()))</f>
        <v>1</v>
      </c>
      <c r="Q1176" s="55" t="n">
        <f aca="false">IF(P1176,IF(01_因子設定!$B$13="最大化",N1176-01_因子設定!$B$14,IF(01_因子設定!$B$13="最小化",01_因子設定!$B$15-O1176,MIN(N1176-01_因子設定!$B$14,01_因子設定!$B$15-O1176))),-1E+030)</f>
        <v>0.828667332852831</v>
      </c>
      <c r="R1176" s="55" t="n">
        <f aca="false">IF(P1176,IF(01_因子設定!$B$13="最大化",K1176,IF(01_因子設定!$B$13="最小化",-K1176,-ABS(K1176-01_因子設定!$B$16))),-1E+030)</f>
        <v>48.7972227011494</v>
      </c>
      <c r="S1176" s="55" t="n">
        <f aca="false">Q1176+ROW()*0.000000001</f>
        <v>0.828668508852831</v>
      </c>
      <c r="T1176" s="55" t="n">
        <f aca="false">R1176+ROW()*0.000000001</f>
        <v>48.7972238771494</v>
      </c>
    </row>
    <row r="1177" customFormat="false" ht="15" hidden="false" customHeight="false" outlineLevel="0" collapsed="false">
      <c r="A1177" s="0" t="n">
        <v>28</v>
      </c>
      <c r="B1177" s="0" t="n">
        <v>24</v>
      </c>
      <c r="C1177" s="0" t="n">
        <f aca="false">-1+A1177*0.05</f>
        <v>0.4</v>
      </c>
      <c r="D1177" s="0" t="n">
        <f aca="false">-1+B1177*0.05</f>
        <v>0.2</v>
      </c>
      <c r="E1177" s="0" t="n">
        <f aca="false">1</f>
        <v>1</v>
      </c>
      <c r="F1177" s="0" t="n">
        <f aca="false">C1177</f>
        <v>0.4</v>
      </c>
      <c r="G1177" s="0" t="n">
        <f aca="false">D1177</f>
        <v>0.2</v>
      </c>
      <c r="H1177" s="0" t="n">
        <f aca="false">C1177*D1177</f>
        <v>0.0800000000000001</v>
      </c>
      <c r="I1177" s="0" t="n">
        <f aca="false">C1177*C1177</f>
        <v>0.16</v>
      </c>
      <c r="J1177" s="0" t="n">
        <f aca="false">D1177*D1177</f>
        <v>0.0400000000000001</v>
      </c>
      <c r="K1177" s="0" t="n">
        <f aca="false">SUMPRODUCT(E1177:J1177,_XtX!$B$53:$G$53)</f>
        <v>48.8932183908046</v>
      </c>
      <c r="L1177" s="0" t="n">
        <f aca="false">SUMPRODUCT(MMULT(E1177:J1177,_XtX!$B$44:$G$49),E1177:J1177)</f>
        <v>0.174050574712644</v>
      </c>
      <c r="M1177" s="0" t="n">
        <f aca="false">04_回帰ANOVA!$K$19*04_回帰ANOVA!$K$14*SQRT(1+L1177)</f>
        <v>1.46831750045351</v>
      </c>
      <c r="N1177" s="0" t="n">
        <f aca="false">K1177-M1177</f>
        <v>47.4249008903511</v>
      </c>
      <c r="O1177" s="0" t="n">
        <f aca="false">K1177+M1177</f>
        <v>50.3615358912581</v>
      </c>
      <c r="P1177" s="54" t="b">
        <f aca="false">AND(C1177&gt;=01_因子設定!$L$5-0.000000001,C1177&lt;=01_因子設定!$M$5+0.000000001,D1177&gt;=01_因子設定!$L$6-0.000000001,D1177&lt;=01_因子設定!$M$6+0.000000001,IF(01_因子設定!$B$20="Box-Behnken",C1177^2+D1177^2&lt;=2+0.000000001,TRUE()))</f>
        <v>1</v>
      </c>
      <c r="Q1177" s="55" t="n">
        <f aca="false">IF(P1177,IF(01_因子設定!$B$13="最大化",N1177-01_因子設定!$B$14,IF(01_因子設定!$B$13="最小化",01_因子設定!$B$15-O1177,MIN(N1177-01_因子設定!$B$14,01_因子設定!$B$15-O1177))),-1E+030)</f>
        <v>0.924900890351083</v>
      </c>
      <c r="R1177" s="55" t="n">
        <f aca="false">IF(P1177,IF(01_因子設定!$B$13="最大化",K1177,IF(01_因子設定!$B$13="最小化",-K1177,-ABS(K1177-01_因子設定!$B$16))),-1E+030)</f>
        <v>48.8932183908046</v>
      </c>
      <c r="S1177" s="55" t="n">
        <f aca="false">Q1177+ROW()*0.000000001</f>
        <v>0.924902067351083</v>
      </c>
      <c r="T1177" s="55" t="n">
        <f aca="false">R1177+ROW()*0.000000001</f>
        <v>48.8932195678046</v>
      </c>
    </row>
    <row r="1178" customFormat="false" ht="15" hidden="false" customHeight="false" outlineLevel="0" collapsed="false">
      <c r="A1178" s="0" t="n">
        <v>28</v>
      </c>
      <c r="B1178" s="0" t="n">
        <v>25</v>
      </c>
      <c r="C1178" s="0" t="n">
        <f aca="false">-1+A1178*0.05</f>
        <v>0.4</v>
      </c>
      <c r="D1178" s="0" t="n">
        <f aca="false">-1+B1178*0.05</f>
        <v>0.25</v>
      </c>
      <c r="E1178" s="0" t="n">
        <f aca="false">1</f>
        <v>1</v>
      </c>
      <c r="F1178" s="0" t="n">
        <f aca="false">C1178</f>
        <v>0.4</v>
      </c>
      <c r="G1178" s="0" t="n">
        <f aca="false">D1178</f>
        <v>0.25</v>
      </c>
      <c r="H1178" s="0" t="n">
        <f aca="false">C1178*D1178</f>
        <v>0.1</v>
      </c>
      <c r="I1178" s="0" t="n">
        <f aca="false">C1178*C1178</f>
        <v>0.16</v>
      </c>
      <c r="J1178" s="0" t="n">
        <f aca="false">D1178*D1178</f>
        <v>0.0625</v>
      </c>
      <c r="K1178" s="0" t="n">
        <f aca="false">SUMPRODUCT(E1178:J1178,_XtX!$B$53:$G$53)</f>
        <v>48.9814985632184</v>
      </c>
      <c r="L1178" s="0" t="n">
        <f aca="false">SUMPRODUCT(MMULT(E1178:J1178,_XtX!$B$44:$G$49),E1178:J1178)</f>
        <v>0.173887320402299</v>
      </c>
      <c r="M1178" s="0" t="n">
        <f aca="false">04_回帰ANOVA!$K$19*04_回帰ANOVA!$K$14*SQRT(1+L1178)</f>
        <v>1.46821541051817</v>
      </c>
      <c r="N1178" s="0" t="n">
        <f aca="false">K1178-M1178</f>
        <v>47.5132831527002</v>
      </c>
      <c r="O1178" s="0" t="n">
        <f aca="false">K1178+M1178</f>
        <v>50.4497139737366</v>
      </c>
      <c r="P1178" s="54" t="b">
        <f aca="false">AND(C1178&gt;=01_因子設定!$L$5-0.000000001,C1178&lt;=01_因子設定!$M$5+0.000000001,D1178&gt;=01_因子設定!$L$6-0.000000001,D1178&lt;=01_因子設定!$M$6+0.000000001,IF(01_因子設定!$B$20="Box-Behnken",C1178^2+D1178^2&lt;=2+0.000000001,TRUE()))</f>
        <v>1</v>
      </c>
      <c r="Q1178" s="55" t="n">
        <f aca="false">IF(P1178,IF(01_因子設定!$B$13="最大化",N1178-01_因子設定!$B$14,IF(01_因子設定!$B$13="最小化",01_因子設定!$B$15-O1178,MIN(N1178-01_因子設定!$B$14,01_因子設定!$B$15-O1178))),-1E+030)</f>
        <v>1.01328315270021</v>
      </c>
      <c r="R1178" s="55" t="n">
        <f aca="false">IF(P1178,IF(01_因子設定!$B$13="最大化",K1178,IF(01_因子設定!$B$13="最小化",-K1178,-ABS(K1178-01_因子設定!$B$16))),-1E+030)</f>
        <v>48.9814985632184</v>
      </c>
      <c r="S1178" s="55" t="n">
        <f aca="false">Q1178+ROW()*0.000000001</f>
        <v>1.01328433070021</v>
      </c>
      <c r="T1178" s="55" t="n">
        <f aca="false">R1178+ROW()*0.000000001</f>
        <v>48.9814997412184</v>
      </c>
    </row>
    <row r="1179" customFormat="false" ht="15" hidden="false" customHeight="false" outlineLevel="0" collapsed="false">
      <c r="A1179" s="0" t="n">
        <v>28</v>
      </c>
      <c r="B1179" s="0" t="n">
        <v>26</v>
      </c>
      <c r="C1179" s="0" t="n">
        <f aca="false">-1+A1179*0.05</f>
        <v>0.4</v>
      </c>
      <c r="D1179" s="0" t="n">
        <f aca="false">-1+B1179*0.05</f>
        <v>0.3</v>
      </c>
      <c r="E1179" s="0" t="n">
        <f aca="false">1</f>
        <v>1</v>
      </c>
      <c r="F1179" s="0" t="n">
        <f aca="false">C1179</f>
        <v>0.4</v>
      </c>
      <c r="G1179" s="0" t="n">
        <f aca="false">D1179</f>
        <v>0.3</v>
      </c>
      <c r="H1179" s="0" t="n">
        <f aca="false">C1179*D1179</f>
        <v>0.12</v>
      </c>
      <c r="I1179" s="0" t="n">
        <f aca="false">C1179*C1179</f>
        <v>0.16</v>
      </c>
      <c r="J1179" s="0" t="n">
        <f aca="false">D1179*D1179</f>
        <v>0.09</v>
      </c>
      <c r="K1179" s="0" t="n">
        <f aca="false">SUMPRODUCT(E1179:J1179,_XtX!$B$53:$G$53)</f>
        <v>49.0620632183908</v>
      </c>
      <c r="L1179" s="0" t="n">
        <f aca="false">SUMPRODUCT(MMULT(E1179:J1179,_XtX!$B$44:$G$49),E1179:J1179)</f>
        <v>0.174185632183908</v>
      </c>
      <c r="M1179" s="0" t="n">
        <f aca="false">04_回帰ANOVA!$K$19*04_回帰ANOVA!$K$14*SQRT(1+L1179)</f>
        <v>1.46840195232898</v>
      </c>
      <c r="N1179" s="0" t="n">
        <f aca="false">K1179-M1179</f>
        <v>47.5936612660618</v>
      </c>
      <c r="O1179" s="0" t="n">
        <f aca="false">K1179+M1179</f>
        <v>50.5304651707198</v>
      </c>
      <c r="P1179" s="54" t="b">
        <f aca="false">AND(C1179&gt;=01_因子設定!$L$5-0.000000001,C1179&lt;=01_因子設定!$M$5+0.000000001,D1179&gt;=01_因子設定!$L$6-0.000000001,D1179&lt;=01_因子設定!$M$6+0.000000001,IF(01_因子設定!$B$20="Box-Behnken",C1179^2+D1179^2&lt;=2+0.000000001,TRUE()))</f>
        <v>1</v>
      </c>
      <c r="Q1179" s="55" t="n">
        <f aca="false">IF(P1179,IF(01_因子設定!$B$13="最大化",N1179-01_因子設定!$B$14,IF(01_因子設定!$B$13="最小化",01_因子設定!$B$15-O1179,MIN(N1179-01_因子設定!$B$14,01_因子設定!$B$15-O1179))),-1E+030)</f>
        <v>1.09366126606182</v>
      </c>
      <c r="R1179" s="55" t="n">
        <f aca="false">IF(P1179,IF(01_因子設定!$B$13="最大化",K1179,IF(01_因子設定!$B$13="最小化",-K1179,-ABS(K1179-01_因子設定!$B$16))),-1E+030)</f>
        <v>49.0620632183908</v>
      </c>
      <c r="S1179" s="55" t="n">
        <f aca="false">Q1179+ROW()*0.000000001</f>
        <v>1.09366244506182</v>
      </c>
      <c r="T1179" s="55" t="n">
        <f aca="false">R1179+ROW()*0.000000001</f>
        <v>49.0620643973908</v>
      </c>
    </row>
    <row r="1180" customFormat="false" ht="15" hidden="false" customHeight="false" outlineLevel="0" collapsed="false">
      <c r="A1180" s="0" t="n">
        <v>28</v>
      </c>
      <c r="B1180" s="0" t="n">
        <v>27</v>
      </c>
      <c r="C1180" s="0" t="n">
        <f aca="false">-1+A1180*0.05</f>
        <v>0.4</v>
      </c>
      <c r="D1180" s="0" t="n">
        <f aca="false">-1+B1180*0.05</f>
        <v>0.35</v>
      </c>
      <c r="E1180" s="0" t="n">
        <f aca="false">1</f>
        <v>1</v>
      </c>
      <c r="F1180" s="0" t="n">
        <f aca="false">C1180</f>
        <v>0.4</v>
      </c>
      <c r="G1180" s="0" t="n">
        <f aca="false">D1180</f>
        <v>0.35</v>
      </c>
      <c r="H1180" s="0" t="n">
        <f aca="false">C1180*D1180</f>
        <v>0.14</v>
      </c>
      <c r="I1180" s="0" t="n">
        <f aca="false">C1180*C1180</f>
        <v>0.16</v>
      </c>
      <c r="J1180" s="0" t="n">
        <f aca="false">D1180*D1180</f>
        <v>0.1225</v>
      </c>
      <c r="K1180" s="0" t="n">
        <f aca="false">SUMPRODUCT(E1180:J1180,_XtX!$B$53:$G$53)</f>
        <v>49.1349123563218</v>
      </c>
      <c r="L1180" s="0" t="n">
        <f aca="false">SUMPRODUCT(MMULT(E1180:J1180,_XtX!$B$44:$G$49),E1180:J1180)</f>
        <v>0.175244216954023</v>
      </c>
      <c r="M1180" s="0" t="n">
        <f aca="false">04_回帰ANOVA!$K$19*04_回帰ANOVA!$K$14*SQRT(1+L1180)</f>
        <v>1.46906372066889</v>
      </c>
      <c r="N1180" s="0" t="n">
        <f aca="false">K1180-M1180</f>
        <v>47.665848635653</v>
      </c>
      <c r="O1180" s="0" t="n">
        <f aca="false">K1180+M1180</f>
        <v>50.6039760769907</v>
      </c>
      <c r="P1180" s="54" t="b">
        <f aca="false">AND(C1180&gt;=01_因子設定!$L$5-0.000000001,C1180&lt;=01_因子設定!$M$5+0.000000001,D1180&gt;=01_因子設定!$L$6-0.000000001,D1180&lt;=01_因子設定!$M$6+0.000000001,IF(01_因子設定!$B$20="Box-Behnken",C1180^2+D1180^2&lt;=2+0.000000001,TRUE()))</f>
        <v>1</v>
      </c>
      <c r="Q1180" s="55" t="n">
        <f aca="false">IF(P1180,IF(01_因子設定!$B$13="最大化",N1180-01_因子設定!$B$14,IF(01_因子設定!$B$13="最小化",01_因子設定!$B$15-O1180,MIN(N1180-01_因子設定!$B$14,01_因子設定!$B$15-O1180))),-1E+030)</f>
        <v>1.16584863565295</v>
      </c>
      <c r="R1180" s="55" t="n">
        <f aca="false">IF(P1180,IF(01_因子設定!$B$13="最大化",K1180,IF(01_因子設定!$B$13="最小化",-K1180,-ABS(K1180-01_因子設定!$B$16))),-1E+030)</f>
        <v>49.1349123563218</v>
      </c>
      <c r="S1180" s="55" t="n">
        <f aca="false">Q1180+ROW()*0.000000001</f>
        <v>1.16584981565295</v>
      </c>
      <c r="T1180" s="55" t="n">
        <f aca="false">R1180+ROW()*0.000000001</f>
        <v>49.1349135363218</v>
      </c>
    </row>
    <row r="1181" customFormat="false" ht="15" hidden="false" customHeight="false" outlineLevel="0" collapsed="false">
      <c r="A1181" s="0" t="n">
        <v>28</v>
      </c>
      <c r="B1181" s="0" t="n">
        <v>28</v>
      </c>
      <c r="C1181" s="0" t="n">
        <f aca="false">-1+A1181*0.05</f>
        <v>0.4</v>
      </c>
      <c r="D1181" s="0" t="n">
        <f aca="false">-1+B1181*0.05</f>
        <v>0.4</v>
      </c>
      <c r="E1181" s="0" t="n">
        <f aca="false">1</f>
        <v>1</v>
      </c>
      <c r="F1181" s="0" t="n">
        <f aca="false">C1181</f>
        <v>0.4</v>
      </c>
      <c r="G1181" s="0" t="n">
        <f aca="false">D1181</f>
        <v>0.4</v>
      </c>
      <c r="H1181" s="0" t="n">
        <f aca="false">C1181*D1181</f>
        <v>0.16</v>
      </c>
      <c r="I1181" s="0" t="n">
        <f aca="false">C1181*C1181</f>
        <v>0.16</v>
      </c>
      <c r="J1181" s="0" t="n">
        <f aca="false">D1181*D1181</f>
        <v>0.16</v>
      </c>
      <c r="K1181" s="0" t="n">
        <f aca="false">SUMPRODUCT(E1181:J1181,_XtX!$B$53:$G$53)</f>
        <v>49.2000459770115</v>
      </c>
      <c r="L1181" s="0" t="n">
        <f aca="false">SUMPRODUCT(MMULT(E1181:J1181,_XtX!$B$44:$G$49),E1181:J1181)</f>
        <v>0.177416091954023</v>
      </c>
      <c r="M1181" s="0" t="n">
        <f aca="false">04_回帰ANOVA!$K$19*04_回帰ANOVA!$K$14*SQRT(1+L1181)</f>
        <v>1.47042052379075</v>
      </c>
      <c r="N1181" s="0" t="n">
        <f aca="false">K1181-M1181</f>
        <v>47.7296254532207</v>
      </c>
      <c r="O1181" s="0" t="n">
        <f aca="false">K1181+M1181</f>
        <v>50.6704665008022</v>
      </c>
      <c r="P1181" s="54" t="b">
        <f aca="false">AND(C1181&gt;=01_因子設定!$L$5-0.000000001,C1181&lt;=01_因子設定!$M$5+0.000000001,D1181&gt;=01_因子設定!$L$6-0.000000001,D1181&lt;=01_因子設定!$M$6+0.000000001,IF(01_因子設定!$B$20="Box-Behnken",C1181^2+D1181^2&lt;=2+0.000000001,TRUE()))</f>
        <v>1</v>
      </c>
      <c r="Q1181" s="55" t="n">
        <f aca="false">IF(P1181,IF(01_因子設定!$B$13="最大化",N1181-01_因子設定!$B$14,IF(01_因子設定!$B$13="最小化",01_因子設定!$B$15-O1181,MIN(N1181-01_因子設定!$B$14,01_因子設定!$B$15-O1181))),-1E+030)</f>
        <v>1.22962545322074</v>
      </c>
      <c r="R1181" s="55" t="n">
        <f aca="false">IF(P1181,IF(01_因子設定!$B$13="最大化",K1181,IF(01_因子設定!$B$13="最小化",-K1181,-ABS(K1181-01_因子設定!$B$16))),-1E+030)</f>
        <v>49.2000459770115</v>
      </c>
      <c r="S1181" s="55" t="n">
        <f aca="false">Q1181+ROW()*0.000000001</f>
        <v>1.22962663422074</v>
      </c>
      <c r="T1181" s="55" t="n">
        <f aca="false">R1181+ROW()*0.000000001</f>
        <v>49.2000471580115</v>
      </c>
    </row>
    <row r="1182" customFormat="false" ht="15" hidden="false" customHeight="false" outlineLevel="0" collapsed="false">
      <c r="A1182" s="0" t="n">
        <v>28</v>
      </c>
      <c r="B1182" s="0" t="n">
        <v>29</v>
      </c>
      <c r="C1182" s="0" t="n">
        <f aca="false">-1+A1182*0.05</f>
        <v>0.4</v>
      </c>
      <c r="D1182" s="0" t="n">
        <f aca="false">-1+B1182*0.05</f>
        <v>0.45</v>
      </c>
      <c r="E1182" s="0" t="n">
        <f aca="false">1</f>
        <v>1</v>
      </c>
      <c r="F1182" s="0" t="n">
        <f aca="false">C1182</f>
        <v>0.4</v>
      </c>
      <c r="G1182" s="0" t="n">
        <f aca="false">D1182</f>
        <v>0.45</v>
      </c>
      <c r="H1182" s="0" t="n">
        <f aca="false">C1182*D1182</f>
        <v>0.18</v>
      </c>
      <c r="I1182" s="0" t="n">
        <f aca="false">C1182*C1182</f>
        <v>0.16</v>
      </c>
      <c r="J1182" s="0" t="n">
        <f aca="false">D1182*D1182</f>
        <v>0.2025</v>
      </c>
      <c r="K1182" s="0" t="n">
        <f aca="false">SUMPRODUCT(E1182:J1182,_XtX!$B$53:$G$53)</f>
        <v>49.2574640804598</v>
      </c>
      <c r="L1182" s="0" t="n">
        <f aca="false">SUMPRODUCT(MMULT(E1182:J1182,_XtX!$B$44:$G$49),E1182:J1182)</f>
        <v>0.181108584770115</v>
      </c>
      <c r="M1182" s="0" t="n">
        <f aca="false">04_回帰ANOVA!$K$19*04_回帰ANOVA!$K$14*SQRT(1+L1182)</f>
        <v>1.47272441068535</v>
      </c>
      <c r="N1182" s="0" t="n">
        <f aca="false">K1182-M1182</f>
        <v>47.7847396697744</v>
      </c>
      <c r="O1182" s="0" t="n">
        <f aca="false">K1182+M1182</f>
        <v>50.7301884911451</v>
      </c>
      <c r="P1182" s="54" t="b">
        <f aca="false">AND(C1182&gt;=01_因子設定!$L$5-0.000000001,C1182&lt;=01_因子設定!$M$5+0.000000001,D1182&gt;=01_因子設定!$L$6-0.000000001,D1182&lt;=01_因子設定!$M$6+0.000000001,IF(01_因子設定!$B$20="Box-Behnken",C1182^2+D1182^2&lt;=2+0.000000001,TRUE()))</f>
        <v>1</v>
      </c>
      <c r="Q1182" s="55" t="n">
        <f aca="false">IF(P1182,IF(01_因子設定!$B$13="最大化",N1182-01_因子設定!$B$14,IF(01_因子設定!$B$13="最小化",01_因子設定!$B$15-O1182,MIN(N1182-01_因子設定!$B$14,01_因子設定!$B$15-O1182))),-1E+030)</f>
        <v>1.28473966977442</v>
      </c>
      <c r="R1182" s="55" t="n">
        <f aca="false">IF(P1182,IF(01_因子設定!$B$13="最大化",K1182,IF(01_因子設定!$B$13="最小化",-K1182,-ABS(K1182-01_因子設定!$B$16))),-1E+030)</f>
        <v>49.2574640804598</v>
      </c>
      <c r="S1182" s="55" t="n">
        <f aca="false">Q1182+ROW()*0.000000001</f>
        <v>1.28474085177442</v>
      </c>
      <c r="T1182" s="55" t="n">
        <f aca="false">R1182+ROW()*0.000000001</f>
        <v>49.2574652624598</v>
      </c>
    </row>
    <row r="1183" customFormat="false" ht="15" hidden="false" customHeight="false" outlineLevel="0" collapsed="false">
      <c r="A1183" s="0" t="n">
        <v>28</v>
      </c>
      <c r="B1183" s="0" t="n">
        <v>30</v>
      </c>
      <c r="C1183" s="0" t="n">
        <f aca="false">-1+A1183*0.05</f>
        <v>0.4</v>
      </c>
      <c r="D1183" s="0" t="n">
        <f aca="false">-1+B1183*0.05</f>
        <v>0.5</v>
      </c>
      <c r="E1183" s="0" t="n">
        <f aca="false">1</f>
        <v>1</v>
      </c>
      <c r="F1183" s="0" t="n">
        <f aca="false">C1183</f>
        <v>0.4</v>
      </c>
      <c r="G1183" s="0" t="n">
        <f aca="false">D1183</f>
        <v>0.5</v>
      </c>
      <c r="H1183" s="0" t="n">
        <f aca="false">C1183*D1183</f>
        <v>0.2</v>
      </c>
      <c r="I1183" s="0" t="n">
        <f aca="false">C1183*C1183</f>
        <v>0.16</v>
      </c>
      <c r="J1183" s="0" t="n">
        <f aca="false">D1183*D1183</f>
        <v>0.25</v>
      </c>
      <c r="K1183" s="0" t="n">
        <f aca="false">SUMPRODUCT(E1183:J1183,_XtX!$B$53:$G$53)</f>
        <v>49.3071666666667</v>
      </c>
      <c r="L1183" s="0" t="n">
        <f aca="false">SUMPRODUCT(MMULT(E1183:J1183,_XtX!$B$44:$G$49),E1183:J1183)</f>
        <v>0.186783333333333</v>
      </c>
      <c r="M1183" s="0" t="n">
        <f aca="false">04_回帰ANOVA!$K$19*04_回帰ANOVA!$K$14*SQRT(1+L1183)</f>
        <v>1.47625809356371</v>
      </c>
      <c r="N1183" s="0" t="n">
        <f aca="false">K1183-M1183</f>
        <v>47.830908573103</v>
      </c>
      <c r="O1183" s="0" t="n">
        <f aca="false">K1183+M1183</f>
        <v>50.7834247602304</v>
      </c>
      <c r="P1183" s="54" t="b">
        <f aca="false">AND(C1183&gt;=01_因子設定!$L$5-0.000000001,C1183&lt;=01_因子設定!$M$5+0.000000001,D1183&gt;=01_因子設定!$L$6-0.000000001,D1183&lt;=01_因子設定!$M$6+0.000000001,IF(01_因子設定!$B$20="Box-Behnken",C1183^2+D1183^2&lt;=2+0.000000001,TRUE()))</f>
        <v>1</v>
      </c>
      <c r="Q1183" s="55" t="n">
        <f aca="false">IF(P1183,IF(01_因子設定!$B$13="最大化",N1183-01_因子設定!$B$14,IF(01_因子設定!$B$13="最小化",01_因子設定!$B$15-O1183,MIN(N1183-01_因子設定!$B$14,01_因子設定!$B$15-O1183))),-1E+030)</f>
        <v>1.33090857310295</v>
      </c>
      <c r="R1183" s="55" t="n">
        <f aca="false">IF(P1183,IF(01_因子設定!$B$13="最大化",K1183,IF(01_因子設定!$B$13="最小化",-K1183,-ABS(K1183-01_因子設定!$B$16))),-1E+030)</f>
        <v>49.3071666666667</v>
      </c>
      <c r="S1183" s="55" t="n">
        <f aca="false">Q1183+ROW()*0.000000001</f>
        <v>1.33090975610295</v>
      </c>
      <c r="T1183" s="55" t="n">
        <f aca="false">R1183+ROW()*0.000000001</f>
        <v>49.3071678496667</v>
      </c>
    </row>
    <row r="1184" customFormat="false" ht="15" hidden="false" customHeight="false" outlineLevel="0" collapsed="false">
      <c r="A1184" s="0" t="n">
        <v>28</v>
      </c>
      <c r="B1184" s="0" t="n">
        <v>31</v>
      </c>
      <c r="C1184" s="0" t="n">
        <f aca="false">-1+A1184*0.05</f>
        <v>0.4</v>
      </c>
      <c r="D1184" s="0" t="n">
        <f aca="false">-1+B1184*0.05</f>
        <v>0.55</v>
      </c>
      <c r="E1184" s="0" t="n">
        <f aca="false">1</f>
        <v>1</v>
      </c>
      <c r="F1184" s="0" t="n">
        <f aca="false">C1184</f>
        <v>0.4</v>
      </c>
      <c r="G1184" s="0" t="n">
        <f aca="false">D1184</f>
        <v>0.55</v>
      </c>
      <c r="H1184" s="0" t="n">
        <f aca="false">C1184*D1184</f>
        <v>0.22</v>
      </c>
      <c r="I1184" s="0" t="n">
        <f aca="false">C1184*C1184</f>
        <v>0.16</v>
      </c>
      <c r="J1184" s="0" t="n">
        <f aca="false">D1184*D1184</f>
        <v>0.3025</v>
      </c>
      <c r="K1184" s="0" t="n">
        <f aca="false">SUMPRODUCT(E1184:J1184,_XtX!$B$53:$G$53)</f>
        <v>49.3491537356322</v>
      </c>
      <c r="L1184" s="0" t="n">
        <f aca="false">SUMPRODUCT(MMULT(E1184:J1184,_XtX!$B$44:$G$49),E1184:J1184)</f>
        <v>0.19495628591954</v>
      </c>
      <c r="M1184" s="0" t="n">
        <f aca="false">04_回帰ANOVA!$K$19*04_回帰ANOVA!$K$14*SQRT(1+L1184)</f>
        <v>1.48133260286245</v>
      </c>
      <c r="N1184" s="0" t="n">
        <f aca="false">K1184-M1184</f>
        <v>47.8678211327697</v>
      </c>
      <c r="O1184" s="0" t="n">
        <f aca="false">K1184+M1184</f>
        <v>50.8304863384946</v>
      </c>
      <c r="P1184" s="54" t="b">
        <f aca="false">AND(C1184&gt;=01_因子設定!$L$5-0.000000001,C1184&lt;=01_因子設定!$M$5+0.000000001,D1184&gt;=01_因子設定!$L$6-0.000000001,D1184&lt;=01_因子設定!$M$6+0.000000001,IF(01_因子設定!$B$20="Box-Behnken",C1184^2+D1184^2&lt;=2+0.000000001,TRUE()))</f>
        <v>1</v>
      </c>
      <c r="Q1184" s="55" t="n">
        <f aca="false">IF(P1184,IF(01_因子設定!$B$13="最大化",N1184-01_因子設定!$B$14,IF(01_因子設定!$B$13="最小化",01_因子設定!$B$15-O1184,MIN(N1184-01_因子設定!$B$14,01_因子設定!$B$15-O1184))),-1E+030)</f>
        <v>1.36782113276973</v>
      </c>
      <c r="R1184" s="55" t="n">
        <f aca="false">IF(P1184,IF(01_因子設定!$B$13="最大化",K1184,IF(01_因子設定!$B$13="最小化",-K1184,-ABS(K1184-01_因子設定!$B$16))),-1E+030)</f>
        <v>49.3491537356322</v>
      </c>
      <c r="S1184" s="55" t="n">
        <f aca="false">Q1184+ROW()*0.000000001</f>
        <v>1.36782231676973</v>
      </c>
      <c r="T1184" s="55" t="n">
        <f aca="false">R1184+ROW()*0.000000001</f>
        <v>49.3491549196322</v>
      </c>
    </row>
    <row r="1185" customFormat="false" ht="15" hidden="false" customHeight="false" outlineLevel="0" collapsed="false">
      <c r="A1185" s="0" t="n">
        <v>28</v>
      </c>
      <c r="B1185" s="0" t="n">
        <v>32</v>
      </c>
      <c r="C1185" s="0" t="n">
        <f aca="false">-1+A1185*0.05</f>
        <v>0.4</v>
      </c>
      <c r="D1185" s="0" t="n">
        <f aca="false">-1+B1185*0.05</f>
        <v>0.6</v>
      </c>
      <c r="E1185" s="0" t="n">
        <f aca="false">1</f>
        <v>1</v>
      </c>
      <c r="F1185" s="0" t="n">
        <f aca="false">C1185</f>
        <v>0.4</v>
      </c>
      <c r="G1185" s="0" t="n">
        <f aca="false">D1185</f>
        <v>0.6</v>
      </c>
      <c r="H1185" s="0" t="n">
        <f aca="false">C1185*D1185</f>
        <v>0.24</v>
      </c>
      <c r="I1185" s="0" t="n">
        <f aca="false">C1185*C1185</f>
        <v>0.16</v>
      </c>
      <c r="J1185" s="0" t="n">
        <f aca="false">D1185*D1185</f>
        <v>0.36</v>
      </c>
      <c r="K1185" s="0" t="n">
        <f aca="false">SUMPRODUCT(E1185:J1185,_XtX!$B$53:$G$53)</f>
        <v>49.3834252873563</v>
      </c>
      <c r="L1185" s="0" t="n">
        <f aca="false">SUMPRODUCT(MMULT(E1185:J1185,_XtX!$B$44:$G$49),E1185:J1185)</f>
        <v>0.206197701149425</v>
      </c>
      <c r="M1185" s="0" t="n">
        <f aca="false">04_回帰ANOVA!$K$19*04_回帰ANOVA!$K$14*SQRT(1+L1185)</f>
        <v>1.48828402636661</v>
      </c>
      <c r="N1185" s="0" t="n">
        <f aca="false">K1185-M1185</f>
        <v>47.8951412609897</v>
      </c>
      <c r="O1185" s="0" t="n">
        <f aca="false">K1185+M1185</f>
        <v>50.8717093137229</v>
      </c>
      <c r="P1185" s="54" t="b">
        <f aca="false">AND(C1185&gt;=01_因子設定!$L$5-0.000000001,C1185&lt;=01_因子設定!$M$5+0.000000001,D1185&gt;=01_因子設定!$L$6-0.000000001,D1185&lt;=01_因子設定!$M$6+0.000000001,IF(01_因子設定!$B$20="Box-Behnken",C1185^2+D1185^2&lt;=2+0.000000001,TRUE()))</f>
        <v>1</v>
      </c>
      <c r="Q1185" s="55" t="n">
        <f aca="false">IF(P1185,IF(01_因子設定!$B$13="最大化",N1185-01_因子設定!$B$14,IF(01_因子設定!$B$13="最小化",01_因子設定!$B$15-O1185,MIN(N1185-01_因子設定!$B$14,01_因子設定!$B$15-O1185))),-1E+030)</f>
        <v>1.3951412609897</v>
      </c>
      <c r="R1185" s="55" t="n">
        <f aca="false">IF(P1185,IF(01_因子設定!$B$13="最大化",K1185,IF(01_因子設定!$B$13="最小化",-K1185,-ABS(K1185-01_因子設定!$B$16))),-1E+030)</f>
        <v>49.3834252873563</v>
      </c>
      <c r="S1185" s="55" t="n">
        <f aca="false">Q1185+ROW()*0.000000001</f>
        <v>1.3951424459897</v>
      </c>
      <c r="T1185" s="55" t="n">
        <f aca="false">R1185+ROW()*0.000000001</f>
        <v>49.3834264723563</v>
      </c>
    </row>
    <row r="1186" customFormat="false" ht="15" hidden="false" customHeight="false" outlineLevel="0" collapsed="false">
      <c r="A1186" s="0" t="n">
        <v>28</v>
      </c>
      <c r="B1186" s="0" t="n">
        <v>33</v>
      </c>
      <c r="C1186" s="0" t="n">
        <f aca="false">-1+A1186*0.05</f>
        <v>0.4</v>
      </c>
      <c r="D1186" s="0" t="n">
        <f aca="false">-1+B1186*0.05</f>
        <v>0.65</v>
      </c>
      <c r="E1186" s="0" t="n">
        <f aca="false">1</f>
        <v>1</v>
      </c>
      <c r="F1186" s="0" t="n">
        <f aca="false">C1186</f>
        <v>0.4</v>
      </c>
      <c r="G1186" s="0" t="n">
        <f aca="false">D1186</f>
        <v>0.65</v>
      </c>
      <c r="H1186" s="0" t="n">
        <f aca="false">C1186*D1186</f>
        <v>0.26</v>
      </c>
      <c r="I1186" s="0" t="n">
        <f aca="false">C1186*C1186</f>
        <v>0.16</v>
      </c>
      <c r="J1186" s="0" t="n">
        <f aca="false">D1186*D1186</f>
        <v>0.4225</v>
      </c>
      <c r="K1186" s="0" t="n">
        <f aca="false">SUMPRODUCT(E1186:J1186,_XtX!$B$53:$G$53)</f>
        <v>49.4099813218391</v>
      </c>
      <c r="L1186" s="0" t="n">
        <f aca="false">SUMPRODUCT(MMULT(E1186:J1186,_XtX!$B$44:$G$49),E1186:J1186)</f>
        <v>0.221132147988506</v>
      </c>
      <c r="M1186" s="0" t="n">
        <f aca="false">04_回帰ANOVA!$K$19*04_回帰ANOVA!$K$14*SQRT(1+L1186)</f>
        <v>1.4974692211941</v>
      </c>
      <c r="N1186" s="0" t="n">
        <f aca="false">K1186-M1186</f>
        <v>47.912512100645</v>
      </c>
      <c r="O1186" s="0" t="n">
        <f aca="false">K1186+M1186</f>
        <v>50.9074505430332</v>
      </c>
      <c r="P1186" s="54" t="b">
        <f aca="false">AND(C1186&gt;=01_因子設定!$L$5-0.000000001,C1186&lt;=01_因子設定!$M$5+0.000000001,D1186&gt;=01_因子設定!$L$6-0.000000001,D1186&lt;=01_因子設定!$M$6+0.000000001,IF(01_因子設定!$B$20="Box-Behnken",C1186^2+D1186^2&lt;=2+0.000000001,TRUE()))</f>
        <v>1</v>
      </c>
      <c r="Q1186" s="55" t="n">
        <f aca="false">IF(P1186,IF(01_因子設定!$B$13="最大化",N1186-01_因子設定!$B$14,IF(01_因子設定!$B$13="最小化",01_因子設定!$B$15-O1186,MIN(N1186-01_因子設定!$B$14,01_因子設定!$B$15-O1186))),-1E+030)</f>
        <v>1.41251210064497</v>
      </c>
      <c r="R1186" s="55" t="n">
        <f aca="false">IF(P1186,IF(01_因子設定!$B$13="最大化",K1186,IF(01_因子設定!$B$13="最小化",-K1186,-ABS(K1186-01_因子設定!$B$16))),-1E+030)</f>
        <v>49.4099813218391</v>
      </c>
      <c r="S1186" s="55" t="n">
        <f aca="false">Q1186+ROW()*0.000000001</f>
        <v>1.41251328664497</v>
      </c>
      <c r="T1186" s="55" t="n">
        <f aca="false">R1186+ROW()*0.000000001</f>
        <v>49.4099825078391</v>
      </c>
    </row>
    <row r="1187" customFormat="false" ht="15" hidden="false" customHeight="false" outlineLevel="0" collapsed="false">
      <c r="A1187" s="0" t="n">
        <v>28</v>
      </c>
      <c r="B1187" s="0" t="n">
        <v>34</v>
      </c>
      <c r="C1187" s="0" t="n">
        <f aca="false">-1+A1187*0.05</f>
        <v>0.4</v>
      </c>
      <c r="D1187" s="0" t="n">
        <f aca="false">-1+B1187*0.05</f>
        <v>0.7</v>
      </c>
      <c r="E1187" s="0" t="n">
        <f aca="false">1</f>
        <v>1</v>
      </c>
      <c r="F1187" s="0" t="n">
        <f aca="false">C1187</f>
        <v>0.4</v>
      </c>
      <c r="G1187" s="0" t="n">
        <f aca="false">D1187</f>
        <v>0.7</v>
      </c>
      <c r="H1187" s="0" t="n">
        <f aca="false">C1187*D1187</f>
        <v>0.28</v>
      </c>
      <c r="I1187" s="0" t="n">
        <f aca="false">C1187*C1187</f>
        <v>0.16</v>
      </c>
      <c r="J1187" s="0" t="n">
        <f aca="false">D1187*D1187</f>
        <v>0.49</v>
      </c>
      <c r="K1187" s="0" t="n">
        <f aca="false">SUMPRODUCT(E1187:J1187,_XtX!$B$53:$G$53)</f>
        <v>49.4288218390805</v>
      </c>
      <c r="L1187" s="0" t="n">
        <f aca="false">SUMPRODUCT(MMULT(E1187:J1187,_XtX!$B$44:$G$49),E1187:J1187)</f>
        <v>0.240438505747127</v>
      </c>
      <c r="M1187" s="0" t="n">
        <f aca="false">04_回帰ANOVA!$K$19*04_回帰ANOVA!$K$14*SQRT(1+L1187)</f>
        <v>1.5092604511937</v>
      </c>
      <c r="N1187" s="0" t="n">
        <f aca="false">K1187-M1187</f>
        <v>47.9195613878868</v>
      </c>
      <c r="O1187" s="0" t="n">
        <f aca="false">K1187+M1187</f>
        <v>50.9380822902742</v>
      </c>
      <c r="P1187" s="54" t="b">
        <f aca="false">AND(C1187&gt;=01_因子設定!$L$5-0.000000001,C1187&lt;=01_因子設定!$M$5+0.000000001,D1187&gt;=01_因子設定!$L$6-0.000000001,D1187&lt;=01_因子設定!$M$6+0.000000001,IF(01_因子設定!$B$20="Box-Behnken",C1187^2+D1187^2&lt;=2+0.000000001,TRUE()))</f>
        <v>1</v>
      </c>
      <c r="Q1187" s="55" t="n">
        <f aca="false">IF(P1187,IF(01_因子設定!$B$13="最大化",N1187-01_因子設定!$B$14,IF(01_因子設定!$B$13="最小化",01_因子設定!$B$15-O1187,MIN(N1187-01_因子設定!$B$14,01_因子設定!$B$15-O1187))),-1E+030)</f>
        <v>1.41956138788675</v>
      </c>
      <c r="R1187" s="55" t="n">
        <f aca="false">IF(P1187,IF(01_因子設定!$B$13="最大化",K1187,IF(01_因子設定!$B$13="最小化",-K1187,-ABS(K1187-01_因子設定!$B$16))),-1E+030)</f>
        <v>49.4288218390805</v>
      </c>
      <c r="S1187" s="55" t="n">
        <f aca="false">Q1187+ROW()*0.000000001</f>
        <v>1.41956257488675</v>
      </c>
      <c r="T1187" s="55" t="n">
        <f aca="false">R1187+ROW()*0.000000001</f>
        <v>49.4288230260805</v>
      </c>
    </row>
    <row r="1188" customFormat="false" ht="15" hidden="false" customHeight="false" outlineLevel="0" collapsed="false">
      <c r="A1188" s="0" t="n">
        <v>28</v>
      </c>
      <c r="B1188" s="0" t="n">
        <v>35</v>
      </c>
      <c r="C1188" s="0" t="n">
        <f aca="false">-1+A1188*0.05</f>
        <v>0.4</v>
      </c>
      <c r="D1188" s="0" t="n">
        <f aca="false">-1+B1188*0.05</f>
        <v>0.75</v>
      </c>
      <c r="E1188" s="0" t="n">
        <f aca="false">1</f>
        <v>1</v>
      </c>
      <c r="F1188" s="0" t="n">
        <f aca="false">C1188</f>
        <v>0.4</v>
      </c>
      <c r="G1188" s="0" t="n">
        <f aca="false">D1188</f>
        <v>0.75</v>
      </c>
      <c r="H1188" s="0" t="n">
        <f aca="false">C1188*D1188</f>
        <v>0.3</v>
      </c>
      <c r="I1188" s="0" t="n">
        <f aca="false">C1188*C1188</f>
        <v>0.16</v>
      </c>
      <c r="J1188" s="0" t="n">
        <f aca="false">D1188*D1188</f>
        <v>0.5625</v>
      </c>
      <c r="K1188" s="0" t="n">
        <f aca="false">SUMPRODUCT(E1188:J1188,_XtX!$B$53:$G$53)</f>
        <v>49.4399468390805</v>
      </c>
      <c r="L1188" s="0" t="n">
        <f aca="false">SUMPRODUCT(MMULT(E1188:J1188,_XtX!$B$44:$G$49),E1188:J1188)</f>
        <v>0.26484996408046</v>
      </c>
      <c r="M1188" s="0" t="n">
        <f aca="false">04_回帰ANOVA!$K$19*04_回帰ANOVA!$K$14*SQRT(1+L1188)</f>
        <v>1.52403899298102</v>
      </c>
      <c r="N1188" s="0" t="n">
        <f aca="false">K1188-M1188</f>
        <v>47.9159078460994</v>
      </c>
      <c r="O1188" s="0" t="n">
        <f aca="false">K1188+M1188</f>
        <v>50.9639858320615</v>
      </c>
      <c r="P1188" s="54" t="b">
        <f aca="false">AND(C1188&gt;=01_因子設定!$L$5-0.000000001,C1188&lt;=01_因子設定!$M$5+0.000000001,D1188&gt;=01_因子設定!$L$6-0.000000001,D1188&lt;=01_因子設定!$M$6+0.000000001,IF(01_因子設定!$B$20="Box-Behnken",C1188^2+D1188^2&lt;=2+0.000000001,TRUE()))</f>
        <v>1</v>
      </c>
      <c r="Q1188" s="55" t="n">
        <f aca="false">IF(P1188,IF(01_因子設定!$B$13="最大化",N1188-01_因子設定!$B$14,IF(01_因子設定!$B$13="最小化",01_因子設定!$B$15-O1188,MIN(N1188-01_因子設定!$B$14,01_因子設定!$B$15-O1188))),-1E+030)</f>
        <v>1.41590784609944</v>
      </c>
      <c r="R1188" s="55" t="n">
        <f aca="false">IF(P1188,IF(01_因子設定!$B$13="最大化",K1188,IF(01_因子設定!$B$13="最小化",-K1188,-ABS(K1188-01_因子設定!$B$16))),-1E+030)</f>
        <v>49.4399468390805</v>
      </c>
      <c r="S1188" s="55" t="n">
        <f aca="false">Q1188+ROW()*0.000000001</f>
        <v>1.41590903409944</v>
      </c>
      <c r="T1188" s="55" t="n">
        <f aca="false">R1188+ROW()*0.000000001</f>
        <v>49.4399480270805</v>
      </c>
    </row>
    <row r="1189" customFormat="false" ht="15" hidden="false" customHeight="false" outlineLevel="0" collapsed="false">
      <c r="A1189" s="0" t="n">
        <v>28</v>
      </c>
      <c r="B1189" s="0" t="n">
        <v>36</v>
      </c>
      <c r="C1189" s="0" t="n">
        <f aca="false">-1+A1189*0.05</f>
        <v>0.4</v>
      </c>
      <c r="D1189" s="0" t="n">
        <f aca="false">-1+B1189*0.05</f>
        <v>0.8</v>
      </c>
      <c r="E1189" s="0" t="n">
        <f aca="false">1</f>
        <v>1</v>
      </c>
      <c r="F1189" s="0" t="n">
        <f aca="false">C1189</f>
        <v>0.4</v>
      </c>
      <c r="G1189" s="0" t="n">
        <f aca="false">D1189</f>
        <v>0.8</v>
      </c>
      <c r="H1189" s="0" t="n">
        <f aca="false">C1189*D1189</f>
        <v>0.32</v>
      </c>
      <c r="I1189" s="0" t="n">
        <f aca="false">C1189*C1189</f>
        <v>0.16</v>
      </c>
      <c r="J1189" s="0" t="n">
        <f aca="false">D1189*D1189</f>
        <v>0.64</v>
      </c>
      <c r="K1189" s="0" t="n">
        <f aca="false">SUMPRODUCT(E1189:J1189,_XtX!$B$53:$G$53)</f>
        <v>49.4433563218391</v>
      </c>
      <c r="L1189" s="0" t="n">
        <f aca="false">SUMPRODUCT(MMULT(E1189:J1189,_XtX!$B$44:$G$49),E1189:J1189)</f>
        <v>0.295154022988506</v>
      </c>
      <c r="M1189" s="0" t="n">
        <f aca="false">04_回帰ANOVA!$K$19*04_回帰ANOVA!$K$14*SQRT(1+L1189)</f>
        <v>1.54218786602306</v>
      </c>
      <c r="N1189" s="0" t="n">
        <f aca="false">K1189-M1189</f>
        <v>47.901168455816</v>
      </c>
      <c r="O1189" s="0" t="n">
        <f aca="false">K1189+M1189</f>
        <v>50.9855441878621</v>
      </c>
      <c r="P1189" s="54" t="b">
        <f aca="false">AND(C1189&gt;=01_因子設定!$L$5-0.000000001,C1189&lt;=01_因子設定!$M$5+0.000000001,D1189&gt;=01_因子設定!$L$6-0.000000001,D1189&lt;=01_因子設定!$M$6+0.000000001,IF(01_因子設定!$B$20="Box-Behnken",C1189^2+D1189^2&lt;=2+0.000000001,TRUE()))</f>
        <v>1</v>
      </c>
      <c r="Q1189" s="55" t="n">
        <f aca="false">IF(P1189,IF(01_因子設定!$B$13="最大化",N1189-01_因子設定!$B$14,IF(01_因子設定!$B$13="最小化",01_因子設定!$B$15-O1189,MIN(N1189-01_因子設定!$B$14,01_因子設定!$B$15-O1189))),-1E+030)</f>
        <v>1.40116845581601</v>
      </c>
      <c r="R1189" s="55" t="n">
        <f aca="false">IF(P1189,IF(01_因子設定!$B$13="最大化",K1189,IF(01_因子設定!$B$13="最小化",-K1189,-ABS(K1189-01_因子設定!$B$16))),-1E+030)</f>
        <v>49.4433563218391</v>
      </c>
      <c r="S1189" s="55" t="n">
        <f aca="false">Q1189+ROW()*0.000000001</f>
        <v>1.40116964481601</v>
      </c>
      <c r="T1189" s="55" t="n">
        <f aca="false">R1189+ROW()*0.000000001</f>
        <v>49.4433575108391</v>
      </c>
    </row>
    <row r="1190" customFormat="false" ht="15" hidden="false" customHeight="false" outlineLevel="0" collapsed="false">
      <c r="A1190" s="0" t="n">
        <v>28</v>
      </c>
      <c r="B1190" s="0" t="n">
        <v>37</v>
      </c>
      <c r="C1190" s="0" t="n">
        <f aca="false">-1+A1190*0.05</f>
        <v>0.4</v>
      </c>
      <c r="D1190" s="0" t="n">
        <f aca="false">-1+B1190*0.05</f>
        <v>0.85</v>
      </c>
      <c r="E1190" s="0" t="n">
        <f aca="false">1</f>
        <v>1</v>
      </c>
      <c r="F1190" s="0" t="n">
        <f aca="false">C1190</f>
        <v>0.4</v>
      </c>
      <c r="G1190" s="0" t="n">
        <f aca="false">D1190</f>
        <v>0.85</v>
      </c>
      <c r="H1190" s="0" t="n">
        <f aca="false">C1190*D1190</f>
        <v>0.34</v>
      </c>
      <c r="I1190" s="0" t="n">
        <f aca="false">C1190*C1190</f>
        <v>0.16</v>
      </c>
      <c r="J1190" s="0" t="n">
        <f aca="false">D1190*D1190</f>
        <v>0.7225</v>
      </c>
      <c r="K1190" s="0" t="n">
        <f aca="false">SUMPRODUCT(E1190:J1190,_XtX!$B$53:$G$53)</f>
        <v>49.4390502873563</v>
      </c>
      <c r="L1190" s="0" t="n">
        <f aca="false">SUMPRODUCT(MMULT(E1190:J1190,_XtX!$B$44:$G$49),E1190:J1190)</f>
        <v>0.332192492816092</v>
      </c>
      <c r="M1190" s="0" t="n">
        <f aca="false">04_回帰ANOVA!$K$19*04_回帰ANOVA!$K$14*SQRT(1+L1190)</f>
        <v>1.56408396375374</v>
      </c>
      <c r="N1190" s="0" t="n">
        <f aca="false">K1190-M1190</f>
        <v>47.8749663236026</v>
      </c>
      <c r="O1190" s="0" t="n">
        <f aca="false">K1190+M1190</f>
        <v>51.0031342511101</v>
      </c>
      <c r="P1190" s="54" t="b">
        <f aca="false">AND(C1190&gt;=01_因子設定!$L$5-0.000000001,C1190&lt;=01_因子設定!$M$5+0.000000001,D1190&gt;=01_因子設定!$L$6-0.000000001,D1190&lt;=01_因子設定!$M$6+0.000000001,IF(01_因子設定!$B$20="Box-Behnken",C1190^2+D1190^2&lt;=2+0.000000001,TRUE()))</f>
        <v>1</v>
      </c>
      <c r="Q1190" s="55" t="n">
        <f aca="false">IF(P1190,IF(01_因子設定!$B$13="最大化",N1190-01_因子設定!$B$14,IF(01_因子設定!$B$13="最小化",01_因子設定!$B$15-O1190,MIN(N1190-01_因子設定!$B$14,01_因子設定!$B$15-O1190))),-1E+030)</f>
        <v>1.37496632360258</v>
      </c>
      <c r="R1190" s="55" t="n">
        <f aca="false">IF(P1190,IF(01_因子設定!$B$13="最大化",K1190,IF(01_因子設定!$B$13="最小化",-K1190,-ABS(K1190-01_因子設定!$B$16))),-1E+030)</f>
        <v>49.4390502873563</v>
      </c>
      <c r="S1190" s="55" t="n">
        <f aca="false">Q1190+ROW()*0.000000001</f>
        <v>1.37496751360258</v>
      </c>
      <c r="T1190" s="55" t="n">
        <f aca="false">R1190+ROW()*0.000000001</f>
        <v>49.4390514773563</v>
      </c>
    </row>
    <row r="1191" customFormat="false" ht="15" hidden="false" customHeight="false" outlineLevel="0" collapsed="false">
      <c r="A1191" s="0" t="n">
        <v>28</v>
      </c>
      <c r="B1191" s="0" t="n">
        <v>38</v>
      </c>
      <c r="C1191" s="0" t="n">
        <f aca="false">-1+A1191*0.05</f>
        <v>0.4</v>
      </c>
      <c r="D1191" s="0" t="n">
        <f aca="false">-1+B1191*0.05</f>
        <v>0.9</v>
      </c>
      <c r="E1191" s="0" t="n">
        <f aca="false">1</f>
        <v>1</v>
      </c>
      <c r="F1191" s="0" t="n">
        <f aca="false">C1191</f>
        <v>0.4</v>
      </c>
      <c r="G1191" s="0" t="n">
        <f aca="false">D1191</f>
        <v>0.9</v>
      </c>
      <c r="H1191" s="0" t="n">
        <f aca="false">C1191*D1191</f>
        <v>0.36</v>
      </c>
      <c r="I1191" s="0" t="n">
        <f aca="false">C1191*C1191</f>
        <v>0.16</v>
      </c>
      <c r="J1191" s="0" t="n">
        <f aca="false">D1191*D1191</f>
        <v>0.81</v>
      </c>
      <c r="K1191" s="0" t="n">
        <f aca="false">SUMPRODUCT(E1191:J1191,_XtX!$B$53:$G$53)</f>
        <v>49.4270287356322</v>
      </c>
      <c r="L1191" s="0" t="n">
        <f aca="false">SUMPRODUCT(MMULT(E1191:J1191,_XtX!$B$44:$G$49),E1191:J1191)</f>
        <v>0.376861494252874</v>
      </c>
      <c r="M1191" s="0" t="n">
        <f aca="false">04_回帰ANOVA!$K$19*04_回帰ANOVA!$K$14*SQRT(1+L1191)</f>
        <v>1.59008997521304</v>
      </c>
      <c r="N1191" s="0" t="n">
        <f aca="false">K1191-M1191</f>
        <v>47.8369387604191</v>
      </c>
      <c r="O1191" s="0" t="n">
        <f aca="false">K1191+M1191</f>
        <v>51.0171187108452</v>
      </c>
      <c r="P1191" s="54" t="b">
        <f aca="false">AND(C1191&gt;=01_因子設定!$L$5-0.000000001,C1191&lt;=01_因子設定!$M$5+0.000000001,D1191&gt;=01_因子設定!$L$6-0.000000001,D1191&lt;=01_因子設定!$M$6+0.000000001,IF(01_因子設定!$B$20="Box-Behnken",C1191^2+D1191^2&lt;=2+0.000000001,TRUE()))</f>
        <v>1</v>
      </c>
      <c r="Q1191" s="55" t="n">
        <f aca="false">IF(P1191,IF(01_因子設定!$B$13="最大化",N1191-01_因子設定!$B$14,IF(01_因子設定!$B$13="最小化",01_因子設定!$B$15-O1191,MIN(N1191-01_因子設定!$B$14,01_因子設定!$B$15-O1191))),-1E+030)</f>
        <v>1.33693876041914</v>
      </c>
      <c r="R1191" s="55" t="n">
        <f aca="false">IF(P1191,IF(01_因子設定!$B$13="最大化",K1191,IF(01_因子設定!$B$13="最小化",-K1191,-ABS(K1191-01_因子設定!$B$16))),-1E+030)</f>
        <v>49.4270287356322</v>
      </c>
      <c r="S1191" s="55" t="n">
        <f aca="false">Q1191+ROW()*0.000000001</f>
        <v>1.33693995141914</v>
      </c>
      <c r="T1191" s="55" t="n">
        <f aca="false">R1191+ROW()*0.000000001</f>
        <v>49.4270299266322</v>
      </c>
    </row>
    <row r="1192" customFormat="false" ht="15" hidden="false" customHeight="false" outlineLevel="0" collapsed="false">
      <c r="A1192" s="0" t="n">
        <v>28</v>
      </c>
      <c r="B1192" s="0" t="n">
        <v>39</v>
      </c>
      <c r="C1192" s="0" t="n">
        <f aca="false">-1+A1192*0.05</f>
        <v>0.4</v>
      </c>
      <c r="D1192" s="0" t="n">
        <f aca="false">-1+B1192*0.05</f>
        <v>0.95</v>
      </c>
      <c r="E1192" s="0" t="n">
        <f aca="false">1</f>
        <v>1</v>
      </c>
      <c r="F1192" s="0" t="n">
        <f aca="false">C1192</f>
        <v>0.4</v>
      </c>
      <c r="G1192" s="0" t="n">
        <f aca="false">D1192</f>
        <v>0.95</v>
      </c>
      <c r="H1192" s="0" t="n">
        <f aca="false">C1192*D1192</f>
        <v>0.38</v>
      </c>
      <c r="I1192" s="0" t="n">
        <f aca="false">C1192*C1192</f>
        <v>0.16</v>
      </c>
      <c r="J1192" s="0" t="n">
        <f aca="false">D1192*D1192</f>
        <v>0.9025</v>
      </c>
      <c r="K1192" s="0" t="n">
        <f aca="false">SUMPRODUCT(E1192:J1192,_XtX!$B$53:$G$53)</f>
        <v>49.4072916666667</v>
      </c>
      <c r="L1192" s="0" t="n">
        <f aca="false">SUMPRODUCT(MMULT(E1192:J1192,_XtX!$B$44:$G$49),E1192:J1192)</f>
        <v>0.430111458333334</v>
      </c>
      <c r="M1192" s="0" t="n">
        <f aca="false">04_回帰ANOVA!$K$19*04_回帰ANOVA!$K$14*SQRT(1+L1192)</f>
        <v>1.62054656818033</v>
      </c>
      <c r="N1192" s="0" t="n">
        <f aca="false">K1192-M1192</f>
        <v>47.7867450984863</v>
      </c>
      <c r="O1192" s="0" t="n">
        <f aca="false">K1192+M1192</f>
        <v>51.027838234847</v>
      </c>
      <c r="P1192" s="54" t="b">
        <f aca="false">AND(C1192&gt;=01_因子設定!$L$5-0.000000001,C1192&lt;=01_因子設定!$M$5+0.000000001,D1192&gt;=01_因子設定!$L$6-0.000000001,D1192&lt;=01_因子設定!$M$6+0.000000001,IF(01_因子設定!$B$20="Box-Behnken",C1192^2+D1192^2&lt;=2+0.000000001,TRUE()))</f>
        <v>1</v>
      </c>
      <c r="Q1192" s="55" t="n">
        <f aca="false">IF(P1192,IF(01_因子設定!$B$13="最大化",N1192-01_因子設定!$B$14,IF(01_因子設定!$B$13="最小化",01_因子設定!$B$15-O1192,MIN(N1192-01_因子設定!$B$14,01_因子設定!$B$15-O1192))),-1E+030)</f>
        <v>1.28674509848634</v>
      </c>
      <c r="R1192" s="55" t="n">
        <f aca="false">IF(P1192,IF(01_因子設定!$B$13="最大化",K1192,IF(01_因子設定!$B$13="最小化",-K1192,-ABS(K1192-01_因子設定!$B$16))),-1E+030)</f>
        <v>49.4072916666667</v>
      </c>
      <c r="S1192" s="55" t="n">
        <f aca="false">Q1192+ROW()*0.000000001</f>
        <v>1.28674629048634</v>
      </c>
      <c r="T1192" s="55" t="n">
        <f aca="false">R1192+ROW()*0.000000001</f>
        <v>49.4072928586667</v>
      </c>
    </row>
    <row r="1193" customFormat="false" ht="15" hidden="false" customHeight="false" outlineLevel="0" collapsed="false">
      <c r="A1193" s="0" t="n">
        <v>28</v>
      </c>
      <c r="B1193" s="0" t="n">
        <v>40</v>
      </c>
      <c r="C1193" s="0" t="n">
        <f aca="false">-1+A1193*0.05</f>
        <v>0.4</v>
      </c>
      <c r="D1193" s="0" t="n">
        <f aca="false">-1+B1193*0.05</f>
        <v>1</v>
      </c>
      <c r="E1193" s="0" t="n">
        <f aca="false">1</f>
        <v>1</v>
      </c>
      <c r="F1193" s="0" t="n">
        <f aca="false">C1193</f>
        <v>0.4</v>
      </c>
      <c r="G1193" s="0" t="n">
        <f aca="false">D1193</f>
        <v>1</v>
      </c>
      <c r="H1193" s="0" t="n">
        <f aca="false">C1193*D1193</f>
        <v>0.4</v>
      </c>
      <c r="I1193" s="0" t="n">
        <f aca="false">C1193*C1193</f>
        <v>0.16</v>
      </c>
      <c r="J1193" s="0" t="n">
        <f aca="false">D1193*D1193</f>
        <v>1</v>
      </c>
      <c r="K1193" s="0" t="n">
        <f aca="false">SUMPRODUCT(E1193:J1193,_XtX!$B$53:$G$53)</f>
        <v>49.3798390804598</v>
      </c>
      <c r="L1193" s="0" t="n">
        <f aca="false">SUMPRODUCT(MMULT(E1193:J1193,_XtX!$B$44:$G$49),E1193:J1193)</f>
        <v>0.492947126436782</v>
      </c>
      <c r="M1193" s="0" t="n">
        <f aca="false">04_回帰ANOVA!$K$19*04_回帰ANOVA!$K$14*SQRT(1+L1193)</f>
        <v>1.65576533475427</v>
      </c>
      <c r="N1193" s="0" t="n">
        <f aca="false">K1193-M1193</f>
        <v>47.7240737457055</v>
      </c>
      <c r="O1193" s="0" t="n">
        <f aca="false">K1193+M1193</f>
        <v>51.035604415214</v>
      </c>
      <c r="P1193" s="54" t="b">
        <f aca="false">AND(C1193&gt;=01_因子設定!$L$5-0.000000001,C1193&lt;=01_因子設定!$M$5+0.000000001,D1193&gt;=01_因子設定!$L$6-0.000000001,D1193&lt;=01_因子設定!$M$6+0.000000001,IF(01_因子設定!$B$20="Box-Behnken",C1193^2+D1193^2&lt;=2+0.000000001,TRUE()))</f>
        <v>1</v>
      </c>
      <c r="Q1193" s="55" t="n">
        <f aca="false">IF(P1193,IF(01_因子設定!$B$13="最大化",N1193-01_因子設定!$B$14,IF(01_因子設定!$B$13="最小化",01_因子設定!$B$15-O1193,MIN(N1193-01_因子設定!$B$14,01_因子設定!$B$15-O1193))),-1E+030)</f>
        <v>1.2240737457055</v>
      </c>
      <c r="R1193" s="55" t="n">
        <f aca="false">IF(P1193,IF(01_因子設定!$B$13="最大化",K1193,IF(01_因子設定!$B$13="最小化",-K1193,-ABS(K1193-01_因子設定!$B$16))),-1E+030)</f>
        <v>49.3798390804598</v>
      </c>
      <c r="S1193" s="55" t="n">
        <f aca="false">Q1193+ROW()*0.000000001</f>
        <v>1.2240749387055</v>
      </c>
      <c r="T1193" s="55" t="n">
        <f aca="false">R1193+ROW()*0.000000001</f>
        <v>49.3798402734598</v>
      </c>
    </row>
    <row r="1194" customFormat="false" ht="15" hidden="false" customHeight="false" outlineLevel="0" collapsed="false">
      <c r="A1194" s="0" t="n">
        <v>29</v>
      </c>
      <c r="B1194" s="0" t="n">
        <v>0</v>
      </c>
      <c r="C1194" s="0" t="n">
        <f aca="false">-1+A1194*0.05</f>
        <v>0.45</v>
      </c>
      <c r="D1194" s="0" t="n">
        <f aca="false">-1+B1194*0.05</f>
        <v>-1</v>
      </c>
      <c r="E1194" s="0" t="n">
        <f aca="false">1</f>
        <v>1</v>
      </c>
      <c r="F1194" s="0" t="n">
        <f aca="false">C1194</f>
        <v>0.45</v>
      </c>
      <c r="G1194" s="0" t="n">
        <f aca="false">D1194</f>
        <v>-1</v>
      </c>
      <c r="H1194" s="0" t="n">
        <f aca="false">C1194*D1194</f>
        <v>-0.45</v>
      </c>
      <c r="I1194" s="0" t="n">
        <f aca="false">C1194*C1194</f>
        <v>0.2025</v>
      </c>
      <c r="J1194" s="0" t="n">
        <f aca="false">D1194*D1194</f>
        <v>1</v>
      </c>
      <c r="K1194" s="0" t="n">
        <f aca="false">SUMPRODUCT(E1194:J1194,_XtX!$B$53:$G$53)</f>
        <v>44.4228405172414</v>
      </c>
      <c r="L1194" s="0" t="n">
        <f aca="false">SUMPRODUCT(MMULT(E1194:J1194,_XtX!$B$44:$G$49),E1194:J1194)</f>
        <v>0.495716343390805</v>
      </c>
      <c r="M1194" s="0" t="n">
        <f aca="false">04_回帰ANOVA!$K$19*04_回帰ANOVA!$K$14*SQRT(1+L1194)</f>
        <v>1.65730023478681</v>
      </c>
      <c r="N1194" s="0" t="n">
        <f aca="false">K1194-M1194</f>
        <v>42.7655402824546</v>
      </c>
      <c r="O1194" s="0" t="n">
        <f aca="false">K1194+M1194</f>
        <v>46.0801407520282</v>
      </c>
      <c r="P1194" s="54" t="b">
        <f aca="false">AND(C1194&gt;=01_因子設定!$L$5-0.000000001,C1194&lt;=01_因子設定!$M$5+0.000000001,D1194&gt;=01_因子設定!$L$6-0.000000001,D1194&lt;=01_因子設定!$M$6+0.000000001,IF(01_因子設定!$B$20="Box-Behnken",C1194^2+D1194^2&lt;=2+0.000000001,TRUE()))</f>
        <v>1</v>
      </c>
      <c r="Q1194" s="55" t="n">
        <f aca="false">IF(P1194,IF(01_因子設定!$B$13="最大化",N1194-01_因子設定!$B$14,IF(01_因子設定!$B$13="最小化",01_因子設定!$B$15-O1194,MIN(N1194-01_因子設定!$B$14,01_因子設定!$B$15-O1194))),-1E+030)</f>
        <v>-3.73445971754543</v>
      </c>
      <c r="R1194" s="55" t="n">
        <f aca="false">IF(P1194,IF(01_因子設定!$B$13="最大化",K1194,IF(01_因子設定!$B$13="最小化",-K1194,-ABS(K1194-01_因子設定!$B$16))),-1E+030)</f>
        <v>44.4228405172414</v>
      </c>
      <c r="S1194" s="55" t="n">
        <f aca="false">Q1194+ROW()*0.000000001</f>
        <v>-3.73445852354543</v>
      </c>
      <c r="T1194" s="55" t="n">
        <f aca="false">R1194+ROW()*0.000000001</f>
        <v>44.4228417112414</v>
      </c>
    </row>
    <row r="1195" customFormat="false" ht="15" hidden="false" customHeight="false" outlineLevel="0" collapsed="false">
      <c r="A1195" s="0" t="n">
        <v>29</v>
      </c>
      <c r="B1195" s="0" t="n">
        <v>1</v>
      </c>
      <c r="C1195" s="0" t="n">
        <f aca="false">-1+A1195*0.05</f>
        <v>0.45</v>
      </c>
      <c r="D1195" s="0" t="n">
        <f aca="false">-1+B1195*0.05</f>
        <v>-0.95</v>
      </c>
      <c r="E1195" s="0" t="n">
        <f aca="false">1</f>
        <v>1</v>
      </c>
      <c r="F1195" s="0" t="n">
        <f aca="false">C1195</f>
        <v>0.45</v>
      </c>
      <c r="G1195" s="0" t="n">
        <f aca="false">D1195</f>
        <v>-0.95</v>
      </c>
      <c r="H1195" s="0" t="n">
        <f aca="false">C1195*D1195</f>
        <v>-0.4275</v>
      </c>
      <c r="I1195" s="0" t="n">
        <f aca="false">C1195*C1195</f>
        <v>0.2025</v>
      </c>
      <c r="J1195" s="0" t="n">
        <f aca="false">D1195*D1195</f>
        <v>0.9025</v>
      </c>
      <c r="K1195" s="0" t="n">
        <f aca="false">SUMPRODUCT(E1195:J1195,_XtX!$B$53:$G$53)</f>
        <v>44.6976056034483</v>
      </c>
      <c r="L1195" s="0" t="n">
        <f aca="false">SUMPRODUCT(MMULT(E1195:J1195,_XtX!$B$44:$G$49),E1195:J1195)</f>
        <v>0.432987841235632</v>
      </c>
      <c r="M1195" s="0" t="n">
        <f aca="false">04_回帰ANOVA!$K$19*04_回帰ANOVA!$K$14*SQRT(1+L1195)</f>
        <v>1.62217545204943</v>
      </c>
      <c r="N1195" s="0" t="n">
        <f aca="false">K1195-M1195</f>
        <v>43.0754301513988</v>
      </c>
      <c r="O1195" s="0" t="n">
        <f aca="false">K1195+M1195</f>
        <v>46.3197810554977</v>
      </c>
      <c r="P1195" s="54" t="b">
        <f aca="false">AND(C1195&gt;=01_因子設定!$L$5-0.000000001,C1195&lt;=01_因子設定!$M$5+0.000000001,D1195&gt;=01_因子設定!$L$6-0.000000001,D1195&lt;=01_因子設定!$M$6+0.000000001,IF(01_因子設定!$B$20="Box-Behnken",C1195^2+D1195^2&lt;=2+0.000000001,TRUE()))</f>
        <v>1</v>
      </c>
      <c r="Q1195" s="55" t="n">
        <f aca="false">IF(P1195,IF(01_因子設定!$B$13="最大化",N1195-01_因子設定!$B$14,IF(01_因子設定!$B$13="最小化",01_因子設定!$B$15-O1195,MIN(N1195-01_因子設定!$B$14,01_因子設定!$B$15-O1195))),-1E+030)</f>
        <v>-3.42456984860116</v>
      </c>
      <c r="R1195" s="55" t="n">
        <f aca="false">IF(P1195,IF(01_因子設定!$B$13="最大化",K1195,IF(01_因子設定!$B$13="最小化",-K1195,-ABS(K1195-01_因子設定!$B$16))),-1E+030)</f>
        <v>44.6976056034483</v>
      </c>
      <c r="S1195" s="55" t="n">
        <f aca="false">Q1195+ROW()*0.000000001</f>
        <v>-3.42456865360116</v>
      </c>
      <c r="T1195" s="55" t="n">
        <f aca="false">R1195+ROW()*0.000000001</f>
        <v>44.6976067984483</v>
      </c>
    </row>
    <row r="1196" customFormat="false" ht="15" hidden="false" customHeight="false" outlineLevel="0" collapsed="false">
      <c r="A1196" s="0" t="n">
        <v>29</v>
      </c>
      <c r="B1196" s="0" t="n">
        <v>2</v>
      </c>
      <c r="C1196" s="0" t="n">
        <f aca="false">-1+A1196*0.05</f>
        <v>0.45</v>
      </c>
      <c r="D1196" s="0" t="n">
        <f aca="false">-1+B1196*0.05</f>
        <v>-0.9</v>
      </c>
      <c r="E1196" s="0" t="n">
        <f aca="false">1</f>
        <v>1</v>
      </c>
      <c r="F1196" s="0" t="n">
        <f aca="false">C1196</f>
        <v>0.45</v>
      </c>
      <c r="G1196" s="0" t="n">
        <f aca="false">D1196</f>
        <v>-0.9</v>
      </c>
      <c r="H1196" s="0" t="n">
        <f aca="false">C1196*D1196</f>
        <v>-0.405</v>
      </c>
      <c r="I1196" s="0" t="n">
        <f aca="false">C1196*C1196</f>
        <v>0.2025</v>
      </c>
      <c r="J1196" s="0" t="n">
        <f aca="false">D1196*D1196</f>
        <v>0.81</v>
      </c>
      <c r="K1196" s="0" t="n">
        <f aca="false">SUMPRODUCT(E1196:J1196,_XtX!$B$53:$G$53)</f>
        <v>44.9646551724138</v>
      </c>
      <c r="L1196" s="0" t="n">
        <f aca="false">SUMPRODUCT(MMULT(E1196:J1196,_XtX!$B$44:$G$49),E1196:J1196)</f>
        <v>0.379839547413793</v>
      </c>
      <c r="M1196" s="0" t="n">
        <f aca="false">04_回帰ANOVA!$K$19*04_回帰ANOVA!$K$14*SQRT(1+L1196)</f>
        <v>1.59180867193519</v>
      </c>
      <c r="N1196" s="0" t="n">
        <f aca="false">K1196-M1196</f>
        <v>43.3728465004786</v>
      </c>
      <c r="O1196" s="0" t="n">
        <f aca="false">K1196+M1196</f>
        <v>46.556463844349</v>
      </c>
      <c r="P1196" s="54" t="b">
        <f aca="false">AND(C1196&gt;=01_因子設定!$L$5-0.000000001,C1196&lt;=01_因子設定!$M$5+0.000000001,D1196&gt;=01_因子設定!$L$6-0.000000001,D1196&lt;=01_因子設定!$M$6+0.000000001,IF(01_因子設定!$B$20="Box-Behnken",C1196^2+D1196^2&lt;=2+0.000000001,TRUE()))</f>
        <v>1</v>
      </c>
      <c r="Q1196" s="55" t="n">
        <f aca="false">IF(P1196,IF(01_因子設定!$B$13="最大化",N1196-01_因子設定!$B$14,IF(01_因子設定!$B$13="最小化",01_因子設定!$B$15-O1196,MIN(N1196-01_因子設定!$B$14,01_因子設定!$B$15-O1196))),-1E+030)</f>
        <v>-3.1271534995214</v>
      </c>
      <c r="R1196" s="55" t="n">
        <f aca="false">IF(P1196,IF(01_因子設定!$B$13="最大化",K1196,IF(01_因子設定!$B$13="最小化",-K1196,-ABS(K1196-01_因子設定!$B$16))),-1E+030)</f>
        <v>44.9646551724138</v>
      </c>
      <c r="S1196" s="55" t="n">
        <f aca="false">Q1196+ROW()*0.000000001</f>
        <v>-3.1271523035214</v>
      </c>
      <c r="T1196" s="55" t="n">
        <f aca="false">R1196+ROW()*0.000000001</f>
        <v>44.9646563684138</v>
      </c>
    </row>
    <row r="1197" customFormat="false" ht="15" hidden="false" customHeight="false" outlineLevel="0" collapsed="false">
      <c r="A1197" s="0" t="n">
        <v>29</v>
      </c>
      <c r="B1197" s="0" t="n">
        <v>3</v>
      </c>
      <c r="C1197" s="0" t="n">
        <f aca="false">-1+A1197*0.05</f>
        <v>0.45</v>
      </c>
      <c r="D1197" s="0" t="n">
        <f aca="false">-1+B1197*0.05</f>
        <v>-0.85</v>
      </c>
      <c r="E1197" s="0" t="n">
        <f aca="false">1</f>
        <v>1</v>
      </c>
      <c r="F1197" s="0" t="n">
        <f aca="false">C1197</f>
        <v>0.45</v>
      </c>
      <c r="G1197" s="0" t="n">
        <f aca="false">D1197</f>
        <v>-0.85</v>
      </c>
      <c r="H1197" s="0" t="n">
        <f aca="false">C1197*D1197</f>
        <v>-0.3825</v>
      </c>
      <c r="I1197" s="0" t="n">
        <f aca="false">C1197*C1197</f>
        <v>0.2025</v>
      </c>
      <c r="J1197" s="0" t="n">
        <f aca="false">D1197*D1197</f>
        <v>0.7225</v>
      </c>
      <c r="K1197" s="0" t="n">
        <f aca="false">SUMPRODUCT(E1197:J1197,_XtX!$B$53:$G$53)</f>
        <v>45.2239892241379</v>
      </c>
      <c r="L1197" s="0" t="n">
        <f aca="false">SUMPRODUCT(MMULT(E1197:J1197,_XtX!$B$44:$G$49),E1197:J1197)</f>
        <v>0.335266720545977</v>
      </c>
      <c r="M1197" s="0" t="n">
        <f aca="false">04_回帰ANOVA!$K$19*04_回帰ANOVA!$K$14*SQRT(1+L1197)</f>
        <v>1.56588759931073</v>
      </c>
      <c r="N1197" s="0" t="n">
        <f aca="false">K1197-M1197</f>
        <v>43.6581016248272</v>
      </c>
      <c r="O1197" s="0" t="n">
        <f aca="false">K1197+M1197</f>
        <v>46.7898768234487</v>
      </c>
      <c r="P1197" s="54" t="b">
        <f aca="false">AND(C1197&gt;=01_因子設定!$L$5-0.000000001,C1197&lt;=01_因子設定!$M$5+0.000000001,D1197&gt;=01_因子設定!$L$6-0.000000001,D1197&lt;=01_因子設定!$M$6+0.000000001,IF(01_因子設定!$B$20="Box-Behnken",C1197^2+D1197^2&lt;=2+0.000000001,TRUE()))</f>
        <v>1</v>
      </c>
      <c r="Q1197" s="55" t="n">
        <f aca="false">IF(P1197,IF(01_因子設定!$B$13="最大化",N1197-01_因子設定!$B$14,IF(01_因子設定!$B$13="最小化",01_因子設定!$B$15-O1197,MIN(N1197-01_因子設定!$B$14,01_因子設定!$B$15-O1197))),-1E+030)</f>
        <v>-2.8418983751728</v>
      </c>
      <c r="R1197" s="55" t="n">
        <f aca="false">IF(P1197,IF(01_因子設定!$B$13="最大化",K1197,IF(01_因子設定!$B$13="最小化",-K1197,-ABS(K1197-01_因子設定!$B$16))),-1E+030)</f>
        <v>45.2239892241379</v>
      </c>
      <c r="S1197" s="55" t="n">
        <f aca="false">Q1197+ROW()*0.000000001</f>
        <v>-2.8418971781728</v>
      </c>
      <c r="T1197" s="55" t="n">
        <f aca="false">R1197+ROW()*0.000000001</f>
        <v>45.2239904211379</v>
      </c>
    </row>
    <row r="1198" customFormat="false" ht="15" hidden="false" customHeight="false" outlineLevel="0" collapsed="false">
      <c r="A1198" s="0" t="n">
        <v>29</v>
      </c>
      <c r="B1198" s="0" t="n">
        <v>4</v>
      </c>
      <c r="C1198" s="0" t="n">
        <f aca="false">-1+A1198*0.05</f>
        <v>0.45</v>
      </c>
      <c r="D1198" s="0" t="n">
        <f aca="false">-1+B1198*0.05</f>
        <v>-0.8</v>
      </c>
      <c r="E1198" s="0" t="n">
        <f aca="false">1</f>
        <v>1</v>
      </c>
      <c r="F1198" s="0" t="n">
        <f aca="false">C1198</f>
        <v>0.45</v>
      </c>
      <c r="G1198" s="0" t="n">
        <f aca="false">D1198</f>
        <v>-0.8</v>
      </c>
      <c r="H1198" s="0" t="n">
        <f aca="false">C1198*D1198</f>
        <v>-0.36</v>
      </c>
      <c r="I1198" s="0" t="n">
        <f aca="false">C1198*C1198</f>
        <v>0.2025</v>
      </c>
      <c r="J1198" s="0" t="n">
        <f aca="false">D1198*D1198</f>
        <v>0.64</v>
      </c>
      <c r="K1198" s="0" t="n">
        <f aca="false">SUMPRODUCT(E1198:J1198,_XtX!$B$53:$G$53)</f>
        <v>45.4756077586207</v>
      </c>
      <c r="L1198" s="0" t="n">
        <f aca="false">SUMPRODUCT(MMULT(E1198:J1198,_XtX!$B$44:$G$49),E1198:J1198)</f>
        <v>0.298318929597701</v>
      </c>
      <c r="M1198" s="0" t="n">
        <f aca="false">04_回帰ANOVA!$K$19*04_回帰ANOVA!$K$14*SQRT(1+L1198)</f>
        <v>1.54407100205425</v>
      </c>
      <c r="N1198" s="0" t="n">
        <f aca="false">K1198-M1198</f>
        <v>43.9315367565664</v>
      </c>
      <c r="O1198" s="0" t="n">
        <f aca="false">K1198+M1198</f>
        <v>47.0196787606749</v>
      </c>
      <c r="P1198" s="54" t="b">
        <f aca="false">AND(C1198&gt;=01_因子設定!$L$5-0.000000001,C1198&lt;=01_因子設定!$M$5+0.000000001,D1198&gt;=01_因子設定!$L$6-0.000000001,D1198&lt;=01_因子設定!$M$6+0.000000001,IF(01_因子設定!$B$20="Box-Behnken",C1198^2+D1198^2&lt;=2+0.000000001,TRUE()))</f>
        <v>1</v>
      </c>
      <c r="Q1198" s="55" t="n">
        <f aca="false">IF(P1198,IF(01_因子設定!$B$13="最大化",N1198-01_因子設定!$B$14,IF(01_因子設定!$B$13="最小化",01_因子設定!$B$15-O1198,MIN(N1198-01_因子設定!$B$14,01_因子設定!$B$15-O1198))),-1E+030)</f>
        <v>-2.56846324343356</v>
      </c>
      <c r="R1198" s="55" t="n">
        <f aca="false">IF(P1198,IF(01_因子設定!$B$13="最大化",K1198,IF(01_因子設定!$B$13="最小化",-K1198,-ABS(K1198-01_因子設定!$B$16))),-1E+030)</f>
        <v>45.4756077586207</v>
      </c>
      <c r="S1198" s="55" t="n">
        <f aca="false">Q1198+ROW()*0.000000001</f>
        <v>-2.56846204543356</v>
      </c>
      <c r="T1198" s="55" t="n">
        <f aca="false">R1198+ROW()*0.000000001</f>
        <v>45.4756089566207</v>
      </c>
    </row>
    <row r="1199" customFormat="false" ht="15" hidden="false" customHeight="false" outlineLevel="0" collapsed="false">
      <c r="A1199" s="0" t="n">
        <v>29</v>
      </c>
      <c r="B1199" s="0" t="n">
        <v>5</v>
      </c>
      <c r="C1199" s="0" t="n">
        <f aca="false">-1+A1199*0.05</f>
        <v>0.45</v>
      </c>
      <c r="D1199" s="0" t="n">
        <f aca="false">-1+B1199*0.05</f>
        <v>-0.75</v>
      </c>
      <c r="E1199" s="0" t="n">
        <f aca="false">1</f>
        <v>1</v>
      </c>
      <c r="F1199" s="0" t="n">
        <f aca="false">C1199</f>
        <v>0.45</v>
      </c>
      <c r="G1199" s="0" t="n">
        <f aca="false">D1199</f>
        <v>-0.75</v>
      </c>
      <c r="H1199" s="0" t="n">
        <f aca="false">C1199*D1199</f>
        <v>-0.3375</v>
      </c>
      <c r="I1199" s="0" t="n">
        <f aca="false">C1199*C1199</f>
        <v>0.2025</v>
      </c>
      <c r="J1199" s="0" t="n">
        <f aca="false">D1199*D1199</f>
        <v>0.5625</v>
      </c>
      <c r="K1199" s="0" t="n">
        <f aca="false">SUMPRODUCT(E1199:J1199,_XtX!$B$53:$G$53)</f>
        <v>45.7195107758621</v>
      </c>
      <c r="L1199" s="0" t="n">
        <f aca="false">SUMPRODUCT(MMULT(E1199:J1199,_XtX!$B$44:$G$49),E1199:J1199)</f>
        <v>0.26810005387931</v>
      </c>
      <c r="M1199" s="0" t="n">
        <f aca="false">04_回帰ANOVA!$K$19*04_回帰ANOVA!$K$14*SQRT(1+L1199)</f>
        <v>1.52599578070166</v>
      </c>
      <c r="N1199" s="0" t="n">
        <f aca="false">K1199-M1199</f>
        <v>44.1935149951604</v>
      </c>
      <c r="O1199" s="0" t="n">
        <f aca="false">K1199+M1199</f>
        <v>47.2455065565637</v>
      </c>
      <c r="P1199" s="54" t="b">
        <f aca="false">AND(C1199&gt;=01_因子設定!$L$5-0.000000001,C1199&lt;=01_因子設定!$M$5+0.000000001,D1199&gt;=01_因子設定!$L$6-0.000000001,D1199&lt;=01_因子設定!$M$6+0.000000001,IF(01_因子設定!$B$20="Box-Behnken",C1199^2+D1199^2&lt;=2+0.000000001,TRUE()))</f>
        <v>1</v>
      </c>
      <c r="Q1199" s="55" t="n">
        <f aca="false">IF(P1199,IF(01_因子設定!$B$13="最大化",N1199-01_因子設定!$B$14,IF(01_因子設定!$B$13="最小化",01_因子設定!$B$15-O1199,MIN(N1199-01_因子設定!$B$14,01_因子設定!$B$15-O1199))),-1E+030)</f>
        <v>-2.30648500483959</v>
      </c>
      <c r="R1199" s="55" t="n">
        <f aca="false">IF(P1199,IF(01_因子設定!$B$13="最大化",K1199,IF(01_因子設定!$B$13="最小化",-K1199,-ABS(K1199-01_因子設定!$B$16))),-1E+030)</f>
        <v>45.7195107758621</v>
      </c>
      <c r="S1199" s="55" t="n">
        <f aca="false">Q1199+ROW()*0.000000001</f>
        <v>-2.30648380583959</v>
      </c>
      <c r="T1199" s="55" t="n">
        <f aca="false">R1199+ROW()*0.000000001</f>
        <v>45.7195119748621</v>
      </c>
    </row>
    <row r="1200" customFormat="false" ht="15" hidden="false" customHeight="false" outlineLevel="0" collapsed="false">
      <c r="A1200" s="0" t="n">
        <v>29</v>
      </c>
      <c r="B1200" s="0" t="n">
        <v>6</v>
      </c>
      <c r="C1200" s="0" t="n">
        <f aca="false">-1+A1200*0.05</f>
        <v>0.45</v>
      </c>
      <c r="D1200" s="0" t="n">
        <f aca="false">-1+B1200*0.05</f>
        <v>-0.7</v>
      </c>
      <c r="E1200" s="0" t="n">
        <f aca="false">1</f>
        <v>1</v>
      </c>
      <c r="F1200" s="0" t="n">
        <f aca="false">C1200</f>
        <v>0.45</v>
      </c>
      <c r="G1200" s="0" t="n">
        <f aca="false">D1200</f>
        <v>-0.7</v>
      </c>
      <c r="H1200" s="0" t="n">
        <f aca="false">C1200*D1200</f>
        <v>-0.315</v>
      </c>
      <c r="I1200" s="0" t="n">
        <f aca="false">C1200*C1200</f>
        <v>0.2025</v>
      </c>
      <c r="J1200" s="0" t="n">
        <f aca="false">D1200*D1200</f>
        <v>0.49</v>
      </c>
      <c r="K1200" s="0" t="n">
        <f aca="false">SUMPRODUCT(E1200:J1200,_XtX!$B$53:$G$53)</f>
        <v>45.9556982758621</v>
      </c>
      <c r="L1200" s="0" t="n">
        <f aca="false">SUMPRODUCT(MMULT(E1200:J1200,_XtX!$B$44:$G$49),E1200:J1200)</f>
        <v>0.243768283045977</v>
      </c>
      <c r="M1200" s="0" t="n">
        <f aca="false">04_回帰ANOVA!$K$19*04_回帰ANOVA!$K$14*SQRT(1+L1200)</f>
        <v>1.51128478900926</v>
      </c>
      <c r="N1200" s="0" t="n">
        <f aca="false">K1200-M1200</f>
        <v>44.4444134868528</v>
      </c>
      <c r="O1200" s="0" t="n">
        <f aca="false">K1200+M1200</f>
        <v>47.4669830648713</v>
      </c>
      <c r="P1200" s="54" t="b">
        <f aca="false">AND(C1200&gt;=01_因子設定!$L$5-0.000000001,C1200&lt;=01_因子設定!$M$5+0.000000001,D1200&gt;=01_因子設定!$L$6-0.000000001,D1200&lt;=01_因子設定!$M$6+0.000000001,IF(01_因子設定!$B$20="Box-Behnken",C1200^2+D1200^2&lt;=2+0.000000001,TRUE()))</f>
        <v>1</v>
      </c>
      <c r="Q1200" s="55" t="n">
        <f aca="false">IF(P1200,IF(01_因子設定!$B$13="最大化",N1200-01_因子設定!$B$14,IF(01_因子設定!$B$13="最小化",01_因子設定!$B$15-O1200,MIN(N1200-01_因子設定!$B$14,01_因子設定!$B$15-O1200))),-1E+030)</f>
        <v>-2.0555865131472</v>
      </c>
      <c r="R1200" s="55" t="n">
        <f aca="false">IF(P1200,IF(01_因子設定!$B$13="最大化",K1200,IF(01_因子設定!$B$13="最小化",-K1200,-ABS(K1200-01_因子設定!$B$16))),-1E+030)</f>
        <v>45.9556982758621</v>
      </c>
      <c r="S1200" s="55" t="n">
        <f aca="false">Q1200+ROW()*0.000000001</f>
        <v>-2.0555853131472</v>
      </c>
      <c r="T1200" s="55" t="n">
        <f aca="false">R1200+ROW()*0.000000001</f>
        <v>45.9556994758621</v>
      </c>
    </row>
    <row r="1201" customFormat="false" ht="15" hidden="false" customHeight="false" outlineLevel="0" collapsed="false">
      <c r="A1201" s="0" t="n">
        <v>29</v>
      </c>
      <c r="B1201" s="0" t="n">
        <v>7</v>
      </c>
      <c r="C1201" s="0" t="n">
        <f aca="false">-1+A1201*0.05</f>
        <v>0.45</v>
      </c>
      <c r="D1201" s="0" t="n">
        <f aca="false">-1+B1201*0.05</f>
        <v>-0.65</v>
      </c>
      <c r="E1201" s="0" t="n">
        <f aca="false">1</f>
        <v>1</v>
      </c>
      <c r="F1201" s="0" t="n">
        <f aca="false">C1201</f>
        <v>0.45</v>
      </c>
      <c r="G1201" s="0" t="n">
        <f aca="false">D1201</f>
        <v>-0.65</v>
      </c>
      <c r="H1201" s="0" t="n">
        <f aca="false">C1201*D1201</f>
        <v>-0.2925</v>
      </c>
      <c r="I1201" s="0" t="n">
        <f aca="false">C1201*C1201</f>
        <v>0.2025</v>
      </c>
      <c r="J1201" s="0" t="n">
        <f aca="false">D1201*D1201</f>
        <v>0.4225</v>
      </c>
      <c r="K1201" s="0" t="n">
        <f aca="false">SUMPRODUCT(E1201:J1201,_XtX!$B$53:$G$53)</f>
        <v>46.1841702586207</v>
      </c>
      <c r="L1201" s="0" t="n">
        <f aca="false">SUMPRODUCT(MMULT(E1201:J1201,_XtX!$B$44:$G$49),E1201:J1201)</f>
        <v>0.224536117097701</v>
      </c>
      <c r="M1201" s="0" t="n">
        <f aca="false">04_回帰ANOVA!$K$19*04_回帰ANOVA!$K$14*SQRT(1+L1201)</f>
        <v>1.49955490522416</v>
      </c>
      <c r="N1201" s="0" t="n">
        <f aca="false">K1201-M1201</f>
        <v>44.6846153533965</v>
      </c>
      <c r="O1201" s="0" t="n">
        <f aca="false">K1201+M1201</f>
        <v>47.6837251638448</v>
      </c>
      <c r="P1201" s="54" t="b">
        <f aca="false">AND(C1201&gt;=01_因子設定!$L$5-0.000000001,C1201&lt;=01_因子設定!$M$5+0.000000001,D1201&gt;=01_因子設定!$L$6-0.000000001,D1201&lt;=01_因子設定!$M$6+0.000000001,IF(01_因子設定!$B$20="Box-Behnken",C1201^2+D1201^2&lt;=2+0.000000001,TRUE()))</f>
        <v>1</v>
      </c>
      <c r="Q1201" s="55" t="n">
        <f aca="false">IF(P1201,IF(01_因子設定!$B$13="最大化",N1201-01_因子設定!$B$14,IF(01_因子設定!$B$13="最小化",01_因子設定!$B$15-O1201,MIN(N1201-01_因子設定!$B$14,01_因子設定!$B$15-O1201))),-1E+030)</f>
        <v>-1.81538464660346</v>
      </c>
      <c r="R1201" s="55" t="n">
        <f aca="false">IF(P1201,IF(01_因子設定!$B$13="最大化",K1201,IF(01_因子設定!$B$13="最小化",-K1201,-ABS(K1201-01_因子設定!$B$16))),-1E+030)</f>
        <v>46.1841702586207</v>
      </c>
      <c r="S1201" s="55" t="n">
        <f aca="false">Q1201+ROW()*0.000000001</f>
        <v>-1.81538344560346</v>
      </c>
      <c r="T1201" s="55" t="n">
        <f aca="false">R1201+ROW()*0.000000001</f>
        <v>46.1841714596207</v>
      </c>
    </row>
    <row r="1202" customFormat="false" ht="15" hidden="false" customHeight="false" outlineLevel="0" collapsed="false">
      <c r="A1202" s="0" t="n">
        <v>29</v>
      </c>
      <c r="B1202" s="0" t="n">
        <v>8</v>
      </c>
      <c r="C1202" s="0" t="n">
        <f aca="false">-1+A1202*0.05</f>
        <v>0.45</v>
      </c>
      <c r="D1202" s="0" t="n">
        <f aca="false">-1+B1202*0.05</f>
        <v>-0.6</v>
      </c>
      <c r="E1202" s="0" t="n">
        <f aca="false">1</f>
        <v>1</v>
      </c>
      <c r="F1202" s="0" t="n">
        <f aca="false">C1202</f>
        <v>0.45</v>
      </c>
      <c r="G1202" s="0" t="n">
        <f aca="false">D1202</f>
        <v>-0.6</v>
      </c>
      <c r="H1202" s="0" t="n">
        <f aca="false">C1202*D1202</f>
        <v>-0.27</v>
      </c>
      <c r="I1202" s="0" t="n">
        <f aca="false">C1202*C1202</f>
        <v>0.2025</v>
      </c>
      <c r="J1202" s="0" t="n">
        <f aca="false">D1202*D1202</f>
        <v>0.36</v>
      </c>
      <c r="K1202" s="0" t="n">
        <f aca="false">SUMPRODUCT(E1202:J1202,_XtX!$B$53:$G$53)</f>
        <v>46.4049267241379</v>
      </c>
      <c r="L1202" s="0" t="n">
        <f aca="false">SUMPRODUCT(MMULT(E1202:J1202,_XtX!$B$44:$G$49),E1202:J1202)</f>
        <v>0.20967036637931</v>
      </c>
      <c r="M1202" s="0" t="n">
        <f aca="false">04_回帰ANOVA!$K$19*04_回帰ANOVA!$K$14*SQRT(1+L1202)</f>
        <v>1.49042488503951</v>
      </c>
      <c r="N1202" s="0" t="n">
        <f aca="false">K1202-M1202</f>
        <v>44.9145018390984</v>
      </c>
      <c r="O1202" s="0" t="n">
        <f aca="false">K1202+M1202</f>
        <v>47.8953516091774</v>
      </c>
      <c r="P1202" s="54" t="b">
        <f aca="false">AND(C1202&gt;=01_因子設定!$L$5-0.000000001,C1202&lt;=01_因子設定!$M$5+0.000000001,D1202&gt;=01_因子設定!$L$6-0.000000001,D1202&lt;=01_因子設定!$M$6+0.000000001,IF(01_因子設定!$B$20="Box-Behnken",C1202^2+D1202^2&lt;=2+0.000000001,TRUE()))</f>
        <v>1</v>
      </c>
      <c r="Q1202" s="55" t="n">
        <f aca="false">IF(P1202,IF(01_因子設定!$B$13="最大化",N1202-01_因子設定!$B$14,IF(01_因子設定!$B$13="最小化",01_因子設定!$B$15-O1202,MIN(N1202-01_因子設定!$B$14,01_因子設定!$B$15-O1202))),-1E+030)</f>
        <v>-1.58549816090158</v>
      </c>
      <c r="R1202" s="55" t="n">
        <f aca="false">IF(P1202,IF(01_因子設定!$B$13="最大化",K1202,IF(01_因子設定!$B$13="最小化",-K1202,-ABS(K1202-01_因子設定!$B$16))),-1E+030)</f>
        <v>46.4049267241379</v>
      </c>
      <c r="S1202" s="55" t="n">
        <f aca="false">Q1202+ROW()*0.000000001</f>
        <v>-1.58549695890158</v>
      </c>
      <c r="T1202" s="55" t="n">
        <f aca="false">R1202+ROW()*0.000000001</f>
        <v>46.4049279261379</v>
      </c>
    </row>
    <row r="1203" customFormat="false" ht="15" hidden="false" customHeight="false" outlineLevel="0" collapsed="false">
      <c r="A1203" s="0" t="n">
        <v>29</v>
      </c>
      <c r="B1203" s="0" t="n">
        <v>9</v>
      </c>
      <c r="C1203" s="0" t="n">
        <f aca="false">-1+A1203*0.05</f>
        <v>0.45</v>
      </c>
      <c r="D1203" s="0" t="n">
        <f aca="false">-1+B1203*0.05</f>
        <v>-0.55</v>
      </c>
      <c r="E1203" s="0" t="n">
        <f aca="false">1</f>
        <v>1</v>
      </c>
      <c r="F1203" s="0" t="n">
        <f aca="false">C1203</f>
        <v>0.45</v>
      </c>
      <c r="G1203" s="0" t="n">
        <f aca="false">D1203</f>
        <v>-0.55</v>
      </c>
      <c r="H1203" s="0" t="n">
        <f aca="false">C1203*D1203</f>
        <v>-0.2475</v>
      </c>
      <c r="I1203" s="0" t="n">
        <f aca="false">C1203*C1203</f>
        <v>0.2025</v>
      </c>
      <c r="J1203" s="0" t="n">
        <f aca="false">D1203*D1203</f>
        <v>0.3025</v>
      </c>
      <c r="K1203" s="0" t="n">
        <f aca="false">SUMPRODUCT(E1203:J1203,_XtX!$B$53:$G$53)</f>
        <v>46.6179676724138</v>
      </c>
      <c r="L1203" s="0" t="n">
        <f aca="false">SUMPRODUCT(MMULT(E1203:J1203,_XtX!$B$44:$G$49),E1203:J1203)</f>
        <v>0.19849215158046</v>
      </c>
      <c r="M1203" s="0" t="n">
        <f aca="false">04_回帰ANOVA!$K$19*04_回帰ANOVA!$K$14*SQRT(1+L1203)</f>
        <v>1.48352260940076</v>
      </c>
      <c r="N1203" s="0" t="n">
        <f aca="false">K1203-M1203</f>
        <v>45.134445063013</v>
      </c>
      <c r="O1203" s="0" t="n">
        <f aca="false">K1203+M1203</f>
        <v>48.1014902818146</v>
      </c>
      <c r="P1203" s="54" t="b">
        <f aca="false">AND(C1203&gt;=01_因子設定!$L$5-0.000000001,C1203&lt;=01_因子設定!$M$5+0.000000001,D1203&gt;=01_因子設定!$L$6-0.000000001,D1203&lt;=01_因子設定!$M$6+0.000000001,IF(01_因子設定!$B$20="Box-Behnken",C1203^2+D1203^2&lt;=2+0.000000001,TRUE()))</f>
        <v>1</v>
      </c>
      <c r="Q1203" s="55" t="n">
        <f aca="false">IF(P1203,IF(01_因子設定!$B$13="最大化",N1203-01_因子設定!$B$14,IF(01_因子設定!$B$13="最小化",01_因子設定!$B$15-O1203,MIN(N1203-01_因子設定!$B$14,01_因子設定!$B$15-O1203))),-1E+030)</f>
        <v>-1.36555493698697</v>
      </c>
      <c r="R1203" s="55" t="n">
        <f aca="false">IF(P1203,IF(01_因子設定!$B$13="最大化",K1203,IF(01_因子設定!$B$13="最小化",-K1203,-ABS(K1203-01_因子設定!$B$16))),-1E+030)</f>
        <v>46.6179676724138</v>
      </c>
      <c r="S1203" s="55" t="n">
        <f aca="false">Q1203+ROW()*0.000000001</f>
        <v>-1.36555373398697</v>
      </c>
      <c r="T1203" s="55" t="n">
        <f aca="false">R1203+ROW()*0.000000001</f>
        <v>46.6179688754138</v>
      </c>
    </row>
    <row r="1204" customFormat="false" ht="15" hidden="false" customHeight="false" outlineLevel="0" collapsed="false">
      <c r="A1204" s="0" t="n">
        <v>29</v>
      </c>
      <c r="B1204" s="0" t="n">
        <v>10</v>
      </c>
      <c r="C1204" s="0" t="n">
        <f aca="false">-1+A1204*0.05</f>
        <v>0.45</v>
      </c>
      <c r="D1204" s="0" t="n">
        <f aca="false">-1+B1204*0.05</f>
        <v>-0.5</v>
      </c>
      <c r="E1204" s="0" t="n">
        <f aca="false">1</f>
        <v>1</v>
      </c>
      <c r="F1204" s="0" t="n">
        <f aca="false">C1204</f>
        <v>0.45</v>
      </c>
      <c r="G1204" s="0" t="n">
        <f aca="false">D1204</f>
        <v>-0.5</v>
      </c>
      <c r="H1204" s="0" t="n">
        <f aca="false">C1204*D1204</f>
        <v>-0.225</v>
      </c>
      <c r="I1204" s="0" t="n">
        <f aca="false">C1204*C1204</f>
        <v>0.2025</v>
      </c>
      <c r="J1204" s="0" t="n">
        <f aca="false">D1204*D1204</f>
        <v>0.25</v>
      </c>
      <c r="K1204" s="0" t="n">
        <f aca="false">SUMPRODUCT(E1204:J1204,_XtX!$B$53:$G$53)</f>
        <v>46.8232931034483</v>
      </c>
      <c r="L1204" s="0" t="n">
        <f aca="false">SUMPRODUCT(MMULT(E1204:J1204,_XtX!$B$44:$G$49),E1204:J1204)</f>
        <v>0.190376903735632</v>
      </c>
      <c r="M1204" s="0" t="n">
        <f aca="false">04_回帰ANOVA!$K$19*04_回帰ANOVA!$K$14*SQRT(1+L1204)</f>
        <v>1.47849145301872</v>
      </c>
      <c r="N1204" s="0" t="n">
        <f aca="false">K1204-M1204</f>
        <v>45.3448016504296</v>
      </c>
      <c r="O1204" s="0" t="n">
        <f aca="false">K1204+M1204</f>
        <v>48.301784556467</v>
      </c>
      <c r="P1204" s="54" t="b">
        <f aca="false">AND(C1204&gt;=01_因子設定!$L$5-0.000000001,C1204&lt;=01_因子設定!$M$5+0.000000001,D1204&gt;=01_因子設定!$L$6-0.000000001,D1204&lt;=01_因子設定!$M$6+0.000000001,IF(01_因子設定!$B$20="Box-Behnken",C1204^2+D1204^2&lt;=2+0.000000001,TRUE()))</f>
        <v>1</v>
      </c>
      <c r="Q1204" s="55" t="n">
        <f aca="false">IF(P1204,IF(01_因子設定!$B$13="最大化",N1204-01_因子設定!$B$14,IF(01_因子設定!$B$13="最小化",01_因子設定!$B$15-O1204,MIN(N1204-01_因子設定!$B$14,01_因子設定!$B$15-O1204))),-1E+030)</f>
        <v>-1.15519834957045</v>
      </c>
      <c r="R1204" s="55" t="n">
        <f aca="false">IF(P1204,IF(01_因子設定!$B$13="最大化",K1204,IF(01_因子設定!$B$13="最小化",-K1204,-ABS(K1204-01_因子設定!$B$16))),-1E+030)</f>
        <v>46.8232931034483</v>
      </c>
      <c r="S1204" s="55" t="n">
        <f aca="false">Q1204+ROW()*0.000000001</f>
        <v>-1.15519714557045</v>
      </c>
      <c r="T1204" s="55" t="n">
        <f aca="false">R1204+ROW()*0.000000001</f>
        <v>46.8232943074483</v>
      </c>
    </row>
    <row r="1205" customFormat="false" ht="15" hidden="false" customHeight="false" outlineLevel="0" collapsed="false">
      <c r="A1205" s="0" t="n">
        <v>29</v>
      </c>
      <c r="B1205" s="0" t="n">
        <v>11</v>
      </c>
      <c r="C1205" s="0" t="n">
        <f aca="false">-1+A1205*0.05</f>
        <v>0.45</v>
      </c>
      <c r="D1205" s="0" t="n">
        <f aca="false">-1+B1205*0.05</f>
        <v>-0.45</v>
      </c>
      <c r="E1205" s="0" t="n">
        <f aca="false">1</f>
        <v>1</v>
      </c>
      <c r="F1205" s="0" t="n">
        <f aca="false">C1205</f>
        <v>0.45</v>
      </c>
      <c r="G1205" s="0" t="n">
        <f aca="false">D1205</f>
        <v>-0.45</v>
      </c>
      <c r="H1205" s="0" t="n">
        <f aca="false">C1205*D1205</f>
        <v>-0.2025</v>
      </c>
      <c r="I1205" s="0" t="n">
        <f aca="false">C1205*C1205</f>
        <v>0.2025</v>
      </c>
      <c r="J1205" s="0" t="n">
        <f aca="false">D1205*D1205</f>
        <v>0.2025</v>
      </c>
      <c r="K1205" s="0" t="n">
        <f aca="false">SUMPRODUCT(E1205:J1205,_XtX!$B$53:$G$53)</f>
        <v>47.0209030172414</v>
      </c>
      <c r="L1205" s="0" t="n">
        <f aca="false">SUMPRODUCT(MMULT(E1205:J1205,_XtX!$B$44:$G$49),E1205:J1205)</f>
        <v>0.184754364224138</v>
      </c>
      <c r="M1205" s="0" t="n">
        <f aca="false">04_回帰ANOVA!$K$19*04_回帰ANOVA!$K$14*SQRT(1+L1205)</f>
        <v>1.4749956207551</v>
      </c>
      <c r="N1205" s="0" t="n">
        <f aca="false">K1205-M1205</f>
        <v>45.5459073964863</v>
      </c>
      <c r="O1205" s="0" t="n">
        <f aca="false">K1205+M1205</f>
        <v>48.4958986379965</v>
      </c>
      <c r="P1205" s="54" t="b">
        <f aca="false">AND(C1205&gt;=01_因子設定!$L$5-0.000000001,C1205&lt;=01_因子設定!$M$5+0.000000001,D1205&gt;=01_因子設定!$L$6-0.000000001,D1205&lt;=01_因子設定!$M$6+0.000000001,IF(01_因子設定!$B$20="Box-Behnken",C1205^2+D1205^2&lt;=2+0.000000001,TRUE()))</f>
        <v>1</v>
      </c>
      <c r="Q1205" s="55" t="n">
        <f aca="false">IF(P1205,IF(01_因子設定!$B$13="最大化",N1205-01_因子設定!$B$14,IF(01_因子設定!$B$13="最小化",01_因子設定!$B$15-O1205,MIN(N1205-01_因子設定!$B$14,01_因子設定!$B$15-O1205))),-1E+030)</f>
        <v>-0.954092603513729</v>
      </c>
      <c r="R1205" s="55" t="n">
        <f aca="false">IF(P1205,IF(01_因子設定!$B$13="最大化",K1205,IF(01_因子設定!$B$13="最小化",-K1205,-ABS(K1205-01_因子設定!$B$16))),-1E+030)</f>
        <v>47.0209030172414</v>
      </c>
      <c r="S1205" s="55" t="n">
        <f aca="false">Q1205+ROW()*0.000000001</f>
        <v>-0.954091398513729</v>
      </c>
      <c r="T1205" s="55" t="n">
        <f aca="false">R1205+ROW()*0.000000001</f>
        <v>47.0209042222414</v>
      </c>
    </row>
    <row r="1206" customFormat="false" ht="15" hidden="false" customHeight="false" outlineLevel="0" collapsed="false">
      <c r="A1206" s="0" t="n">
        <v>29</v>
      </c>
      <c r="B1206" s="0" t="n">
        <v>12</v>
      </c>
      <c r="C1206" s="0" t="n">
        <f aca="false">-1+A1206*0.05</f>
        <v>0.45</v>
      </c>
      <c r="D1206" s="0" t="n">
        <f aca="false">-1+B1206*0.05</f>
        <v>-0.4</v>
      </c>
      <c r="E1206" s="0" t="n">
        <f aca="false">1</f>
        <v>1</v>
      </c>
      <c r="F1206" s="0" t="n">
        <f aca="false">C1206</f>
        <v>0.45</v>
      </c>
      <c r="G1206" s="0" t="n">
        <f aca="false">D1206</f>
        <v>-0.4</v>
      </c>
      <c r="H1206" s="0" t="n">
        <f aca="false">C1206*D1206</f>
        <v>-0.18</v>
      </c>
      <c r="I1206" s="0" t="n">
        <f aca="false">C1206*C1206</f>
        <v>0.2025</v>
      </c>
      <c r="J1206" s="0" t="n">
        <f aca="false">D1206*D1206</f>
        <v>0.16</v>
      </c>
      <c r="K1206" s="0" t="n">
        <f aca="false">SUMPRODUCT(E1206:J1206,_XtX!$B$53:$G$53)</f>
        <v>47.2107974137931</v>
      </c>
      <c r="L1206" s="0" t="n">
        <f aca="false">SUMPRODUCT(MMULT(E1206:J1206,_XtX!$B$44:$G$49),E1206:J1206)</f>
        <v>0.181108584770115</v>
      </c>
      <c r="M1206" s="0" t="n">
        <f aca="false">04_回帰ANOVA!$K$19*04_回帰ANOVA!$K$14*SQRT(1+L1206)</f>
        <v>1.47272441068535</v>
      </c>
      <c r="N1206" s="0" t="n">
        <f aca="false">K1206-M1206</f>
        <v>45.7380730031078</v>
      </c>
      <c r="O1206" s="0" t="n">
        <f aca="false">K1206+M1206</f>
        <v>48.6835218244785</v>
      </c>
      <c r="P1206" s="54" t="b">
        <f aca="false">AND(C1206&gt;=01_因子設定!$L$5-0.000000001,C1206&lt;=01_因子設定!$M$5+0.000000001,D1206&gt;=01_因子設定!$L$6-0.000000001,D1206&lt;=01_因子設定!$M$6+0.000000001,IF(01_因子設定!$B$20="Box-Behnken",C1206^2+D1206^2&lt;=2+0.000000001,TRUE()))</f>
        <v>1</v>
      </c>
      <c r="Q1206" s="55" t="n">
        <f aca="false">IF(P1206,IF(01_因子設定!$B$13="最大化",N1206-01_因子設定!$B$14,IF(01_因子設定!$B$13="最小化",01_因子設定!$B$15-O1206,MIN(N1206-01_因子設定!$B$14,01_因子設定!$B$15-O1206))),-1E+030)</f>
        <v>-0.76192699689225</v>
      </c>
      <c r="R1206" s="55" t="n">
        <f aca="false">IF(P1206,IF(01_因子設定!$B$13="最大化",K1206,IF(01_因子設定!$B$13="最小化",-K1206,-ABS(K1206-01_因子設定!$B$16))),-1E+030)</f>
        <v>47.2107974137931</v>
      </c>
      <c r="S1206" s="55" t="n">
        <f aca="false">Q1206+ROW()*0.000000001</f>
        <v>-0.76192579089225</v>
      </c>
      <c r="T1206" s="55" t="n">
        <f aca="false">R1206+ROW()*0.000000001</f>
        <v>47.2107986197931</v>
      </c>
    </row>
    <row r="1207" customFormat="false" ht="15" hidden="false" customHeight="false" outlineLevel="0" collapsed="false">
      <c r="A1207" s="0" t="n">
        <v>29</v>
      </c>
      <c r="B1207" s="0" t="n">
        <v>13</v>
      </c>
      <c r="C1207" s="0" t="n">
        <f aca="false">-1+A1207*0.05</f>
        <v>0.45</v>
      </c>
      <c r="D1207" s="0" t="n">
        <f aca="false">-1+B1207*0.05</f>
        <v>-0.35</v>
      </c>
      <c r="E1207" s="0" t="n">
        <f aca="false">1</f>
        <v>1</v>
      </c>
      <c r="F1207" s="0" t="n">
        <f aca="false">C1207</f>
        <v>0.45</v>
      </c>
      <c r="G1207" s="0" t="n">
        <f aca="false">D1207</f>
        <v>-0.35</v>
      </c>
      <c r="H1207" s="0" t="n">
        <f aca="false">C1207*D1207</f>
        <v>-0.1575</v>
      </c>
      <c r="I1207" s="0" t="n">
        <f aca="false">C1207*C1207</f>
        <v>0.2025</v>
      </c>
      <c r="J1207" s="0" t="n">
        <f aca="false">D1207*D1207</f>
        <v>0.1225</v>
      </c>
      <c r="K1207" s="0" t="n">
        <f aca="false">SUMPRODUCT(E1207:J1207,_XtX!$B$53:$G$53)</f>
        <v>47.3929762931034</v>
      </c>
      <c r="L1207" s="0" t="n">
        <f aca="false">SUMPRODUCT(MMULT(E1207:J1207,_XtX!$B$44:$G$49),E1207:J1207)</f>
        <v>0.178977927442529</v>
      </c>
      <c r="M1207" s="0" t="n">
        <f aca="false">04_回帰ANOVA!$K$19*04_回帰ANOVA!$K$14*SQRT(1+L1207)</f>
        <v>1.47139545265652</v>
      </c>
      <c r="N1207" s="0" t="n">
        <f aca="false">K1207-M1207</f>
        <v>45.9215808404469</v>
      </c>
      <c r="O1207" s="0" t="n">
        <f aca="false">K1207+M1207</f>
        <v>48.86437174576</v>
      </c>
      <c r="P1207" s="54" t="b">
        <f aca="false">AND(C1207&gt;=01_因子設定!$L$5-0.000000001,C1207&lt;=01_因子設定!$M$5+0.000000001,D1207&gt;=01_因子設定!$L$6-0.000000001,D1207&lt;=01_因子設定!$M$6+0.000000001,IF(01_因子設定!$B$20="Box-Behnken",C1207^2+D1207^2&lt;=2+0.000000001,TRUE()))</f>
        <v>1</v>
      </c>
      <c r="Q1207" s="55" t="n">
        <f aca="false">IF(P1207,IF(01_因子設定!$B$13="最大化",N1207-01_因子設定!$B$14,IF(01_因子設定!$B$13="最小化",01_因子設定!$B$15-O1207,MIN(N1207-01_因子設定!$B$14,01_因子設定!$B$15-O1207))),-1E+030)</f>
        <v>-0.578419159553079</v>
      </c>
      <c r="R1207" s="55" t="n">
        <f aca="false">IF(P1207,IF(01_因子設定!$B$13="最大化",K1207,IF(01_因子設定!$B$13="最小化",-K1207,-ABS(K1207-01_因子設定!$B$16))),-1E+030)</f>
        <v>47.3929762931034</v>
      </c>
      <c r="S1207" s="55" t="n">
        <f aca="false">Q1207+ROW()*0.000000001</f>
        <v>-0.578417952553079</v>
      </c>
      <c r="T1207" s="55" t="n">
        <f aca="false">R1207+ROW()*0.000000001</f>
        <v>47.3929775001034</v>
      </c>
    </row>
    <row r="1208" customFormat="false" ht="15" hidden="false" customHeight="false" outlineLevel="0" collapsed="false">
      <c r="A1208" s="0" t="n">
        <v>29</v>
      </c>
      <c r="B1208" s="0" t="n">
        <v>14</v>
      </c>
      <c r="C1208" s="0" t="n">
        <f aca="false">-1+A1208*0.05</f>
        <v>0.45</v>
      </c>
      <c r="D1208" s="0" t="n">
        <f aca="false">-1+B1208*0.05</f>
        <v>-0.3</v>
      </c>
      <c r="E1208" s="0" t="n">
        <f aca="false">1</f>
        <v>1</v>
      </c>
      <c r="F1208" s="0" t="n">
        <f aca="false">C1208</f>
        <v>0.45</v>
      </c>
      <c r="G1208" s="0" t="n">
        <f aca="false">D1208</f>
        <v>-0.3</v>
      </c>
      <c r="H1208" s="0" t="n">
        <f aca="false">C1208*D1208</f>
        <v>-0.135</v>
      </c>
      <c r="I1208" s="0" t="n">
        <f aca="false">C1208*C1208</f>
        <v>0.2025</v>
      </c>
      <c r="J1208" s="0" t="n">
        <f aca="false">D1208*D1208</f>
        <v>0.09</v>
      </c>
      <c r="K1208" s="0" t="n">
        <f aca="false">SUMPRODUCT(E1208:J1208,_XtX!$B$53:$G$53)</f>
        <v>47.5674396551724</v>
      </c>
      <c r="L1208" s="0" t="n">
        <f aca="false">SUMPRODUCT(MMULT(E1208:J1208,_XtX!$B$44:$G$49),E1208:J1208)</f>
        <v>0.177955064655172</v>
      </c>
      <c r="M1208" s="0" t="n">
        <f aca="false">04_回帰ANOVA!$K$19*04_回帰ANOVA!$K$14*SQRT(1+L1208)</f>
        <v>1.47075703432952</v>
      </c>
      <c r="N1208" s="0" t="n">
        <f aca="false">K1208-M1208</f>
        <v>46.0966826208429</v>
      </c>
      <c r="O1208" s="0" t="n">
        <f aca="false">K1208+M1208</f>
        <v>49.0381966895019</v>
      </c>
      <c r="P1208" s="54" t="b">
        <f aca="false">AND(C1208&gt;=01_因子設定!$L$5-0.000000001,C1208&lt;=01_因子設定!$M$5+0.000000001,D1208&gt;=01_因子設定!$L$6-0.000000001,D1208&lt;=01_因子設定!$M$6+0.000000001,IF(01_因子設定!$B$20="Box-Behnken",C1208^2+D1208^2&lt;=2+0.000000001,TRUE()))</f>
        <v>1</v>
      </c>
      <c r="Q1208" s="55" t="n">
        <f aca="false">IF(P1208,IF(01_因子設定!$B$13="最大化",N1208-01_因子設定!$B$14,IF(01_因子設定!$B$13="最小化",01_因子設定!$B$15-O1208,MIN(N1208-01_因子設定!$B$14,01_因子設定!$B$15-O1208))),-1E+030)</f>
        <v>-0.403317379157109</v>
      </c>
      <c r="R1208" s="55" t="n">
        <f aca="false">IF(P1208,IF(01_因子設定!$B$13="最大化",K1208,IF(01_因子設定!$B$13="最小化",-K1208,-ABS(K1208-01_因子設定!$B$16))),-1E+030)</f>
        <v>47.5674396551724</v>
      </c>
      <c r="S1208" s="55" t="n">
        <f aca="false">Q1208+ROW()*0.000000001</f>
        <v>-0.403316171157109</v>
      </c>
      <c r="T1208" s="55" t="n">
        <f aca="false">R1208+ROW()*0.000000001</f>
        <v>47.5674408631724</v>
      </c>
    </row>
    <row r="1209" customFormat="false" ht="15" hidden="false" customHeight="false" outlineLevel="0" collapsed="false">
      <c r="A1209" s="0" t="n">
        <v>29</v>
      </c>
      <c r="B1209" s="0" t="n">
        <v>15</v>
      </c>
      <c r="C1209" s="0" t="n">
        <f aca="false">-1+A1209*0.05</f>
        <v>0.45</v>
      </c>
      <c r="D1209" s="0" t="n">
        <f aca="false">-1+B1209*0.05</f>
        <v>-0.25</v>
      </c>
      <c r="E1209" s="0" t="n">
        <f aca="false">1</f>
        <v>1</v>
      </c>
      <c r="F1209" s="0" t="n">
        <f aca="false">C1209</f>
        <v>0.45</v>
      </c>
      <c r="G1209" s="0" t="n">
        <f aca="false">D1209</f>
        <v>-0.25</v>
      </c>
      <c r="H1209" s="0" t="n">
        <f aca="false">C1209*D1209</f>
        <v>-0.1125</v>
      </c>
      <c r="I1209" s="0" t="n">
        <f aca="false">C1209*C1209</f>
        <v>0.2025</v>
      </c>
      <c r="J1209" s="0" t="n">
        <f aca="false">D1209*D1209</f>
        <v>0.0625</v>
      </c>
      <c r="K1209" s="0" t="n">
        <f aca="false">SUMPRODUCT(E1209:J1209,_XtX!$B$53:$G$53)</f>
        <v>47.7341875</v>
      </c>
      <c r="L1209" s="0" t="n">
        <f aca="false">SUMPRODUCT(MMULT(E1209:J1209,_XtX!$B$44:$G$49),E1209:J1209)</f>
        <v>0.177686979166667</v>
      </c>
      <c r="M1209" s="0" t="n">
        <f aca="false">04_回帰ANOVA!$K$19*04_回帰ANOVA!$K$14*SQRT(1+L1209)</f>
        <v>1.47058966332106</v>
      </c>
      <c r="N1209" s="0" t="n">
        <f aca="false">K1209-M1209</f>
        <v>46.2635978366789</v>
      </c>
      <c r="O1209" s="0" t="n">
        <f aca="false">K1209+M1209</f>
        <v>49.2047771633211</v>
      </c>
      <c r="P1209" s="54" t="b">
        <f aca="false">AND(C1209&gt;=01_因子設定!$L$5-0.000000001,C1209&lt;=01_因子設定!$M$5+0.000000001,D1209&gt;=01_因子設定!$L$6-0.000000001,D1209&lt;=01_因子設定!$M$6+0.000000001,IF(01_因子設定!$B$20="Box-Behnken",C1209^2+D1209^2&lt;=2+0.000000001,TRUE()))</f>
        <v>1</v>
      </c>
      <c r="Q1209" s="55" t="n">
        <f aca="false">IF(P1209,IF(01_因子設定!$B$13="最大化",N1209-01_因子設定!$B$14,IF(01_因子設定!$B$13="最小化",01_因子設定!$B$15-O1209,MIN(N1209-01_因子設定!$B$14,01_因子設定!$B$15-O1209))),-1E+030)</f>
        <v>-0.236402163321067</v>
      </c>
      <c r="R1209" s="55" t="n">
        <f aca="false">IF(P1209,IF(01_因子設定!$B$13="最大化",K1209,IF(01_因子設定!$B$13="最小化",-K1209,-ABS(K1209-01_因子設定!$B$16))),-1E+030)</f>
        <v>47.7341875</v>
      </c>
      <c r="S1209" s="55" t="n">
        <f aca="false">Q1209+ROW()*0.000000001</f>
        <v>-0.236400954321067</v>
      </c>
      <c r="T1209" s="55" t="n">
        <f aca="false">R1209+ROW()*0.000000001</f>
        <v>47.734188709</v>
      </c>
    </row>
    <row r="1210" customFormat="false" ht="15" hidden="false" customHeight="false" outlineLevel="0" collapsed="false">
      <c r="A1210" s="0" t="n">
        <v>29</v>
      </c>
      <c r="B1210" s="0" t="n">
        <v>16</v>
      </c>
      <c r="C1210" s="0" t="n">
        <f aca="false">-1+A1210*0.05</f>
        <v>0.45</v>
      </c>
      <c r="D1210" s="0" t="n">
        <f aca="false">-1+B1210*0.05</f>
        <v>-0.2</v>
      </c>
      <c r="E1210" s="0" t="n">
        <f aca="false">1</f>
        <v>1</v>
      </c>
      <c r="F1210" s="0" t="n">
        <f aca="false">C1210</f>
        <v>0.45</v>
      </c>
      <c r="G1210" s="0" t="n">
        <f aca="false">D1210</f>
        <v>-0.2</v>
      </c>
      <c r="H1210" s="0" t="n">
        <f aca="false">C1210*D1210</f>
        <v>-0.09</v>
      </c>
      <c r="I1210" s="0" t="n">
        <f aca="false">C1210*C1210</f>
        <v>0.2025</v>
      </c>
      <c r="J1210" s="0" t="n">
        <f aca="false">D1210*D1210</f>
        <v>0.04</v>
      </c>
      <c r="K1210" s="0" t="n">
        <f aca="false">SUMPRODUCT(E1210:J1210,_XtX!$B$53:$G$53)</f>
        <v>47.8932198275862</v>
      </c>
      <c r="L1210" s="0" t="n">
        <f aca="false">SUMPRODUCT(MMULT(E1210:J1210,_XtX!$B$44:$G$49),E1210:J1210)</f>
        <v>0.17787496408046</v>
      </c>
      <c r="M1210" s="0" t="n">
        <f aca="false">04_回帰ANOVA!$K$19*04_回帰ANOVA!$K$14*SQRT(1+L1210)</f>
        <v>1.47070702797102</v>
      </c>
      <c r="N1210" s="0" t="n">
        <f aca="false">K1210-M1210</f>
        <v>46.4225127996152</v>
      </c>
      <c r="O1210" s="0" t="n">
        <f aca="false">K1210+M1210</f>
        <v>49.3639268555572</v>
      </c>
      <c r="P1210" s="54" t="b">
        <f aca="false">AND(C1210&gt;=01_因子設定!$L$5-0.000000001,C1210&lt;=01_因子設定!$M$5+0.000000001,D1210&gt;=01_因子設定!$L$6-0.000000001,D1210&lt;=01_因子設定!$M$6+0.000000001,IF(01_因子設定!$B$20="Box-Behnken",C1210^2+D1210^2&lt;=2+0.000000001,TRUE()))</f>
        <v>1</v>
      </c>
      <c r="Q1210" s="55" t="n">
        <f aca="false">IF(P1210,IF(01_因子設定!$B$13="最大化",N1210-01_因子設定!$B$14,IF(01_因子設定!$B$13="最小化",01_因子設定!$B$15-O1210,MIN(N1210-01_因子設定!$B$14,01_因子設定!$B$15-O1210))),-1E+030)</f>
        <v>-0.0774872003848159</v>
      </c>
      <c r="R1210" s="55" t="n">
        <f aca="false">IF(P1210,IF(01_因子設定!$B$13="最大化",K1210,IF(01_因子設定!$B$13="最小化",-K1210,-ABS(K1210-01_因子設定!$B$16))),-1E+030)</f>
        <v>47.8932198275862</v>
      </c>
      <c r="S1210" s="55" t="n">
        <f aca="false">Q1210+ROW()*0.000000001</f>
        <v>-0.0774859903848159</v>
      </c>
      <c r="T1210" s="55" t="n">
        <f aca="false">R1210+ROW()*0.000000001</f>
        <v>47.8932210375862</v>
      </c>
    </row>
    <row r="1211" customFormat="false" ht="15" hidden="false" customHeight="false" outlineLevel="0" collapsed="false">
      <c r="A1211" s="0" t="n">
        <v>29</v>
      </c>
      <c r="B1211" s="0" t="n">
        <v>17</v>
      </c>
      <c r="C1211" s="0" t="n">
        <f aca="false">-1+A1211*0.05</f>
        <v>0.45</v>
      </c>
      <c r="D1211" s="0" t="n">
        <f aca="false">-1+B1211*0.05</f>
        <v>-0.15</v>
      </c>
      <c r="E1211" s="0" t="n">
        <f aca="false">1</f>
        <v>1</v>
      </c>
      <c r="F1211" s="0" t="n">
        <f aca="false">C1211</f>
        <v>0.45</v>
      </c>
      <c r="G1211" s="0" t="n">
        <f aca="false">D1211</f>
        <v>-0.15</v>
      </c>
      <c r="H1211" s="0" t="n">
        <f aca="false">C1211*D1211</f>
        <v>-0.0675</v>
      </c>
      <c r="I1211" s="0" t="n">
        <f aca="false">C1211*C1211</f>
        <v>0.2025</v>
      </c>
      <c r="J1211" s="0" t="n">
        <f aca="false">D1211*D1211</f>
        <v>0.0225</v>
      </c>
      <c r="K1211" s="0" t="n">
        <f aca="false">SUMPRODUCT(E1211:J1211,_XtX!$B$53:$G$53)</f>
        <v>48.044536637931</v>
      </c>
      <c r="L1211" s="0" t="n">
        <f aca="false">SUMPRODUCT(MMULT(E1211:J1211,_XtX!$B$44:$G$49),E1211:J1211)</f>
        <v>0.178274622844828</v>
      </c>
      <c r="M1211" s="0" t="n">
        <f aca="false">04_回帰ANOVA!$K$19*04_回帰ANOVA!$K$14*SQRT(1+L1211)</f>
        <v>1.47095651587113</v>
      </c>
      <c r="N1211" s="0" t="n">
        <f aca="false">K1211-M1211</f>
        <v>46.5735801220599</v>
      </c>
      <c r="O1211" s="0" t="n">
        <f aca="false">K1211+M1211</f>
        <v>49.5154931538022</v>
      </c>
      <c r="P1211" s="54" t="b">
        <f aca="false">AND(C1211&gt;=01_因子設定!$L$5-0.000000001,C1211&lt;=01_因子設定!$M$5+0.000000001,D1211&gt;=01_因子設定!$L$6-0.000000001,D1211&lt;=01_因子設定!$M$6+0.000000001,IF(01_因子設定!$B$20="Box-Behnken",C1211^2+D1211^2&lt;=2+0.000000001,TRUE()))</f>
        <v>1</v>
      </c>
      <c r="Q1211" s="55" t="n">
        <f aca="false">IF(P1211,IF(01_因子設定!$B$13="最大化",N1211-01_因子設定!$B$14,IF(01_因子設定!$B$13="最小化",01_因子設定!$B$15-O1211,MIN(N1211-01_因子設定!$B$14,01_因子設定!$B$15-O1211))),-1E+030)</f>
        <v>0.0735801220599015</v>
      </c>
      <c r="R1211" s="55" t="n">
        <f aca="false">IF(P1211,IF(01_因子設定!$B$13="最大化",K1211,IF(01_因子設定!$B$13="最小化",-K1211,-ABS(K1211-01_因子設定!$B$16))),-1E+030)</f>
        <v>48.044536637931</v>
      </c>
      <c r="S1211" s="55" t="n">
        <f aca="false">Q1211+ROW()*0.000000001</f>
        <v>0.0735813330599015</v>
      </c>
      <c r="T1211" s="55" t="n">
        <f aca="false">R1211+ROW()*0.000000001</f>
        <v>48.044537848931</v>
      </c>
    </row>
    <row r="1212" customFormat="false" ht="15" hidden="false" customHeight="false" outlineLevel="0" collapsed="false">
      <c r="A1212" s="0" t="n">
        <v>29</v>
      </c>
      <c r="B1212" s="0" t="n">
        <v>18</v>
      </c>
      <c r="C1212" s="0" t="n">
        <f aca="false">-1+A1212*0.05</f>
        <v>0.45</v>
      </c>
      <c r="D1212" s="0" t="n">
        <f aca="false">-1+B1212*0.05</f>
        <v>-0.1</v>
      </c>
      <c r="E1212" s="0" t="n">
        <f aca="false">1</f>
        <v>1</v>
      </c>
      <c r="F1212" s="0" t="n">
        <f aca="false">C1212</f>
        <v>0.45</v>
      </c>
      <c r="G1212" s="0" t="n">
        <f aca="false">D1212</f>
        <v>-0.1</v>
      </c>
      <c r="H1212" s="0" t="n">
        <f aca="false">C1212*D1212</f>
        <v>-0.045</v>
      </c>
      <c r="I1212" s="0" t="n">
        <f aca="false">C1212*C1212</f>
        <v>0.2025</v>
      </c>
      <c r="J1212" s="0" t="n">
        <f aca="false">D1212*D1212</f>
        <v>0.01</v>
      </c>
      <c r="K1212" s="0" t="n">
        <f aca="false">SUMPRODUCT(E1212:J1212,_XtX!$B$53:$G$53)</f>
        <v>48.1881379310345</v>
      </c>
      <c r="L1212" s="0" t="n">
        <f aca="false">SUMPRODUCT(MMULT(E1212:J1212,_XtX!$B$44:$G$49),E1212:J1212)</f>
        <v>0.178695869252874</v>
      </c>
      <c r="M1212" s="0" t="n">
        <f aca="false">04_回帰ANOVA!$K$19*04_回帰ANOVA!$K$14*SQRT(1+L1212)</f>
        <v>1.47121943410978</v>
      </c>
      <c r="N1212" s="0" t="n">
        <f aca="false">K1212-M1212</f>
        <v>46.7169184969247</v>
      </c>
      <c r="O1212" s="0" t="n">
        <f aca="false">K1212+M1212</f>
        <v>49.6593573651443</v>
      </c>
      <c r="P1212" s="54" t="b">
        <f aca="false">AND(C1212&gt;=01_因子設定!$L$5-0.000000001,C1212&lt;=01_因子設定!$M$5+0.000000001,D1212&gt;=01_因子設定!$L$6-0.000000001,D1212&lt;=01_因子設定!$M$6+0.000000001,IF(01_因子設定!$B$20="Box-Behnken",C1212^2+D1212^2&lt;=2+0.000000001,TRUE()))</f>
        <v>1</v>
      </c>
      <c r="Q1212" s="55" t="n">
        <f aca="false">IF(P1212,IF(01_因子設定!$B$13="最大化",N1212-01_因子設定!$B$14,IF(01_因子設定!$B$13="最小化",01_因子設定!$B$15-O1212,MIN(N1212-01_因子設定!$B$14,01_因子設定!$B$15-O1212))),-1E+030)</f>
        <v>0.216918496924698</v>
      </c>
      <c r="R1212" s="55" t="n">
        <f aca="false">IF(P1212,IF(01_因子設定!$B$13="最大化",K1212,IF(01_因子設定!$B$13="最小化",-K1212,-ABS(K1212-01_因子設定!$B$16))),-1E+030)</f>
        <v>48.1881379310345</v>
      </c>
      <c r="S1212" s="55" t="n">
        <f aca="false">Q1212+ROW()*0.000000001</f>
        <v>0.216919708924698</v>
      </c>
      <c r="T1212" s="55" t="n">
        <f aca="false">R1212+ROW()*0.000000001</f>
        <v>48.1881391430345</v>
      </c>
    </row>
    <row r="1213" customFormat="false" ht="15" hidden="false" customHeight="false" outlineLevel="0" collapsed="false">
      <c r="A1213" s="0" t="n">
        <v>29</v>
      </c>
      <c r="B1213" s="0" t="n">
        <v>19</v>
      </c>
      <c r="C1213" s="0" t="n">
        <f aca="false">-1+A1213*0.05</f>
        <v>0.45</v>
      </c>
      <c r="D1213" s="0" t="n">
        <f aca="false">-1+B1213*0.05</f>
        <v>-0.0499999999999999</v>
      </c>
      <c r="E1213" s="0" t="n">
        <f aca="false">1</f>
        <v>1</v>
      </c>
      <c r="F1213" s="0" t="n">
        <f aca="false">C1213</f>
        <v>0.45</v>
      </c>
      <c r="G1213" s="0" t="n">
        <f aca="false">D1213</f>
        <v>-0.0499999999999999</v>
      </c>
      <c r="H1213" s="0" t="n">
        <f aca="false">C1213*D1213</f>
        <v>-0.0225</v>
      </c>
      <c r="I1213" s="0" t="n">
        <f aca="false">C1213*C1213</f>
        <v>0.2025</v>
      </c>
      <c r="J1213" s="0" t="n">
        <f aca="false">D1213*D1213</f>
        <v>0.00249999999999999</v>
      </c>
      <c r="K1213" s="0" t="n">
        <f aca="false">SUMPRODUCT(E1213:J1213,_XtX!$B$53:$G$53)</f>
        <v>48.3240237068966</v>
      </c>
      <c r="L1213" s="0" t="n">
        <f aca="false">SUMPRODUCT(MMULT(E1213:J1213,_XtX!$B$44:$G$49),E1213:J1213)</f>
        <v>0.179002927442529</v>
      </c>
      <c r="M1213" s="0" t="n">
        <f aca="false">04_回帰ANOVA!$K$19*04_回帰ANOVA!$K$14*SQRT(1+L1213)</f>
        <v>1.47141105290249</v>
      </c>
      <c r="N1213" s="0" t="n">
        <f aca="false">K1213-M1213</f>
        <v>46.8526126539941</v>
      </c>
      <c r="O1213" s="0" t="n">
        <f aca="false">K1213+M1213</f>
        <v>49.795434759799</v>
      </c>
      <c r="P1213" s="54" t="b">
        <f aca="false">AND(C1213&gt;=01_因子設定!$L$5-0.000000001,C1213&lt;=01_因子設定!$M$5+0.000000001,D1213&gt;=01_因子設定!$L$6-0.000000001,D1213&lt;=01_因子設定!$M$6+0.000000001,IF(01_因子設定!$B$20="Box-Behnken",C1213^2+D1213^2&lt;=2+0.000000001,TRUE()))</f>
        <v>1</v>
      </c>
      <c r="Q1213" s="55" t="n">
        <f aca="false">IF(P1213,IF(01_因子設定!$B$13="最大化",N1213-01_因子設定!$B$14,IF(01_因子設定!$B$13="最小化",01_因子設定!$B$15-O1213,MIN(N1213-01_因子設定!$B$14,01_因子設定!$B$15-O1213))),-1E+030)</f>
        <v>0.352612653994058</v>
      </c>
      <c r="R1213" s="55" t="n">
        <f aca="false">IF(P1213,IF(01_因子設定!$B$13="最大化",K1213,IF(01_因子設定!$B$13="最小化",-K1213,-ABS(K1213-01_因子設定!$B$16))),-1E+030)</f>
        <v>48.3240237068966</v>
      </c>
      <c r="S1213" s="55" t="n">
        <f aca="false">Q1213+ROW()*0.000000001</f>
        <v>0.352613866994058</v>
      </c>
      <c r="T1213" s="55" t="n">
        <f aca="false">R1213+ROW()*0.000000001</f>
        <v>48.3240249198965</v>
      </c>
    </row>
    <row r="1214" customFormat="false" ht="15" hidden="false" customHeight="false" outlineLevel="0" collapsed="false">
      <c r="A1214" s="0" t="n">
        <v>29</v>
      </c>
      <c r="B1214" s="0" t="n">
        <v>20</v>
      </c>
      <c r="C1214" s="0" t="n">
        <f aca="false">-1+A1214*0.05</f>
        <v>0.45</v>
      </c>
      <c r="D1214" s="0" t="n">
        <f aca="false">-1+B1214*0.05</f>
        <v>0</v>
      </c>
      <c r="E1214" s="0" t="n">
        <f aca="false">1</f>
        <v>1</v>
      </c>
      <c r="F1214" s="0" t="n">
        <f aca="false">C1214</f>
        <v>0.45</v>
      </c>
      <c r="G1214" s="0" t="n">
        <f aca="false">D1214</f>
        <v>0</v>
      </c>
      <c r="H1214" s="0" t="n">
        <f aca="false">C1214*D1214</f>
        <v>0</v>
      </c>
      <c r="I1214" s="0" t="n">
        <f aca="false">C1214*C1214</f>
        <v>0.2025</v>
      </c>
      <c r="J1214" s="0" t="n">
        <f aca="false">D1214*D1214</f>
        <v>0</v>
      </c>
      <c r="K1214" s="0" t="n">
        <f aca="false">SUMPRODUCT(E1214:J1214,_XtX!$B$53:$G$53)</f>
        <v>48.4521939655172</v>
      </c>
      <c r="L1214" s="0" t="n">
        <f aca="false">SUMPRODUCT(MMULT(E1214:J1214,_XtX!$B$44:$G$49),E1214:J1214)</f>
        <v>0.179114331896552</v>
      </c>
      <c r="M1214" s="0" t="n">
        <f aca="false">04_回帰ANOVA!$K$19*04_回帰ANOVA!$K$14*SQRT(1+L1214)</f>
        <v>1.47148056836725</v>
      </c>
      <c r="N1214" s="0" t="n">
        <f aca="false">K1214-M1214</f>
        <v>46.98071339715</v>
      </c>
      <c r="O1214" s="0" t="n">
        <f aca="false">K1214+M1214</f>
        <v>49.9236745338845</v>
      </c>
      <c r="P1214" s="54" t="b">
        <f aca="false">AND(C1214&gt;=01_因子設定!$L$5-0.000000001,C1214&lt;=01_因子設定!$M$5+0.000000001,D1214&gt;=01_因子設定!$L$6-0.000000001,D1214&lt;=01_因子設定!$M$6+0.000000001,IF(01_因子設定!$B$20="Box-Behnken",C1214^2+D1214^2&lt;=2+0.000000001,TRUE()))</f>
        <v>1</v>
      </c>
      <c r="Q1214" s="55" t="n">
        <f aca="false">IF(P1214,IF(01_因子設定!$B$13="最大化",N1214-01_因子設定!$B$14,IF(01_因子設定!$B$13="最小化",01_因子設定!$B$15-O1214,MIN(N1214-01_因子設定!$B$14,01_因子設定!$B$15-O1214))),-1E+030)</f>
        <v>0.480713397149984</v>
      </c>
      <c r="R1214" s="55" t="n">
        <f aca="false">IF(P1214,IF(01_因子設定!$B$13="最大化",K1214,IF(01_因子設定!$B$13="最小化",-K1214,-ABS(K1214-01_因子設定!$B$16))),-1E+030)</f>
        <v>48.4521939655172</v>
      </c>
      <c r="S1214" s="55" t="n">
        <f aca="false">Q1214+ROW()*0.000000001</f>
        <v>0.480714611149984</v>
      </c>
      <c r="T1214" s="55" t="n">
        <f aca="false">R1214+ROW()*0.000000001</f>
        <v>48.4521951795172</v>
      </c>
    </row>
    <row r="1215" customFormat="false" ht="15" hidden="false" customHeight="false" outlineLevel="0" collapsed="false">
      <c r="A1215" s="0" t="n">
        <v>29</v>
      </c>
      <c r="B1215" s="0" t="n">
        <v>21</v>
      </c>
      <c r="C1215" s="0" t="n">
        <f aca="false">-1+A1215*0.05</f>
        <v>0.45</v>
      </c>
      <c r="D1215" s="0" t="n">
        <f aca="false">-1+B1215*0.05</f>
        <v>0.05</v>
      </c>
      <c r="E1215" s="0" t="n">
        <f aca="false">1</f>
        <v>1</v>
      </c>
      <c r="F1215" s="0" t="n">
        <f aca="false">C1215</f>
        <v>0.45</v>
      </c>
      <c r="G1215" s="0" t="n">
        <f aca="false">D1215</f>
        <v>0.05</v>
      </c>
      <c r="H1215" s="0" t="n">
        <f aca="false">C1215*D1215</f>
        <v>0.0225</v>
      </c>
      <c r="I1215" s="0" t="n">
        <f aca="false">C1215*C1215</f>
        <v>0.2025</v>
      </c>
      <c r="J1215" s="0" t="n">
        <f aca="false">D1215*D1215</f>
        <v>0.0025</v>
      </c>
      <c r="K1215" s="0" t="n">
        <f aca="false">SUMPRODUCT(E1215:J1215,_XtX!$B$53:$G$53)</f>
        <v>48.5726487068965</v>
      </c>
      <c r="L1215" s="0" t="n">
        <f aca="false">SUMPRODUCT(MMULT(E1215:J1215,_XtX!$B$44:$G$49),E1215:J1215)</f>
        <v>0.179002927442529</v>
      </c>
      <c r="M1215" s="0" t="n">
        <f aca="false">04_回帰ANOVA!$K$19*04_回帰ANOVA!$K$14*SQRT(1+L1215)</f>
        <v>1.47141105290249</v>
      </c>
      <c r="N1215" s="0" t="n">
        <f aca="false">K1215-M1215</f>
        <v>47.1012376539941</v>
      </c>
      <c r="O1215" s="0" t="n">
        <f aca="false">K1215+M1215</f>
        <v>50.044059759799</v>
      </c>
      <c r="P1215" s="54" t="b">
        <f aca="false">AND(C1215&gt;=01_因子設定!$L$5-0.000000001,C1215&lt;=01_因子設定!$M$5+0.000000001,D1215&gt;=01_因子設定!$L$6-0.000000001,D1215&lt;=01_因子設定!$M$6+0.000000001,IF(01_因子設定!$B$20="Box-Behnken",C1215^2+D1215^2&lt;=2+0.000000001,TRUE()))</f>
        <v>1</v>
      </c>
      <c r="Q1215" s="55" t="n">
        <f aca="false">IF(P1215,IF(01_因子設定!$B$13="最大化",N1215-01_因子設定!$B$14,IF(01_因子設定!$B$13="最小化",01_因子設定!$B$15-O1215,MIN(N1215-01_因子設定!$B$14,01_因子設定!$B$15-O1215))),-1E+030)</f>
        <v>0.601237653994055</v>
      </c>
      <c r="R1215" s="55" t="n">
        <f aca="false">IF(P1215,IF(01_因子設定!$B$13="最大化",K1215,IF(01_因子設定!$B$13="最小化",-K1215,-ABS(K1215-01_因子設定!$B$16))),-1E+030)</f>
        <v>48.5726487068965</v>
      </c>
      <c r="S1215" s="55" t="n">
        <f aca="false">Q1215+ROW()*0.000000001</f>
        <v>0.601238868994055</v>
      </c>
      <c r="T1215" s="55" t="n">
        <f aca="false">R1215+ROW()*0.000000001</f>
        <v>48.5726499218965</v>
      </c>
    </row>
    <row r="1216" customFormat="false" ht="15" hidden="false" customHeight="false" outlineLevel="0" collapsed="false">
      <c r="A1216" s="0" t="n">
        <v>29</v>
      </c>
      <c r="B1216" s="0" t="n">
        <v>22</v>
      </c>
      <c r="C1216" s="0" t="n">
        <f aca="false">-1+A1216*0.05</f>
        <v>0.45</v>
      </c>
      <c r="D1216" s="0" t="n">
        <f aca="false">-1+B1216*0.05</f>
        <v>0.1</v>
      </c>
      <c r="E1216" s="0" t="n">
        <f aca="false">1</f>
        <v>1</v>
      </c>
      <c r="F1216" s="0" t="n">
        <f aca="false">C1216</f>
        <v>0.45</v>
      </c>
      <c r="G1216" s="0" t="n">
        <f aca="false">D1216</f>
        <v>0.1</v>
      </c>
      <c r="H1216" s="0" t="n">
        <f aca="false">C1216*D1216</f>
        <v>0.0450000000000001</v>
      </c>
      <c r="I1216" s="0" t="n">
        <f aca="false">C1216*C1216</f>
        <v>0.2025</v>
      </c>
      <c r="J1216" s="0" t="n">
        <f aca="false">D1216*D1216</f>
        <v>0.01</v>
      </c>
      <c r="K1216" s="0" t="n">
        <f aca="false">SUMPRODUCT(E1216:J1216,_XtX!$B$53:$G$53)</f>
        <v>48.6853879310345</v>
      </c>
      <c r="L1216" s="0" t="n">
        <f aca="false">SUMPRODUCT(MMULT(E1216:J1216,_XtX!$B$44:$G$49),E1216:J1216)</f>
        <v>0.178695869252874</v>
      </c>
      <c r="M1216" s="0" t="n">
        <f aca="false">04_回帰ANOVA!$K$19*04_回帰ANOVA!$K$14*SQRT(1+L1216)</f>
        <v>1.47121943410978</v>
      </c>
      <c r="N1216" s="0" t="n">
        <f aca="false">K1216-M1216</f>
        <v>47.2141684969247</v>
      </c>
      <c r="O1216" s="0" t="n">
        <f aca="false">K1216+M1216</f>
        <v>50.1566073651443</v>
      </c>
      <c r="P1216" s="54" t="b">
        <f aca="false">AND(C1216&gt;=01_因子設定!$L$5-0.000000001,C1216&lt;=01_因子設定!$M$5+0.000000001,D1216&gt;=01_因子設定!$L$6-0.000000001,D1216&lt;=01_因子設定!$M$6+0.000000001,IF(01_因子設定!$B$20="Box-Behnken",C1216^2+D1216^2&lt;=2+0.000000001,TRUE()))</f>
        <v>1</v>
      </c>
      <c r="Q1216" s="55" t="n">
        <f aca="false">IF(P1216,IF(01_因子設定!$B$13="最大化",N1216-01_因子設定!$B$14,IF(01_因子設定!$B$13="最小化",01_因子設定!$B$15-O1216,MIN(N1216-01_因子設定!$B$14,01_因子設定!$B$15-O1216))),-1E+030)</f>
        <v>0.7141684969247</v>
      </c>
      <c r="R1216" s="55" t="n">
        <f aca="false">IF(P1216,IF(01_因子設定!$B$13="最大化",K1216,IF(01_因子設定!$B$13="最小化",-K1216,-ABS(K1216-01_因子設定!$B$16))),-1E+030)</f>
        <v>48.6853879310345</v>
      </c>
      <c r="S1216" s="55" t="n">
        <f aca="false">Q1216+ROW()*0.000000001</f>
        <v>0.7141697129247</v>
      </c>
      <c r="T1216" s="55" t="n">
        <f aca="false">R1216+ROW()*0.000000001</f>
        <v>48.6853891470345</v>
      </c>
    </row>
    <row r="1217" customFormat="false" ht="15" hidden="false" customHeight="false" outlineLevel="0" collapsed="false">
      <c r="A1217" s="0" t="n">
        <v>29</v>
      </c>
      <c r="B1217" s="0" t="n">
        <v>23</v>
      </c>
      <c r="C1217" s="0" t="n">
        <f aca="false">-1+A1217*0.05</f>
        <v>0.45</v>
      </c>
      <c r="D1217" s="0" t="n">
        <f aca="false">-1+B1217*0.05</f>
        <v>0.15</v>
      </c>
      <c r="E1217" s="0" t="n">
        <f aca="false">1</f>
        <v>1</v>
      </c>
      <c r="F1217" s="0" t="n">
        <f aca="false">C1217</f>
        <v>0.45</v>
      </c>
      <c r="G1217" s="0" t="n">
        <f aca="false">D1217</f>
        <v>0.15</v>
      </c>
      <c r="H1217" s="0" t="n">
        <f aca="false">C1217*D1217</f>
        <v>0.0675000000000001</v>
      </c>
      <c r="I1217" s="0" t="n">
        <f aca="false">C1217*C1217</f>
        <v>0.2025</v>
      </c>
      <c r="J1217" s="0" t="n">
        <f aca="false">D1217*D1217</f>
        <v>0.0225</v>
      </c>
      <c r="K1217" s="0" t="n">
        <f aca="false">SUMPRODUCT(E1217:J1217,_XtX!$B$53:$G$53)</f>
        <v>48.790411637931</v>
      </c>
      <c r="L1217" s="0" t="n">
        <f aca="false">SUMPRODUCT(MMULT(E1217:J1217,_XtX!$B$44:$G$49),E1217:J1217)</f>
        <v>0.178274622844828</v>
      </c>
      <c r="M1217" s="0" t="n">
        <f aca="false">04_回帰ANOVA!$K$19*04_回帰ANOVA!$K$14*SQRT(1+L1217)</f>
        <v>1.47095651587113</v>
      </c>
      <c r="N1217" s="0" t="n">
        <f aca="false">K1217-M1217</f>
        <v>47.3194551220599</v>
      </c>
      <c r="O1217" s="0" t="n">
        <f aca="false">K1217+M1217</f>
        <v>50.2613681538022</v>
      </c>
      <c r="P1217" s="54" t="b">
        <f aca="false">AND(C1217&gt;=01_因子設定!$L$5-0.000000001,C1217&lt;=01_因子設定!$M$5+0.000000001,D1217&gt;=01_因子設定!$L$6-0.000000001,D1217&lt;=01_因子設定!$M$6+0.000000001,IF(01_因子設定!$B$20="Box-Behnken",C1217^2+D1217^2&lt;=2+0.000000001,TRUE()))</f>
        <v>1</v>
      </c>
      <c r="Q1217" s="55" t="n">
        <f aca="false">IF(P1217,IF(01_因子設定!$B$13="最大化",N1217-01_因子設定!$B$14,IF(01_因子設定!$B$13="最小化",01_因子設定!$B$15-O1217,MIN(N1217-01_因子設定!$B$14,01_因子設定!$B$15-O1217))),-1E+030)</f>
        <v>0.8194551220599</v>
      </c>
      <c r="R1217" s="55" t="n">
        <f aca="false">IF(P1217,IF(01_因子設定!$B$13="最大化",K1217,IF(01_因子設定!$B$13="最小化",-K1217,-ABS(K1217-01_因子設定!$B$16))),-1E+030)</f>
        <v>48.790411637931</v>
      </c>
      <c r="S1217" s="55" t="n">
        <f aca="false">Q1217+ROW()*0.000000001</f>
        <v>0.8194563390599</v>
      </c>
      <c r="T1217" s="55" t="n">
        <f aca="false">R1217+ROW()*0.000000001</f>
        <v>48.790412854931</v>
      </c>
    </row>
    <row r="1218" customFormat="false" ht="15" hidden="false" customHeight="false" outlineLevel="0" collapsed="false">
      <c r="A1218" s="0" t="n">
        <v>29</v>
      </c>
      <c r="B1218" s="0" t="n">
        <v>24</v>
      </c>
      <c r="C1218" s="0" t="n">
        <f aca="false">-1+A1218*0.05</f>
        <v>0.45</v>
      </c>
      <c r="D1218" s="0" t="n">
        <f aca="false">-1+B1218*0.05</f>
        <v>0.2</v>
      </c>
      <c r="E1218" s="0" t="n">
        <f aca="false">1</f>
        <v>1</v>
      </c>
      <c r="F1218" s="0" t="n">
        <f aca="false">C1218</f>
        <v>0.45</v>
      </c>
      <c r="G1218" s="0" t="n">
        <f aca="false">D1218</f>
        <v>0.2</v>
      </c>
      <c r="H1218" s="0" t="n">
        <f aca="false">C1218*D1218</f>
        <v>0.0900000000000001</v>
      </c>
      <c r="I1218" s="0" t="n">
        <f aca="false">C1218*C1218</f>
        <v>0.2025</v>
      </c>
      <c r="J1218" s="0" t="n">
        <f aca="false">D1218*D1218</f>
        <v>0.0400000000000001</v>
      </c>
      <c r="K1218" s="0" t="n">
        <f aca="false">SUMPRODUCT(E1218:J1218,_XtX!$B$53:$G$53)</f>
        <v>48.8877198275862</v>
      </c>
      <c r="L1218" s="0" t="n">
        <f aca="false">SUMPRODUCT(MMULT(E1218:J1218,_XtX!$B$44:$G$49),E1218:J1218)</f>
        <v>0.17787496408046</v>
      </c>
      <c r="M1218" s="0" t="n">
        <f aca="false">04_回帰ANOVA!$K$19*04_回帰ANOVA!$K$14*SQRT(1+L1218)</f>
        <v>1.47070702797102</v>
      </c>
      <c r="N1218" s="0" t="n">
        <f aca="false">K1218-M1218</f>
        <v>47.4170127996152</v>
      </c>
      <c r="O1218" s="0" t="n">
        <f aca="false">K1218+M1218</f>
        <v>50.3584268555572</v>
      </c>
      <c r="P1218" s="54" t="b">
        <f aca="false">AND(C1218&gt;=01_因子設定!$L$5-0.000000001,C1218&lt;=01_因子設定!$M$5+0.000000001,D1218&gt;=01_因子設定!$L$6-0.000000001,D1218&lt;=01_因子設定!$M$6+0.000000001,IF(01_因子設定!$B$20="Box-Behnken",C1218^2+D1218^2&lt;=2+0.000000001,TRUE()))</f>
        <v>1</v>
      </c>
      <c r="Q1218" s="55" t="n">
        <f aca="false">IF(P1218,IF(01_因子設定!$B$13="最大化",N1218-01_因子設定!$B$14,IF(01_因子設定!$B$13="最小化",01_因子設定!$B$15-O1218,MIN(N1218-01_因子設定!$B$14,01_因子設定!$B$15-O1218))),-1E+030)</f>
        <v>0.917012799615186</v>
      </c>
      <c r="R1218" s="55" t="n">
        <f aca="false">IF(P1218,IF(01_因子設定!$B$13="最大化",K1218,IF(01_因子設定!$B$13="最小化",-K1218,-ABS(K1218-01_因子設定!$B$16))),-1E+030)</f>
        <v>48.8877198275862</v>
      </c>
      <c r="S1218" s="55" t="n">
        <f aca="false">Q1218+ROW()*0.000000001</f>
        <v>0.917014017615186</v>
      </c>
      <c r="T1218" s="55" t="n">
        <f aca="false">R1218+ROW()*0.000000001</f>
        <v>48.8877210455862</v>
      </c>
    </row>
    <row r="1219" customFormat="false" ht="15" hidden="false" customHeight="false" outlineLevel="0" collapsed="false">
      <c r="A1219" s="0" t="n">
        <v>29</v>
      </c>
      <c r="B1219" s="0" t="n">
        <v>25</v>
      </c>
      <c r="C1219" s="0" t="n">
        <f aca="false">-1+A1219*0.05</f>
        <v>0.45</v>
      </c>
      <c r="D1219" s="0" t="n">
        <f aca="false">-1+B1219*0.05</f>
        <v>0.25</v>
      </c>
      <c r="E1219" s="0" t="n">
        <f aca="false">1</f>
        <v>1</v>
      </c>
      <c r="F1219" s="0" t="n">
        <f aca="false">C1219</f>
        <v>0.45</v>
      </c>
      <c r="G1219" s="0" t="n">
        <f aca="false">D1219</f>
        <v>0.25</v>
      </c>
      <c r="H1219" s="0" t="n">
        <f aca="false">C1219*D1219</f>
        <v>0.1125</v>
      </c>
      <c r="I1219" s="0" t="n">
        <f aca="false">C1219*C1219</f>
        <v>0.2025</v>
      </c>
      <c r="J1219" s="0" t="n">
        <f aca="false">D1219*D1219</f>
        <v>0.0625</v>
      </c>
      <c r="K1219" s="0" t="n">
        <f aca="false">SUMPRODUCT(E1219:J1219,_XtX!$B$53:$G$53)</f>
        <v>48.9773125</v>
      </c>
      <c r="L1219" s="0" t="n">
        <f aca="false">SUMPRODUCT(MMULT(E1219:J1219,_XtX!$B$44:$G$49),E1219:J1219)</f>
        <v>0.177686979166667</v>
      </c>
      <c r="M1219" s="0" t="n">
        <f aca="false">04_回帰ANOVA!$K$19*04_回帰ANOVA!$K$14*SQRT(1+L1219)</f>
        <v>1.47058966332106</v>
      </c>
      <c r="N1219" s="0" t="n">
        <f aca="false">K1219-M1219</f>
        <v>47.5067228366789</v>
      </c>
      <c r="O1219" s="0" t="n">
        <f aca="false">K1219+M1219</f>
        <v>50.4479021633211</v>
      </c>
      <c r="P1219" s="54" t="b">
        <f aca="false">AND(C1219&gt;=01_因子設定!$L$5-0.000000001,C1219&lt;=01_因子設定!$M$5+0.000000001,D1219&gt;=01_因子設定!$L$6-0.000000001,D1219&lt;=01_因子設定!$M$6+0.000000001,IF(01_因子設定!$B$20="Box-Behnken",C1219^2+D1219^2&lt;=2+0.000000001,TRUE()))</f>
        <v>1</v>
      </c>
      <c r="Q1219" s="55" t="n">
        <f aca="false">IF(P1219,IF(01_因子設定!$B$13="最大化",N1219-01_因子設定!$B$14,IF(01_因子設定!$B$13="最小化",01_因子設定!$B$15-O1219,MIN(N1219-01_因子設定!$B$14,01_因子設定!$B$15-O1219))),-1E+030)</f>
        <v>1.00672283667893</v>
      </c>
      <c r="R1219" s="55" t="n">
        <f aca="false">IF(P1219,IF(01_因子設定!$B$13="最大化",K1219,IF(01_因子設定!$B$13="最小化",-K1219,-ABS(K1219-01_因子設定!$B$16))),-1E+030)</f>
        <v>48.9773125</v>
      </c>
      <c r="S1219" s="55" t="n">
        <f aca="false">Q1219+ROW()*0.000000001</f>
        <v>1.00672405567893</v>
      </c>
      <c r="T1219" s="55" t="n">
        <f aca="false">R1219+ROW()*0.000000001</f>
        <v>48.977313719</v>
      </c>
    </row>
    <row r="1220" customFormat="false" ht="15" hidden="false" customHeight="false" outlineLevel="0" collapsed="false">
      <c r="A1220" s="0" t="n">
        <v>29</v>
      </c>
      <c r="B1220" s="0" t="n">
        <v>26</v>
      </c>
      <c r="C1220" s="0" t="n">
        <f aca="false">-1+A1220*0.05</f>
        <v>0.45</v>
      </c>
      <c r="D1220" s="0" t="n">
        <f aca="false">-1+B1220*0.05</f>
        <v>0.3</v>
      </c>
      <c r="E1220" s="0" t="n">
        <f aca="false">1</f>
        <v>1</v>
      </c>
      <c r="F1220" s="0" t="n">
        <f aca="false">C1220</f>
        <v>0.45</v>
      </c>
      <c r="G1220" s="0" t="n">
        <f aca="false">D1220</f>
        <v>0.3</v>
      </c>
      <c r="H1220" s="0" t="n">
        <f aca="false">C1220*D1220</f>
        <v>0.135</v>
      </c>
      <c r="I1220" s="0" t="n">
        <f aca="false">C1220*C1220</f>
        <v>0.2025</v>
      </c>
      <c r="J1220" s="0" t="n">
        <f aca="false">D1220*D1220</f>
        <v>0.09</v>
      </c>
      <c r="K1220" s="0" t="n">
        <f aca="false">SUMPRODUCT(E1220:J1220,_XtX!$B$53:$G$53)</f>
        <v>49.0591896551724</v>
      </c>
      <c r="L1220" s="0" t="n">
        <f aca="false">SUMPRODUCT(MMULT(E1220:J1220,_XtX!$B$44:$G$49),E1220:J1220)</f>
        <v>0.177955064655172</v>
      </c>
      <c r="M1220" s="0" t="n">
        <f aca="false">04_回帰ANOVA!$K$19*04_回帰ANOVA!$K$14*SQRT(1+L1220)</f>
        <v>1.47075703432952</v>
      </c>
      <c r="N1220" s="0" t="n">
        <f aca="false">K1220-M1220</f>
        <v>47.5884326208429</v>
      </c>
      <c r="O1220" s="0" t="n">
        <f aca="false">K1220+M1220</f>
        <v>50.5299466895019</v>
      </c>
      <c r="P1220" s="54" t="b">
        <f aca="false">AND(C1220&gt;=01_因子設定!$L$5-0.000000001,C1220&lt;=01_因子設定!$M$5+0.000000001,D1220&gt;=01_因子設定!$L$6-0.000000001,D1220&lt;=01_因子設定!$M$6+0.000000001,IF(01_因子設定!$B$20="Box-Behnken",C1220^2+D1220^2&lt;=2+0.000000001,TRUE()))</f>
        <v>1</v>
      </c>
      <c r="Q1220" s="55" t="n">
        <f aca="false">IF(P1220,IF(01_因子設定!$B$13="最大化",N1220-01_因子設定!$B$14,IF(01_因子設定!$B$13="最小化",01_因子設定!$B$15-O1220,MIN(N1220-01_因子設定!$B$14,01_因子設定!$B$15-O1220))),-1E+030)</f>
        <v>1.08843262084289</v>
      </c>
      <c r="R1220" s="55" t="n">
        <f aca="false">IF(P1220,IF(01_因子設定!$B$13="最大化",K1220,IF(01_因子設定!$B$13="最小化",-K1220,-ABS(K1220-01_因子設定!$B$16))),-1E+030)</f>
        <v>49.0591896551724</v>
      </c>
      <c r="S1220" s="55" t="n">
        <f aca="false">Q1220+ROW()*0.000000001</f>
        <v>1.08843384084289</v>
      </c>
      <c r="T1220" s="55" t="n">
        <f aca="false">R1220+ROW()*0.000000001</f>
        <v>49.0591908751724</v>
      </c>
    </row>
    <row r="1221" customFormat="false" ht="15" hidden="false" customHeight="false" outlineLevel="0" collapsed="false">
      <c r="A1221" s="0" t="n">
        <v>29</v>
      </c>
      <c r="B1221" s="0" t="n">
        <v>27</v>
      </c>
      <c r="C1221" s="0" t="n">
        <f aca="false">-1+A1221*0.05</f>
        <v>0.45</v>
      </c>
      <c r="D1221" s="0" t="n">
        <f aca="false">-1+B1221*0.05</f>
        <v>0.35</v>
      </c>
      <c r="E1221" s="0" t="n">
        <f aca="false">1</f>
        <v>1</v>
      </c>
      <c r="F1221" s="0" t="n">
        <f aca="false">C1221</f>
        <v>0.45</v>
      </c>
      <c r="G1221" s="0" t="n">
        <f aca="false">D1221</f>
        <v>0.35</v>
      </c>
      <c r="H1221" s="0" t="n">
        <f aca="false">C1221*D1221</f>
        <v>0.1575</v>
      </c>
      <c r="I1221" s="0" t="n">
        <f aca="false">C1221*C1221</f>
        <v>0.2025</v>
      </c>
      <c r="J1221" s="0" t="n">
        <f aca="false">D1221*D1221</f>
        <v>0.1225</v>
      </c>
      <c r="K1221" s="0" t="n">
        <f aca="false">SUMPRODUCT(E1221:J1221,_XtX!$B$53:$G$53)</f>
        <v>49.1333512931034</v>
      </c>
      <c r="L1221" s="0" t="n">
        <f aca="false">SUMPRODUCT(MMULT(E1221:J1221,_XtX!$B$44:$G$49),E1221:J1221)</f>
        <v>0.178977927442529</v>
      </c>
      <c r="M1221" s="0" t="n">
        <f aca="false">04_回帰ANOVA!$K$19*04_回帰ANOVA!$K$14*SQRT(1+L1221)</f>
        <v>1.47139545265652</v>
      </c>
      <c r="N1221" s="0" t="n">
        <f aca="false">K1221-M1221</f>
        <v>47.6619558404469</v>
      </c>
      <c r="O1221" s="0" t="n">
        <f aca="false">K1221+M1221</f>
        <v>50.60474674576</v>
      </c>
      <c r="P1221" s="54" t="b">
        <f aca="false">AND(C1221&gt;=01_因子設定!$L$5-0.000000001,C1221&lt;=01_因子設定!$M$5+0.000000001,D1221&gt;=01_因子設定!$L$6-0.000000001,D1221&lt;=01_因子設定!$M$6+0.000000001,IF(01_因子設定!$B$20="Box-Behnken",C1221^2+D1221^2&lt;=2+0.000000001,TRUE()))</f>
        <v>1</v>
      </c>
      <c r="Q1221" s="55" t="n">
        <f aca="false">IF(P1221,IF(01_因子設定!$B$13="最大化",N1221-01_因子設定!$B$14,IF(01_因子設定!$B$13="最小化",01_因子設定!$B$15-O1221,MIN(N1221-01_因子設定!$B$14,01_因子設定!$B$15-O1221))),-1E+030)</f>
        <v>1.16195584044692</v>
      </c>
      <c r="R1221" s="55" t="n">
        <f aca="false">IF(P1221,IF(01_因子設定!$B$13="最大化",K1221,IF(01_因子設定!$B$13="最小化",-K1221,-ABS(K1221-01_因子設定!$B$16))),-1E+030)</f>
        <v>49.1333512931034</v>
      </c>
      <c r="S1221" s="55" t="n">
        <f aca="false">Q1221+ROW()*0.000000001</f>
        <v>1.16195706144692</v>
      </c>
      <c r="T1221" s="55" t="n">
        <f aca="false">R1221+ROW()*0.000000001</f>
        <v>49.1333525141034</v>
      </c>
    </row>
    <row r="1222" customFormat="false" ht="15" hidden="false" customHeight="false" outlineLevel="0" collapsed="false">
      <c r="A1222" s="0" t="n">
        <v>29</v>
      </c>
      <c r="B1222" s="0" t="n">
        <v>28</v>
      </c>
      <c r="C1222" s="0" t="n">
        <f aca="false">-1+A1222*0.05</f>
        <v>0.45</v>
      </c>
      <c r="D1222" s="0" t="n">
        <f aca="false">-1+B1222*0.05</f>
        <v>0.4</v>
      </c>
      <c r="E1222" s="0" t="n">
        <f aca="false">1</f>
        <v>1</v>
      </c>
      <c r="F1222" s="0" t="n">
        <f aca="false">C1222</f>
        <v>0.45</v>
      </c>
      <c r="G1222" s="0" t="n">
        <f aca="false">D1222</f>
        <v>0.4</v>
      </c>
      <c r="H1222" s="0" t="n">
        <f aca="false">C1222*D1222</f>
        <v>0.18</v>
      </c>
      <c r="I1222" s="0" t="n">
        <f aca="false">C1222*C1222</f>
        <v>0.2025</v>
      </c>
      <c r="J1222" s="0" t="n">
        <f aca="false">D1222*D1222</f>
        <v>0.16</v>
      </c>
      <c r="K1222" s="0" t="n">
        <f aca="false">SUMPRODUCT(E1222:J1222,_XtX!$B$53:$G$53)</f>
        <v>49.1997974137931</v>
      </c>
      <c r="L1222" s="0" t="n">
        <f aca="false">SUMPRODUCT(MMULT(E1222:J1222,_XtX!$B$44:$G$49),E1222:J1222)</f>
        <v>0.181108584770115</v>
      </c>
      <c r="M1222" s="0" t="n">
        <f aca="false">04_回帰ANOVA!$K$19*04_回帰ANOVA!$K$14*SQRT(1+L1222)</f>
        <v>1.47272441068535</v>
      </c>
      <c r="N1222" s="0" t="n">
        <f aca="false">K1222-M1222</f>
        <v>47.7270730031078</v>
      </c>
      <c r="O1222" s="0" t="n">
        <f aca="false">K1222+M1222</f>
        <v>50.6725218244785</v>
      </c>
      <c r="P1222" s="54" t="b">
        <f aca="false">AND(C1222&gt;=01_因子設定!$L$5-0.000000001,C1222&lt;=01_因子設定!$M$5+0.000000001,D1222&gt;=01_因子設定!$L$6-0.000000001,D1222&lt;=01_因子設定!$M$6+0.000000001,IF(01_因子設定!$B$20="Box-Behnken",C1222^2+D1222^2&lt;=2+0.000000001,TRUE()))</f>
        <v>1</v>
      </c>
      <c r="Q1222" s="55" t="n">
        <f aca="false">IF(P1222,IF(01_因子設定!$B$13="最大化",N1222-01_因子設定!$B$14,IF(01_因子設定!$B$13="最小化",01_因子設定!$B$15-O1222,MIN(N1222-01_因子設定!$B$14,01_因子設定!$B$15-O1222))),-1E+030)</f>
        <v>1.22707300310775</v>
      </c>
      <c r="R1222" s="55" t="n">
        <f aca="false">IF(P1222,IF(01_因子設定!$B$13="最大化",K1222,IF(01_因子設定!$B$13="最小化",-K1222,-ABS(K1222-01_因子設定!$B$16))),-1E+030)</f>
        <v>49.1997974137931</v>
      </c>
      <c r="S1222" s="55" t="n">
        <f aca="false">Q1222+ROW()*0.000000001</f>
        <v>1.22707422510775</v>
      </c>
      <c r="T1222" s="55" t="n">
        <f aca="false">R1222+ROW()*0.000000001</f>
        <v>49.1997986357931</v>
      </c>
    </row>
    <row r="1223" customFormat="false" ht="15" hidden="false" customHeight="false" outlineLevel="0" collapsed="false">
      <c r="A1223" s="0" t="n">
        <v>29</v>
      </c>
      <c r="B1223" s="0" t="n">
        <v>29</v>
      </c>
      <c r="C1223" s="0" t="n">
        <f aca="false">-1+A1223*0.05</f>
        <v>0.45</v>
      </c>
      <c r="D1223" s="0" t="n">
        <f aca="false">-1+B1223*0.05</f>
        <v>0.45</v>
      </c>
      <c r="E1223" s="0" t="n">
        <f aca="false">1</f>
        <v>1</v>
      </c>
      <c r="F1223" s="0" t="n">
        <f aca="false">C1223</f>
        <v>0.45</v>
      </c>
      <c r="G1223" s="0" t="n">
        <f aca="false">D1223</f>
        <v>0.45</v>
      </c>
      <c r="H1223" s="0" t="n">
        <f aca="false">C1223*D1223</f>
        <v>0.2025</v>
      </c>
      <c r="I1223" s="0" t="n">
        <f aca="false">C1223*C1223</f>
        <v>0.2025</v>
      </c>
      <c r="J1223" s="0" t="n">
        <f aca="false">D1223*D1223</f>
        <v>0.2025</v>
      </c>
      <c r="K1223" s="0" t="n">
        <f aca="false">SUMPRODUCT(E1223:J1223,_XtX!$B$53:$G$53)</f>
        <v>49.2585280172414</v>
      </c>
      <c r="L1223" s="0" t="n">
        <f aca="false">SUMPRODUCT(MMULT(E1223:J1223,_XtX!$B$44:$G$49),E1223:J1223)</f>
        <v>0.184754364224138</v>
      </c>
      <c r="M1223" s="0" t="n">
        <f aca="false">04_回帰ANOVA!$K$19*04_回帰ANOVA!$K$14*SQRT(1+L1223)</f>
        <v>1.4749956207551</v>
      </c>
      <c r="N1223" s="0" t="n">
        <f aca="false">K1223-M1223</f>
        <v>47.7835323964863</v>
      </c>
      <c r="O1223" s="0" t="n">
        <f aca="false">K1223+M1223</f>
        <v>50.7335236379965</v>
      </c>
      <c r="P1223" s="54" t="b">
        <f aca="false">AND(C1223&gt;=01_因子設定!$L$5-0.000000001,C1223&lt;=01_因子設定!$M$5+0.000000001,D1223&gt;=01_因子設定!$L$6-0.000000001,D1223&lt;=01_因子設定!$M$6+0.000000001,IF(01_因子設定!$B$20="Box-Behnken",C1223^2+D1223^2&lt;=2+0.000000001,TRUE()))</f>
        <v>1</v>
      </c>
      <c r="Q1223" s="55" t="n">
        <f aca="false">IF(P1223,IF(01_因子設定!$B$13="最大化",N1223-01_因子設定!$B$14,IF(01_因子設定!$B$13="最小化",01_因子設定!$B$15-O1223,MIN(N1223-01_因子設定!$B$14,01_因子設定!$B$15-O1223))),-1E+030)</f>
        <v>1.28353239648627</v>
      </c>
      <c r="R1223" s="55" t="n">
        <f aca="false">IF(P1223,IF(01_因子設定!$B$13="最大化",K1223,IF(01_因子設定!$B$13="最小化",-K1223,-ABS(K1223-01_因子設定!$B$16))),-1E+030)</f>
        <v>49.2585280172414</v>
      </c>
      <c r="S1223" s="55" t="n">
        <f aca="false">Q1223+ROW()*0.000000001</f>
        <v>1.28353361948627</v>
      </c>
      <c r="T1223" s="55" t="n">
        <f aca="false">R1223+ROW()*0.000000001</f>
        <v>49.2585292402414</v>
      </c>
    </row>
    <row r="1224" customFormat="false" ht="15" hidden="false" customHeight="false" outlineLevel="0" collapsed="false">
      <c r="A1224" s="0" t="n">
        <v>29</v>
      </c>
      <c r="B1224" s="0" t="n">
        <v>30</v>
      </c>
      <c r="C1224" s="0" t="n">
        <f aca="false">-1+A1224*0.05</f>
        <v>0.45</v>
      </c>
      <c r="D1224" s="0" t="n">
        <f aca="false">-1+B1224*0.05</f>
        <v>0.5</v>
      </c>
      <c r="E1224" s="0" t="n">
        <f aca="false">1</f>
        <v>1</v>
      </c>
      <c r="F1224" s="0" t="n">
        <f aca="false">C1224</f>
        <v>0.45</v>
      </c>
      <c r="G1224" s="0" t="n">
        <f aca="false">D1224</f>
        <v>0.5</v>
      </c>
      <c r="H1224" s="0" t="n">
        <f aca="false">C1224*D1224</f>
        <v>0.225</v>
      </c>
      <c r="I1224" s="0" t="n">
        <f aca="false">C1224*C1224</f>
        <v>0.2025</v>
      </c>
      <c r="J1224" s="0" t="n">
        <f aca="false">D1224*D1224</f>
        <v>0.25</v>
      </c>
      <c r="K1224" s="0" t="n">
        <f aca="false">SUMPRODUCT(E1224:J1224,_XtX!$B$53:$G$53)</f>
        <v>49.3095431034483</v>
      </c>
      <c r="L1224" s="0" t="n">
        <f aca="false">SUMPRODUCT(MMULT(E1224:J1224,_XtX!$B$44:$G$49),E1224:J1224)</f>
        <v>0.190376903735632</v>
      </c>
      <c r="M1224" s="0" t="n">
        <f aca="false">04_回帰ANOVA!$K$19*04_回帰ANOVA!$K$14*SQRT(1+L1224)</f>
        <v>1.47849145301872</v>
      </c>
      <c r="N1224" s="0" t="n">
        <f aca="false">K1224-M1224</f>
        <v>47.8310516504296</v>
      </c>
      <c r="O1224" s="0" t="n">
        <f aca="false">K1224+M1224</f>
        <v>50.788034556467</v>
      </c>
      <c r="P1224" s="54" t="b">
        <f aca="false">AND(C1224&gt;=01_因子設定!$L$5-0.000000001,C1224&lt;=01_因子設定!$M$5+0.000000001,D1224&gt;=01_因子設定!$L$6-0.000000001,D1224&lt;=01_因子設定!$M$6+0.000000001,IF(01_因子設定!$B$20="Box-Behnken",C1224^2+D1224^2&lt;=2+0.000000001,TRUE()))</f>
        <v>1</v>
      </c>
      <c r="Q1224" s="55" t="n">
        <f aca="false">IF(P1224,IF(01_因子設定!$B$13="最大化",N1224-01_因子設定!$B$14,IF(01_因子設定!$B$13="最小化",01_因子設定!$B$15-O1224,MIN(N1224-01_因子設定!$B$14,01_因子設定!$B$15-O1224))),-1E+030)</f>
        <v>1.33105165042955</v>
      </c>
      <c r="R1224" s="55" t="n">
        <f aca="false">IF(P1224,IF(01_因子設定!$B$13="最大化",K1224,IF(01_因子設定!$B$13="最小化",-K1224,-ABS(K1224-01_因子設定!$B$16))),-1E+030)</f>
        <v>49.3095431034483</v>
      </c>
      <c r="S1224" s="55" t="n">
        <f aca="false">Q1224+ROW()*0.000000001</f>
        <v>1.33105287442955</v>
      </c>
      <c r="T1224" s="55" t="n">
        <f aca="false">R1224+ROW()*0.000000001</f>
        <v>49.3095443274483</v>
      </c>
    </row>
    <row r="1225" customFormat="false" ht="15" hidden="false" customHeight="false" outlineLevel="0" collapsed="false">
      <c r="A1225" s="0" t="n">
        <v>29</v>
      </c>
      <c r="B1225" s="0" t="n">
        <v>31</v>
      </c>
      <c r="C1225" s="0" t="n">
        <f aca="false">-1+A1225*0.05</f>
        <v>0.45</v>
      </c>
      <c r="D1225" s="0" t="n">
        <f aca="false">-1+B1225*0.05</f>
        <v>0.55</v>
      </c>
      <c r="E1225" s="0" t="n">
        <f aca="false">1</f>
        <v>1</v>
      </c>
      <c r="F1225" s="0" t="n">
        <f aca="false">C1225</f>
        <v>0.45</v>
      </c>
      <c r="G1225" s="0" t="n">
        <f aca="false">D1225</f>
        <v>0.55</v>
      </c>
      <c r="H1225" s="0" t="n">
        <f aca="false">C1225*D1225</f>
        <v>0.2475</v>
      </c>
      <c r="I1225" s="0" t="n">
        <f aca="false">C1225*C1225</f>
        <v>0.2025</v>
      </c>
      <c r="J1225" s="0" t="n">
        <f aca="false">D1225*D1225</f>
        <v>0.3025</v>
      </c>
      <c r="K1225" s="0" t="n">
        <f aca="false">SUMPRODUCT(E1225:J1225,_XtX!$B$53:$G$53)</f>
        <v>49.3528426724138</v>
      </c>
      <c r="L1225" s="0" t="n">
        <f aca="false">SUMPRODUCT(MMULT(E1225:J1225,_XtX!$B$44:$G$49),E1225:J1225)</f>
        <v>0.19849215158046</v>
      </c>
      <c r="M1225" s="0" t="n">
        <f aca="false">04_回帰ANOVA!$K$19*04_回帰ANOVA!$K$14*SQRT(1+L1225)</f>
        <v>1.48352260940076</v>
      </c>
      <c r="N1225" s="0" t="n">
        <f aca="false">K1225-M1225</f>
        <v>47.869320063013</v>
      </c>
      <c r="O1225" s="0" t="n">
        <f aca="false">K1225+M1225</f>
        <v>50.8363652818145</v>
      </c>
      <c r="P1225" s="54" t="b">
        <f aca="false">AND(C1225&gt;=01_因子設定!$L$5-0.000000001,C1225&lt;=01_因子設定!$M$5+0.000000001,D1225&gt;=01_因子設定!$L$6-0.000000001,D1225&lt;=01_因子設定!$M$6+0.000000001,IF(01_因子設定!$B$20="Box-Behnken",C1225^2+D1225^2&lt;=2+0.000000001,TRUE()))</f>
        <v>1</v>
      </c>
      <c r="Q1225" s="55" t="n">
        <f aca="false">IF(P1225,IF(01_因子設定!$B$13="最大化",N1225-01_因子設定!$B$14,IF(01_因子設定!$B$13="最小化",01_因子設定!$B$15-O1225,MIN(N1225-01_因子設定!$B$14,01_因子設定!$B$15-O1225))),-1E+030)</f>
        <v>1.36932006301303</v>
      </c>
      <c r="R1225" s="55" t="n">
        <f aca="false">IF(P1225,IF(01_因子設定!$B$13="最大化",K1225,IF(01_因子設定!$B$13="最小化",-K1225,-ABS(K1225-01_因子設定!$B$16))),-1E+030)</f>
        <v>49.3528426724138</v>
      </c>
      <c r="S1225" s="55" t="n">
        <f aca="false">Q1225+ROW()*0.000000001</f>
        <v>1.36932128801303</v>
      </c>
      <c r="T1225" s="55" t="n">
        <f aca="false">R1225+ROW()*0.000000001</f>
        <v>49.3528438974138</v>
      </c>
    </row>
    <row r="1226" customFormat="false" ht="15" hidden="false" customHeight="false" outlineLevel="0" collapsed="false">
      <c r="A1226" s="0" t="n">
        <v>29</v>
      </c>
      <c r="B1226" s="0" t="n">
        <v>32</v>
      </c>
      <c r="C1226" s="0" t="n">
        <f aca="false">-1+A1226*0.05</f>
        <v>0.45</v>
      </c>
      <c r="D1226" s="0" t="n">
        <f aca="false">-1+B1226*0.05</f>
        <v>0.6</v>
      </c>
      <c r="E1226" s="0" t="n">
        <f aca="false">1</f>
        <v>1</v>
      </c>
      <c r="F1226" s="0" t="n">
        <f aca="false">C1226</f>
        <v>0.45</v>
      </c>
      <c r="G1226" s="0" t="n">
        <f aca="false">D1226</f>
        <v>0.6</v>
      </c>
      <c r="H1226" s="0" t="n">
        <f aca="false">C1226*D1226</f>
        <v>0.27</v>
      </c>
      <c r="I1226" s="0" t="n">
        <f aca="false">C1226*C1226</f>
        <v>0.2025</v>
      </c>
      <c r="J1226" s="0" t="n">
        <f aca="false">D1226*D1226</f>
        <v>0.36</v>
      </c>
      <c r="K1226" s="0" t="n">
        <f aca="false">SUMPRODUCT(E1226:J1226,_XtX!$B$53:$G$53)</f>
        <v>49.3884267241379</v>
      </c>
      <c r="L1226" s="0" t="n">
        <f aca="false">SUMPRODUCT(MMULT(E1226:J1226,_XtX!$B$44:$G$49),E1226:J1226)</f>
        <v>0.20967036637931</v>
      </c>
      <c r="M1226" s="0" t="n">
        <f aca="false">04_回帰ANOVA!$K$19*04_回帰ANOVA!$K$14*SQRT(1+L1226)</f>
        <v>1.49042488503951</v>
      </c>
      <c r="N1226" s="0" t="n">
        <f aca="false">K1226-M1226</f>
        <v>47.8980018390984</v>
      </c>
      <c r="O1226" s="0" t="n">
        <f aca="false">K1226+M1226</f>
        <v>50.8788516091774</v>
      </c>
      <c r="P1226" s="54" t="b">
        <f aca="false">AND(C1226&gt;=01_因子設定!$L$5-0.000000001,C1226&lt;=01_因子設定!$M$5+0.000000001,D1226&gt;=01_因子設定!$L$6-0.000000001,D1226&lt;=01_因子設定!$M$6+0.000000001,IF(01_因子設定!$B$20="Box-Behnken",C1226^2+D1226^2&lt;=2+0.000000001,TRUE()))</f>
        <v>1</v>
      </c>
      <c r="Q1226" s="55" t="n">
        <f aca="false">IF(P1226,IF(01_因子設定!$B$13="最大化",N1226-01_因子設定!$B$14,IF(01_因子設定!$B$13="最小化",01_因子設定!$B$15-O1226,MIN(N1226-01_因子設定!$B$14,01_因子設定!$B$15-O1226))),-1E+030)</f>
        <v>1.39800183909842</v>
      </c>
      <c r="R1226" s="55" t="n">
        <f aca="false">IF(P1226,IF(01_因子設定!$B$13="最大化",K1226,IF(01_因子設定!$B$13="最小化",-K1226,-ABS(K1226-01_因子設定!$B$16))),-1E+030)</f>
        <v>49.3884267241379</v>
      </c>
      <c r="S1226" s="55" t="n">
        <f aca="false">Q1226+ROW()*0.000000001</f>
        <v>1.39800306509842</v>
      </c>
      <c r="T1226" s="55" t="n">
        <f aca="false">R1226+ROW()*0.000000001</f>
        <v>49.3884279501379</v>
      </c>
    </row>
    <row r="1227" customFormat="false" ht="15" hidden="false" customHeight="false" outlineLevel="0" collapsed="false">
      <c r="A1227" s="0" t="n">
        <v>29</v>
      </c>
      <c r="B1227" s="0" t="n">
        <v>33</v>
      </c>
      <c r="C1227" s="0" t="n">
        <f aca="false">-1+A1227*0.05</f>
        <v>0.45</v>
      </c>
      <c r="D1227" s="0" t="n">
        <f aca="false">-1+B1227*0.05</f>
        <v>0.65</v>
      </c>
      <c r="E1227" s="0" t="n">
        <f aca="false">1</f>
        <v>1</v>
      </c>
      <c r="F1227" s="0" t="n">
        <f aca="false">C1227</f>
        <v>0.45</v>
      </c>
      <c r="G1227" s="0" t="n">
        <f aca="false">D1227</f>
        <v>0.65</v>
      </c>
      <c r="H1227" s="0" t="n">
        <f aca="false">C1227*D1227</f>
        <v>0.2925</v>
      </c>
      <c r="I1227" s="0" t="n">
        <f aca="false">C1227*C1227</f>
        <v>0.2025</v>
      </c>
      <c r="J1227" s="0" t="n">
        <f aca="false">D1227*D1227</f>
        <v>0.4225</v>
      </c>
      <c r="K1227" s="0" t="n">
        <f aca="false">SUMPRODUCT(E1227:J1227,_XtX!$B$53:$G$53)</f>
        <v>49.4162952586207</v>
      </c>
      <c r="L1227" s="0" t="n">
        <f aca="false">SUMPRODUCT(MMULT(E1227:J1227,_XtX!$B$44:$G$49),E1227:J1227)</f>
        <v>0.224536117097701</v>
      </c>
      <c r="M1227" s="0" t="n">
        <f aca="false">04_回帰ANOVA!$K$19*04_回帰ANOVA!$K$14*SQRT(1+L1227)</f>
        <v>1.49955490522416</v>
      </c>
      <c r="N1227" s="0" t="n">
        <f aca="false">K1227-M1227</f>
        <v>47.9167403533965</v>
      </c>
      <c r="O1227" s="0" t="n">
        <f aca="false">K1227+M1227</f>
        <v>50.9158501638448</v>
      </c>
      <c r="P1227" s="54" t="b">
        <f aca="false">AND(C1227&gt;=01_因子設定!$L$5-0.000000001,C1227&lt;=01_因子設定!$M$5+0.000000001,D1227&gt;=01_因子設定!$L$6-0.000000001,D1227&lt;=01_因子設定!$M$6+0.000000001,IF(01_因子設定!$B$20="Box-Behnken",C1227^2+D1227^2&lt;=2+0.000000001,TRUE()))</f>
        <v>1</v>
      </c>
      <c r="Q1227" s="55" t="n">
        <f aca="false">IF(P1227,IF(01_因子設定!$B$13="最大化",N1227-01_因子設定!$B$14,IF(01_因子設定!$B$13="最小化",01_因子設定!$B$15-O1227,MIN(N1227-01_因子設定!$B$14,01_因子設定!$B$15-O1227))),-1E+030)</f>
        <v>1.41674035339653</v>
      </c>
      <c r="R1227" s="55" t="n">
        <f aca="false">IF(P1227,IF(01_因子設定!$B$13="最大化",K1227,IF(01_因子設定!$B$13="最小化",-K1227,-ABS(K1227-01_因子設定!$B$16))),-1E+030)</f>
        <v>49.4162952586207</v>
      </c>
      <c r="S1227" s="55" t="n">
        <f aca="false">Q1227+ROW()*0.000000001</f>
        <v>1.41674158039653</v>
      </c>
      <c r="T1227" s="55" t="n">
        <f aca="false">R1227+ROW()*0.000000001</f>
        <v>49.4162964856207</v>
      </c>
    </row>
    <row r="1228" customFormat="false" ht="15" hidden="false" customHeight="false" outlineLevel="0" collapsed="false">
      <c r="A1228" s="0" t="n">
        <v>29</v>
      </c>
      <c r="B1228" s="0" t="n">
        <v>34</v>
      </c>
      <c r="C1228" s="0" t="n">
        <f aca="false">-1+A1228*0.05</f>
        <v>0.45</v>
      </c>
      <c r="D1228" s="0" t="n">
        <f aca="false">-1+B1228*0.05</f>
        <v>0.7</v>
      </c>
      <c r="E1228" s="0" t="n">
        <f aca="false">1</f>
        <v>1</v>
      </c>
      <c r="F1228" s="0" t="n">
        <f aca="false">C1228</f>
        <v>0.45</v>
      </c>
      <c r="G1228" s="0" t="n">
        <f aca="false">D1228</f>
        <v>0.7</v>
      </c>
      <c r="H1228" s="0" t="n">
        <f aca="false">C1228*D1228</f>
        <v>0.315</v>
      </c>
      <c r="I1228" s="0" t="n">
        <f aca="false">C1228*C1228</f>
        <v>0.2025</v>
      </c>
      <c r="J1228" s="0" t="n">
        <f aca="false">D1228*D1228</f>
        <v>0.49</v>
      </c>
      <c r="K1228" s="0" t="n">
        <f aca="false">SUMPRODUCT(E1228:J1228,_XtX!$B$53:$G$53)</f>
        <v>49.4364482758621</v>
      </c>
      <c r="L1228" s="0" t="n">
        <f aca="false">SUMPRODUCT(MMULT(E1228:J1228,_XtX!$B$44:$G$49),E1228:J1228)</f>
        <v>0.243768283045977</v>
      </c>
      <c r="M1228" s="0" t="n">
        <f aca="false">04_回帰ANOVA!$K$19*04_回帰ANOVA!$K$14*SQRT(1+L1228)</f>
        <v>1.51128478900926</v>
      </c>
      <c r="N1228" s="0" t="n">
        <f aca="false">K1228-M1228</f>
        <v>47.9251634868528</v>
      </c>
      <c r="O1228" s="0" t="n">
        <f aca="false">K1228+M1228</f>
        <v>50.9477330648713</v>
      </c>
      <c r="P1228" s="54" t="b">
        <f aca="false">AND(C1228&gt;=01_因子設定!$L$5-0.000000001,C1228&lt;=01_因子設定!$M$5+0.000000001,D1228&gt;=01_因子設定!$L$6-0.000000001,D1228&lt;=01_因子設定!$M$6+0.000000001,IF(01_因子設定!$B$20="Box-Behnken",C1228^2+D1228^2&lt;=2+0.000000001,TRUE()))</f>
        <v>1</v>
      </c>
      <c r="Q1228" s="55" t="n">
        <f aca="false">IF(P1228,IF(01_因子設定!$B$13="最大化",N1228-01_因子設定!$B$14,IF(01_因子設定!$B$13="最小化",01_因子設定!$B$15-O1228,MIN(N1228-01_因子設定!$B$14,01_因子設定!$B$15-O1228))),-1E+030)</f>
        <v>1.4251634868528</v>
      </c>
      <c r="R1228" s="55" t="n">
        <f aca="false">IF(P1228,IF(01_因子設定!$B$13="最大化",K1228,IF(01_因子設定!$B$13="最小化",-K1228,-ABS(K1228-01_因子設定!$B$16))),-1E+030)</f>
        <v>49.4364482758621</v>
      </c>
      <c r="S1228" s="55" t="n">
        <f aca="false">Q1228+ROW()*0.000000001</f>
        <v>1.4251647148528</v>
      </c>
      <c r="T1228" s="55" t="n">
        <f aca="false">R1228+ROW()*0.000000001</f>
        <v>49.4364495038621</v>
      </c>
    </row>
    <row r="1229" customFormat="false" ht="15" hidden="false" customHeight="false" outlineLevel="0" collapsed="false">
      <c r="A1229" s="0" t="n">
        <v>29</v>
      </c>
      <c r="B1229" s="0" t="n">
        <v>35</v>
      </c>
      <c r="C1229" s="0" t="n">
        <f aca="false">-1+A1229*0.05</f>
        <v>0.45</v>
      </c>
      <c r="D1229" s="0" t="n">
        <f aca="false">-1+B1229*0.05</f>
        <v>0.75</v>
      </c>
      <c r="E1229" s="0" t="n">
        <f aca="false">1</f>
        <v>1</v>
      </c>
      <c r="F1229" s="0" t="n">
        <f aca="false">C1229</f>
        <v>0.45</v>
      </c>
      <c r="G1229" s="0" t="n">
        <f aca="false">D1229</f>
        <v>0.75</v>
      </c>
      <c r="H1229" s="0" t="n">
        <f aca="false">C1229*D1229</f>
        <v>0.3375</v>
      </c>
      <c r="I1229" s="0" t="n">
        <f aca="false">C1229*C1229</f>
        <v>0.2025</v>
      </c>
      <c r="J1229" s="0" t="n">
        <f aca="false">D1229*D1229</f>
        <v>0.5625</v>
      </c>
      <c r="K1229" s="0" t="n">
        <f aca="false">SUMPRODUCT(E1229:J1229,_XtX!$B$53:$G$53)</f>
        <v>49.4488857758621</v>
      </c>
      <c r="L1229" s="0" t="n">
        <f aca="false">SUMPRODUCT(MMULT(E1229:J1229,_XtX!$B$44:$G$49),E1229:J1229)</f>
        <v>0.26810005387931</v>
      </c>
      <c r="M1229" s="0" t="n">
        <f aca="false">04_回帰ANOVA!$K$19*04_回帰ANOVA!$K$14*SQRT(1+L1229)</f>
        <v>1.52599578070166</v>
      </c>
      <c r="N1229" s="0" t="n">
        <f aca="false">K1229-M1229</f>
        <v>47.9228899951604</v>
      </c>
      <c r="O1229" s="0" t="n">
        <f aca="false">K1229+M1229</f>
        <v>50.9748815565637</v>
      </c>
      <c r="P1229" s="54" t="b">
        <f aca="false">AND(C1229&gt;=01_因子設定!$L$5-0.000000001,C1229&lt;=01_因子設定!$M$5+0.000000001,D1229&gt;=01_因子設定!$L$6-0.000000001,D1229&lt;=01_因子設定!$M$6+0.000000001,IF(01_因子設定!$B$20="Box-Behnken",C1229^2+D1229^2&lt;=2+0.000000001,TRUE()))</f>
        <v>1</v>
      </c>
      <c r="Q1229" s="55" t="n">
        <f aca="false">IF(P1229,IF(01_因子設定!$B$13="最大化",N1229-01_因子設定!$B$14,IF(01_因子設定!$B$13="最小化",01_因子設定!$B$15-O1229,MIN(N1229-01_因子設定!$B$14,01_因子設定!$B$15-O1229))),-1E+030)</f>
        <v>1.42288999516041</v>
      </c>
      <c r="R1229" s="55" t="n">
        <f aca="false">IF(P1229,IF(01_因子設定!$B$13="最大化",K1229,IF(01_因子設定!$B$13="最小化",-K1229,-ABS(K1229-01_因子設定!$B$16))),-1E+030)</f>
        <v>49.4488857758621</v>
      </c>
      <c r="S1229" s="55" t="n">
        <f aca="false">Q1229+ROW()*0.000000001</f>
        <v>1.42289122416041</v>
      </c>
      <c r="T1229" s="55" t="n">
        <f aca="false">R1229+ROW()*0.000000001</f>
        <v>49.4488870048621</v>
      </c>
    </row>
    <row r="1230" customFormat="false" ht="15" hidden="false" customHeight="false" outlineLevel="0" collapsed="false">
      <c r="A1230" s="0" t="n">
        <v>29</v>
      </c>
      <c r="B1230" s="0" t="n">
        <v>36</v>
      </c>
      <c r="C1230" s="0" t="n">
        <f aca="false">-1+A1230*0.05</f>
        <v>0.45</v>
      </c>
      <c r="D1230" s="0" t="n">
        <f aca="false">-1+B1230*0.05</f>
        <v>0.8</v>
      </c>
      <c r="E1230" s="0" t="n">
        <f aca="false">1</f>
        <v>1</v>
      </c>
      <c r="F1230" s="0" t="n">
        <f aca="false">C1230</f>
        <v>0.45</v>
      </c>
      <c r="G1230" s="0" t="n">
        <f aca="false">D1230</f>
        <v>0.8</v>
      </c>
      <c r="H1230" s="0" t="n">
        <f aca="false">C1230*D1230</f>
        <v>0.36</v>
      </c>
      <c r="I1230" s="0" t="n">
        <f aca="false">C1230*C1230</f>
        <v>0.2025</v>
      </c>
      <c r="J1230" s="0" t="n">
        <f aca="false">D1230*D1230</f>
        <v>0.64</v>
      </c>
      <c r="K1230" s="0" t="n">
        <f aca="false">SUMPRODUCT(E1230:J1230,_XtX!$B$53:$G$53)</f>
        <v>49.4536077586207</v>
      </c>
      <c r="L1230" s="0" t="n">
        <f aca="false">SUMPRODUCT(MMULT(E1230:J1230,_XtX!$B$44:$G$49),E1230:J1230)</f>
        <v>0.298318929597701</v>
      </c>
      <c r="M1230" s="0" t="n">
        <f aca="false">04_回帰ANOVA!$K$19*04_回帰ANOVA!$K$14*SQRT(1+L1230)</f>
        <v>1.54407100205425</v>
      </c>
      <c r="N1230" s="0" t="n">
        <f aca="false">K1230-M1230</f>
        <v>47.9095367565664</v>
      </c>
      <c r="O1230" s="0" t="n">
        <f aca="false">K1230+M1230</f>
        <v>50.9976787606749</v>
      </c>
      <c r="P1230" s="54" t="b">
        <f aca="false">AND(C1230&gt;=01_因子設定!$L$5-0.000000001,C1230&lt;=01_因子設定!$M$5+0.000000001,D1230&gt;=01_因子設定!$L$6-0.000000001,D1230&lt;=01_因子設定!$M$6+0.000000001,IF(01_因子設定!$B$20="Box-Behnken",C1230^2+D1230^2&lt;=2+0.000000001,TRUE()))</f>
        <v>1</v>
      </c>
      <c r="Q1230" s="55" t="n">
        <f aca="false">IF(P1230,IF(01_因子設定!$B$13="最大化",N1230-01_因子設定!$B$14,IF(01_因子設定!$B$13="最小化",01_因子設定!$B$15-O1230,MIN(N1230-01_因子設定!$B$14,01_因子設定!$B$15-O1230))),-1E+030)</f>
        <v>1.40953675656644</v>
      </c>
      <c r="R1230" s="55" t="n">
        <f aca="false">IF(P1230,IF(01_因子設定!$B$13="最大化",K1230,IF(01_因子設定!$B$13="最小化",-K1230,-ABS(K1230-01_因子設定!$B$16))),-1E+030)</f>
        <v>49.4536077586207</v>
      </c>
      <c r="S1230" s="55" t="n">
        <f aca="false">Q1230+ROW()*0.000000001</f>
        <v>1.40953798656644</v>
      </c>
      <c r="T1230" s="55" t="n">
        <f aca="false">R1230+ROW()*0.000000001</f>
        <v>49.4536089886207</v>
      </c>
    </row>
    <row r="1231" customFormat="false" ht="15" hidden="false" customHeight="false" outlineLevel="0" collapsed="false">
      <c r="A1231" s="0" t="n">
        <v>29</v>
      </c>
      <c r="B1231" s="0" t="n">
        <v>37</v>
      </c>
      <c r="C1231" s="0" t="n">
        <f aca="false">-1+A1231*0.05</f>
        <v>0.45</v>
      </c>
      <c r="D1231" s="0" t="n">
        <f aca="false">-1+B1231*0.05</f>
        <v>0.85</v>
      </c>
      <c r="E1231" s="0" t="n">
        <f aca="false">1</f>
        <v>1</v>
      </c>
      <c r="F1231" s="0" t="n">
        <f aca="false">C1231</f>
        <v>0.45</v>
      </c>
      <c r="G1231" s="0" t="n">
        <f aca="false">D1231</f>
        <v>0.85</v>
      </c>
      <c r="H1231" s="0" t="n">
        <f aca="false">C1231*D1231</f>
        <v>0.3825</v>
      </c>
      <c r="I1231" s="0" t="n">
        <f aca="false">C1231*C1231</f>
        <v>0.2025</v>
      </c>
      <c r="J1231" s="0" t="n">
        <f aca="false">D1231*D1231</f>
        <v>0.7225</v>
      </c>
      <c r="K1231" s="0" t="n">
        <f aca="false">SUMPRODUCT(E1231:J1231,_XtX!$B$53:$G$53)</f>
        <v>49.4506142241379</v>
      </c>
      <c r="L1231" s="0" t="n">
        <f aca="false">SUMPRODUCT(MMULT(E1231:J1231,_XtX!$B$44:$G$49),E1231:J1231)</f>
        <v>0.335266720545977</v>
      </c>
      <c r="M1231" s="0" t="n">
        <f aca="false">04_回帰ANOVA!$K$19*04_回帰ANOVA!$K$14*SQRT(1+L1231)</f>
        <v>1.56588759931073</v>
      </c>
      <c r="N1231" s="0" t="n">
        <f aca="false">K1231-M1231</f>
        <v>47.8847266248272</v>
      </c>
      <c r="O1231" s="0" t="n">
        <f aca="false">K1231+M1231</f>
        <v>51.0165018234487</v>
      </c>
      <c r="P1231" s="54" t="b">
        <f aca="false">AND(C1231&gt;=01_因子設定!$L$5-0.000000001,C1231&lt;=01_因子設定!$M$5+0.000000001,D1231&gt;=01_因子設定!$L$6-0.000000001,D1231&lt;=01_因子設定!$M$6+0.000000001,IF(01_因子設定!$B$20="Box-Behnken",C1231^2+D1231^2&lt;=2+0.000000001,TRUE()))</f>
        <v>1</v>
      </c>
      <c r="Q1231" s="55" t="n">
        <f aca="false">IF(P1231,IF(01_因子設定!$B$13="最大化",N1231-01_因子設定!$B$14,IF(01_因子設定!$B$13="最小化",01_因子設定!$B$15-O1231,MIN(N1231-01_因子設定!$B$14,01_因子設定!$B$15-O1231))),-1E+030)</f>
        <v>1.3847266248272</v>
      </c>
      <c r="R1231" s="55" t="n">
        <f aca="false">IF(P1231,IF(01_因子設定!$B$13="最大化",K1231,IF(01_因子設定!$B$13="最小化",-K1231,-ABS(K1231-01_因子設定!$B$16))),-1E+030)</f>
        <v>49.4506142241379</v>
      </c>
      <c r="S1231" s="55" t="n">
        <f aca="false">Q1231+ROW()*0.000000001</f>
        <v>1.3847278558272</v>
      </c>
      <c r="T1231" s="55" t="n">
        <f aca="false">R1231+ROW()*0.000000001</f>
        <v>49.4506154551379</v>
      </c>
    </row>
    <row r="1232" customFormat="false" ht="15" hidden="false" customHeight="false" outlineLevel="0" collapsed="false">
      <c r="A1232" s="0" t="n">
        <v>29</v>
      </c>
      <c r="B1232" s="0" t="n">
        <v>38</v>
      </c>
      <c r="C1232" s="0" t="n">
        <f aca="false">-1+A1232*0.05</f>
        <v>0.45</v>
      </c>
      <c r="D1232" s="0" t="n">
        <f aca="false">-1+B1232*0.05</f>
        <v>0.9</v>
      </c>
      <c r="E1232" s="0" t="n">
        <f aca="false">1</f>
        <v>1</v>
      </c>
      <c r="F1232" s="0" t="n">
        <f aca="false">C1232</f>
        <v>0.45</v>
      </c>
      <c r="G1232" s="0" t="n">
        <f aca="false">D1232</f>
        <v>0.9</v>
      </c>
      <c r="H1232" s="0" t="n">
        <f aca="false">C1232*D1232</f>
        <v>0.405</v>
      </c>
      <c r="I1232" s="0" t="n">
        <f aca="false">C1232*C1232</f>
        <v>0.2025</v>
      </c>
      <c r="J1232" s="0" t="n">
        <f aca="false">D1232*D1232</f>
        <v>0.81</v>
      </c>
      <c r="K1232" s="0" t="n">
        <f aca="false">SUMPRODUCT(E1232:J1232,_XtX!$B$53:$G$53)</f>
        <v>49.4399051724138</v>
      </c>
      <c r="L1232" s="0" t="n">
        <f aca="false">SUMPRODUCT(MMULT(E1232:J1232,_XtX!$B$44:$G$49),E1232:J1232)</f>
        <v>0.379839547413793</v>
      </c>
      <c r="M1232" s="0" t="n">
        <f aca="false">04_回帰ANOVA!$K$19*04_回帰ANOVA!$K$14*SQRT(1+L1232)</f>
        <v>1.59180867193519</v>
      </c>
      <c r="N1232" s="0" t="n">
        <f aca="false">K1232-M1232</f>
        <v>47.8480965004786</v>
      </c>
      <c r="O1232" s="0" t="n">
        <f aca="false">K1232+M1232</f>
        <v>51.031713844349</v>
      </c>
      <c r="P1232" s="54" t="b">
        <f aca="false">AND(C1232&gt;=01_因子設定!$L$5-0.000000001,C1232&lt;=01_因子設定!$M$5+0.000000001,D1232&gt;=01_因子設定!$L$6-0.000000001,D1232&lt;=01_因子設定!$M$6+0.000000001,IF(01_因子設定!$B$20="Box-Behnken",C1232^2+D1232^2&lt;=2+0.000000001,TRUE()))</f>
        <v>1</v>
      </c>
      <c r="Q1232" s="55" t="n">
        <f aca="false">IF(P1232,IF(01_因子設定!$B$13="最大化",N1232-01_因子設定!$B$14,IF(01_因子設定!$B$13="最小化",01_因子設定!$B$15-O1232,MIN(N1232-01_因子設定!$B$14,01_因子設定!$B$15-O1232))),-1E+030)</f>
        <v>1.34809650047859</v>
      </c>
      <c r="R1232" s="55" t="n">
        <f aca="false">IF(P1232,IF(01_因子設定!$B$13="最大化",K1232,IF(01_因子設定!$B$13="最小化",-K1232,-ABS(K1232-01_因子設定!$B$16))),-1E+030)</f>
        <v>49.4399051724138</v>
      </c>
      <c r="S1232" s="55" t="n">
        <f aca="false">Q1232+ROW()*0.000000001</f>
        <v>1.34809773247859</v>
      </c>
      <c r="T1232" s="55" t="n">
        <f aca="false">R1232+ROW()*0.000000001</f>
        <v>49.4399064044138</v>
      </c>
    </row>
    <row r="1233" customFormat="false" ht="15" hidden="false" customHeight="false" outlineLevel="0" collapsed="false">
      <c r="A1233" s="0" t="n">
        <v>29</v>
      </c>
      <c r="B1233" s="0" t="n">
        <v>39</v>
      </c>
      <c r="C1233" s="0" t="n">
        <f aca="false">-1+A1233*0.05</f>
        <v>0.45</v>
      </c>
      <c r="D1233" s="0" t="n">
        <f aca="false">-1+B1233*0.05</f>
        <v>0.95</v>
      </c>
      <c r="E1233" s="0" t="n">
        <f aca="false">1</f>
        <v>1</v>
      </c>
      <c r="F1233" s="0" t="n">
        <f aca="false">C1233</f>
        <v>0.45</v>
      </c>
      <c r="G1233" s="0" t="n">
        <f aca="false">D1233</f>
        <v>0.95</v>
      </c>
      <c r="H1233" s="0" t="n">
        <f aca="false">C1233*D1233</f>
        <v>0.4275</v>
      </c>
      <c r="I1233" s="0" t="n">
        <f aca="false">C1233*C1233</f>
        <v>0.2025</v>
      </c>
      <c r="J1233" s="0" t="n">
        <f aca="false">D1233*D1233</f>
        <v>0.9025</v>
      </c>
      <c r="K1233" s="0" t="n">
        <f aca="false">SUMPRODUCT(E1233:J1233,_XtX!$B$53:$G$53)</f>
        <v>49.4214806034483</v>
      </c>
      <c r="L1233" s="0" t="n">
        <f aca="false">SUMPRODUCT(MMULT(E1233:J1233,_XtX!$B$44:$G$49),E1233:J1233)</f>
        <v>0.432987841235632</v>
      </c>
      <c r="M1233" s="0" t="n">
        <f aca="false">04_回帰ANOVA!$K$19*04_回帰ANOVA!$K$14*SQRT(1+L1233)</f>
        <v>1.62217545204943</v>
      </c>
      <c r="N1233" s="0" t="n">
        <f aca="false">K1233-M1233</f>
        <v>47.7993051513988</v>
      </c>
      <c r="O1233" s="0" t="n">
        <f aca="false">K1233+M1233</f>
        <v>51.0436560554977</v>
      </c>
      <c r="P1233" s="54" t="b">
        <f aca="false">AND(C1233&gt;=01_因子設定!$L$5-0.000000001,C1233&lt;=01_因子設定!$M$5+0.000000001,D1233&gt;=01_因子設定!$L$6-0.000000001,D1233&lt;=01_因子設定!$M$6+0.000000001,IF(01_因子設定!$B$20="Box-Behnken",C1233^2+D1233^2&lt;=2+0.000000001,TRUE()))</f>
        <v>1</v>
      </c>
      <c r="Q1233" s="55" t="n">
        <f aca="false">IF(P1233,IF(01_因子設定!$B$13="最大化",N1233-01_因子設定!$B$14,IF(01_因子設定!$B$13="最小化",01_因子設定!$B$15-O1233,MIN(N1233-01_因子設定!$B$14,01_因子設定!$B$15-O1233))),-1E+030)</f>
        <v>1.29930515139884</v>
      </c>
      <c r="R1233" s="55" t="n">
        <f aca="false">IF(P1233,IF(01_因子設定!$B$13="最大化",K1233,IF(01_因子設定!$B$13="最小化",-K1233,-ABS(K1233-01_因子設定!$B$16))),-1E+030)</f>
        <v>49.4214806034483</v>
      </c>
      <c r="S1233" s="55" t="n">
        <f aca="false">Q1233+ROW()*0.000000001</f>
        <v>1.29930638439884</v>
      </c>
      <c r="T1233" s="55" t="n">
        <f aca="false">R1233+ROW()*0.000000001</f>
        <v>49.4214818364483</v>
      </c>
    </row>
    <row r="1234" customFormat="false" ht="15" hidden="false" customHeight="false" outlineLevel="0" collapsed="false">
      <c r="A1234" s="0" t="n">
        <v>29</v>
      </c>
      <c r="B1234" s="0" t="n">
        <v>40</v>
      </c>
      <c r="C1234" s="0" t="n">
        <f aca="false">-1+A1234*0.05</f>
        <v>0.45</v>
      </c>
      <c r="D1234" s="0" t="n">
        <f aca="false">-1+B1234*0.05</f>
        <v>1</v>
      </c>
      <c r="E1234" s="0" t="n">
        <f aca="false">1</f>
        <v>1</v>
      </c>
      <c r="F1234" s="0" t="n">
        <f aca="false">C1234</f>
        <v>0.45</v>
      </c>
      <c r="G1234" s="0" t="n">
        <f aca="false">D1234</f>
        <v>1</v>
      </c>
      <c r="H1234" s="0" t="n">
        <f aca="false">C1234*D1234</f>
        <v>0.45</v>
      </c>
      <c r="I1234" s="0" t="n">
        <f aca="false">C1234*C1234</f>
        <v>0.2025</v>
      </c>
      <c r="J1234" s="0" t="n">
        <f aca="false">D1234*D1234</f>
        <v>1</v>
      </c>
      <c r="K1234" s="0" t="n">
        <f aca="false">SUMPRODUCT(E1234:J1234,_XtX!$B$53:$G$53)</f>
        <v>49.3953405172414</v>
      </c>
      <c r="L1234" s="0" t="n">
        <f aca="false">SUMPRODUCT(MMULT(E1234:J1234,_XtX!$B$44:$G$49),E1234:J1234)</f>
        <v>0.495716343390805</v>
      </c>
      <c r="M1234" s="0" t="n">
        <f aca="false">04_回帰ANOVA!$K$19*04_回帰ANOVA!$K$14*SQRT(1+L1234)</f>
        <v>1.65730023478681</v>
      </c>
      <c r="N1234" s="0" t="n">
        <f aca="false">K1234-M1234</f>
        <v>47.7380402824546</v>
      </c>
      <c r="O1234" s="0" t="n">
        <f aca="false">K1234+M1234</f>
        <v>51.0526407520282</v>
      </c>
      <c r="P1234" s="54" t="b">
        <f aca="false">AND(C1234&gt;=01_因子設定!$L$5-0.000000001,C1234&lt;=01_因子設定!$M$5+0.000000001,D1234&gt;=01_因子設定!$L$6-0.000000001,D1234&lt;=01_因子設定!$M$6+0.000000001,IF(01_因子設定!$B$20="Box-Behnken",C1234^2+D1234^2&lt;=2+0.000000001,TRUE()))</f>
        <v>1</v>
      </c>
      <c r="Q1234" s="55" t="n">
        <f aca="false">IF(P1234,IF(01_因子設定!$B$13="最大化",N1234-01_因子設定!$B$14,IF(01_因子設定!$B$13="最小化",01_因子設定!$B$15-O1234,MIN(N1234-01_因子設定!$B$14,01_因子設定!$B$15-O1234))),-1E+030)</f>
        <v>1.23804028245457</v>
      </c>
      <c r="R1234" s="55" t="n">
        <f aca="false">IF(P1234,IF(01_因子設定!$B$13="最大化",K1234,IF(01_因子設定!$B$13="最小化",-K1234,-ABS(K1234-01_因子設定!$B$16))),-1E+030)</f>
        <v>49.3953405172414</v>
      </c>
      <c r="S1234" s="55" t="n">
        <f aca="false">Q1234+ROW()*0.000000001</f>
        <v>1.23804151645457</v>
      </c>
      <c r="T1234" s="55" t="n">
        <f aca="false">R1234+ROW()*0.000000001</f>
        <v>49.3953417512414</v>
      </c>
    </row>
    <row r="1235" customFormat="false" ht="15" hidden="false" customHeight="false" outlineLevel="0" collapsed="false">
      <c r="A1235" s="0" t="n">
        <v>30</v>
      </c>
      <c r="B1235" s="0" t="n">
        <v>0</v>
      </c>
      <c r="C1235" s="0" t="n">
        <f aca="false">-1+A1235*0.05</f>
        <v>0.5</v>
      </c>
      <c r="D1235" s="0" t="n">
        <f aca="false">-1+B1235*0.05</f>
        <v>-1</v>
      </c>
      <c r="E1235" s="0" t="n">
        <f aca="false">1</f>
        <v>1</v>
      </c>
      <c r="F1235" s="0" t="n">
        <f aca="false">C1235</f>
        <v>0.5</v>
      </c>
      <c r="G1235" s="0" t="n">
        <f aca="false">D1235</f>
        <v>-1</v>
      </c>
      <c r="H1235" s="0" t="n">
        <f aca="false">C1235*D1235</f>
        <v>-0.5</v>
      </c>
      <c r="I1235" s="0" t="n">
        <f aca="false">C1235*C1235</f>
        <v>0.25</v>
      </c>
      <c r="J1235" s="0" t="n">
        <f aca="false">D1235*D1235</f>
        <v>1</v>
      </c>
      <c r="K1235" s="0" t="n">
        <f aca="false">SUMPRODUCT(E1235:J1235,_XtX!$B$53:$G$53)</f>
        <v>44.3721264367816</v>
      </c>
      <c r="L1235" s="0" t="n">
        <f aca="false">SUMPRODUCT(MMULT(E1235:J1235,_XtX!$B$44:$G$49),E1235:J1235)</f>
        <v>0.500359195402299</v>
      </c>
      <c r="M1235" s="0" t="n">
        <f aca="false">04_回帰ANOVA!$K$19*04_回帰ANOVA!$K$14*SQRT(1+L1235)</f>
        <v>1.65987045400384</v>
      </c>
      <c r="N1235" s="0" t="n">
        <f aca="false">K1235-M1235</f>
        <v>42.7122559827778</v>
      </c>
      <c r="O1235" s="0" t="n">
        <f aca="false">K1235+M1235</f>
        <v>46.0319968907855</v>
      </c>
      <c r="P1235" s="54" t="b">
        <f aca="false">AND(C1235&gt;=01_因子設定!$L$5-0.000000001,C1235&lt;=01_因子設定!$M$5+0.000000001,D1235&gt;=01_因子設定!$L$6-0.000000001,D1235&lt;=01_因子設定!$M$6+0.000000001,IF(01_因子設定!$B$20="Box-Behnken",C1235^2+D1235^2&lt;=2+0.000000001,TRUE()))</f>
        <v>1</v>
      </c>
      <c r="Q1235" s="55" t="n">
        <f aca="false">IF(P1235,IF(01_因子設定!$B$13="最大化",N1235-01_因子設定!$B$14,IF(01_因子設定!$B$13="最小化",01_因子設定!$B$15-O1235,MIN(N1235-01_因子設定!$B$14,01_因子設定!$B$15-O1235))),-1E+030)</f>
        <v>-3.78774401722224</v>
      </c>
      <c r="R1235" s="55" t="n">
        <f aca="false">IF(P1235,IF(01_因子設定!$B$13="最大化",K1235,IF(01_因子設定!$B$13="最小化",-K1235,-ABS(K1235-01_因子設定!$B$16))),-1E+030)</f>
        <v>44.3721264367816</v>
      </c>
      <c r="S1235" s="55" t="n">
        <f aca="false">Q1235+ROW()*0.000000001</f>
        <v>-3.78774278222224</v>
      </c>
      <c r="T1235" s="55" t="n">
        <f aca="false">R1235+ROW()*0.000000001</f>
        <v>44.3721276717816</v>
      </c>
    </row>
    <row r="1236" customFormat="false" ht="15" hidden="false" customHeight="false" outlineLevel="0" collapsed="false">
      <c r="A1236" s="0" t="n">
        <v>30</v>
      </c>
      <c r="B1236" s="0" t="n">
        <v>1</v>
      </c>
      <c r="C1236" s="0" t="n">
        <f aca="false">-1+A1236*0.05</f>
        <v>0.5</v>
      </c>
      <c r="D1236" s="0" t="n">
        <f aca="false">-1+B1236*0.05</f>
        <v>-0.95</v>
      </c>
      <c r="E1236" s="0" t="n">
        <f aca="false">1</f>
        <v>1</v>
      </c>
      <c r="F1236" s="0" t="n">
        <f aca="false">C1236</f>
        <v>0.5</v>
      </c>
      <c r="G1236" s="0" t="n">
        <f aca="false">D1236</f>
        <v>-0.95</v>
      </c>
      <c r="H1236" s="0" t="n">
        <f aca="false">C1236*D1236</f>
        <v>-0.475</v>
      </c>
      <c r="I1236" s="0" t="n">
        <f aca="false">C1236*C1236</f>
        <v>0.25</v>
      </c>
      <c r="J1236" s="0" t="n">
        <f aca="false">D1236*D1236</f>
        <v>0.9025</v>
      </c>
      <c r="K1236" s="0" t="n">
        <f aca="false">SUMPRODUCT(E1236:J1236,_XtX!$B$53:$G$53)</f>
        <v>44.6482040229885</v>
      </c>
      <c r="L1236" s="0" t="n">
        <f aca="false">SUMPRODUCT(MMULT(E1236:J1236,_XtX!$B$44:$G$49),E1236:J1236)</f>
        <v>0.437750466954023</v>
      </c>
      <c r="M1236" s="0" t="n">
        <f aca="false">04_回帰ANOVA!$K$19*04_回帰ANOVA!$K$14*SQRT(1+L1236)</f>
        <v>1.62486891728431</v>
      </c>
      <c r="N1236" s="0" t="n">
        <f aca="false">K1236-M1236</f>
        <v>43.0233351057042</v>
      </c>
      <c r="O1236" s="0" t="n">
        <f aca="false">K1236+M1236</f>
        <v>46.2730729402728</v>
      </c>
      <c r="P1236" s="54" t="b">
        <f aca="false">AND(C1236&gt;=01_因子設定!$L$5-0.000000001,C1236&lt;=01_因子設定!$M$5+0.000000001,D1236&gt;=01_因子設定!$L$6-0.000000001,D1236&lt;=01_因子設定!$M$6+0.000000001,IF(01_因子設定!$B$20="Box-Behnken",C1236^2+D1236^2&lt;=2+0.000000001,TRUE()))</f>
        <v>1</v>
      </c>
      <c r="Q1236" s="55" t="n">
        <f aca="false">IF(P1236,IF(01_因子設定!$B$13="最大化",N1236-01_因子設定!$B$14,IF(01_因子設定!$B$13="最小化",01_因子設定!$B$15-O1236,MIN(N1236-01_因子設定!$B$14,01_因子設定!$B$15-O1236))),-1E+030)</f>
        <v>-3.4766648942958</v>
      </c>
      <c r="R1236" s="55" t="n">
        <f aca="false">IF(P1236,IF(01_因子設定!$B$13="最大化",K1236,IF(01_因子設定!$B$13="最小化",-K1236,-ABS(K1236-01_因子設定!$B$16))),-1E+030)</f>
        <v>44.6482040229885</v>
      </c>
      <c r="S1236" s="55" t="n">
        <f aca="false">Q1236+ROW()*0.000000001</f>
        <v>-3.4766636582958</v>
      </c>
      <c r="T1236" s="55" t="n">
        <f aca="false">R1236+ROW()*0.000000001</f>
        <v>44.6482052589885</v>
      </c>
    </row>
    <row r="1237" customFormat="false" ht="15" hidden="false" customHeight="false" outlineLevel="0" collapsed="false">
      <c r="A1237" s="0" t="n">
        <v>30</v>
      </c>
      <c r="B1237" s="0" t="n">
        <v>2</v>
      </c>
      <c r="C1237" s="0" t="n">
        <f aca="false">-1+A1237*0.05</f>
        <v>0.5</v>
      </c>
      <c r="D1237" s="0" t="n">
        <f aca="false">-1+B1237*0.05</f>
        <v>-0.9</v>
      </c>
      <c r="E1237" s="0" t="n">
        <f aca="false">1</f>
        <v>1</v>
      </c>
      <c r="F1237" s="0" t="n">
        <f aca="false">C1237</f>
        <v>0.5</v>
      </c>
      <c r="G1237" s="0" t="n">
        <f aca="false">D1237</f>
        <v>-0.9</v>
      </c>
      <c r="H1237" s="0" t="n">
        <f aca="false">C1237*D1237</f>
        <v>-0.45</v>
      </c>
      <c r="I1237" s="0" t="n">
        <f aca="false">C1237*C1237</f>
        <v>0.25</v>
      </c>
      <c r="J1237" s="0" t="n">
        <f aca="false">D1237*D1237</f>
        <v>0.81</v>
      </c>
      <c r="K1237" s="0" t="n">
        <f aca="false">SUMPRODUCT(E1237:J1237,_XtX!$B$53:$G$53)</f>
        <v>44.916566091954</v>
      </c>
      <c r="L1237" s="0" t="n">
        <f aca="false">SUMPRODUCT(MMULT(E1237:J1237,_XtX!$B$44:$G$49),E1237:J1237)</f>
        <v>0.384715804597701</v>
      </c>
      <c r="M1237" s="0" t="n">
        <f aca="false">04_回帰ANOVA!$K$19*04_回帰ANOVA!$K$14*SQRT(1+L1237)</f>
        <v>1.59461886204904</v>
      </c>
      <c r="N1237" s="0" t="n">
        <f aca="false">K1237-M1237</f>
        <v>43.321947229905</v>
      </c>
      <c r="O1237" s="0" t="n">
        <f aca="false">K1237+M1237</f>
        <v>46.5111849540031</v>
      </c>
      <c r="P1237" s="54" t="b">
        <f aca="false">AND(C1237&gt;=01_因子設定!$L$5-0.000000001,C1237&lt;=01_因子設定!$M$5+0.000000001,D1237&gt;=01_因子設定!$L$6-0.000000001,D1237&lt;=01_因子設定!$M$6+0.000000001,IF(01_因子設定!$B$20="Box-Behnken",C1237^2+D1237^2&lt;=2+0.000000001,TRUE()))</f>
        <v>1</v>
      </c>
      <c r="Q1237" s="55" t="n">
        <f aca="false">IF(P1237,IF(01_因子設定!$B$13="最大化",N1237-01_因子設定!$B$14,IF(01_因子設定!$B$13="最小化",01_因子設定!$B$15-O1237,MIN(N1237-01_因子設定!$B$14,01_因子設定!$B$15-O1237))),-1E+030)</f>
        <v>-3.17805277009501</v>
      </c>
      <c r="R1237" s="55" t="n">
        <f aca="false">IF(P1237,IF(01_因子設定!$B$13="最大化",K1237,IF(01_因子設定!$B$13="最小化",-K1237,-ABS(K1237-01_因子設定!$B$16))),-1E+030)</f>
        <v>44.916566091954</v>
      </c>
      <c r="S1237" s="55" t="n">
        <f aca="false">Q1237+ROW()*0.000000001</f>
        <v>-3.17805153309501</v>
      </c>
      <c r="T1237" s="55" t="n">
        <f aca="false">R1237+ROW()*0.000000001</f>
        <v>44.916567328954</v>
      </c>
    </row>
    <row r="1238" customFormat="false" ht="15" hidden="false" customHeight="false" outlineLevel="0" collapsed="false">
      <c r="A1238" s="0" t="n">
        <v>30</v>
      </c>
      <c r="B1238" s="0" t="n">
        <v>3</v>
      </c>
      <c r="C1238" s="0" t="n">
        <f aca="false">-1+A1238*0.05</f>
        <v>0.5</v>
      </c>
      <c r="D1238" s="0" t="n">
        <f aca="false">-1+B1238*0.05</f>
        <v>-0.85</v>
      </c>
      <c r="E1238" s="0" t="n">
        <f aca="false">1</f>
        <v>1</v>
      </c>
      <c r="F1238" s="0" t="n">
        <f aca="false">C1238</f>
        <v>0.5</v>
      </c>
      <c r="G1238" s="0" t="n">
        <f aca="false">D1238</f>
        <v>-0.85</v>
      </c>
      <c r="H1238" s="0" t="n">
        <f aca="false">C1238*D1238</f>
        <v>-0.425</v>
      </c>
      <c r="I1238" s="0" t="n">
        <f aca="false">C1238*C1238</f>
        <v>0.25</v>
      </c>
      <c r="J1238" s="0" t="n">
        <f aca="false">D1238*D1238</f>
        <v>0.7225</v>
      </c>
      <c r="K1238" s="0" t="n">
        <f aca="false">SUMPRODUCT(E1238:J1238,_XtX!$B$53:$G$53)</f>
        <v>45.1772126436782</v>
      </c>
      <c r="L1238" s="0" t="n">
        <f aca="false">SUMPRODUCT(MMULT(E1238:J1238,_XtX!$B$44:$G$49),E1238:J1238)</f>
        <v>0.340250466954023</v>
      </c>
      <c r="M1238" s="0" t="n">
        <f aca="false">04_回帰ANOVA!$K$19*04_回帰ANOVA!$K$14*SQRT(1+L1238)</f>
        <v>1.56880713525096</v>
      </c>
      <c r="N1238" s="0" t="n">
        <f aca="false">K1238-M1238</f>
        <v>43.6084055084272</v>
      </c>
      <c r="O1238" s="0" t="n">
        <f aca="false">K1238+M1238</f>
        <v>46.7460197789291</v>
      </c>
      <c r="P1238" s="54" t="b">
        <f aca="false">AND(C1238&gt;=01_因子設定!$L$5-0.000000001,C1238&lt;=01_因子設定!$M$5+0.000000001,D1238&gt;=01_因子設定!$L$6-0.000000001,D1238&lt;=01_因子設定!$M$6+0.000000001,IF(01_因子設定!$B$20="Box-Behnken",C1238^2+D1238^2&lt;=2+0.000000001,TRUE()))</f>
        <v>1</v>
      </c>
      <c r="Q1238" s="55" t="n">
        <f aca="false">IF(P1238,IF(01_因子設定!$B$13="最大化",N1238-01_因子設定!$B$14,IF(01_因子設定!$B$13="最小化",01_因子設定!$B$15-O1238,MIN(N1238-01_因子設定!$B$14,01_因子設定!$B$15-O1238))),-1E+030)</f>
        <v>-2.8915944915728</v>
      </c>
      <c r="R1238" s="55" t="n">
        <f aca="false">IF(P1238,IF(01_因子設定!$B$13="最大化",K1238,IF(01_因子設定!$B$13="最小化",-K1238,-ABS(K1238-01_因子設定!$B$16))),-1E+030)</f>
        <v>45.1772126436782</v>
      </c>
      <c r="S1238" s="55" t="n">
        <f aca="false">Q1238+ROW()*0.000000001</f>
        <v>-2.8915932535728</v>
      </c>
      <c r="T1238" s="55" t="n">
        <f aca="false">R1238+ROW()*0.000000001</f>
        <v>45.1772138816782</v>
      </c>
    </row>
    <row r="1239" customFormat="false" ht="15" hidden="false" customHeight="false" outlineLevel="0" collapsed="false">
      <c r="A1239" s="0" t="n">
        <v>30</v>
      </c>
      <c r="B1239" s="0" t="n">
        <v>4</v>
      </c>
      <c r="C1239" s="0" t="n">
        <f aca="false">-1+A1239*0.05</f>
        <v>0.5</v>
      </c>
      <c r="D1239" s="0" t="n">
        <f aca="false">-1+B1239*0.05</f>
        <v>-0.8</v>
      </c>
      <c r="E1239" s="0" t="n">
        <f aca="false">1</f>
        <v>1</v>
      </c>
      <c r="F1239" s="0" t="n">
        <f aca="false">C1239</f>
        <v>0.5</v>
      </c>
      <c r="G1239" s="0" t="n">
        <f aca="false">D1239</f>
        <v>-0.8</v>
      </c>
      <c r="H1239" s="0" t="n">
        <f aca="false">C1239*D1239</f>
        <v>-0.4</v>
      </c>
      <c r="I1239" s="0" t="n">
        <f aca="false">C1239*C1239</f>
        <v>0.25</v>
      </c>
      <c r="J1239" s="0" t="n">
        <f aca="false">D1239*D1239</f>
        <v>0.64</v>
      </c>
      <c r="K1239" s="0" t="n">
        <f aca="false">SUMPRODUCT(E1239:J1239,_XtX!$B$53:$G$53)</f>
        <v>45.4301436781609</v>
      </c>
      <c r="L1239" s="0" t="n">
        <f aca="false">SUMPRODUCT(MMULT(E1239:J1239,_XtX!$B$44:$G$49),E1239:J1239)</f>
        <v>0.303404022988506</v>
      </c>
      <c r="M1239" s="0" t="n">
        <f aca="false">04_回帰ANOVA!$K$19*04_回帰ANOVA!$K$14*SQRT(1+L1239)</f>
        <v>1.54709185921971</v>
      </c>
      <c r="N1239" s="0" t="n">
        <f aca="false">K1239-M1239</f>
        <v>43.8830518189412</v>
      </c>
      <c r="O1239" s="0" t="n">
        <f aca="false">K1239+M1239</f>
        <v>46.9772355373806</v>
      </c>
      <c r="P1239" s="54" t="b">
        <f aca="false">AND(C1239&gt;=01_因子設定!$L$5-0.000000001,C1239&lt;=01_因子設定!$M$5+0.000000001,D1239&gt;=01_因子設定!$L$6-0.000000001,D1239&lt;=01_因子設定!$M$6+0.000000001,IF(01_因子設定!$B$20="Box-Behnken",C1239^2+D1239^2&lt;=2+0.000000001,TRUE()))</f>
        <v>1</v>
      </c>
      <c r="Q1239" s="55" t="n">
        <f aca="false">IF(P1239,IF(01_因子設定!$B$13="最大化",N1239-01_因子設定!$B$14,IF(01_因子設定!$B$13="最小化",01_因子設定!$B$15-O1239,MIN(N1239-01_因子設定!$B$14,01_因子設定!$B$15-O1239))),-1E+030)</f>
        <v>-2.61694818105879</v>
      </c>
      <c r="R1239" s="55" t="n">
        <f aca="false">IF(P1239,IF(01_因子設定!$B$13="最大化",K1239,IF(01_因子設定!$B$13="最小化",-K1239,-ABS(K1239-01_因子設定!$B$16))),-1E+030)</f>
        <v>45.4301436781609</v>
      </c>
      <c r="S1239" s="55" t="n">
        <f aca="false">Q1239+ROW()*0.000000001</f>
        <v>-2.61694694205879</v>
      </c>
      <c r="T1239" s="55" t="n">
        <f aca="false">R1239+ROW()*0.000000001</f>
        <v>45.4301449171609</v>
      </c>
    </row>
    <row r="1240" customFormat="false" ht="15" hidden="false" customHeight="false" outlineLevel="0" collapsed="false">
      <c r="A1240" s="0" t="n">
        <v>30</v>
      </c>
      <c r="B1240" s="0" t="n">
        <v>5</v>
      </c>
      <c r="C1240" s="0" t="n">
        <f aca="false">-1+A1240*0.05</f>
        <v>0.5</v>
      </c>
      <c r="D1240" s="0" t="n">
        <f aca="false">-1+B1240*0.05</f>
        <v>-0.75</v>
      </c>
      <c r="E1240" s="0" t="n">
        <f aca="false">1</f>
        <v>1</v>
      </c>
      <c r="F1240" s="0" t="n">
        <f aca="false">C1240</f>
        <v>0.5</v>
      </c>
      <c r="G1240" s="0" t="n">
        <f aca="false">D1240</f>
        <v>-0.75</v>
      </c>
      <c r="H1240" s="0" t="n">
        <f aca="false">C1240*D1240</f>
        <v>-0.375</v>
      </c>
      <c r="I1240" s="0" t="n">
        <f aca="false">C1240*C1240</f>
        <v>0.25</v>
      </c>
      <c r="J1240" s="0" t="n">
        <f aca="false">D1240*D1240</f>
        <v>0.5625</v>
      </c>
      <c r="K1240" s="0" t="n">
        <f aca="false">SUMPRODUCT(E1240:J1240,_XtX!$B$53:$G$53)</f>
        <v>45.6753591954023</v>
      </c>
      <c r="L1240" s="0" t="n">
        <f aca="false">SUMPRODUCT(MMULT(E1240:J1240,_XtX!$B$44:$G$49),E1240:J1240)</f>
        <v>0.273280352011494</v>
      </c>
      <c r="M1240" s="0" t="n">
        <f aca="false">04_回帰ANOVA!$K$19*04_回帰ANOVA!$K$14*SQRT(1+L1240)</f>
        <v>1.52910951618691</v>
      </c>
      <c r="N1240" s="0" t="n">
        <f aca="false">K1240-M1240</f>
        <v>44.1462496792154</v>
      </c>
      <c r="O1240" s="0" t="n">
        <f aca="false">K1240+M1240</f>
        <v>47.2044687115892</v>
      </c>
      <c r="P1240" s="54" t="b">
        <f aca="false">AND(C1240&gt;=01_因子設定!$L$5-0.000000001,C1240&lt;=01_因子設定!$M$5+0.000000001,D1240&gt;=01_因子設定!$L$6-0.000000001,D1240&lt;=01_因子設定!$M$6+0.000000001,IF(01_因子設定!$B$20="Box-Behnken",C1240^2+D1240^2&lt;=2+0.000000001,TRUE()))</f>
        <v>1</v>
      </c>
      <c r="Q1240" s="55" t="n">
        <f aca="false">IF(P1240,IF(01_因子設定!$B$13="最大化",N1240-01_因子設定!$B$14,IF(01_因子設定!$B$13="最小化",01_因子設定!$B$15-O1240,MIN(N1240-01_因子設定!$B$14,01_因子設定!$B$15-O1240))),-1E+030)</f>
        <v>-2.35375032078462</v>
      </c>
      <c r="R1240" s="55" t="n">
        <f aca="false">IF(P1240,IF(01_因子設定!$B$13="最大化",K1240,IF(01_因子設定!$B$13="最小化",-K1240,-ABS(K1240-01_因子設定!$B$16))),-1E+030)</f>
        <v>45.6753591954023</v>
      </c>
      <c r="S1240" s="55" t="n">
        <f aca="false">Q1240+ROW()*0.000000001</f>
        <v>-2.35374908078462</v>
      </c>
      <c r="T1240" s="55" t="n">
        <f aca="false">R1240+ROW()*0.000000001</f>
        <v>45.6753604354023</v>
      </c>
    </row>
    <row r="1241" customFormat="false" ht="15" hidden="false" customHeight="false" outlineLevel="0" collapsed="false">
      <c r="A1241" s="0" t="n">
        <v>30</v>
      </c>
      <c r="B1241" s="0" t="n">
        <v>6</v>
      </c>
      <c r="C1241" s="0" t="n">
        <f aca="false">-1+A1241*0.05</f>
        <v>0.5</v>
      </c>
      <c r="D1241" s="0" t="n">
        <f aca="false">-1+B1241*0.05</f>
        <v>-0.7</v>
      </c>
      <c r="E1241" s="0" t="n">
        <f aca="false">1</f>
        <v>1</v>
      </c>
      <c r="F1241" s="0" t="n">
        <f aca="false">C1241</f>
        <v>0.5</v>
      </c>
      <c r="G1241" s="0" t="n">
        <f aca="false">D1241</f>
        <v>-0.7</v>
      </c>
      <c r="H1241" s="0" t="n">
        <f aca="false">C1241*D1241</f>
        <v>-0.35</v>
      </c>
      <c r="I1241" s="0" t="n">
        <f aca="false">C1241*C1241</f>
        <v>0.25</v>
      </c>
      <c r="J1241" s="0" t="n">
        <f aca="false">D1241*D1241</f>
        <v>0.49</v>
      </c>
      <c r="K1241" s="0" t="n">
        <f aca="false">SUMPRODUCT(E1241:J1241,_XtX!$B$53:$G$53)</f>
        <v>45.9128591954023</v>
      </c>
      <c r="L1241" s="0" t="n">
        <f aca="false">SUMPRODUCT(MMULT(E1241:J1241,_XtX!$B$44:$G$49),E1241:J1241)</f>
        <v>0.249037643678161</v>
      </c>
      <c r="M1241" s="0" t="n">
        <f aca="false">04_回帰ANOVA!$K$19*04_回帰ANOVA!$K$14*SQRT(1+L1241)</f>
        <v>1.5144827672559</v>
      </c>
      <c r="N1241" s="0" t="n">
        <f aca="false">K1241-M1241</f>
        <v>44.3983764281464</v>
      </c>
      <c r="O1241" s="0" t="n">
        <f aca="false">K1241+M1241</f>
        <v>47.4273419626582</v>
      </c>
      <c r="P1241" s="54" t="b">
        <f aca="false">AND(C1241&gt;=01_因子設定!$L$5-0.000000001,C1241&lt;=01_因子設定!$M$5+0.000000001,D1241&gt;=01_因子設定!$L$6-0.000000001,D1241&lt;=01_因子設定!$M$6+0.000000001,IF(01_因子設定!$B$20="Box-Behnken",C1241^2+D1241^2&lt;=2+0.000000001,TRUE()))</f>
        <v>1</v>
      </c>
      <c r="Q1241" s="55" t="n">
        <f aca="false">IF(P1241,IF(01_因子設定!$B$13="最大化",N1241-01_因子設定!$B$14,IF(01_因子設定!$B$13="最小化",01_因子設定!$B$15-O1241,MIN(N1241-01_因子設定!$B$14,01_因子設定!$B$15-O1241))),-1E+030)</f>
        <v>-2.10162357185361</v>
      </c>
      <c r="R1241" s="55" t="n">
        <f aca="false">IF(P1241,IF(01_因子設定!$B$13="最大化",K1241,IF(01_因子設定!$B$13="最小化",-K1241,-ABS(K1241-01_因子設定!$B$16))),-1E+030)</f>
        <v>45.9128591954023</v>
      </c>
      <c r="S1241" s="55" t="n">
        <f aca="false">Q1241+ROW()*0.000000001</f>
        <v>-2.10162233085361</v>
      </c>
      <c r="T1241" s="55" t="n">
        <f aca="false">R1241+ROW()*0.000000001</f>
        <v>45.9128604364023</v>
      </c>
    </row>
    <row r="1242" customFormat="false" ht="15" hidden="false" customHeight="false" outlineLevel="0" collapsed="false">
      <c r="A1242" s="0" t="n">
        <v>30</v>
      </c>
      <c r="B1242" s="0" t="n">
        <v>7</v>
      </c>
      <c r="C1242" s="0" t="n">
        <f aca="false">-1+A1242*0.05</f>
        <v>0.5</v>
      </c>
      <c r="D1242" s="0" t="n">
        <f aca="false">-1+B1242*0.05</f>
        <v>-0.65</v>
      </c>
      <c r="E1242" s="0" t="n">
        <f aca="false">1</f>
        <v>1</v>
      </c>
      <c r="F1242" s="0" t="n">
        <f aca="false">C1242</f>
        <v>0.5</v>
      </c>
      <c r="G1242" s="0" t="n">
        <f aca="false">D1242</f>
        <v>-0.65</v>
      </c>
      <c r="H1242" s="0" t="n">
        <f aca="false">C1242*D1242</f>
        <v>-0.325</v>
      </c>
      <c r="I1242" s="0" t="n">
        <f aca="false">C1242*C1242</f>
        <v>0.25</v>
      </c>
      <c r="J1242" s="0" t="n">
        <f aca="false">D1242*D1242</f>
        <v>0.4225</v>
      </c>
      <c r="K1242" s="0" t="n">
        <f aca="false">SUMPRODUCT(E1242:J1242,_XtX!$B$53:$G$53)</f>
        <v>46.1426436781609</v>
      </c>
      <c r="L1242" s="0" t="n">
        <f aca="false">SUMPRODUCT(MMULT(E1242:J1242,_XtX!$B$44:$G$49),E1242:J1242)</f>
        <v>0.229888397988506</v>
      </c>
      <c r="M1242" s="0" t="n">
        <f aca="false">04_回帰ANOVA!$K$19*04_回帰ANOVA!$K$14*SQRT(1+L1242)</f>
        <v>1.50282850731928</v>
      </c>
      <c r="N1242" s="0" t="n">
        <f aca="false">K1242-M1242</f>
        <v>44.6398151708416</v>
      </c>
      <c r="O1242" s="0" t="n">
        <f aca="false">K1242+M1242</f>
        <v>47.6454721854802</v>
      </c>
      <c r="P1242" s="54" t="b">
        <f aca="false">AND(C1242&gt;=01_因子設定!$L$5-0.000000001,C1242&lt;=01_因子設定!$M$5+0.000000001,D1242&gt;=01_因子設定!$L$6-0.000000001,D1242&lt;=01_因子設定!$M$6+0.000000001,IF(01_因子設定!$B$20="Box-Behnken",C1242^2+D1242^2&lt;=2+0.000000001,TRUE()))</f>
        <v>1</v>
      </c>
      <c r="Q1242" s="55" t="n">
        <f aca="false">IF(P1242,IF(01_因子設定!$B$13="最大化",N1242-01_因子設定!$B$14,IF(01_因子設定!$B$13="最小化",01_因子設定!$B$15-O1242,MIN(N1242-01_因子設定!$B$14,01_因子設定!$B$15-O1242))),-1E+030)</f>
        <v>-1.86018482915836</v>
      </c>
      <c r="R1242" s="55" t="n">
        <f aca="false">IF(P1242,IF(01_因子設定!$B$13="最大化",K1242,IF(01_因子設定!$B$13="最小化",-K1242,-ABS(K1242-01_因子設定!$B$16))),-1E+030)</f>
        <v>46.1426436781609</v>
      </c>
      <c r="S1242" s="55" t="n">
        <f aca="false">Q1242+ROW()*0.000000001</f>
        <v>-1.86018358715836</v>
      </c>
      <c r="T1242" s="55" t="n">
        <f aca="false">R1242+ROW()*0.000000001</f>
        <v>46.1426449201609</v>
      </c>
    </row>
    <row r="1243" customFormat="false" ht="15" hidden="false" customHeight="false" outlineLevel="0" collapsed="false">
      <c r="A1243" s="0" t="n">
        <v>30</v>
      </c>
      <c r="B1243" s="0" t="n">
        <v>8</v>
      </c>
      <c r="C1243" s="0" t="n">
        <f aca="false">-1+A1243*0.05</f>
        <v>0.5</v>
      </c>
      <c r="D1243" s="0" t="n">
        <f aca="false">-1+B1243*0.05</f>
        <v>-0.6</v>
      </c>
      <c r="E1243" s="0" t="n">
        <f aca="false">1</f>
        <v>1</v>
      </c>
      <c r="F1243" s="0" t="n">
        <f aca="false">C1243</f>
        <v>0.5</v>
      </c>
      <c r="G1243" s="0" t="n">
        <f aca="false">D1243</f>
        <v>-0.6</v>
      </c>
      <c r="H1243" s="0" t="n">
        <f aca="false">C1243*D1243</f>
        <v>-0.3</v>
      </c>
      <c r="I1243" s="0" t="n">
        <f aca="false">C1243*C1243</f>
        <v>0.25</v>
      </c>
      <c r="J1243" s="0" t="n">
        <f aca="false">D1243*D1243</f>
        <v>0.36</v>
      </c>
      <c r="K1243" s="0" t="n">
        <f aca="false">SUMPRODUCT(E1243:J1243,_XtX!$B$53:$G$53)</f>
        <v>46.3647126436782</v>
      </c>
      <c r="L1243" s="0" t="n">
        <f aca="false">SUMPRODUCT(MMULT(E1243:J1243,_XtX!$B$44:$G$49),E1243:J1243)</f>
        <v>0.215099425287356</v>
      </c>
      <c r="M1243" s="0" t="n">
        <f aca="false">04_回帰ANOVA!$K$19*04_回帰ANOVA!$K$14*SQRT(1+L1243)</f>
        <v>1.49376569017207</v>
      </c>
      <c r="N1243" s="0" t="n">
        <f aca="false">K1243-M1243</f>
        <v>44.8709469535061</v>
      </c>
      <c r="O1243" s="0" t="n">
        <f aca="false">K1243+M1243</f>
        <v>47.8584783338502</v>
      </c>
      <c r="P1243" s="54" t="b">
        <f aca="false">AND(C1243&gt;=01_因子設定!$L$5-0.000000001,C1243&lt;=01_因子設定!$M$5+0.000000001,D1243&gt;=01_因子設定!$L$6-0.000000001,D1243&lt;=01_因子設定!$M$6+0.000000001,IF(01_因子設定!$B$20="Box-Behnken",C1243^2+D1243^2&lt;=2+0.000000001,TRUE()))</f>
        <v>1</v>
      </c>
      <c r="Q1243" s="55" t="n">
        <f aca="false">IF(P1243,IF(01_因子設定!$B$13="最大化",N1243-01_因子設定!$B$14,IF(01_因子設定!$B$13="最小化",01_因子設定!$B$15-O1243,MIN(N1243-01_因子設定!$B$14,01_因子設定!$B$15-O1243))),-1E+030)</f>
        <v>-1.62905304649391</v>
      </c>
      <c r="R1243" s="55" t="n">
        <f aca="false">IF(P1243,IF(01_因子設定!$B$13="最大化",K1243,IF(01_因子設定!$B$13="最小化",-K1243,-ABS(K1243-01_因子設定!$B$16))),-1E+030)</f>
        <v>46.3647126436782</v>
      </c>
      <c r="S1243" s="55" t="n">
        <f aca="false">Q1243+ROW()*0.000000001</f>
        <v>-1.62905180349391</v>
      </c>
      <c r="T1243" s="55" t="n">
        <f aca="false">R1243+ROW()*0.000000001</f>
        <v>46.3647138866782</v>
      </c>
    </row>
    <row r="1244" customFormat="false" ht="15" hidden="false" customHeight="false" outlineLevel="0" collapsed="false">
      <c r="A1244" s="0" t="n">
        <v>30</v>
      </c>
      <c r="B1244" s="0" t="n">
        <v>9</v>
      </c>
      <c r="C1244" s="0" t="n">
        <f aca="false">-1+A1244*0.05</f>
        <v>0.5</v>
      </c>
      <c r="D1244" s="0" t="n">
        <f aca="false">-1+B1244*0.05</f>
        <v>-0.55</v>
      </c>
      <c r="E1244" s="0" t="n">
        <f aca="false">1</f>
        <v>1</v>
      </c>
      <c r="F1244" s="0" t="n">
        <f aca="false">C1244</f>
        <v>0.5</v>
      </c>
      <c r="G1244" s="0" t="n">
        <f aca="false">D1244</f>
        <v>-0.55</v>
      </c>
      <c r="H1244" s="0" t="n">
        <f aca="false">C1244*D1244</f>
        <v>-0.275</v>
      </c>
      <c r="I1244" s="0" t="n">
        <f aca="false">C1244*C1244</f>
        <v>0.25</v>
      </c>
      <c r="J1244" s="0" t="n">
        <f aca="false">D1244*D1244</f>
        <v>0.3025</v>
      </c>
      <c r="K1244" s="0" t="n">
        <f aca="false">SUMPRODUCT(E1244:J1244,_XtX!$B$53:$G$53)</f>
        <v>46.579066091954</v>
      </c>
      <c r="L1244" s="0" t="n">
        <f aca="false">SUMPRODUCT(MMULT(E1244:J1244,_XtX!$B$44:$G$49),E1244:J1244)</f>
        <v>0.203991846264368</v>
      </c>
      <c r="M1244" s="0" t="n">
        <f aca="false">04_回帰ANOVA!$K$19*04_回帰ANOVA!$K$14*SQRT(1+L1244)</f>
        <v>1.48692254105892</v>
      </c>
      <c r="N1244" s="0" t="n">
        <f aca="false">K1244-M1244</f>
        <v>45.0921435508951</v>
      </c>
      <c r="O1244" s="0" t="n">
        <f aca="false">K1244+M1244</f>
        <v>48.0659886330129</v>
      </c>
      <c r="P1244" s="54" t="b">
        <f aca="false">AND(C1244&gt;=01_因子設定!$L$5-0.000000001,C1244&lt;=01_因子設定!$M$5+0.000000001,D1244&gt;=01_因子設定!$L$6-0.000000001,D1244&lt;=01_因子設定!$M$6+0.000000001,IF(01_因子設定!$B$20="Box-Behnken",C1244^2+D1244^2&lt;=2+0.000000001,TRUE()))</f>
        <v>1</v>
      </c>
      <c r="Q1244" s="55" t="n">
        <f aca="false">IF(P1244,IF(01_因子設定!$B$13="最大化",N1244-01_因子設定!$B$14,IF(01_因子設定!$B$13="最小化",01_因子設定!$B$15-O1244,MIN(N1244-01_因子設定!$B$14,01_因子設定!$B$15-O1244))),-1E+030)</f>
        <v>-1.4078564491049</v>
      </c>
      <c r="R1244" s="55" t="n">
        <f aca="false">IF(P1244,IF(01_因子設定!$B$13="最大化",K1244,IF(01_因子設定!$B$13="最小化",-K1244,-ABS(K1244-01_因子設定!$B$16))),-1E+030)</f>
        <v>46.579066091954</v>
      </c>
      <c r="S1244" s="55" t="n">
        <f aca="false">Q1244+ROW()*0.000000001</f>
        <v>-1.4078552051049</v>
      </c>
      <c r="T1244" s="55" t="n">
        <f aca="false">R1244+ROW()*0.000000001</f>
        <v>46.579067335954</v>
      </c>
    </row>
    <row r="1245" customFormat="false" ht="15" hidden="false" customHeight="false" outlineLevel="0" collapsed="false">
      <c r="A1245" s="0" t="n">
        <v>30</v>
      </c>
      <c r="B1245" s="0" t="n">
        <v>10</v>
      </c>
      <c r="C1245" s="0" t="n">
        <f aca="false">-1+A1245*0.05</f>
        <v>0.5</v>
      </c>
      <c r="D1245" s="0" t="n">
        <f aca="false">-1+B1245*0.05</f>
        <v>-0.5</v>
      </c>
      <c r="E1245" s="0" t="n">
        <f aca="false">1</f>
        <v>1</v>
      </c>
      <c r="F1245" s="0" t="n">
        <f aca="false">C1245</f>
        <v>0.5</v>
      </c>
      <c r="G1245" s="0" t="n">
        <f aca="false">D1245</f>
        <v>-0.5</v>
      </c>
      <c r="H1245" s="0" t="n">
        <f aca="false">C1245*D1245</f>
        <v>-0.25</v>
      </c>
      <c r="I1245" s="0" t="n">
        <f aca="false">C1245*C1245</f>
        <v>0.25</v>
      </c>
      <c r="J1245" s="0" t="n">
        <f aca="false">D1245*D1245</f>
        <v>0.25</v>
      </c>
      <c r="K1245" s="0" t="n">
        <f aca="false">SUMPRODUCT(E1245:J1245,_XtX!$B$53:$G$53)</f>
        <v>46.7857040229885</v>
      </c>
      <c r="L1245" s="0" t="n">
        <f aca="false">SUMPRODUCT(MMULT(E1245:J1245,_XtX!$B$44:$G$49),E1245:J1245)</f>
        <v>0.195941091954023</v>
      </c>
      <c r="M1245" s="0" t="n">
        <f aca="false">04_回帰ANOVA!$K$19*04_回帰ANOVA!$K$14*SQRT(1+L1245)</f>
        <v>1.48194288662759</v>
      </c>
      <c r="N1245" s="0" t="n">
        <f aca="false">K1245-M1245</f>
        <v>45.3037611363609</v>
      </c>
      <c r="O1245" s="0" t="n">
        <f aca="false">K1245+M1245</f>
        <v>48.2676469096161</v>
      </c>
      <c r="P1245" s="54" t="b">
        <f aca="false">AND(C1245&gt;=01_因子設定!$L$5-0.000000001,C1245&lt;=01_因子設定!$M$5+0.000000001,D1245&gt;=01_因子設定!$L$6-0.000000001,D1245&lt;=01_因子設定!$M$6+0.000000001,IF(01_因子設定!$B$20="Box-Behnken",C1245^2+D1245^2&lt;=2+0.000000001,TRUE()))</f>
        <v>1</v>
      </c>
      <c r="Q1245" s="55" t="n">
        <f aca="false">IF(P1245,IF(01_因子設定!$B$13="最大化",N1245-01_因子設定!$B$14,IF(01_因子設定!$B$13="最小化",01_因子設定!$B$15-O1245,MIN(N1245-01_因子設定!$B$14,01_因子設定!$B$15-O1245))),-1E+030)</f>
        <v>-1.19623886363908</v>
      </c>
      <c r="R1245" s="55" t="n">
        <f aca="false">IF(P1245,IF(01_因子設定!$B$13="最大化",K1245,IF(01_因子設定!$B$13="最小化",-K1245,-ABS(K1245-01_因子設定!$B$16))),-1E+030)</f>
        <v>46.7857040229885</v>
      </c>
      <c r="S1245" s="55" t="n">
        <f aca="false">Q1245+ROW()*0.000000001</f>
        <v>-1.19623761863908</v>
      </c>
      <c r="T1245" s="55" t="n">
        <f aca="false">R1245+ROW()*0.000000001</f>
        <v>46.7857052679885</v>
      </c>
    </row>
    <row r="1246" customFormat="false" ht="15" hidden="false" customHeight="false" outlineLevel="0" collapsed="false">
      <c r="A1246" s="0" t="n">
        <v>30</v>
      </c>
      <c r="B1246" s="0" t="n">
        <v>11</v>
      </c>
      <c r="C1246" s="0" t="n">
        <f aca="false">-1+A1246*0.05</f>
        <v>0.5</v>
      </c>
      <c r="D1246" s="0" t="n">
        <f aca="false">-1+B1246*0.05</f>
        <v>-0.45</v>
      </c>
      <c r="E1246" s="0" t="n">
        <f aca="false">1</f>
        <v>1</v>
      </c>
      <c r="F1246" s="0" t="n">
        <f aca="false">C1246</f>
        <v>0.5</v>
      </c>
      <c r="G1246" s="0" t="n">
        <f aca="false">D1246</f>
        <v>-0.45</v>
      </c>
      <c r="H1246" s="0" t="n">
        <f aca="false">C1246*D1246</f>
        <v>-0.225</v>
      </c>
      <c r="I1246" s="0" t="n">
        <f aca="false">C1246*C1246</f>
        <v>0.25</v>
      </c>
      <c r="J1246" s="0" t="n">
        <f aca="false">D1246*D1246</f>
        <v>0.2025</v>
      </c>
      <c r="K1246" s="0" t="n">
        <f aca="false">SUMPRODUCT(E1246:J1246,_XtX!$B$53:$G$53)</f>
        <v>46.9846264367816</v>
      </c>
      <c r="L1246" s="0" t="n">
        <f aca="false">SUMPRODUCT(MMULT(E1246:J1246,_XtX!$B$44:$G$49),E1246:J1246)</f>
        <v>0.190376903735632</v>
      </c>
      <c r="M1246" s="0" t="n">
        <f aca="false">04_回帰ANOVA!$K$19*04_回帰ANOVA!$K$14*SQRT(1+L1246)</f>
        <v>1.47849145301872</v>
      </c>
      <c r="N1246" s="0" t="n">
        <f aca="false">K1246-M1246</f>
        <v>45.5061349837629</v>
      </c>
      <c r="O1246" s="0" t="n">
        <f aca="false">K1246+M1246</f>
        <v>48.4631178898003</v>
      </c>
      <c r="P1246" s="54" t="b">
        <f aca="false">AND(C1246&gt;=01_因子設定!$L$5-0.000000001,C1246&lt;=01_因子設定!$M$5+0.000000001,D1246&gt;=01_因子設定!$L$6-0.000000001,D1246&lt;=01_因子設定!$M$6+0.000000001,IF(01_因子設定!$B$20="Box-Behnken",C1246^2+D1246^2&lt;=2+0.000000001,TRUE()))</f>
        <v>1</v>
      </c>
      <c r="Q1246" s="55" t="n">
        <f aca="false">IF(P1246,IF(01_因子設定!$B$13="最大化",N1246-01_因子設定!$B$14,IF(01_因子設定!$B$13="最小化",01_因子設定!$B$15-O1246,MIN(N1246-01_因子設定!$B$14,01_因子設定!$B$15-O1246))),-1E+030)</f>
        <v>-0.993865016237116</v>
      </c>
      <c r="R1246" s="55" t="n">
        <f aca="false">IF(P1246,IF(01_因子設定!$B$13="最大化",K1246,IF(01_因子設定!$B$13="最小化",-K1246,-ABS(K1246-01_因子設定!$B$16))),-1E+030)</f>
        <v>46.9846264367816</v>
      </c>
      <c r="S1246" s="55" t="n">
        <f aca="false">Q1246+ROW()*0.000000001</f>
        <v>-0.993863770237116</v>
      </c>
      <c r="T1246" s="55" t="n">
        <f aca="false">R1246+ROW()*0.000000001</f>
        <v>46.9846276827816</v>
      </c>
    </row>
    <row r="1247" customFormat="false" ht="15" hidden="false" customHeight="false" outlineLevel="0" collapsed="false">
      <c r="A1247" s="0" t="n">
        <v>30</v>
      </c>
      <c r="B1247" s="0" t="n">
        <v>12</v>
      </c>
      <c r="C1247" s="0" t="n">
        <f aca="false">-1+A1247*0.05</f>
        <v>0.5</v>
      </c>
      <c r="D1247" s="0" t="n">
        <f aca="false">-1+B1247*0.05</f>
        <v>-0.4</v>
      </c>
      <c r="E1247" s="0" t="n">
        <f aca="false">1</f>
        <v>1</v>
      </c>
      <c r="F1247" s="0" t="n">
        <f aca="false">C1247</f>
        <v>0.5</v>
      </c>
      <c r="G1247" s="0" t="n">
        <f aca="false">D1247</f>
        <v>-0.4</v>
      </c>
      <c r="H1247" s="0" t="n">
        <f aca="false">C1247*D1247</f>
        <v>-0.2</v>
      </c>
      <c r="I1247" s="0" t="n">
        <f aca="false">C1247*C1247</f>
        <v>0.25</v>
      </c>
      <c r="J1247" s="0" t="n">
        <f aca="false">D1247*D1247</f>
        <v>0.16</v>
      </c>
      <c r="K1247" s="0" t="n">
        <f aca="false">SUMPRODUCT(E1247:J1247,_XtX!$B$53:$G$53)</f>
        <v>47.1758333333333</v>
      </c>
      <c r="L1247" s="0" t="n">
        <f aca="false">SUMPRODUCT(MMULT(E1247:J1247,_XtX!$B$44:$G$49),E1247:J1247)</f>
        <v>0.186783333333333</v>
      </c>
      <c r="M1247" s="0" t="n">
        <f aca="false">04_回帰ANOVA!$K$19*04_回帰ANOVA!$K$14*SQRT(1+L1247)</f>
        <v>1.47625809356371</v>
      </c>
      <c r="N1247" s="0" t="n">
        <f aca="false">K1247-M1247</f>
        <v>45.6995752397696</v>
      </c>
      <c r="O1247" s="0" t="n">
        <f aca="false">K1247+M1247</f>
        <v>48.652091426897</v>
      </c>
      <c r="P1247" s="54" t="b">
        <f aca="false">AND(C1247&gt;=01_因子設定!$L$5-0.000000001,C1247&lt;=01_因子設定!$M$5+0.000000001,D1247&gt;=01_因子設定!$L$6-0.000000001,D1247&lt;=01_因子設定!$M$6+0.000000001,IF(01_因子設定!$B$20="Box-Behnken",C1247^2+D1247^2&lt;=2+0.000000001,TRUE()))</f>
        <v>1</v>
      </c>
      <c r="Q1247" s="55" t="n">
        <f aca="false">IF(P1247,IF(01_因子設定!$B$13="最大化",N1247-01_因子設定!$B$14,IF(01_因子設定!$B$13="最小化",01_因子設定!$B$15-O1247,MIN(N1247-01_因子設定!$B$14,01_因子設定!$B$15-O1247))),-1E+030)</f>
        <v>-0.800424760230378</v>
      </c>
      <c r="R1247" s="55" t="n">
        <f aca="false">IF(P1247,IF(01_因子設定!$B$13="最大化",K1247,IF(01_因子設定!$B$13="最小化",-K1247,-ABS(K1247-01_因子設定!$B$16))),-1E+030)</f>
        <v>47.1758333333333</v>
      </c>
      <c r="S1247" s="55" t="n">
        <f aca="false">Q1247+ROW()*0.000000001</f>
        <v>-0.800423513230378</v>
      </c>
      <c r="T1247" s="55" t="n">
        <f aca="false">R1247+ROW()*0.000000001</f>
        <v>47.1758345803333</v>
      </c>
    </row>
    <row r="1248" customFormat="false" ht="15" hidden="false" customHeight="false" outlineLevel="0" collapsed="false">
      <c r="A1248" s="0" t="n">
        <v>30</v>
      </c>
      <c r="B1248" s="0" t="n">
        <v>13</v>
      </c>
      <c r="C1248" s="0" t="n">
        <f aca="false">-1+A1248*0.05</f>
        <v>0.5</v>
      </c>
      <c r="D1248" s="0" t="n">
        <f aca="false">-1+B1248*0.05</f>
        <v>-0.35</v>
      </c>
      <c r="E1248" s="0" t="n">
        <f aca="false">1</f>
        <v>1</v>
      </c>
      <c r="F1248" s="0" t="n">
        <f aca="false">C1248</f>
        <v>0.5</v>
      </c>
      <c r="G1248" s="0" t="n">
        <f aca="false">D1248</f>
        <v>-0.35</v>
      </c>
      <c r="H1248" s="0" t="n">
        <f aca="false">C1248*D1248</f>
        <v>-0.175</v>
      </c>
      <c r="I1248" s="0" t="n">
        <f aca="false">C1248*C1248</f>
        <v>0.25</v>
      </c>
      <c r="J1248" s="0" t="n">
        <f aca="false">D1248*D1248</f>
        <v>0.1225</v>
      </c>
      <c r="K1248" s="0" t="n">
        <f aca="false">SUMPRODUCT(E1248:J1248,_XtX!$B$53:$G$53)</f>
        <v>47.3593247126437</v>
      </c>
      <c r="L1248" s="0" t="n">
        <f aca="false">SUMPRODUCT(MMULT(E1248:J1248,_XtX!$B$44:$G$49),E1248:J1248)</f>
        <v>0.184698742816092</v>
      </c>
      <c r="M1248" s="0" t="n">
        <f aca="false">04_回帰ANOVA!$K$19*04_回帰ANOVA!$K$14*SQRT(1+L1248)</f>
        <v>1.47496099657531</v>
      </c>
      <c r="N1248" s="0" t="n">
        <f aca="false">K1248-M1248</f>
        <v>45.8843637160684</v>
      </c>
      <c r="O1248" s="0" t="n">
        <f aca="false">K1248+M1248</f>
        <v>48.834285709219</v>
      </c>
      <c r="P1248" s="54" t="b">
        <f aca="false">AND(C1248&gt;=01_因子設定!$L$5-0.000000001,C1248&lt;=01_因子設定!$M$5+0.000000001,D1248&gt;=01_因子設定!$L$6-0.000000001,D1248&lt;=01_因子設定!$M$6+0.000000001,IF(01_因子設定!$B$20="Box-Behnken",C1248^2+D1248^2&lt;=2+0.000000001,TRUE()))</f>
        <v>1</v>
      </c>
      <c r="Q1248" s="55" t="n">
        <f aca="false">IF(P1248,IF(01_因子設定!$B$13="最大化",N1248-01_因子設定!$B$14,IF(01_因子設定!$B$13="最小化",01_因子設定!$B$15-O1248,MIN(N1248-01_因子設定!$B$14,01_因子設定!$B$15-O1248))),-1E+030)</f>
        <v>-0.615636283931636</v>
      </c>
      <c r="R1248" s="55" t="n">
        <f aca="false">IF(P1248,IF(01_因子設定!$B$13="最大化",K1248,IF(01_因子設定!$B$13="最小化",-K1248,-ABS(K1248-01_因子設定!$B$16))),-1E+030)</f>
        <v>47.3593247126437</v>
      </c>
      <c r="S1248" s="55" t="n">
        <f aca="false">Q1248+ROW()*0.000000001</f>
        <v>-0.615635035931636</v>
      </c>
      <c r="T1248" s="55" t="n">
        <f aca="false">R1248+ROW()*0.000000001</f>
        <v>47.3593259606437</v>
      </c>
    </row>
    <row r="1249" customFormat="false" ht="15" hidden="false" customHeight="false" outlineLevel="0" collapsed="false">
      <c r="A1249" s="0" t="n">
        <v>30</v>
      </c>
      <c r="B1249" s="0" t="n">
        <v>14</v>
      </c>
      <c r="C1249" s="0" t="n">
        <f aca="false">-1+A1249*0.05</f>
        <v>0.5</v>
      </c>
      <c r="D1249" s="0" t="n">
        <f aca="false">-1+B1249*0.05</f>
        <v>-0.3</v>
      </c>
      <c r="E1249" s="0" t="n">
        <f aca="false">1</f>
        <v>1</v>
      </c>
      <c r="F1249" s="0" t="n">
        <f aca="false">C1249</f>
        <v>0.5</v>
      </c>
      <c r="G1249" s="0" t="n">
        <f aca="false">D1249</f>
        <v>-0.3</v>
      </c>
      <c r="H1249" s="0" t="n">
        <f aca="false">C1249*D1249</f>
        <v>-0.15</v>
      </c>
      <c r="I1249" s="0" t="n">
        <f aca="false">C1249*C1249</f>
        <v>0.25</v>
      </c>
      <c r="J1249" s="0" t="n">
        <f aca="false">D1249*D1249</f>
        <v>0.09</v>
      </c>
      <c r="K1249" s="0" t="n">
        <f aca="false">SUMPRODUCT(E1249:J1249,_XtX!$B$53:$G$53)</f>
        <v>47.5351005747126</v>
      </c>
      <c r="L1249" s="0" t="n">
        <f aca="false">SUMPRODUCT(MMULT(E1249:J1249,_XtX!$B$44:$G$49),E1249:J1249)</f>
        <v>0.183715804597701</v>
      </c>
      <c r="M1249" s="0" t="n">
        <f aca="false">04_回帰ANOVA!$K$19*04_回帰ANOVA!$K$14*SQRT(1+L1249)</f>
        <v>1.47434898597359</v>
      </c>
      <c r="N1249" s="0" t="n">
        <f aca="false">K1249-M1249</f>
        <v>46.060751588739</v>
      </c>
      <c r="O1249" s="0" t="n">
        <f aca="false">K1249+M1249</f>
        <v>49.0094495606862</v>
      </c>
      <c r="P1249" s="54" t="b">
        <f aca="false">AND(C1249&gt;=01_因子設定!$L$5-0.000000001,C1249&lt;=01_因子設定!$M$5+0.000000001,D1249&gt;=01_因子設定!$L$6-0.000000001,D1249&lt;=01_因子設定!$M$6+0.000000001,IF(01_因子設定!$B$20="Box-Behnken",C1249^2+D1249^2&lt;=2+0.000000001,TRUE()))</f>
        <v>1</v>
      </c>
      <c r="Q1249" s="55" t="n">
        <f aca="false">IF(P1249,IF(01_因子設定!$B$13="最大化",N1249-01_因子設定!$B$14,IF(01_因子設定!$B$13="最小化",01_因子設定!$B$15-O1249,MIN(N1249-01_因子設定!$B$14,01_因子設定!$B$15-O1249))),-1E+030)</f>
        <v>-0.439248411260955</v>
      </c>
      <c r="R1249" s="55" t="n">
        <f aca="false">IF(P1249,IF(01_因子設定!$B$13="最大化",K1249,IF(01_因子設定!$B$13="最小化",-K1249,-ABS(K1249-01_因子設定!$B$16))),-1E+030)</f>
        <v>47.5351005747126</v>
      </c>
      <c r="S1249" s="55" t="n">
        <f aca="false">Q1249+ROW()*0.000000001</f>
        <v>-0.439247162260955</v>
      </c>
      <c r="T1249" s="55" t="n">
        <f aca="false">R1249+ROW()*0.000000001</f>
        <v>47.5351018237126</v>
      </c>
    </row>
    <row r="1250" customFormat="false" ht="15" hidden="false" customHeight="false" outlineLevel="0" collapsed="false">
      <c r="A1250" s="0" t="n">
        <v>30</v>
      </c>
      <c r="B1250" s="0" t="n">
        <v>15</v>
      </c>
      <c r="C1250" s="0" t="n">
        <f aca="false">-1+A1250*0.05</f>
        <v>0.5</v>
      </c>
      <c r="D1250" s="0" t="n">
        <f aca="false">-1+B1250*0.05</f>
        <v>-0.25</v>
      </c>
      <c r="E1250" s="0" t="n">
        <f aca="false">1</f>
        <v>1</v>
      </c>
      <c r="F1250" s="0" t="n">
        <f aca="false">C1250</f>
        <v>0.5</v>
      </c>
      <c r="G1250" s="0" t="n">
        <f aca="false">D1250</f>
        <v>-0.25</v>
      </c>
      <c r="H1250" s="0" t="n">
        <f aca="false">C1250*D1250</f>
        <v>-0.125</v>
      </c>
      <c r="I1250" s="0" t="n">
        <f aca="false">C1250*C1250</f>
        <v>0.25</v>
      </c>
      <c r="J1250" s="0" t="n">
        <f aca="false">D1250*D1250</f>
        <v>0.0625</v>
      </c>
      <c r="K1250" s="0" t="n">
        <f aca="false">SUMPRODUCT(E1250:J1250,_XtX!$B$53:$G$53)</f>
        <v>47.7031609195402</v>
      </c>
      <c r="L1250" s="0" t="n">
        <f aca="false">SUMPRODUCT(MMULT(E1250:J1250,_XtX!$B$44:$G$49),E1250:J1250)</f>
        <v>0.183481501436782</v>
      </c>
      <c r="M1250" s="0" t="n">
        <f aca="false">04_回帰ANOVA!$K$19*04_回帰ANOVA!$K$14*SQRT(1+L1250)</f>
        <v>1.47420306339561</v>
      </c>
      <c r="N1250" s="0" t="n">
        <f aca="false">K1250-M1250</f>
        <v>46.2289578561446</v>
      </c>
      <c r="O1250" s="0" t="n">
        <f aca="false">K1250+M1250</f>
        <v>49.1773639829358</v>
      </c>
      <c r="P1250" s="54" t="b">
        <f aca="false">AND(C1250&gt;=01_因子設定!$L$5-0.000000001,C1250&lt;=01_因子設定!$M$5+0.000000001,D1250&gt;=01_因子設定!$L$6-0.000000001,D1250&lt;=01_因子設定!$M$6+0.000000001,IF(01_因子設定!$B$20="Box-Behnken",C1250^2+D1250^2&lt;=2+0.000000001,TRUE()))</f>
        <v>1</v>
      </c>
      <c r="Q1250" s="55" t="n">
        <f aca="false">IF(P1250,IF(01_因子設定!$B$13="最大化",N1250-01_因子設定!$B$14,IF(01_因子設定!$B$13="最小化",01_因子設定!$B$15-O1250,MIN(N1250-01_因子設定!$B$14,01_因子設定!$B$15-O1250))),-1E+030)</f>
        <v>-0.271042143855382</v>
      </c>
      <c r="R1250" s="55" t="n">
        <f aca="false">IF(P1250,IF(01_因子設定!$B$13="最大化",K1250,IF(01_因子設定!$B$13="最小化",-K1250,-ABS(K1250-01_因子設定!$B$16))),-1E+030)</f>
        <v>47.7031609195402</v>
      </c>
      <c r="S1250" s="55" t="n">
        <f aca="false">Q1250+ROW()*0.000000001</f>
        <v>-0.271040893855382</v>
      </c>
      <c r="T1250" s="55" t="n">
        <f aca="false">R1250+ROW()*0.000000001</f>
        <v>47.7031621695402</v>
      </c>
    </row>
    <row r="1251" customFormat="false" ht="15" hidden="false" customHeight="false" outlineLevel="0" collapsed="false">
      <c r="A1251" s="0" t="n">
        <v>30</v>
      </c>
      <c r="B1251" s="0" t="n">
        <v>16</v>
      </c>
      <c r="C1251" s="0" t="n">
        <f aca="false">-1+A1251*0.05</f>
        <v>0.5</v>
      </c>
      <c r="D1251" s="0" t="n">
        <f aca="false">-1+B1251*0.05</f>
        <v>-0.2</v>
      </c>
      <c r="E1251" s="0" t="n">
        <f aca="false">1</f>
        <v>1</v>
      </c>
      <c r="F1251" s="0" t="n">
        <f aca="false">C1251</f>
        <v>0.5</v>
      </c>
      <c r="G1251" s="0" t="n">
        <f aca="false">D1251</f>
        <v>-0.2</v>
      </c>
      <c r="H1251" s="0" t="n">
        <f aca="false">C1251*D1251</f>
        <v>-0.1</v>
      </c>
      <c r="I1251" s="0" t="n">
        <f aca="false">C1251*C1251</f>
        <v>0.25</v>
      </c>
      <c r="J1251" s="0" t="n">
        <f aca="false">D1251*D1251</f>
        <v>0.04</v>
      </c>
      <c r="K1251" s="0" t="n">
        <f aca="false">SUMPRODUCT(E1251:J1251,_XtX!$B$53:$G$53)</f>
        <v>47.8635057471264</v>
      </c>
      <c r="L1251" s="0" t="n">
        <f aca="false">SUMPRODUCT(MMULT(E1251:J1251,_XtX!$B$44:$G$49),E1251:J1251)</f>
        <v>0.183697126436782</v>
      </c>
      <c r="M1251" s="0" t="n">
        <f aca="false">04_回帰ANOVA!$K$19*04_回帰ANOVA!$K$14*SQRT(1+L1251)</f>
        <v>1.4743373538588</v>
      </c>
      <c r="N1251" s="0" t="n">
        <f aca="false">K1251-M1251</f>
        <v>46.3891683932676</v>
      </c>
      <c r="O1251" s="0" t="n">
        <f aca="false">K1251+M1251</f>
        <v>49.3378431009852</v>
      </c>
      <c r="P1251" s="54" t="b">
        <f aca="false">AND(C1251&gt;=01_因子設定!$L$5-0.000000001,C1251&lt;=01_因子設定!$M$5+0.000000001,D1251&gt;=01_因子設定!$L$6-0.000000001,D1251&lt;=01_因子設定!$M$6+0.000000001,IF(01_因子設定!$B$20="Box-Behnken",C1251^2+D1251^2&lt;=2+0.000000001,TRUE()))</f>
        <v>1</v>
      </c>
      <c r="Q1251" s="55" t="n">
        <f aca="false">IF(P1251,IF(01_因子設定!$B$13="最大化",N1251-01_因子設定!$B$14,IF(01_因子設定!$B$13="最小化",01_因子設定!$B$15-O1251,MIN(N1251-01_因子設定!$B$14,01_因子設定!$B$15-O1251))),-1E+030)</f>
        <v>-0.110831606732368</v>
      </c>
      <c r="R1251" s="55" t="n">
        <f aca="false">IF(P1251,IF(01_因子設定!$B$13="最大化",K1251,IF(01_因子設定!$B$13="最小化",-K1251,-ABS(K1251-01_因子設定!$B$16))),-1E+030)</f>
        <v>47.8635057471264</v>
      </c>
      <c r="S1251" s="55" t="n">
        <f aca="false">Q1251+ROW()*0.000000001</f>
        <v>-0.110830355732368</v>
      </c>
      <c r="T1251" s="55" t="n">
        <f aca="false">R1251+ROW()*0.000000001</f>
        <v>47.8635069981264</v>
      </c>
    </row>
    <row r="1252" customFormat="false" ht="15" hidden="false" customHeight="false" outlineLevel="0" collapsed="false">
      <c r="A1252" s="0" t="n">
        <v>30</v>
      </c>
      <c r="B1252" s="0" t="n">
        <v>17</v>
      </c>
      <c r="C1252" s="0" t="n">
        <f aca="false">-1+A1252*0.05</f>
        <v>0.5</v>
      </c>
      <c r="D1252" s="0" t="n">
        <f aca="false">-1+B1252*0.05</f>
        <v>-0.15</v>
      </c>
      <c r="E1252" s="0" t="n">
        <f aca="false">1</f>
        <v>1</v>
      </c>
      <c r="F1252" s="0" t="n">
        <f aca="false">C1252</f>
        <v>0.5</v>
      </c>
      <c r="G1252" s="0" t="n">
        <f aca="false">D1252</f>
        <v>-0.15</v>
      </c>
      <c r="H1252" s="0" t="n">
        <f aca="false">C1252*D1252</f>
        <v>-0.075</v>
      </c>
      <c r="I1252" s="0" t="n">
        <f aca="false">C1252*C1252</f>
        <v>0.25</v>
      </c>
      <c r="J1252" s="0" t="n">
        <f aca="false">D1252*D1252</f>
        <v>0.0225</v>
      </c>
      <c r="K1252" s="0" t="n">
        <f aca="false">SUMPRODUCT(E1252:J1252,_XtX!$B$53:$G$53)</f>
        <v>48.0161350574713</v>
      </c>
      <c r="L1252" s="0" t="n">
        <f aca="false">SUMPRODUCT(MMULT(E1252:J1252,_XtX!$B$44:$G$49),E1252:J1252)</f>
        <v>0.184118283045977</v>
      </c>
      <c r="M1252" s="0" t="n">
        <f aca="false">04_回帰ANOVA!$K$19*04_回帰ANOVA!$K$14*SQRT(1+L1252)</f>
        <v>1.47459961338687</v>
      </c>
      <c r="N1252" s="0" t="n">
        <f aca="false">K1252-M1252</f>
        <v>46.5415354440844</v>
      </c>
      <c r="O1252" s="0" t="n">
        <f aca="false">K1252+M1252</f>
        <v>49.4907346708581</v>
      </c>
      <c r="P1252" s="54" t="b">
        <f aca="false">AND(C1252&gt;=01_因子設定!$L$5-0.000000001,C1252&lt;=01_因子設定!$M$5+0.000000001,D1252&gt;=01_因子設定!$L$6-0.000000001,D1252&lt;=01_因子設定!$M$6+0.000000001,IF(01_因子設定!$B$20="Box-Behnken",C1252^2+D1252^2&lt;=2+0.000000001,TRUE()))</f>
        <v>1</v>
      </c>
      <c r="Q1252" s="55" t="n">
        <f aca="false">IF(P1252,IF(01_因子設定!$B$13="最大化",N1252-01_因子設定!$B$14,IF(01_因子設定!$B$13="最小化",01_因子設定!$B$15-O1252,MIN(N1252-01_因子設定!$B$14,01_因子設定!$B$15-O1252))),-1E+030)</f>
        <v>0.0415354440843956</v>
      </c>
      <c r="R1252" s="55" t="n">
        <f aca="false">IF(P1252,IF(01_因子設定!$B$13="最大化",K1252,IF(01_因子設定!$B$13="最小化",-K1252,-ABS(K1252-01_因子設定!$B$16))),-1E+030)</f>
        <v>48.0161350574713</v>
      </c>
      <c r="S1252" s="55" t="n">
        <f aca="false">Q1252+ROW()*0.000000001</f>
        <v>0.0415366960843956</v>
      </c>
      <c r="T1252" s="55" t="n">
        <f aca="false">R1252+ROW()*0.000000001</f>
        <v>48.0161363094713</v>
      </c>
    </row>
    <row r="1253" customFormat="false" ht="15" hidden="false" customHeight="false" outlineLevel="0" collapsed="false">
      <c r="A1253" s="0" t="n">
        <v>30</v>
      </c>
      <c r="B1253" s="0" t="n">
        <v>18</v>
      </c>
      <c r="C1253" s="0" t="n">
        <f aca="false">-1+A1253*0.05</f>
        <v>0.5</v>
      </c>
      <c r="D1253" s="0" t="n">
        <f aca="false">-1+B1253*0.05</f>
        <v>-0.1</v>
      </c>
      <c r="E1253" s="0" t="n">
        <f aca="false">1</f>
        <v>1</v>
      </c>
      <c r="F1253" s="0" t="n">
        <f aca="false">C1253</f>
        <v>0.5</v>
      </c>
      <c r="G1253" s="0" t="n">
        <f aca="false">D1253</f>
        <v>-0.1</v>
      </c>
      <c r="H1253" s="0" t="n">
        <f aca="false">C1253*D1253</f>
        <v>-0.05</v>
      </c>
      <c r="I1253" s="0" t="n">
        <f aca="false">C1253*C1253</f>
        <v>0.25</v>
      </c>
      <c r="J1253" s="0" t="n">
        <f aca="false">D1253*D1253</f>
        <v>0.01</v>
      </c>
      <c r="K1253" s="0" t="n">
        <f aca="false">SUMPRODUCT(E1253:J1253,_XtX!$B$53:$G$53)</f>
        <v>48.1610488505747</v>
      </c>
      <c r="L1253" s="0" t="n">
        <f aca="false">SUMPRODUCT(MMULT(E1253:J1253,_XtX!$B$44:$G$49),E1253:J1253)</f>
        <v>0.184554885057471</v>
      </c>
      <c r="M1253" s="0" t="n">
        <f aca="false">04_回帰ANOVA!$K$19*04_回帰ANOVA!$K$14*SQRT(1+L1253)</f>
        <v>1.47487144173022</v>
      </c>
      <c r="N1253" s="0" t="n">
        <f aca="false">K1253-M1253</f>
        <v>46.6861774088445</v>
      </c>
      <c r="O1253" s="0" t="n">
        <f aca="false">K1253+M1253</f>
        <v>49.6359202923049</v>
      </c>
      <c r="P1253" s="54" t="b">
        <f aca="false">AND(C1253&gt;=01_因子設定!$L$5-0.000000001,C1253&lt;=01_因子設定!$M$5+0.000000001,D1253&gt;=01_因子設定!$L$6-0.000000001,D1253&lt;=01_因子設定!$M$6+0.000000001,IF(01_因子設定!$B$20="Box-Behnken",C1253^2+D1253^2&lt;=2+0.000000001,TRUE()))</f>
        <v>1</v>
      </c>
      <c r="Q1253" s="55" t="n">
        <f aca="false">IF(P1253,IF(01_因子設定!$B$13="最大化",N1253-01_因子設定!$B$14,IF(01_因子設定!$B$13="最小化",01_因子設定!$B$15-O1253,MIN(N1253-01_因子設定!$B$14,01_因子設定!$B$15-O1253))),-1E+030)</f>
        <v>0.186177408844493</v>
      </c>
      <c r="R1253" s="55" t="n">
        <f aca="false">IF(P1253,IF(01_因子設定!$B$13="最大化",K1253,IF(01_因子設定!$B$13="最小化",-K1253,-ABS(K1253-01_因子設定!$B$16))),-1E+030)</f>
        <v>48.1610488505747</v>
      </c>
      <c r="S1253" s="55" t="n">
        <f aca="false">Q1253+ROW()*0.000000001</f>
        <v>0.186178661844493</v>
      </c>
      <c r="T1253" s="55" t="n">
        <f aca="false">R1253+ROW()*0.000000001</f>
        <v>48.1610501035747</v>
      </c>
    </row>
    <row r="1254" customFormat="false" ht="15" hidden="false" customHeight="false" outlineLevel="0" collapsed="false">
      <c r="A1254" s="0" t="n">
        <v>30</v>
      </c>
      <c r="B1254" s="0" t="n">
        <v>19</v>
      </c>
      <c r="C1254" s="0" t="n">
        <f aca="false">-1+A1254*0.05</f>
        <v>0.5</v>
      </c>
      <c r="D1254" s="0" t="n">
        <f aca="false">-1+B1254*0.05</f>
        <v>-0.0499999999999999</v>
      </c>
      <c r="E1254" s="0" t="n">
        <f aca="false">1</f>
        <v>1</v>
      </c>
      <c r="F1254" s="0" t="n">
        <f aca="false">C1254</f>
        <v>0.5</v>
      </c>
      <c r="G1254" s="0" t="n">
        <f aca="false">D1254</f>
        <v>-0.0499999999999999</v>
      </c>
      <c r="H1254" s="0" t="n">
        <f aca="false">C1254*D1254</f>
        <v>-0.025</v>
      </c>
      <c r="I1254" s="0" t="n">
        <f aca="false">C1254*C1254</f>
        <v>0.25</v>
      </c>
      <c r="J1254" s="0" t="n">
        <f aca="false">D1254*D1254</f>
        <v>0.00249999999999999</v>
      </c>
      <c r="K1254" s="0" t="n">
        <f aca="false">SUMPRODUCT(E1254:J1254,_XtX!$B$53:$G$53)</f>
        <v>48.2982471264368</v>
      </c>
      <c r="L1254" s="0" t="n">
        <f aca="false">SUMPRODUCT(MMULT(E1254:J1254,_XtX!$B$44:$G$49),E1254:J1254)</f>
        <v>0.184871156609195</v>
      </c>
      <c r="M1254" s="0" t="n">
        <f aca="false">04_回帰ANOVA!$K$19*04_回帰ANOVA!$K$14*SQRT(1+L1254)</f>
        <v>1.47506832106176</v>
      </c>
      <c r="N1254" s="0" t="n">
        <f aca="false">K1254-M1254</f>
        <v>46.823178805375</v>
      </c>
      <c r="O1254" s="0" t="n">
        <f aca="false">K1254+M1254</f>
        <v>49.7733154474985</v>
      </c>
      <c r="P1254" s="54" t="b">
        <f aca="false">AND(C1254&gt;=01_因子設定!$L$5-0.000000001,C1254&lt;=01_因子設定!$M$5+0.000000001,D1254&gt;=01_因子設定!$L$6-0.000000001,D1254&lt;=01_因子設定!$M$6+0.000000001,IF(01_因子設定!$B$20="Box-Behnken",C1254^2+D1254^2&lt;=2+0.000000001,TRUE()))</f>
        <v>1</v>
      </c>
      <c r="Q1254" s="55" t="n">
        <f aca="false">IF(P1254,IF(01_因子設定!$B$13="最大化",N1254-01_因子設定!$B$14,IF(01_因子設定!$B$13="最小化",01_因子設定!$B$15-O1254,MIN(N1254-01_因子設定!$B$14,01_因子設定!$B$15-O1254))),-1E+030)</f>
        <v>0.323178805375022</v>
      </c>
      <c r="R1254" s="55" t="n">
        <f aca="false">IF(P1254,IF(01_因子設定!$B$13="最大化",K1254,IF(01_因子設定!$B$13="最小化",-K1254,-ABS(K1254-01_因子設定!$B$16))),-1E+030)</f>
        <v>48.2982471264368</v>
      </c>
      <c r="S1254" s="55" t="n">
        <f aca="false">Q1254+ROW()*0.000000001</f>
        <v>0.323180059375022</v>
      </c>
      <c r="T1254" s="55" t="n">
        <f aca="false">R1254+ROW()*0.000000001</f>
        <v>48.2982483804368</v>
      </c>
    </row>
    <row r="1255" customFormat="false" ht="15" hidden="false" customHeight="false" outlineLevel="0" collapsed="false">
      <c r="A1255" s="0" t="n">
        <v>30</v>
      </c>
      <c r="B1255" s="0" t="n">
        <v>20</v>
      </c>
      <c r="C1255" s="0" t="n">
        <f aca="false">-1+A1255*0.05</f>
        <v>0.5</v>
      </c>
      <c r="D1255" s="0" t="n">
        <f aca="false">-1+B1255*0.05</f>
        <v>0</v>
      </c>
      <c r="E1255" s="0" t="n">
        <f aca="false">1</f>
        <v>1</v>
      </c>
      <c r="F1255" s="0" t="n">
        <f aca="false">C1255</f>
        <v>0.5</v>
      </c>
      <c r="G1255" s="0" t="n">
        <f aca="false">D1255</f>
        <v>0</v>
      </c>
      <c r="H1255" s="0" t="n">
        <f aca="false">C1255*D1255</f>
        <v>0</v>
      </c>
      <c r="I1255" s="0" t="n">
        <f aca="false">C1255*C1255</f>
        <v>0.25</v>
      </c>
      <c r="J1255" s="0" t="n">
        <f aca="false">D1255*D1255</f>
        <v>0</v>
      </c>
      <c r="K1255" s="0" t="n">
        <f aca="false">SUMPRODUCT(E1255:J1255,_XtX!$B$53:$G$53)</f>
        <v>48.4277298850575</v>
      </c>
      <c r="L1255" s="0" t="n">
        <f aca="false">SUMPRODUCT(MMULT(E1255:J1255,_XtX!$B$44:$G$49),E1255:J1255)</f>
        <v>0.184985632183908</v>
      </c>
      <c r="M1255" s="0" t="n">
        <f aca="false">04_回帰ANOVA!$K$19*04_回帰ANOVA!$K$14*SQRT(1+L1255)</f>
        <v>1.47513957573552</v>
      </c>
      <c r="N1255" s="0" t="n">
        <f aca="false">K1255-M1255</f>
        <v>46.952590309322</v>
      </c>
      <c r="O1255" s="0" t="n">
        <f aca="false">K1255+M1255</f>
        <v>49.902869460793</v>
      </c>
      <c r="P1255" s="54" t="b">
        <f aca="false">AND(C1255&gt;=01_因子設定!$L$5-0.000000001,C1255&lt;=01_因子設定!$M$5+0.000000001,D1255&gt;=01_因子設定!$L$6-0.000000001,D1255&lt;=01_因子設定!$M$6+0.000000001,IF(01_因子設定!$B$20="Box-Behnken",C1255^2+D1255^2&lt;=2+0.000000001,TRUE()))</f>
        <v>1</v>
      </c>
      <c r="Q1255" s="55" t="n">
        <f aca="false">IF(P1255,IF(01_因子設定!$B$13="最大化",N1255-01_因子設定!$B$14,IF(01_因子設定!$B$13="最小化",01_因子設定!$B$15-O1255,MIN(N1255-01_因子設定!$B$14,01_因子設定!$B$15-O1255))),-1E+030)</f>
        <v>0.452590309321948</v>
      </c>
      <c r="R1255" s="55" t="n">
        <f aca="false">IF(P1255,IF(01_因子設定!$B$13="最大化",K1255,IF(01_因子設定!$B$13="最小化",-K1255,-ABS(K1255-01_因子設定!$B$16))),-1E+030)</f>
        <v>48.4277298850575</v>
      </c>
      <c r="S1255" s="55" t="n">
        <f aca="false">Q1255+ROW()*0.000000001</f>
        <v>0.452591564321948</v>
      </c>
      <c r="T1255" s="55" t="n">
        <f aca="false">R1255+ROW()*0.000000001</f>
        <v>48.4277311400575</v>
      </c>
    </row>
    <row r="1256" customFormat="false" ht="15" hidden="false" customHeight="false" outlineLevel="0" collapsed="false">
      <c r="A1256" s="0" t="n">
        <v>30</v>
      </c>
      <c r="B1256" s="0" t="n">
        <v>21</v>
      </c>
      <c r="C1256" s="0" t="n">
        <f aca="false">-1+A1256*0.05</f>
        <v>0.5</v>
      </c>
      <c r="D1256" s="0" t="n">
        <f aca="false">-1+B1256*0.05</f>
        <v>0.05</v>
      </c>
      <c r="E1256" s="0" t="n">
        <f aca="false">1</f>
        <v>1</v>
      </c>
      <c r="F1256" s="0" t="n">
        <f aca="false">C1256</f>
        <v>0.5</v>
      </c>
      <c r="G1256" s="0" t="n">
        <f aca="false">D1256</f>
        <v>0.05</v>
      </c>
      <c r="H1256" s="0" t="n">
        <f aca="false">C1256*D1256</f>
        <v>0.025</v>
      </c>
      <c r="I1256" s="0" t="n">
        <f aca="false">C1256*C1256</f>
        <v>0.25</v>
      </c>
      <c r="J1256" s="0" t="n">
        <f aca="false">D1256*D1256</f>
        <v>0.0025</v>
      </c>
      <c r="K1256" s="0" t="n">
        <f aca="false">SUMPRODUCT(E1256:J1256,_XtX!$B$53:$G$53)</f>
        <v>48.5494971264368</v>
      </c>
      <c r="L1256" s="0" t="n">
        <f aca="false">SUMPRODUCT(MMULT(E1256:J1256,_XtX!$B$44:$G$49),E1256:J1256)</f>
        <v>0.184871156609195</v>
      </c>
      <c r="M1256" s="0" t="n">
        <f aca="false">04_回帰ANOVA!$K$19*04_回帰ANOVA!$K$14*SQRT(1+L1256)</f>
        <v>1.47506832106176</v>
      </c>
      <c r="N1256" s="0" t="n">
        <f aca="false">K1256-M1256</f>
        <v>47.074428805375</v>
      </c>
      <c r="O1256" s="0" t="n">
        <f aca="false">K1256+M1256</f>
        <v>50.0245654474985</v>
      </c>
      <c r="P1256" s="54" t="b">
        <f aca="false">AND(C1256&gt;=01_因子設定!$L$5-0.000000001,C1256&lt;=01_因子設定!$M$5+0.000000001,D1256&gt;=01_因子設定!$L$6-0.000000001,D1256&lt;=01_因子設定!$M$6+0.000000001,IF(01_因子設定!$B$20="Box-Behnken",C1256^2+D1256^2&lt;=2+0.000000001,TRUE()))</f>
        <v>1</v>
      </c>
      <c r="Q1256" s="55" t="n">
        <f aca="false">IF(P1256,IF(01_因子設定!$B$13="最大化",N1256-01_因子設定!$B$14,IF(01_因子設定!$B$13="最小化",01_因子設定!$B$15-O1256,MIN(N1256-01_因子設定!$B$14,01_因子設定!$B$15-O1256))),-1E+030)</f>
        <v>0.574428805375021</v>
      </c>
      <c r="R1256" s="55" t="n">
        <f aca="false">IF(P1256,IF(01_因子設定!$B$13="最大化",K1256,IF(01_因子設定!$B$13="最小化",-K1256,-ABS(K1256-01_因子設定!$B$16))),-1E+030)</f>
        <v>48.5494971264368</v>
      </c>
      <c r="S1256" s="55" t="n">
        <f aca="false">Q1256+ROW()*0.000000001</f>
        <v>0.574430061375021</v>
      </c>
      <c r="T1256" s="55" t="n">
        <f aca="false">R1256+ROW()*0.000000001</f>
        <v>48.5494983824368</v>
      </c>
    </row>
    <row r="1257" customFormat="false" ht="15" hidden="false" customHeight="false" outlineLevel="0" collapsed="false">
      <c r="A1257" s="0" t="n">
        <v>30</v>
      </c>
      <c r="B1257" s="0" t="n">
        <v>22</v>
      </c>
      <c r="C1257" s="0" t="n">
        <f aca="false">-1+A1257*0.05</f>
        <v>0.5</v>
      </c>
      <c r="D1257" s="0" t="n">
        <f aca="false">-1+B1257*0.05</f>
        <v>0.1</v>
      </c>
      <c r="E1257" s="0" t="n">
        <f aca="false">1</f>
        <v>1</v>
      </c>
      <c r="F1257" s="0" t="n">
        <f aca="false">C1257</f>
        <v>0.5</v>
      </c>
      <c r="G1257" s="0" t="n">
        <f aca="false">D1257</f>
        <v>0.1</v>
      </c>
      <c r="H1257" s="0" t="n">
        <f aca="false">C1257*D1257</f>
        <v>0.05</v>
      </c>
      <c r="I1257" s="0" t="n">
        <f aca="false">C1257*C1257</f>
        <v>0.25</v>
      </c>
      <c r="J1257" s="0" t="n">
        <f aca="false">D1257*D1257</f>
        <v>0.01</v>
      </c>
      <c r="K1257" s="0" t="n">
        <f aca="false">SUMPRODUCT(E1257:J1257,_XtX!$B$53:$G$53)</f>
        <v>48.6635488505747</v>
      </c>
      <c r="L1257" s="0" t="n">
        <f aca="false">SUMPRODUCT(MMULT(E1257:J1257,_XtX!$B$44:$G$49),E1257:J1257)</f>
        <v>0.184554885057471</v>
      </c>
      <c r="M1257" s="0" t="n">
        <f aca="false">04_回帰ANOVA!$K$19*04_回帰ANOVA!$K$14*SQRT(1+L1257)</f>
        <v>1.47487144173022</v>
      </c>
      <c r="N1257" s="0" t="n">
        <f aca="false">K1257-M1257</f>
        <v>47.1886774088445</v>
      </c>
      <c r="O1257" s="0" t="n">
        <f aca="false">K1257+M1257</f>
        <v>50.1384202923049</v>
      </c>
      <c r="P1257" s="54" t="b">
        <f aca="false">AND(C1257&gt;=01_因子設定!$L$5-0.000000001,C1257&lt;=01_因子設定!$M$5+0.000000001,D1257&gt;=01_因子設定!$L$6-0.000000001,D1257&lt;=01_因子設定!$M$6+0.000000001,IF(01_因子設定!$B$20="Box-Behnken",C1257^2+D1257^2&lt;=2+0.000000001,TRUE()))</f>
        <v>1</v>
      </c>
      <c r="Q1257" s="55" t="n">
        <f aca="false">IF(P1257,IF(01_因子設定!$B$13="最大化",N1257-01_因子設定!$B$14,IF(01_因子設定!$B$13="最小化",01_因子設定!$B$15-O1257,MIN(N1257-01_因子設定!$B$14,01_因子設定!$B$15-O1257))),-1E+030)</f>
        <v>0.688677408844491</v>
      </c>
      <c r="R1257" s="55" t="n">
        <f aca="false">IF(P1257,IF(01_因子設定!$B$13="最大化",K1257,IF(01_因子設定!$B$13="最小化",-K1257,-ABS(K1257-01_因子設定!$B$16))),-1E+030)</f>
        <v>48.6635488505747</v>
      </c>
      <c r="S1257" s="55" t="n">
        <f aca="false">Q1257+ROW()*0.000000001</f>
        <v>0.688678665844491</v>
      </c>
      <c r="T1257" s="55" t="n">
        <f aca="false">R1257+ROW()*0.000000001</f>
        <v>48.6635501075747</v>
      </c>
    </row>
    <row r="1258" customFormat="false" ht="15" hidden="false" customHeight="false" outlineLevel="0" collapsed="false">
      <c r="A1258" s="0" t="n">
        <v>30</v>
      </c>
      <c r="B1258" s="0" t="n">
        <v>23</v>
      </c>
      <c r="C1258" s="0" t="n">
        <f aca="false">-1+A1258*0.05</f>
        <v>0.5</v>
      </c>
      <c r="D1258" s="0" t="n">
        <f aca="false">-1+B1258*0.05</f>
        <v>0.15</v>
      </c>
      <c r="E1258" s="0" t="n">
        <f aca="false">1</f>
        <v>1</v>
      </c>
      <c r="F1258" s="0" t="n">
        <f aca="false">C1258</f>
        <v>0.5</v>
      </c>
      <c r="G1258" s="0" t="n">
        <f aca="false">D1258</f>
        <v>0.15</v>
      </c>
      <c r="H1258" s="0" t="n">
        <f aca="false">C1258*D1258</f>
        <v>0.0750000000000001</v>
      </c>
      <c r="I1258" s="0" t="n">
        <f aca="false">C1258*C1258</f>
        <v>0.25</v>
      </c>
      <c r="J1258" s="0" t="n">
        <f aca="false">D1258*D1258</f>
        <v>0.0225</v>
      </c>
      <c r="K1258" s="0" t="n">
        <f aca="false">SUMPRODUCT(E1258:J1258,_XtX!$B$53:$G$53)</f>
        <v>48.7698850574713</v>
      </c>
      <c r="L1258" s="0" t="n">
        <f aca="false">SUMPRODUCT(MMULT(E1258:J1258,_XtX!$B$44:$G$49),E1258:J1258)</f>
        <v>0.184118283045977</v>
      </c>
      <c r="M1258" s="0" t="n">
        <f aca="false">04_回帰ANOVA!$K$19*04_回帰ANOVA!$K$14*SQRT(1+L1258)</f>
        <v>1.47459961338687</v>
      </c>
      <c r="N1258" s="0" t="n">
        <f aca="false">K1258-M1258</f>
        <v>47.2952854440844</v>
      </c>
      <c r="O1258" s="0" t="n">
        <f aca="false">K1258+M1258</f>
        <v>50.2444846708581</v>
      </c>
      <c r="P1258" s="54" t="b">
        <f aca="false">AND(C1258&gt;=01_因子設定!$L$5-0.000000001,C1258&lt;=01_因子設定!$M$5+0.000000001,D1258&gt;=01_因子設定!$L$6-0.000000001,D1258&lt;=01_因子設定!$M$6+0.000000001,IF(01_因子設定!$B$20="Box-Behnken",C1258^2+D1258^2&lt;=2+0.000000001,TRUE()))</f>
        <v>1</v>
      </c>
      <c r="Q1258" s="55" t="n">
        <f aca="false">IF(P1258,IF(01_因子設定!$B$13="最大化",N1258-01_因子設定!$B$14,IF(01_因子設定!$B$13="最小化",01_因子設定!$B$15-O1258,MIN(N1258-01_因子設定!$B$14,01_因子設定!$B$15-O1258))),-1E+030)</f>
        <v>0.795285444084392</v>
      </c>
      <c r="R1258" s="55" t="n">
        <f aca="false">IF(P1258,IF(01_因子設定!$B$13="最大化",K1258,IF(01_因子設定!$B$13="最小化",-K1258,-ABS(K1258-01_因子設定!$B$16))),-1E+030)</f>
        <v>48.7698850574713</v>
      </c>
      <c r="S1258" s="55" t="n">
        <f aca="false">Q1258+ROW()*0.000000001</f>
        <v>0.795286702084392</v>
      </c>
      <c r="T1258" s="55" t="n">
        <f aca="false">R1258+ROW()*0.000000001</f>
        <v>48.7698863154713</v>
      </c>
    </row>
    <row r="1259" customFormat="false" ht="15" hidden="false" customHeight="false" outlineLevel="0" collapsed="false">
      <c r="A1259" s="0" t="n">
        <v>30</v>
      </c>
      <c r="B1259" s="0" t="n">
        <v>24</v>
      </c>
      <c r="C1259" s="0" t="n">
        <f aca="false">-1+A1259*0.05</f>
        <v>0.5</v>
      </c>
      <c r="D1259" s="0" t="n">
        <f aca="false">-1+B1259*0.05</f>
        <v>0.2</v>
      </c>
      <c r="E1259" s="0" t="n">
        <f aca="false">1</f>
        <v>1</v>
      </c>
      <c r="F1259" s="0" t="n">
        <f aca="false">C1259</f>
        <v>0.5</v>
      </c>
      <c r="G1259" s="0" t="n">
        <f aca="false">D1259</f>
        <v>0.2</v>
      </c>
      <c r="H1259" s="0" t="n">
        <f aca="false">C1259*D1259</f>
        <v>0.1</v>
      </c>
      <c r="I1259" s="0" t="n">
        <f aca="false">C1259*C1259</f>
        <v>0.25</v>
      </c>
      <c r="J1259" s="0" t="n">
        <f aca="false">D1259*D1259</f>
        <v>0.0400000000000001</v>
      </c>
      <c r="K1259" s="0" t="n">
        <f aca="false">SUMPRODUCT(E1259:J1259,_XtX!$B$53:$G$53)</f>
        <v>48.8685057471264</v>
      </c>
      <c r="L1259" s="0" t="n">
        <f aca="false">SUMPRODUCT(MMULT(E1259:J1259,_XtX!$B$44:$G$49),E1259:J1259)</f>
        <v>0.183697126436782</v>
      </c>
      <c r="M1259" s="0" t="n">
        <f aca="false">04_回帰ANOVA!$K$19*04_回帰ANOVA!$K$14*SQRT(1+L1259)</f>
        <v>1.4743373538588</v>
      </c>
      <c r="N1259" s="0" t="n">
        <f aca="false">K1259-M1259</f>
        <v>47.3941683932676</v>
      </c>
      <c r="O1259" s="0" t="n">
        <f aca="false">K1259+M1259</f>
        <v>50.3428431009852</v>
      </c>
      <c r="P1259" s="54" t="b">
        <f aca="false">AND(C1259&gt;=01_因子設定!$L$5-0.000000001,C1259&lt;=01_因子設定!$M$5+0.000000001,D1259&gt;=01_因子設定!$L$6-0.000000001,D1259&lt;=01_因子設定!$M$6+0.000000001,IF(01_因子設定!$B$20="Box-Behnken",C1259^2+D1259^2&lt;=2+0.000000001,TRUE()))</f>
        <v>1</v>
      </c>
      <c r="Q1259" s="55" t="n">
        <f aca="false">IF(P1259,IF(01_因子設定!$B$13="最大化",N1259-01_因子設定!$B$14,IF(01_因子設定!$B$13="最小化",01_因子設定!$B$15-O1259,MIN(N1259-01_因子設定!$B$14,01_因子設定!$B$15-O1259))),-1E+030)</f>
        <v>0.894168393267627</v>
      </c>
      <c r="R1259" s="55" t="n">
        <f aca="false">IF(P1259,IF(01_因子設定!$B$13="最大化",K1259,IF(01_因子設定!$B$13="最小化",-K1259,-ABS(K1259-01_因子設定!$B$16))),-1E+030)</f>
        <v>48.8685057471264</v>
      </c>
      <c r="S1259" s="55" t="n">
        <f aca="false">Q1259+ROW()*0.000000001</f>
        <v>0.894169652267627</v>
      </c>
      <c r="T1259" s="55" t="n">
        <f aca="false">R1259+ROW()*0.000000001</f>
        <v>48.8685070061264</v>
      </c>
    </row>
    <row r="1260" customFormat="false" ht="15" hidden="false" customHeight="false" outlineLevel="0" collapsed="false">
      <c r="A1260" s="0" t="n">
        <v>30</v>
      </c>
      <c r="B1260" s="0" t="n">
        <v>25</v>
      </c>
      <c r="C1260" s="0" t="n">
        <f aca="false">-1+A1260*0.05</f>
        <v>0.5</v>
      </c>
      <c r="D1260" s="0" t="n">
        <f aca="false">-1+B1260*0.05</f>
        <v>0.25</v>
      </c>
      <c r="E1260" s="0" t="n">
        <f aca="false">1</f>
        <v>1</v>
      </c>
      <c r="F1260" s="0" t="n">
        <f aca="false">C1260</f>
        <v>0.5</v>
      </c>
      <c r="G1260" s="0" t="n">
        <f aca="false">D1260</f>
        <v>0.25</v>
      </c>
      <c r="H1260" s="0" t="n">
        <f aca="false">C1260*D1260</f>
        <v>0.125</v>
      </c>
      <c r="I1260" s="0" t="n">
        <f aca="false">C1260*C1260</f>
        <v>0.25</v>
      </c>
      <c r="J1260" s="0" t="n">
        <f aca="false">D1260*D1260</f>
        <v>0.0625</v>
      </c>
      <c r="K1260" s="0" t="n">
        <f aca="false">SUMPRODUCT(E1260:J1260,_XtX!$B$53:$G$53)</f>
        <v>48.9594109195402</v>
      </c>
      <c r="L1260" s="0" t="n">
        <f aca="false">SUMPRODUCT(MMULT(E1260:J1260,_XtX!$B$44:$G$49),E1260:J1260)</f>
        <v>0.183481501436782</v>
      </c>
      <c r="M1260" s="0" t="n">
        <f aca="false">04_回帰ANOVA!$K$19*04_回帰ANOVA!$K$14*SQRT(1+L1260)</f>
        <v>1.47420306339561</v>
      </c>
      <c r="N1260" s="0" t="n">
        <f aca="false">K1260-M1260</f>
        <v>47.4852078561446</v>
      </c>
      <c r="O1260" s="0" t="n">
        <f aca="false">K1260+M1260</f>
        <v>50.4336139829358</v>
      </c>
      <c r="P1260" s="54" t="b">
        <f aca="false">AND(C1260&gt;=01_因子設定!$L$5-0.000000001,C1260&lt;=01_因子設定!$M$5+0.000000001,D1260&gt;=01_因子設定!$L$6-0.000000001,D1260&lt;=01_因子設定!$M$6+0.000000001,IF(01_因子設定!$B$20="Box-Behnken",C1260^2+D1260^2&lt;=2+0.000000001,TRUE()))</f>
        <v>1</v>
      </c>
      <c r="Q1260" s="55" t="n">
        <f aca="false">IF(P1260,IF(01_因子設定!$B$13="最大化",N1260-01_因子設定!$B$14,IF(01_因子設定!$B$13="最小化",01_因子設定!$B$15-O1260,MIN(N1260-01_因子設定!$B$14,01_因子設定!$B$15-O1260))),-1E+030)</f>
        <v>0.985207856144619</v>
      </c>
      <c r="R1260" s="55" t="n">
        <f aca="false">IF(P1260,IF(01_因子設定!$B$13="最大化",K1260,IF(01_因子設定!$B$13="最小化",-K1260,-ABS(K1260-01_因子設定!$B$16))),-1E+030)</f>
        <v>48.9594109195402</v>
      </c>
      <c r="S1260" s="55" t="n">
        <f aca="false">Q1260+ROW()*0.000000001</f>
        <v>0.985209116144619</v>
      </c>
      <c r="T1260" s="55" t="n">
        <f aca="false">R1260+ROW()*0.000000001</f>
        <v>48.9594121795402</v>
      </c>
    </row>
    <row r="1261" customFormat="false" ht="15" hidden="false" customHeight="false" outlineLevel="0" collapsed="false">
      <c r="A1261" s="0" t="n">
        <v>30</v>
      </c>
      <c r="B1261" s="0" t="n">
        <v>26</v>
      </c>
      <c r="C1261" s="0" t="n">
        <f aca="false">-1+A1261*0.05</f>
        <v>0.5</v>
      </c>
      <c r="D1261" s="0" t="n">
        <f aca="false">-1+B1261*0.05</f>
        <v>0.3</v>
      </c>
      <c r="E1261" s="0" t="n">
        <f aca="false">1</f>
        <v>1</v>
      </c>
      <c r="F1261" s="0" t="n">
        <f aca="false">C1261</f>
        <v>0.5</v>
      </c>
      <c r="G1261" s="0" t="n">
        <f aca="false">D1261</f>
        <v>0.3</v>
      </c>
      <c r="H1261" s="0" t="n">
        <f aca="false">C1261*D1261</f>
        <v>0.15</v>
      </c>
      <c r="I1261" s="0" t="n">
        <f aca="false">C1261*C1261</f>
        <v>0.25</v>
      </c>
      <c r="J1261" s="0" t="n">
        <f aca="false">D1261*D1261</f>
        <v>0.09</v>
      </c>
      <c r="K1261" s="0" t="n">
        <f aca="false">SUMPRODUCT(E1261:J1261,_XtX!$B$53:$G$53)</f>
        <v>49.0426005747126</v>
      </c>
      <c r="L1261" s="0" t="n">
        <f aca="false">SUMPRODUCT(MMULT(E1261:J1261,_XtX!$B$44:$G$49),E1261:J1261)</f>
        <v>0.183715804597701</v>
      </c>
      <c r="M1261" s="0" t="n">
        <f aca="false">04_回帰ANOVA!$K$19*04_回帰ANOVA!$K$14*SQRT(1+L1261)</f>
        <v>1.47434898597359</v>
      </c>
      <c r="N1261" s="0" t="n">
        <f aca="false">K1261-M1261</f>
        <v>47.568251588739</v>
      </c>
      <c r="O1261" s="0" t="n">
        <f aca="false">K1261+M1261</f>
        <v>50.5169495606862</v>
      </c>
      <c r="P1261" s="54" t="b">
        <f aca="false">AND(C1261&gt;=01_因子設定!$L$5-0.000000001,C1261&lt;=01_因子設定!$M$5+0.000000001,D1261&gt;=01_因子設定!$L$6-0.000000001,D1261&lt;=01_因子設定!$M$6+0.000000001,IF(01_因子設定!$B$20="Box-Behnken",C1261^2+D1261^2&lt;=2+0.000000001,TRUE()))</f>
        <v>1</v>
      </c>
      <c r="Q1261" s="55" t="n">
        <f aca="false">IF(P1261,IF(01_因子設定!$B$13="最大化",N1261-01_因子設定!$B$14,IF(01_因子設定!$B$13="最小化",01_因子設定!$B$15-O1261,MIN(N1261-01_因子設定!$B$14,01_因子設定!$B$15-O1261))),-1E+030)</f>
        <v>1.06825158873905</v>
      </c>
      <c r="R1261" s="55" t="n">
        <f aca="false">IF(P1261,IF(01_因子設定!$B$13="最大化",K1261,IF(01_因子設定!$B$13="最小化",-K1261,-ABS(K1261-01_因子設定!$B$16))),-1E+030)</f>
        <v>49.0426005747126</v>
      </c>
      <c r="S1261" s="55" t="n">
        <f aca="false">Q1261+ROW()*0.000000001</f>
        <v>1.06825284973905</v>
      </c>
      <c r="T1261" s="55" t="n">
        <f aca="false">R1261+ROW()*0.000000001</f>
        <v>49.0426018357126</v>
      </c>
    </row>
    <row r="1262" customFormat="false" ht="15" hidden="false" customHeight="false" outlineLevel="0" collapsed="false">
      <c r="A1262" s="0" t="n">
        <v>30</v>
      </c>
      <c r="B1262" s="0" t="n">
        <v>27</v>
      </c>
      <c r="C1262" s="0" t="n">
        <f aca="false">-1+A1262*0.05</f>
        <v>0.5</v>
      </c>
      <c r="D1262" s="0" t="n">
        <f aca="false">-1+B1262*0.05</f>
        <v>0.35</v>
      </c>
      <c r="E1262" s="0" t="n">
        <f aca="false">1</f>
        <v>1</v>
      </c>
      <c r="F1262" s="0" t="n">
        <f aca="false">C1262</f>
        <v>0.5</v>
      </c>
      <c r="G1262" s="0" t="n">
        <f aca="false">D1262</f>
        <v>0.35</v>
      </c>
      <c r="H1262" s="0" t="n">
        <f aca="false">C1262*D1262</f>
        <v>0.175</v>
      </c>
      <c r="I1262" s="0" t="n">
        <f aca="false">C1262*C1262</f>
        <v>0.25</v>
      </c>
      <c r="J1262" s="0" t="n">
        <f aca="false">D1262*D1262</f>
        <v>0.1225</v>
      </c>
      <c r="K1262" s="0" t="n">
        <f aca="false">SUMPRODUCT(E1262:J1262,_XtX!$B$53:$G$53)</f>
        <v>49.1180747126437</v>
      </c>
      <c r="L1262" s="0" t="n">
        <f aca="false">SUMPRODUCT(MMULT(E1262:J1262,_XtX!$B$44:$G$49),E1262:J1262)</f>
        <v>0.184698742816092</v>
      </c>
      <c r="M1262" s="0" t="n">
        <f aca="false">04_回帰ANOVA!$K$19*04_回帰ANOVA!$K$14*SQRT(1+L1262)</f>
        <v>1.47496099657531</v>
      </c>
      <c r="N1262" s="0" t="n">
        <f aca="false">K1262-M1262</f>
        <v>47.6431137160684</v>
      </c>
      <c r="O1262" s="0" t="n">
        <f aca="false">K1262+M1262</f>
        <v>50.593035709219</v>
      </c>
      <c r="P1262" s="54" t="b">
        <f aca="false">AND(C1262&gt;=01_因子設定!$L$5-0.000000001,C1262&lt;=01_因子設定!$M$5+0.000000001,D1262&gt;=01_因子設定!$L$6-0.000000001,D1262&lt;=01_因子設定!$M$6+0.000000001,IF(01_因子設定!$B$20="Box-Behnken",C1262^2+D1262^2&lt;=2+0.000000001,TRUE()))</f>
        <v>1</v>
      </c>
      <c r="Q1262" s="55" t="n">
        <f aca="false">IF(P1262,IF(01_因子設定!$B$13="最大化",N1262-01_因子設定!$B$14,IF(01_因子設定!$B$13="最小化",01_因子設定!$B$15-O1262,MIN(N1262-01_因子設定!$B$14,01_因子設定!$B$15-O1262))),-1E+030)</f>
        <v>1.14311371606836</v>
      </c>
      <c r="R1262" s="55" t="n">
        <f aca="false">IF(P1262,IF(01_因子設定!$B$13="最大化",K1262,IF(01_因子設定!$B$13="最小化",-K1262,-ABS(K1262-01_因子設定!$B$16))),-1E+030)</f>
        <v>49.1180747126437</v>
      </c>
      <c r="S1262" s="55" t="n">
        <f aca="false">Q1262+ROW()*0.000000001</f>
        <v>1.14311497806836</v>
      </c>
      <c r="T1262" s="55" t="n">
        <f aca="false">R1262+ROW()*0.000000001</f>
        <v>49.1180759746437</v>
      </c>
    </row>
    <row r="1263" customFormat="false" ht="15" hidden="false" customHeight="false" outlineLevel="0" collapsed="false">
      <c r="A1263" s="0" t="n">
        <v>30</v>
      </c>
      <c r="B1263" s="0" t="n">
        <v>28</v>
      </c>
      <c r="C1263" s="0" t="n">
        <f aca="false">-1+A1263*0.05</f>
        <v>0.5</v>
      </c>
      <c r="D1263" s="0" t="n">
        <f aca="false">-1+B1263*0.05</f>
        <v>0.4</v>
      </c>
      <c r="E1263" s="0" t="n">
        <f aca="false">1</f>
        <v>1</v>
      </c>
      <c r="F1263" s="0" t="n">
        <f aca="false">C1263</f>
        <v>0.5</v>
      </c>
      <c r="G1263" s="0" t="n">
        <f aca="false">D1263</f>
        <v>0.4</v>
      </c>
      <c r="H1263" s="0" t="n">
        <f aca="false">C1263*D1263</f>
        <v>0.2</v>
      </c>
      <c r="I1263" s="0" t="n">
        <f aca="false">C1263*C1263</f>
        <v>0.25</v>
      </c>
      <c r="J1263" s="0" t="n">
        <f aca="false">D1263*D1263</f>
        <v>0.16</v>
      </c>
      <c r="K1263" s="0" t="n">
        <f aca="false">SUMPRODUCT(E1263:J1263,_XtX!$B$53:$G$53)</f>
        <v>49.1858333333333</v>
      </c>
      <c r="L1263" s="0" t="n">
        <f aca="false">SUMPRODUCT(MMULT(E1263:J1263,_XtX!$B$44:$G$49),E1263:J1263)</f>
        <v>0.186783333333333</v>
      </c>
      <c r="M1263" s="0" t="n">
        <f aca="false">04_回帰ANOVA!$K$19*04_回帰ANOVA!$K$14*SQRT(1+L1263)</f>
        <v>1.47625809356371</v>
      </c>
      <c r="N1263" s="0" t="n">
        <f aca="false">K1263-M1263</f>
        <v>47.7095752397696</v>
      </c>
      <c r="O1263" s="0" t="n">
        <f aca="false">K1263+M1263</f>
        <v>50.662091426897</v>
      </c>
      <c r="P1263" s="54" t="b">
        <f aca="false">AND(C1263&gt;=01_因子設定!$L$5-0.000000001,C1263&lt;=01_因子設定!$M$5+0.000000001,D1263&gt;=01_因子設定!$L$6-0.000000001,D1263&lt;=01_因子設定!$M$6+0.000000001,IF(01_因子設定!$B$20="Box-Behnken",C1263^2+D1263^2&lt;=2+0.000000001,TRUE()))</f>
        <v>1</v>
      </c>
      <c r="Q1263" s="55" t="n">
        <f aca="false">IF(P1263,IF(01_因子設定!$B$13="最大化",N1263-01_因子設定!$B$14,IF(01_因子設定!$B$13="最小化",01_因子設定!$B$15-O1263,MIN(N1263-01_因子設定!$B$14,01_因子設定!$B$15-O1263))),-1E+030)</f>
        <v>1.20957523976962</v>
      </c>
      <c r="R1263" s="55" t="n">
        <f aca="false">IF(P1263,IF(01_因子設定!$B$13="最大化",K1263,IF(01_因子設定!$B$13="最小化",-K1263,-ABS(K1263-01_因子設定!$B$16))),-1E+030)</f>
        <v>49.1858333333333</v>
      </c>
      <c r="S1263" s="55" t="n">
        <f aca="false">Q1263+ROW()*0.000000001</f>
        <v>1.20957650276962</v>
      </c>
      <c r="T1263" s="55" t="n">
        <f aca="false">R1263+ROW()*0.000000001</f>
        <v>49.1858345963333</v>
      </c>
    </row>
    <row r="1264" customFormat="false" ht="15" hidden="false" customHeight="false" outlineLevel="0" collapsed="false">
      <c r="A1264" s="0" t="n">
        <v>30</v>
      </c>
      <c r="B1264" s="0" t="n">
        <v>29</v>
      </c>
      <c r="C1264" s="0" t="n">
        <f aca="false">-1+A1264*0.05</f>
        <v>0.5</v>
      </c>
      <c r="D1264" s="0" t="n">
        <f aca="false">-1+B1264*0.05</f>
        <v>0.45</v>
      </c>
      <c r="E1264" s="0" t="n">
        <f aca="false">1</f>
        <v>1</v>
      </c>
      <c r="F1264" s="0" t="n">
        <f aca="false">C1264</f>
        <v>0.5</v>
      </c>
      <c r="G1264" s="0" t="n">
        <f aca="false">D1264</f>
        <v>0.45</v>
      </c>
      <c r="H1264" s="0" t="n">
        <f aca="false">C1264*D1264</f>
        <v>0.225</v>
      </c>
      <c r="I1264" s="0" t="n">
        <f aca="false">C1264*C1264</f>
        <v>0.25</v>
      </c>
      <c r="J1264" s="0" t="n">
        <f aca="false">D1264*D1264</f>
        <v>0.2025</v>
      </c>
      <c r="K1264" s="0" t="n">
        <f aca="false">SUMPRODUCT(E1264:J1264,_XtX!$B$53:$G$53)</f>
        <v>49.2458764367816</v>
      </c>
      <c r="L1264" s="0" t="n">
        <f aca="false">SUMPRODUCT(MMULT(E1264:J1264,_XtX!$B$44:$G$49),E1264:J1264)</f>
        <v>0.190376903735632</v>
      </c>
      <c r="M1264" s="0" t="n">
        <f aca="false">04_回帰ANOVA!$K$19*04_回帰ANOVA!$K$14*SQRT(1+L1264)</f>
        <v>1.47849145301872</v>
      </c>
      <c r="N1264" s="0" t="n">
        <f aca="false">K1264-M1264</f>
        <v>47.7673849837629</v>
      </c>
      <c r="O1264" s="0" t="n">
        <f aca="false">K1264+M1264</f>
        <v>50.7243678898003</v>
      </c>
      <c r="P1264" s="54" t="b">
        <f aca="false">AND(C1264&gt;=01_因子設定!$L$5-0.000000001,C1264&lt;=01_因子設定!$M$5+0.000000001,D1264&gt;=01_因子設定!$L$6-0.000000001,D1264&lt;=01_因子設定!$M$6+0.000000001,IF(01_因子設定!$B$20="Box-Behnken",C1264^2+D1264^2&lt;=2+0.000000001,TRUE()))</f>
        <v>1</v>
      </c>
      <c r="Q1264" s="55" t="n">
        <f aca="false">IF(P1264,IF(01_因子設定!$B$13="最大化",N1264-01_因子設定!$B$14,IF(01_因子設定!$B$13="最小化",01_因子設定!$B$15-O1264,MIN(N1264-01_因子設定!$B$14,01_因子設定!$B$15-O1264))),-1E+030)</f>
        <v>1.26738498376288</v>
      </c>
      <c r="R1264" s="55" t="n">
        <f aca="false">IF(P1264,IF(01_因子設定!$B$13="最大化",K1264,IF(01_因子設定!$B$13="最小化",-K1264,-ABS(K1264-01_因子設定!$B$16))),-1E+030)</f>
        <v>49.2458764367816</v>
      </c>
      <c r="S1264" s="55" t="n">
        <f aca="false">Q1264+ROW()*0.000000001</f>
        <v>1.26738624776288</v>
      </c>
      <c r="T1264" s="55" t="n">
        <f aca="false">R1264+ROW()*0.000000001</f>
        <v>49.2458777007816</v>
      </c>
    </row>
    <row r="1265" customFormat="false" ht="15" hidden="false" customHeight="false" outlineLevel="0" collapsed="false">
      <c r="A1265" s="0" t="n">
        <v>30</v>
      </c>
      <c r="B1265" s="0" t="n">
        <v>30</v>
      </c>
      <c r="C1265" s="0" t="n">
        <f aca="false">-1+A1265*0.05</f>
        <v>0.5</v>
      </c>
      <c r="D1265" s="0" t="n">
        <f aca="false">-1+B1265*0.05</f>
        <v>0.5</v>
      </c>
      <c r="E1265" s="0" t="n">
        <f aca="false">1</f>
        <v>1</v>
      </c>
      <c r="F1265" s="0" t="n">
        <f aca="false">C1265</f>
        <v>0.5</v>
      </c>
      <c r="G1265" s="0" t="n">
        <f aca="false">D1265</f>
        <v>0.5</v>
      </c>
      <c r="H1265" s="0" t="n">
        <f aca="false">C1265*D1265</f>
        <v>0.25</v>
      </c>
      <c r="I1265" s="0" t="n">
        <f aca="false">C1265*C1265</f>
        <v>0.25</v>
      </c>
      <c r="J1265" s="0" t="n">
        <f aca="false">D1265*D1265</f>
        <v>0.25</v>
      </c>
      <c r="K1265" s="0" t="n">
        <f aca="false">SUMPRODUCT(E1265:J1265,_XtX!$B$53:$G$53)</f>
        <v>49.2982040229885</v>
      </c>
      <c r="L1265" s="0" t="n">
        <f aca="false">SUMPRODUCT(MMULT(E1265:J1265,_XtX!$B$44:$G$49),E1265:J1265)</f>
        <v>0.195941091954023</v>
      </c>
      <c r="M1265" s="0" t="n">
        <f aca="false">04_回帰ANOVA!$K$19*04_回帰ANOVA!$K$14*SQRT(1+L1265)</f>
        <v>1.48194288662759</v>
      </c>
      <c r="N1265" s="0" t="n">
        <f aca="false">K1265-M1265</f>
        <v>47.8162611363609</v>
      </c>
      <c r="O1265" s="0" t="n">
        <f aca="false">K1265+M1265</f>
        <v>50.7801469096161</v>
      </c>
      <c r="P1265" s="54" t="b">
        <f aca="false">AND(C1265&gt;=01_因子設定!$L$5-0.000000001,C1265&lt;=01_因子設定!$M$5+0.000000001,D1265&gt;=01_因子設定!$L$6-0.000000001,D1265&lt;=01_因子設定!$M$6+0.000000001,IF(01_因子設定!$B$20="Box-Behnken",C1265^2+D1265^2&lt;=2+0.000000001,TRUE()))</f>
        <v>1</v>
      </c>
      <c r="Q1265" s="55" t="n">
        <f aca="false">IF(P1265,IF(01_因子設定!$B$13="最大化",N1265-01_因子設定!$B$14,IF(01_因子設定!$B$13="最小化",01_因子設定!$B$15-O1265,MIN(N1265-01_因子設定!$B$14,01_因子設定!$B$15-O1265))),-1E+030)</f>
        <v>1.31626113636091</v>
      </c>
      <c r="R1265" s="55" t="n">
        <f aca="false">IF(P1265,IF(01_因子設定!$B$13="最大化",K1265,IF(01_因子設定!$B$13="最小化",-K1265,-ABS(K1265-01_因子設定!$B$16))),-1E+030)</f>
        <v>49.2982040229885</v>
      </c>
      <c r="S1265" s="55" t="n">
        <f aca="false">Q1265+ROW()*0.000000001</f>
        <v>1.31626240136091</v>
      </c>
      <c r="T1265" s="55" t="n">
        <f aca="false">R1265+ROW()*0.000000001</f>
        <v>49.2982052879885</v>
      </c>
    </row>
    <row r="1266" customFormat="false" ht="15" hidden="false" customHeight="false" outlineLevel="0" collapsed="false">
      <c r="A1266" s="0" t="n">
        <v>30</v>
      </c>
      <c r="B1266" s="0" t="n">
        <v>31</v>
      </c>
      <c r="C1266" s="0" t="n">
        <f aca="false">-1+A1266*0.05</f>
        <v>0.5</v>
      </c>
      <c r="D1266" s="0" t="n">
        <f aca="false">-1+B1266*0.05</f>
        <v>0.55</v>
      </c>
      <c r="E1266" s="0" t="n">
        <f aca="false">1</f>
        <v>1</v>
      </c>
      <c r="F1266" s="0" t="n">
        <f aca="false">C1266</f>
        <v>0.5</v>
      </c>
      <c r="G1266" s="0" t="n">
        <f aca="false">D1266</f>
        <v>0.55</v>
      </c>
      <c r="H1266" s="0" t="n">
        <f aca="false">C1266*D1266</f>
        <v>0.275</v>
      </c>
      <c r="I1266" s="0" t="n">
        <f aca="false">C1266*C1266</f>
        <v>0.25</v>
      </c>
      <c r="J1266" s="0" t="n">
        <f aca="false">D1266*D1266</f>
        <v>0.3025</v>
      </c>
      <c r="K1266" s="0" t="n">
        <f aca="false">SUMPRODUCT(E1266:J1266,_XtX!$B$53:$G$53)</f>
        <v>49.342816091954</v>
      </c>
      <c r="L1266" s="0" t="n">
        <f aca="false">SUMPRODUCT(MMULT(E1266:J1266,_XtX!$B$44:$G$49),E1266:J1266)</f>
        <v>0.203991846264368</v>
      </c>
      <c r="M1266" s="0" t="n">
        <f aca="false">04_回帰ANOVA!$K$19*04_回帰ANOVA!$K$14*SQRT(1+L1266)</f>
        <v>1.48692254105892</v>
      </c>
      <c r="N1266" s="0" t="n">
        <f aca="false">K1266-M1266</f>
        <v>47.8558935508951</v>
      </c>
      <c r="O1266" s="0" t="n">
        <f aca="false">K1266+M1266</f>
        <v>50.8297386330129</v>
      </c>
      <c r="P1266" s="54" t="b">
        <f aca="false">AND(C1266&gt;=01_因子設定!$L$5-0.000000001,C1266&lt;=01_因子設定!$M$5+0.000000001,D1266&gt;=01_因子設定!$L$6-0.000000001,D1266&lt;=01_因子設定!$M$6+0.000000001,IF(01_因子設定!$B$20="Box-Behnken",C1266^2+D1266^2&lt;=2+0.000000001,TRUE()))</f>
        <v>1</v>
      </c>
      <c r="Q1266" s="55" t="n">
        <f aca="false">IF(P1266,IF(01_因子設定!$B$13="最大化",N1266-01_因子設定!$B$14,IF(01_因子設定!$B$13="最小化",01_因子設定!$B$15-O1266,MIN(N1266-01_因子設定!$B$14,01_因子設定!$B$15-O1266))),-1E+030)</f>
        <v>1.3558935508951</v>
      </c>
      <c r="R1266" s="55" t="n">
        <f aca="false">IF(P1266,IF(01_因子設定!$B$13="最大化",K1266,IF(01_因子設定!$B$13="最小化",-K1266,-ABS(K1266-01_因子設定!$B$16))),-1E+030)</f>
        <v>49.342816091954</v>
      </c>
      <c r="S1266" s="55" t="n">
        <f aca="false">Q1266+ROW()*0.000000001</f>
        <v>1.3558948168951</v>
      </c>
      <c r="T1266" s="55" t="n">
        <f aca="false">R1266+ROW()*0.000000001</f>
        <v>49.342817357954</v>
      </c>
    </row>
    <row r="1267" customFormat="false" ht="15" hidden="false" customHeight="false" outlineLevel="0" collapsed="false">
      <c r="A1267" s="0" t="n">
        <v>30</v>
      </c>
      <c r="B1267" s="0" t="n">
        <v>32</v>
      </c>
      <c r="C1267" s="0" t="n">
        <f aca="false">-1+A1267*0.05</f>
        <v>0.5</v>
      </c>
      <c r="D1267" s="0" t="n">
        <f aca="false">-1+B1267*0.05</f>
        <v>0.6</v>
      </c>
      <c r="E1267" s="0" t="n">
        <f aca="false">1</f>
        <v>1</v>
      </c>
      <c r="F1267" s="0" t="n">
        <f aca="false">C1267</f>
        <v>0.5</v>
      </c>
      <c r="G1267" s="0" t="n">
        <f aca="false">D1267</f>
        <v>0.6</v>
      </c>
      <c r="H1267" s="0" t="n">
        <f aca="false">C1267*D1267</f>
        <v>0.3</v>
      </c>
      <c r="I1267" s="0" t="n">
        <f aca="false">C1267*C1267</f>
        <v>0.25</v>
      </c>
      <c r="J1267" s="0" t="n">
        <f aca="false">D1267*D1267</f>
        <v>0.36</v>
      </c>
      <c r="K1267" s="0" t="n">
        <f aca="false">SUMPRODUCT(E1267:J1267,_XtX!$B$53:$G$53)</f>
        <v>49.3797126436782</v>
      </c>
      <c r="L1267" s="0" t="n">
        <f aca="false">SUMPRODUCT(MMULT(E1267:J1267,_XtX!$B$44:$G$49),E1267:J1267)</f>
        <v>0.215099425287356</v>
      </c>
      <c r="M1267" s="0" t="n">
        <f aca="false">04_回帰ANOVA!$K$19*04_回帰ANOVA!$K$14*SQRT(1+L1267)</f>
        <v>1.49376569017207</v>
      </c>
      <c r="N1267" s="0" t="n">
        <f aca="false">K1267-M1267</f>
        <v>47.8859469535061</v>
      </c>
      <c r="O1267" s="0" t="n">
        <f aca="false">K1267+M1267</f>
        <v>50.8734783338502</v>
      </c>
      <c r="P1267" s="54" t="b">
        <f aca="false">AND(C1267&gt;=01_因子設定!$L$5-0.000000001,C1267&lt;=01_因子設定!$M$5+0.000000001,D1267&gt;=01_因子設定!$L$6-0.000000001,D1267&lt;=01_因子設定!$M$6+0.000000001,IF(01_因子設定!$B$20="Box-Behnken",C1267^2+D1267^2&lt;=2+0.000000001,TRUE()))</f>
        <v>1</v>
      </c>
      <c r="Q1267" s="55" t="n">
        <f aca="false">IF(P1267,IF(01_因子設定!$B$13="最大化",N1267-01_因子設定!$B$14,IF(01_因子設定!$B$13="最小化",01_因子設定!$B$15-O1267,MIN(N1267-01_因子設定!$B$14,01_因子設定!$B$15-O1267))),-1E+030)</f>
        <v>1.38594695350609</v>
      </c>
      <c r="R1267" s="55" t="n">
        <f aca="false">IF(P1267,IF(01_因子設定!$B$13="最大化",K1267,IF(01_因子設定!$B$13="最小化",-K1267,-ABS(K1267-01_因子設定!$B$16))),-1E+030)</f>
        <v>49.3797126436782</v>
      </c>
      <c r="S1267" s="55" t="n">
        <f aca="false">Q1267+ROW()*0.000000001</f>
        <v>1.38594822050609</v>
      </c>
      <c r="T1267" s="55" t="n">
        <f aca="false">R1267+ROW()*0.000000001</f>
        <v>49.3797139106782</v>
      </c>
    </row>
    <row r="1268" customFormat="false" ht="15" hidden="false" customHeight="false" outlineLevel="0" collapsed="false">
      <c r="A1268" s="0" t="n">
        <v>30</v>
      </c>
      <c r="B1268" s="0" t="n">
        <v>33</v>
      </c>
      <c r="C1268" s="0" t="n">
        <f aca="false">-1+A1268*0.05</f>
        <v>0.5</v>
      </c>
      <c r="D1268" s="0" t="n">
        <f aca="false">-1+B1268*0.05</f>
        <v>0.65</v>
      </c>
      <c r="E1268" s="0" t="n">
        <f aca="false">1</f>
        <v>1</v>
      </c>
      <c r="F1268" s="0" t="n">
        <f aca="false">C1268</f>
        <v>0.5</v>
      </c>
      <c r="G1268" s="0" t="n">
        <f aca="false">D1268</f>
        <v>0.65</v>
      </c>
      <c r="H1268" s="0" t="n">
        <f aca="false">C1268*D1268</f>
        <v>0.325</v>
      </c>
      <c r="I1268" s="0" t="n">
        <f aca="false">C1268*C1268</f>
        <v>0.25</v>
      </c>
      <c r="J1268" s="0" t="n">
        <f aca="false">D1268*D1268</f>
        <v>0.4225</v>
      </c>
      <c r="K1268" s="0" t="n">
        <f aca="false">SUMPRODUCT(E1268:J1268,_XtX!$B$53:$G$53)</f>
        <v>49.4088936781609</v>
      </c>
      <c r="L1268" s="0" t="n">
        <f aca="false">SUMPRODUCT(MMULT(E1268:J1268,_XtX!$B$44:$G$49),E1268:J1268)</f>
        <v>0.229888397988506</v>
      </c>
      <c r="M1268" s="0" t="n">
        <f aca="false">04_回帰ANOVA!$K$19*04_回帰ANOVA!$K$14*SQRT(1+L1268)</f>
        <v>1.50282850731928</v>
      </c>
      <c r="N1268" s="0" t="n">
        <f aca="false">K1268-M1268</f>
        <v>47.9060651708416</v>
      </c>
      <c r="O1268" s="0" t="n">
        <f aca="false">K1268+M1268</f>
        <v>50.9117221854802</v>
      </c>
      <c r="P1268" s="54" t="b">
        <f aca="false">AND(C1268&gt;=01_因子設定!$L$5-0.000000001,C1268&lt;=01_因子設定!$M$5+0.000000001,D1268&gt;=01_因子設定!$L$6-0.000000001,D1268&lt;=01_因子設定!$M$6+0.000000001,IF(01_因子設定!$B$20="Box-Behnken",C1268^2+D1268^2&lt;=2+0.000000001,TRUE()))</f>
        <v>1</v>
      </c>
      <c r="Q1268" s="55" t="n">
        <f aca="false">IF(P1268,IF(01_因子設定!$B$13="最大化",N1268-01_因子設定!$B$14,IF(01_因子設定!$B$13="最小化",01_因子設定!$B$15-O1268,MIN(N1268-01_因子設定!$B$14,01_因子設定!$B$15-O1268))),-1E+030)</f>
        <v>1.40606517084164</v>
      </c>
      <c r="R1268" s="55" t="n">
        <f aca="false">IF(P1268,IF(01_因子設定!$B$13="最大化",K1268,IF(01_因子設定!$B$13="最小化",-K1268,-ABS(K1268-01_因子設定!$B$16))),-1E+030)</f>
        <v>49.4088936781609</v>
      </c>
      <c r="S1268" s="55" t="n">
        <f aca="false">Q1268+ROW()*0.000000001</f>
        <v>1.40606643884164</v>
      </c>
      <c r="T1268" s="55" t="n">
        <f aca="false">R1268+ROW()*0.000000001</f>
        <v>49.4088949461609</v>
      </c>
    </row>
    <row r="1269" customFormat="false" ht="15" hidden="false" customHeight="false" outlineLevel="0" collapsed="false">
      <c r="A1269" s="0" t="n">
        <v>30</v>
      </c>
      <c r="B1269" s="0" t="n">
        <v>34</v>
      </c>
      <c r="C1269" s="0" t="n">
        <f aca="false">-1+A1269*0.05</f>
        <v>0.5</v>
      </c>
      <c r="D1269" s="0" t="n">
        <f aca="false">-1+B1269*0.05</f>
        <v>0.7</v>
      </c>
      <c r="E1269" s="0" t="n">
        <f aca="false">1</f>
        <v>1</v>
      </c>
      <c r="F1269" s="0" t="n">
        <f aca="false">C1269</f>
        <v>0.5</v>
      </c>
      <c r="G1269" s="0" t="n">
        <f aca="false">D1269</f>
        <v>0.7</v>
      </c>
      <c r="H1269" s="0" t="n">
        <f aca="false">C1269*D1269</f>
        <v>0.35</v>
      </c>
      <c r="I1269" s="0" t="n">
        <f aca="false">C1269*C1269</f>
        <v>0.25</v>
      </c>
      <c r="J1269" s="0" t="n">
        <f aca="false">D1269*D1269</f>
        <v>0.49</v>
      </c>
      <c r="K1269" s="0" t="n">
        <f aca="false">SUMPRODUCT(E1269:J1269,_XtX!$B$53:$G$53)</f>
        <v>49.4303591954023</v>
      </c>
      <c r="L1269" s="0" t="n">
        <f aca="false">SUMPRODUCT(MMULT(E1269:J1269,_XtX!$B$44:$G$49),E1269:J1269)</f>
        <v>0.249037643678161</v>
      </c>
      <c r="M1269" s="0" t="n">
        <f aca="false">04_回帰ANOVA!$K$19*04_回帰ANOVA!$K$14*SQRT(1+L1269)</f>
        <v>1.5144827672559</v>
      </c>
      <c r="N1269" s="0" t="n">
        <f aca="false">K1269-M1269</f>
        <v>47.9158764281464</v>
      </c>
      <c r="O1269" s="0" t="n">
        <f aca="false">K1269+M1269</f>
        <v>50.9448419626582</v>
      </c>
      <c r="P1269" s="54" t="b">
        <f aca="false">AND(C1269&gt;=01_因子設定!$L$5-0.000000001,C1269&lt;=01_因子設定!$M$5+0.000000001,D1269&gt;=01_因子設定!$L$6-0.000000001,D1269&lt;=01_因子設定!$M$6+0.000000001,IF(01_因子設定!$B$20="Box-Behnken",C1269^2+D1269^2&lt;=2+0.000000001,TRUE()))</f>
        <v>1</v>
      </c>
      <c r="Q1269" s="55" t="n">
        <f aca="false">IF(P1269,IF(01_因子設定!$B$13="最大化",N1269-01_因子設定!$B$14,IF(01_因子設定!$B$13="最小化",01_因子設定!$B$15-O1269,MIN(N1269-01_因子設定!$B$14,01_因子設定!$B$15-O1269))),-1E+030)</f>
        <v>1.41587642814639</v>
      </c>
      <c r="R1269" s="55" t="n">
        <f aca="false">IF(P1269,IF(01_因子設定!$B$13="最大化",K1269,IF(01_因子設定!$B$13="最小化",-K1269,-ABS(K1269-01_因子設定!$B$16))),-1E+030)</f>
        <v>49.4303591954023</v>
      </c>
      <c r="S1269" s="55" t="n">
        <f aca="false">Q1269+ROW()*0.000000001</f>
        <v>1.41587769714639</v>
      </c>
      <c r="T1269" s="55" t="n">
        <f aca="false">R1269+ROW()*0.000000001</f>
        <v>49.4303604644023</v>
      </c>
    </row>
    <row r="1270" customFormat="false" ht="15" hidden="false" customHeight="false" outlineLevel="0" collapsed="false">
      <c r="A1270" s="0" t="n">
        <v>30</v>
      </c>
      <c r="B1270" s="0" t="n">
        <v>35</v>
      </c>
      <c r="C1270" s="0" t="n">
        <f aca="false">-1+A1270*0.05</f>
        <v>0.5</v>
      </c>
      <c r="D1270" s="0" t="n">
        <f aca="false">-1+B1270*0.05</f>
        <v>0.75</v>
      </c>
      <c r="E1270" s="0" t="n">
        <f aca="false">1</f>
        <v>1</v>
      </c>
      <c r="F1270" s="0" t="n">
        <f aca="false">C1270</f>
        <v>0.5</v>
      </c>
      <c r="G1270" s="0" t="n">
        <f aca="false">D1270</f>
        <v>0.75</v>
      </c>
      <c r="H1270" s="0" t="n">
        <f aca="false">C1270*D1270</f>
        <v>0.375</v>
      </c>
      <c r="I1270" s="0" t="n">
        <f aca="false">C1270*C1270</f>
        <v>0.25</v>
      </c>
      <c r="J1270" s="0" t="n">
        <f aca="false">D1270*D1270</f>
        <v>0.5625</v>
      </c>
      <c r="K1270" s="0" t="n">
        <f aca="false">SUMPRODUCT(E1270:J1270,_XtX!$B$53:$G$53)</f>
        <v>49.4441091954023</v>
      </c>
      <c r="L1270" s="0" t="n">
        <f aca="false">SUMPRODUCT(MMULT(E1270:J1270,_XtX!$B$44:$G$49),E1270:J1270)</f>
        <v>0.273280352011494</v>
      </c>
      <c r="M1270" s="0" t="n">
        <f aca="false">04_回帰ANOVA!$K$19*04_回帰ANOVA!$K$14*SQRT(1+L1270)</f>
        <v>1.52910951618691</v>
      </c>
      <c r="N1270" s="0" t="n">
        <f aca="false">K1270-M1270</f>
        <v>47.9149996792154</v>
      </c>
      <c r="O1270" s="0" t="n">
        <f aca="false">K1270+M1270</f>
        <v>50.9732187115892</v>
      </c>
      <c r="P1270" s="54" t="b">
        <f aca="false">AND(C1270&gt;=01_因子設定!$L$5-0.000000001,C1270&lt;=01_因子設定!$M$5+0.000000001,D1270&gt;=01_因子設定!$L$6-0.000000001,D1270&lt;=01_因子設定!$M$6+0.000000001,IF(01_因子設定!$B$20="Box-Behnken",C1270^2+D1270^2&lt;=2+0.000000001,TRUE()))</f>
        <v>1</v>
      </c>
      <c r="Q1270" s="55" t="n">
        <f aca="false">IF(P1270,IF(01_因子設定!$B$13="最大化",N1270-01_因子設定!$B$14,IF(01_因子設定!$B$13="最小化",01_因子設定!$B$15-O1270,MIN(N1270-01_因子設定!$B$14,01_因子設定!$B$15-O1270))),-1E+030)</f>
        <v>1.41499967921538</v>
      </c>
      <c r="R1270" s="55" t="n">
        <f aca="false">IF(P1270,IF(01_因子設定!$B$13="最大化",K1270,IF(01_因子設定!$B$13="最小化",-K1270,-ABS(K1270-01_因子設定!$B$16))),-1E+030)</f>
        <v>49.4441091954023</v>
      </c>
      <c r="S1270" s="55" t="n">
        <f aca="false">Q1270+ROW()*0.000000001</f>
        <v>1.41500094921538</v>
      </c>
      <c r="T1270" s="55" t="n">
        <f aca="false">R1270+ROW()*0.000000001</f>
        <v>49.4441104654023</v>
      </c>
    </row>
    <row r="1271" customFormat="false" ht="15" hidden="false" customHeight="false" outlineLevel="0" collapsed="false">
      <c r="A1271" s="0" t="n">
        <v>30</v>
      </c>
      <c r="B1271" s="0" t="n">
        <v>36</v>
      </c>
      <c r="C1271" s="0" t="n">
        <f aca="false">-1+A1271*0.05</f>
        <v>0.5</v>
      </c>
      <c r="D1271" s="0" t="n">
        <f aca="false">-1+B1271*0.05</f>
        <v>0.8</v>
      </c>
      <c r="E1271" s="0" t="n">
        <f aca="false">1</f>
        <v>1</v>
      </c>
      <c r="F1271" s="0" t="n">
        <f aca="false">C1271</f>
        <v>0.5</v>
      </c>
      <c r="G1271" s="0" t="n">
        <f aca="false">D1271</f>
        <v>0.8</v>
      </c>
      <c r="H1271" s="0" t="n">
        <f aca="false">C1271*D1271</f>
        <v>0.4</v>
      </c>
      <c r="I1271" s="0" t="n">
        <f aca="false">C1271*C1271</f>
        <v>0.25</v>
      </c>
      <c r="J1271" s="0" t="n">
        <f aca="false">D1271*D1271</f>
        <v>0.64</v>
      </c>
      <c r="K1271" s="0" t="n">
        <f aca="false">SUMPRODUCT(E1271:J1271,_XtX!$B$53:$G$53)</f>
        <v>49.4501436781609</v>
      </c>
      <c r="L1271" s="0" t="n">
        <f aca="false">SUMPRODUCT(MMULT(E1271:J1271,_XtX!$B$44:$G$49),E1271:J1271)</f>
        <v>0.303404022988506</v>
      </c>
      <c r="M1271" s="0" t="n">
        <f aca="false">04_回帰ANOVA!$K$19*04_回帰ANOVA!$K$14*SQRT(1+L1271)</f>
        <v>1.54709185921971</v>
      </c>
      <c r="N1271" s="0" t="n">
        <f aca="false">K1271-M1271</f>
        <v>47.9030518189412</v>
      </c>
      <c r="O1271" s="0" t="n">
        <f aca="false">K1271+M1271</f>
        <v>50.9972355373806</v>
      </c>
      <c r="P1271" s="54" t="b">
        <f aca="false">AND(C1271&gt;=01_因子設定!$L$5-0.000000001,C1271&lt;=01_因子設定!$M$5+0.000000001,D1271&gt;=01_因子設定!$L$6-0.000000001,D1271&lt;=01_因子設定!$M$6+0.000000001,IF(01_因子設定!$B$20="Box-Behnken",C1271^2+D1271^2&lt;=2+0.000000001,TRUE()))</f>
        <v>1</v>
      </c>
      <c r="Q1271" s="55" t="n">
        <f aca="false">IF(P1271,IF(01_因子設定!$B$13="最大化",N1271-01_因子設定!$B$14,IF(01_因子設定!$B$13="最小化",01_因子設定!$B$15-O1271,MIN(N1271-01_因子設定!$B$14,01_因子設定!$B$15-O1271))),-1E+030)</f>
        <v>1.40305181894121</v>
      </c>
      <c r="R1271" s="55" t="n">
        <f aca="false">IF(P1271,IF(01_因子設定!$B$13="最大化",K1271,IF(01_因子設定!$B$13="最小化",-K1271,-ABS(K1271-01_因子設定!$B$16))),-1E+030)</f>
        <v>49.4501436781609</v>
      </c>
      <c r="S1271" s="55" t="n">
        <f aca="false">Q1271+ROW()*0.000000001</f>
        <v>1.40305308994121</v>
      </c>
      <c r="T1271" s="55" t="n">
        <f aca="false">R1271+ROW()*0.000000001</f>
        <v>49.4501449491609</v>
      </c>
    </row>
    <row r="1272" customFormat="false" ht="15" hidden="false" customHeight="false" outlineLevel="0" collapsed="false">
      <c r="A1272" s="0" t="n">
        <v>30</v>
      </c>
      <c r="B1272" s="0" t="n">
        <v>37</v>
      </c>
      <c r="C1272" s="0" t="n">
        <f aca="false">-1+A1272*0.05</f>
        <v>0.5</v>
      </c>
      <c r="D1272" s="0" t="n">
        <f aca="false">-1+B1272*0.05</f>
        <v>0.85</v>
      </c>
      <c r="E1272" s="0" t="n">
        <f aca="false">1</f>
        <v>1</v>
      </c>
      <c r="F1272" s="0" t="n">
        <f aca="false">C1272</f>
        <v>0.5</v>
      </c>
      <c r="G1272" s="0" t="n">
        <f aca="false">D1272</f>
        <v>0.85</v>
      </c>
      <c r="H1272" s="0" t="n">
        <f aca="false">C1272*D1272</f>
        <v>0.425</v>
      </c>
      <c r="I1272" s="0" t="n">
        <f aca="false">C1272*C1272</f>
        <v>0.25</v>
      </c>
      <c r="J1272" s="0" t="n">
        <f aca="false">D1272*D1272</f>
        <v>0.7225</v>
      </c>
      <c r="K1272" s="0" t="n">
        <f aca="false">SUMPRODUCT(E1272:J1272,_XtX!$B$53:$G$53)</f>
        <v>49.4484626436782</v>
      </c>
      <c r="L1272" s="0" t="n">
        <f aca="false">SUMPRODUCT(MMULT(E1272:J1272,_XtX!$B$44:$G$49),E1272:J1272)</f>
        <v>0.340250466954023</v>
      </c>
      <c r="M1272" s="0" t="n">
        <f aca="false">04_回帰ANOVA!$K$19*04_回帰ANOVA!$K$14*SQRT(1+L1272)</f>
        <v>1.56880713525096</v>
      </c>
      <c r="N1272" s="0" t="n">
        <f aca="false">K1272-M1272</f>
        <v>47.8796555084272</v>
      </c>
      <c r="O1272" s="0" t="n">
        <f aca="false">K1272+M1272</f>
        <v>51.0172697789291</v>
      </c>
      <c r="P1272" s="54" t="b">
        <f aca="false">AND(C1272&gt;=01_因子設定!$L$5-0.000000001,C1272&lt;=01_因子設定!$M$5+0.000000001,D1272&gt;=01_因子設定!$L$6-0.000000001,D1272&lt;=01_因子設定!$M$6+0.000000001,IF(01_因子設定!$B$20="Box-Behnken",C1272^2+D1272^2&lt;=2+0.000000001,TRUE()))</f>
        <v>1</v>
      </c>
      <c r="Q1272" s="55" t="n">
        <f aca="false">IF(P1272,IF(01_因子設定!$B$13="最大化",N1272-01_因子設定!$B$14,IF(01_因子設定!$B$13="最小化",01_因子設定!$B$15-O1272,MIN(N1272-01_因子設定!$B$14,01_因子設定!$B$15-O1272))),-1E+030)</f>
        <v>1.3796555084272</v>
      </c>
      <c r="R1272" s="55" t="n">
        <f aca="false">IF(P1272,IF(01_因子設定!$B$13="最大化",K1272,IF(01_因子設定!$B$13="最小化",-K1272,-ABS(K1272-01_因子設定!$B$16))),-1E+030)</f>
        <v>49.4484626436782</v>
      </c>
      <c r="S1272" s="55" t="n">
        <f aca="false">Q1272+ROW()*0.000000001</f>
        <v>1.3796567804272</v>
      </c>
      <c r="T1272" s="55" t="n">
        <f aca="false">R1272+ROW()*0.000000001</f>
        <v>49.4484639156782</v>
      </c>
    </row>
    <row r="1273" customFormat="false" ht="15" hidden="false" customHeight="false" outlineLevel="0" collapsed="false">
      <c r="A1273" s="0" t="n">
        <v>30</v>
      </c>
      <c r="B1273" s="0" t="n">
        <v>38</v>
      </c>
      <c r="C1273" s="0" t="n">
        <f aca="false">-1+A1273*0.05</f>
        <v>0.5</v>
      </c>
      <c r="D1273" s="0" t="n">
        <f aca="false">-1+B1273*0.05</f>
        <v>0.9</v>
      </c>
      <c r="E1273" s="0" t="n">
        <f aca="false">1</f>
        <v>1</v>
      </c>
      <c r="F1273" s="0" t="n">
        <f aca="false">C1273</f>
        <v>0.5</v>
      </c>
      <c r="G1273" s="0" t="n">
        <f aca="false">D1273</f>
        <v>0.9</v>
      </c>
      <c r="H1273" s="0" t="n">
        <f aca="false">C1273*D1273</f>
        <v>0.45</v>
      </c>
      <c r="I1273" s="0" t="n">
        <f aca="false">C1273*C1273</f>
        <v>0.25</v>
      </c>
      <c r="J1273" s="0" t="n">
        <f aca="false">D1273*D1273</f>
        <v>0.81</v>
      </c>
      <c r="K1273" s="0" t="n">
        <f aca="false">SUMPRODUCT(E1273:J1273,_XtX!$B$53:$G$53)</f>
        <v>49.439066091954</v>
      </c>
      <c r="L1273" s="0" t="n">
        <f aca="false">SUMPRODUCT(MMULT(E1273:J1273,_XtX!$B$44:$G$49),E1273:J1273)</f>
        <v>0.384715804597701</v>
      </c>
      <c r="M1273" s="0" t="n">
        <f aca="false">04_回帰ANOVA!$K$19*04_回帰ANOVA!$K$14*SQRT(1+L1273)</f>
        <v>1.59461886204904</v>
      </c>
      <c r="N1273" s="0" t="n">
        <f aca="false">K1273-M1273</f>
        <v>47.844447229905</v>
      </c>
      <c r="O1273" s="0" t="n">
        <f aca="false">K1273+M1273</f>
        <v>51.0336849540031</v>
      </c>
      <c r="P1273" s="54" t="b">
        <f aca="false">AND(C1273&gt;=01_因子設定!$L$5-0.000000001,C1273&lt;=01_因子設定!$M$5+0.000000001,D1273&gt;=01_因子設定!$L$6-0.000000001,D1273&lt;=01_因子設定!$M$6+0.000000001,IF(01_因子設定!$B$20="Box-Behnken",C1273^2+D1273^2&lt;=2+0.000000001,TRUE()))</f>
        <v>1</v>
      </c>
      <c r="Q1273" s="55" t="n">
        <f aca="false">IF(P1273,IF(01_因子設定!$B$13="最大化",N1273-01_因子設定!$B$14,IF(01_因子設定!$B$13="最小化",01_因子設定!$B$15-O1273,MIN(N1273-01_因子設定!$B$14,01_因子設定!$B$15-O1273))),-1E+030)</f>
        <v>1.34444722990498</v>
      </c>
      <c r="R1273" s="55" t="n">
        <f aca="false">IF(P1273,IF(01_因子設定!$B$13="最大化",K1273,IF(01_因子設定!$B$13="最小化",-K1273,-ABS(K1273-01_因子設定!$B$16))),-1E+030)</f>
        <v>49.439066091954</v>
      </c>
      <c r="S1273" s="55" t="n">
        <f aca="false">Q1273+ROW()*0.000000001</f>
        <v>1.34444850290498</v>
      </c>
      <c r="T1273" s="55" t="n">
        <f aca="false">R1273+ROW()*0.000000001</f>
        <v>49.439067364954</v>
      </c>
    </row>
    <row r="1274" customFormat="false" ht="15" hidden="false" customHeight="false" outlineLevel="0" collapsed="false">
      <c r="A1274" s="0" t="n">
        <v>30</v>
      </c>
      <c r="B1274" s="0" t="n">
        <v>39</v>
      </c>
      <c r="C1274" s="0" t="n">
        <f aca="false">-1+A1274*0.05</f>
        <v>0.5</v>
      </c>
      <c r="D1274" s="0" t="n">
        <f aca="false">-1+B1274*0.05</f>
        <v>0.95</v>
      </c>
      <c r="E1274" s="0" t="n">
        <f aca="false">1</f>
        <v>1</v>
      </c>
      <c r="F1274" s="0" t="n">
        <f aca="false">C1274</f>
        <v>0.5</v>
      </c>
      <c r="G1274" s="0" t="n">
        <f aca="false">D1274</f>
        <v>0.95</v>
      </c>
      <c r="H1274" s="0" t="n">
        <f aca="false">C1274*D1274</f>
        <v>0.475</v>
      </c>
      <c r="I1274" s="0" t="n">
        <f aca="false">C1274*C1274</f>
        <v>0.25</v>
      </c>
      <c r="J1274" s="0" t="n">
        <f aca="false">D1274*D1274</f>
        <v>0.9025</v>
      </c>
      <c r="K1274" s="0" t="n">
        <f aca="false">SUMPRODUCT(E1274:J1274,_XtX!$B$53:$G$53)</f>
        <v>49.4219540229885</v>
      </c>
      <c r="L1274" s="0" t="n">
        <f aca="false">SUMPRODUCT(MMULT(E1274:J1274,_XtX!$B$44:$G$49),E1274:J1274)</f>
        <v>0.437750466954023</v>
      </c>
      <c r="M1274" s="0" t="n">
        <f aca="false">04_回帰ANOVA!$K$19*04_回帰ANOVA!$K$14*SQRT(1+L1274)</f>
        <v>1.62486891728431</v>
      </c>
      <c r="N1274" s="0" t="n">
        <f aca="false">K1274-M1274</f>
        <v>47.7970851057042</v>
      </c>
      <c r="O1274" s="0" t="n">
        <f aca="false">K1274+M1274</f>
        <v>51.0468229402728</v>
      </c>
      <c r="P1274" s="54" t="b">
        <f aca="false">AND(C1274&gt;=01_因子設定!$L$5-0.000000001,C1274&lt;=01_因子設定!$M$5+0.000000001,D1274&gt;=01_因子設定!$L$6-0.000000001,D1274&lt;=01_因子設定!$M$6+0.000000001,IF(01_因子設定!$B$20="Box-Behnken",C1274^2+D1274^2&lt;=2+0.000000001,TRUE()))</f>
        <v>1</v>
      </c>
      <c r="Q1274" s="55" t="n">
        <f aca="false">IF(P1274,IF(01_因子設定!$B$13="最大化",N1274-01_因子設定!$B$14,IF(01_因子設定!$B$13="最小化",01_因子設定!$B$15-O1274,MIN(N1274-01_因子設定!$B$14,01_因子設定!$B$15-O1274))),-1E+030)</f>
        <v>1.29708510570419</v>
      </c>
      <c r="R1274" s="55" t="n">
        <f aca="false">IF(P1274,IF(01_因子設定!$B$13="最大化",K1274,IF(01_因子設定!$B$13="最小化",-K1274,-ABS(K1274-01_因子設定!$B$16))),-1E+030)</f>
        <v>49.4219540229885</v>
      </c>
      <c r="S1274" s="55" t="n">
        <f aca="false">Q1274+ROW()*0.000000001</f>
        <v>1.29708637970419</v>
      </c>
      <c r="T1274" s="55" t="n">
        <f aca="false">R1274+ROW()*0.000000001</f>
        <v>49.4219552969885</v>
      </c>
    </row>
    <row r="1275" customFormat="false" ht="15" hidden="false" customHeight="false" outlineLevel="0" collapsed="false">
      <c r="A1275" s="0" t="n">
        <v>30</v>
      </c>
      <c r="B1275" s="0" t="n">
        <v>40</v>
      </c>
      <c r="C1275" s="0" t="n">
        <f aca="false">-1+A1275*0.05</f>
        <v>0.5</v>
      </c>
      <c r="D1275" s="0" t="n">
        <f aca="false">-1+B1275*0.05</f>
        <v>1</v>
      </c>
      <c r="E1275" s="0" t="n">
        <f aca="false">1</f>
        <v>1</v>
      </c>
      <c r="F1275" s="0" t="n">
        <f aca="false">C1275</f>
        <v>0.5</v>
      </c>
      <c r="G1275" s="0" t="n">
        <f aca="false">D1275</f>
        <v>1</v>
      </c>
      <c r="H1275" s="0" t="n">
        <f aca="false">C1275*D1275</f>
        <v>0.5</v>
      </c>
      <c r="I1275" s="0" t="n">
        <f aca="false">C1275*C1275</f>
        <v>0.25</v>
      </c>
      <c r="J1275" s="0" t="n">
        <f aca="false">D1275*D1275</f>
        <v>1</v>
      </c>
      <c r="K1275" s="0" t="n">
        <f aca="false">SUMPRODUCT(E1275:J1275,_XtX!$B$53:$G$53)</f>
        <v>49.3971264367816</v>
      </c>
      <c r="L1275" s="0" t="n">
        <f aca="false">SUMPRODUCT(MMULT(E1275:J1275,_XtX!$B$44:$G$49),E1275:J1275)</f>
        <v>0.500359195402299</v>
      </c>
      <c r="M1275" s="0" t="n">
        <f aca="false">04_回帰ANOVA!$K$19*04_回帰ANOVA!$K$14*SQRT(1+L1275)</f>
        <v>1.65987045400384</v>
      </c>
      <c r="N1275" s="0" t="n">
        <f aca="false">K1275-M1275</f>
        <v>47.7372559827778</v>
      </c>
      <c r="O1275" s="0" t="n">
        <f aca="false">K1275+M1275</f>
        <v>51.0569968907855</v>
      </c>
      <c r="P1275" s="54" t="b">
        <f aca="false">AND(C1275&gt;=01_因子設定!$L$5-0.000000001,C1275&lt;=01_因子設定!$M$5+0.000000001,D1275&gt;=01_因子設定!$L$6-0.000000001,D1275&lt;=01_因子設定!$M$6+0.000000001,IF(01_因子設定!$B$20="Box-Behnken",C1275^2+D1275^2&lt;=2+0.000000001,TRUE()))</f>
        <v>1</v>
      </c>
      <c r="Q1275" s="55" t="n">
        <f aca="false">IF(P1275,IF(01_因子設定!$B$13="最大化",N1275-01_因子設定!$B$14,IF(01_因子設定!$B$13="最小化",01_因子設定!$B$15-O1275,MIN(N1275-01_因子設定!$B$14,01_因子設定!$B$15-O1275))),-1E+030)</f>
        <v>1.23725598277776</v>
      </c>
      <c r="R1275" s="55" t="n">
        <f aca="false">IF(P1275,IF(01_因子設定!$B$13="最大化",K1275,IF(01_因子設定!$B$13="最小化",-K1275,-ABS(K1275-01_因子設定!$B$16))),-1E+030)</f>
        <v>49.3971264367816</v>
      </c>
      <c r="S1275" s="55" t="n">
        <f aca="false">Q1275+ROW()*0.000000001</f>
        <v>1.23725725777776</v>
      </c>
      <c r="T1275" s="55" t="n">
        <f aca="false">R1275+ROW()*0.000000001</f>
        <v>49.3971277117816</v>
      </c>
    </row>
    <row r="1276" customFormat="false" ht="15" hidden="false" customHeight="false" outlineLevel="0" collapsed="false">
      <c r="A1276" s="0" t="n">
        <v>31</v>
      </c>
      <c r="B1276" s="0" t="n">
        <v>0</v>
      </c>
      <c r="C1276" s="0" t="n">
        <f aca="false">-1+A1276*0.05</f>
        <v>0.55</v>
      </c>
      <c r="D1276" s="0" t="n">
        <f aca="false">-1+B1276*0.05</f>
        <v>-1</v>
      </c>
      <c r="E1276" s="0" t="n">
        <f aca="false">1</f>
        <v>1</v>
      </c>
      <c r="F1276" s="0" t="n">
        <f aca="false">C1276</f>
        <v>0.55</v>
      </c>
      <c r="G1276" s="0" t="n">
        <f aca="false">D1276</f>
        <v>-1</v>
      </c>
      <c r="H1276" s="0" t="n">
        <f aca="false">C1276*D1276</f>
        <v>-0.55</v>
      </c>
      <c r="I1276" s="0" t="n">
        <f aca="false">C1276*C1276</f>
        <v>0.3025</v>
      </c>
      <c r="J1276" s="0" t="n">
        <f aca="false">D1276*D1276</f>
        <v>1</v>
      </c>
      <c r="K1276" s="0" t="n">
        <f aca="false">SUMPRODUCT(E1276:J1276,_XtX!$B$53:$G$53)</f>
        <v>44.3076968390805</v>
      </c>
      <c r="L1276" s="0" t="n">
        <f aca="false">SUMPRODUCT(MMULT(E1276:J1276,_XtX!$B$44:$G$49),E1276:J1276)</f>
        <v>0.507391630747127</v>
      </c>
      <c r="M1276" s="0" t="n">
        <f aca="false">04_回帰ANOVA!$K$19*04_回帰ANOVA!$K$14*SQRT(1+L1276)</f>
        <v>1.66375595202306</v>
      </c>
      <c r="N1276" s="0" t="n">
        <f aca="false">K1276-M1276</f>
        <v>42.6439408870574</v>
      </c>
      <c r="O1276" s="0" t="n">
        <f aca="false">K1276+M1276</f>
        <v>45.9714527911035</v>
      </c>
      <c r="P1276" s="54" t="b">
        <f aca="false">AND(C1276&gt;=01_因子設定!$L$5-0.000000001,C1276&lt;=01_因子設定!$M$5+0.000000001,D1276&gt;=01_因子設定!$L$6-0.000000001,D1276&lt;=01_因子設定!$M$6+0.000000001,IF(01_因子設定!$B$20="Box-Behnken",C1276^2+D1276^2&lt;=2+0.000000001,TRUE()))</f>
        <v>1</v>
      </c>
      <c r="Q1276" s="55" t="n">
        <f aca="false">IF(P1276,IF(01_因子設定!$B$13="最大化",N1276-01_因子設定!$B$14,IF(01_因子設定!$B$13="最小化",01_因子設定!$B$15-O1276,MIN(N1276-01_因子設定!$B$14,01_因子設定!$B$15-O1276))),-1E+030)</f>
        <v>-3.8560591129426</v>
      </c>
      <c r="R1276" s="55" t="n">
        <f aca="false">IF(P1276,IF(01_因子設定!$B$13="最大化",K1276,IF(01_因子設定!$B$13="最小化",-K1276,-ABS(K1276-01_因子設定!$B$16))),-1E+030)</f>
        <v>44.3076968390805</v>
      </c>
      <c r="S1276" s="55" t="n">
        <f aca="false">Q1276+ROW()*0.000000001</f>
        <v>-3.8560578369426</v>
      </c>
      <c r="T1276" s="55" t="n">
        <f aca="false">R1276+ROW()*0.000000001</f>
        <v>44.3076981150805</v>
      </c>
    </row>
    <row r="1277" customFormat="false" ht="15" hidden="false" customHeight="false" outlineLevel="0" collapsed="false">
      <c r="A1277" s="0" t="n">
        <v>31</v>
      </c>
      <c r="B1277" s="0" t="n">
        <v>1</v>
      </c>
      <c r="C1277" s="0" t="n">
        <f aca="false">-1+A1277*0.05</f>
        <v>0.55</v>
      </c>
      <c r="D1277" s="0" t="n">
        <f aca="false">-1+B1277*0.05</f>
        <v>-0.95</v>
      </c>
      <c r="E1277" s="0" t="n">
        <f aca="false">1</f>
        <v>1</v>
      </c>
      <c r="F1277" s="0" t="n">
        <f aca="false">C1277</f>
        <v>0.55</v>
      </c>
      <c r="G1277" s="0" t="n">
        <f aca="false">D1277</f>
        <v>-0.95</v>
      </c>
      <c r="H1277" s="0" t="n">
        <f aca="false">C1277*D1277</f>
        <v>-0.5225</v>
      </c>
      <c r="I1277" s="0" t="n">
        <f aca="false">C1277*C1277</f>
        <v>0.3025</v>
      </c>
      <c r="J1277" s="0" t="n">
        <f aca="false">D1277*D1277</f>
        <v>0.9025</v>
      </c>
      <c r="K1277" s="0" t="n">
        <f aca="false">SUMPRODUCT(E1277:J1277,_XtX!$B$53:$G$53)</f>
        <v>44.5850869252874</v>
      </c>
      <c r="L1277" s="0" t="n">
        <f aca="false">SUMPRODUCT(MMULT(E1277:J1277,_XtX!$B$44:$G$49),E1277:J1277)</f>
        <v>0.444915283764368</v>
      </c>
      <c r="M1277" s="0" t="n">
        <f aca="false">04_回帰ANOVA!$K$19*04_回帰ANOVA!$K$14*SQRT(1+L1277)</f>
        <v>1.62891253282135</v>
      </c>
      <c r="N1277" s="0" t="n">
        <f aca="false">K1277-M1277</f>
        <v>42.956174392466</v>
      </c>
      <c r="O1277" s="0" t="n">
        <f aca="false">K1277+M1277</f>
        <v>46.2139994581087</v>
      </c>
      <c r="P1277" s="54" t="b">
        <f aca="false">AND(C1277&gt;=01_因子設定!$L$5-0.000000001,C1277&lt;=01_因子設定!$M$5+0.000000001,D1277&gt;=01_因子設定!$L$6-0.000000001,D1277&lt;=01_因子設定!$M$6+0.000000001,IF(01_因子設定!$B$20="Box-Behnken",C1277^2+D1277^2&lt;=2+0.000000001,TRUE()))</f>
        <v>1</v>
      </c>
      <c r="Q1277" s="55" t="n">
        <f aca="false">IF(P1277,IF(01_因子設定!$B$13="最大化",N1277-01_因子設定!$B$14,IF(01_因子設定!$B$13="最小化",01_因子設定!$B$15-O1277,MIN(N1277-01_因子設定!$B$14,01_因子設定!$B$15-O1277))),-1E+030)</f>
        <v>-3.54382560753399</v>
      </c>
      <c r="R1277" s="55" t="n">
        <f aca="false">IF(P1277,IF(01_因子設定!$B$13="最大化",K1277,IF(01_因子設定!$B$13="最小化",-K1277,-ABS(K1277-01_因子設定!$B$16))),-1E+030)</f>
        <v>44.5850869252874</v>
      </c>
      <c r="S1277" s="55" t="n">
        <f aca="false">Q1277+ROW()*0.000000001</f>
        <v>-3.54382433053399</v>
      </c>
      <c r="T1277" s="55" t="n">
        <f aca="false">R1277+ROW()*0.000000001</f>
        <v>44.5850882022874</v>
      </c>
    </row>
    <row r="1278" customFormat="false" ht="15" hidden="false" customHeight="false" outlineLevel="0" collapsed="false">
      <c r="A1278" s="0" t="n">
        <v>31</v>
      </c>
      <c r="B1278" s="0" t="n">
        <v>2</v>
      </c>
      <c r="C1278" s="0" t="n">
        <f aca="false">-1+A1278*0.05</f>
        <v>0.55</v>
      </c>
      <c r="D1278" s="0" t="n">
        <f aca="false">-1+B1278*0.05</f>
        <v>-0.9</v>
      </c>
      <c r="E1278" s="0" t="n">
        <f aca="false">1</f>
        <v>1</v>
      </c>
      <c r="F1278" s="0" t="n">
        <f aca="false">C1278</f>
        <v>0.55</v>
      </c>
      <c r="G1278" s="0" t="n">
        <f aca="false">D1278</f>
        <v>-0.9</v>
      </c>
      <c r="H1278" s="0" t="n">
        <f aca="false">C1278*D1278</f>
        <v>-0.495</v>
      </c>
      <c r="I1278" s="0" t="n">
        <f aca="false">C1278*C1278</f>
        <v>0.3025</v>
      </c>
      <c r="J1278" s="0" t="n">
        <f aca="false">D1278*D1278</f>
        <v>0.81</v>
      </c>
      <c r="K1278" s="0" t="n">
        <f aca="false">SUMPRODUCT(E1278:J1278,_XtX!$B$53:$G$53)</f>
        <v>44.8547614942529</v>
      </c>
      <c r="L1278" s="0" t="n">
        <f aca="false">SUMPRODUCT(MMULT(E1278:J1278,_XtX!$B$44:$G$49),E1278:J1278)</f>
        <v>0.39200621408046</v>
      </c>
      <c r="M1278" s="0" t="n">
        <f aca="false">04_回帰ANOVA!$K$19*04_回帰ANOVA!$K$14*SQRT(1+L1278)</f>
        <v>1.59881111683123</v>
      </c>
      <c r="N1278" s="0" t="n">
        <f aca="false">K1278-M1278</f>
        <v>43.2559503774216</v>
      </c>
      <c r="O1278" s="0" t="n">
        <f aca="false">K1278+M1278</f>
        <v>46.4535726110841</v>
      </c>
      <c r="P1278" s="54" t="b">
        <f aca="false">AND(C1278&gt;=01_因子設定!$L$5-0.000000001,C1278&lt;=01_因子設定!$M$5+0.000000001,D1278&gt;=01_因子設定!$L$6-0.000000001,D1278&lt;=01_因子設定!$M$6+0.000000001,IF(01_因子設定!$B$20="Box-Behnken",C1278^2+D1278^2&lt;=2+0.000000001,TRUE()))</f>
        <v>1</v>
      </c>
      <c r="Q1278" s="55" t="n">
        <f aca="false">IF(P1278,IF(01_因子設定!$B$13="最大化",N1278-01_因子設定!$B$14,IF(01_因子設定!$B$13="最小化",01_因子設定!$B$15-O1278,MIN(N1278-01_因子設定!$B$14,01_因子設定!$B$15-O1278))),-1E+030)</f>
        <v>-3.24404962257836</v>
      </c>
      <c r="R1278" s="55" t="n">
        <f aca="false">IF(P1278,IF(01_因子設定!$B$13="最大化",K1278,IF(01_因子設定!$B$13="最小化",-K1278,-ABS(K1278-01_因子設定!$B$16))),-1E+030)</f>
        <v>44.8547614942529</v>
      </c>
      <c r="S1278" s="55" t="n">
        <f aca="false">Q1278+ROW()*0.000000001</f>
        <v>-3.24404834457836</v>
      </c>
      <c r="T1278" s="55" t="n">
        <f aca="false">R1278+ROW()*0.000000001</f>
        <v>44.8547627722529</v>
      </c>
    </row>
    <row r="1279" customFormat="false" ht="15" hidden="false" customHeight="false" outlineLevel="0" collapsed="false">
      <c r="A1279" s="0" t="n">
        <v>31</v>
      </c>
      <c r="B1279" s="0" t="n">
        <v>3</v>
      </c>
      <c r="C1279" s="0" t="n">
        <f aca="false">-1+A1279*0.05</f>
        <v>0.55</v>
      </c>
      <c r="D1279" s="0" t="n">
        <f aca="false">-1+B1279*0.05</f>
        <v>-0.85</v>
      </c>
      <c r="E1279" s="0" t="n">
        <f aca="false">1</f>
        <v>1</v>
      </c>
      <c r="F1279" s="0" t="n">
        <f aca="false">C1279</f>
        <v>0.55</v>
      </c>
      <c r="G1279" s="0" t="n">
        <f aca="false">D1279</f>
        <v>-0.85</v>
      </c>
      <c r="H1279" s="0" t="n">
        <f aca="false">C1279*D1279</f>
        <v>-0.4675</v>
      </c>
      <c r="I1279" s="0" t="n">
        <f aca="false">C1279*C1279</f>
        <v>0.3025</v>
      </c>
      <c r="J1279" s="0" t="n">
        <f aca="false">D1279*D1279</f>
        <v>0.7225</v>
      </c>
      <c r="K1279" s="0" t="n">
        <f aca="false">SUMPRODUCT(E1279:J1279,_XtX!$B$53:$G$53)</f>
        <v>45.116720545977</v>
      </c>
      <c r="L1279" s="0" t="n">
        <f aca="false">SUMPRODUCT(MMULT(E1279:J1279,_XtX!$B$44:$G$49),E1279:J1279)</f>
        <v>0.347659680316092</v>
      </c>
      <c r="M1279" s="0" t="n">
        <f aca="false">04_回帰ANOVA!$K$19*04_回帰ANOVA!$K$14*SQRT(1+L1279)</f>
        <v>1.57313752229609</v>
      </c>
      <c r="N1279" s="0" t="n">
        <f aca="false">K1279-M1279</f>
        <v>43.5435830236809</v>
      </c>
      <c r="O1279" s="0" t="n">
        <f aca="false">K1279+M1279</f>
        <v>46.6898580682731</v>
      </c>
      <c r="P1279" s="54" t="b">
        <f aca="false">AND(C1279&gt;=01_因子設定!$L$5-0.000000001,C1279&lt;=01_因子設定!$M$5+0.000000001,D1279&gt;=01_因子設定!$L$6-0.000000001,D1279&lt;=01_因子設定!$M$6+0.000000001,IF(01_因子設定!$B$20="Box-Behnken",C1279^2+D1279^2&lt;=2+0.000000001,TRUE()))</f>
        <v>1</v>
      </c>
      <c r="Q1279" s="55" t="n">
        <f aca="false">IF(P1279,IF(01_因子設定!$B$13="最大化",N1279-01_因子設定!$B$14,IF(01_因子設定!$B$13="最小化",01_因子設定!$B$15-O1279,MIN(N1279-01_因子設定!$B$14,01_因子設定!$B$15-O1279))),-1E+030)</f>
        <v>-2.95641697631908</v>
      </c>
      <c r="R1279" s="55" t="n">
        <f aca="false">IF(P1279,IF(01_因子設定!$B$13="最大化",K1279,IF(01_因子設定!$B$13="最小化",-K1279,-ABS(K1279-01_因子設定!$B$16))),-1E+030)</f>
        <v>45.116720545977</v>
      </c>
      <c r="S1279" s="55" t="n">
        <f aca="false">Q1279+ROW()*0.000000001</f>
        <v>-2.95641569731908</v>
      </c>
      <c r="T1279" s="55" t="n">
        <f aca="false">R1279+ROW()*0.000000001</f>
        <v>45.116721824977</v>
      </c>
    </row>
    <row r="1280" customFormat="false" ht="15" hidden="false" customHeight="false" outlineLevel="0" collapsed="false">
      <c r="A1280" s="0" t="n">
        <v>31</v>
      </c>
      <c r="B1280" s="0" t="n">
        <v>4</v>
      </c>
      <c r="C1280" s="0" t="n">
        <f aca="false">-1+A1280*0.05</f>
        <v>0.55</v>
      </c>
      <c r="D1280" s="0" t="n">
        <f aca="false">-1+B1280*0.05</f>
        <v>-0.8</v>
      </c>
      <c r="E1280" s="0" t="n">
        <f aca="false">1</f>
        <v>1</v>
      </c>
      <c r="F1280" s="0" t="n">
        <f aca="false">C1280</f>
        <v>0.55</v>
      </c>
      <c r="G1280" s="0" t="n">
        <f aca="false">D1280</f>
        <v>-0.8</v>
      </c>
      <c r="H1280" s="0" t="n">
        <f aca="false">C1280*D1280</f>
        <v>-0.44</v>
      </c>
      <c r="I1280" s="0" t="n">
        <f aca="false">C1280*C1280</f>
        <v>0.3025</v>
      </c>
      <c r="J1280" s="0" t="n">
        <f aca="false">D1280*D1280</f>
        <v>0.64</v>
      </c>
      <c r="K1280" s="0" t="n">
        <f aca="false">SUMPRODUCT(E1280:J1280,_XtX!$B$53:$G$53)</f>
        <v>45.3709640804598</v>
      </c>
      <c r="L1280" s="0" t="n">
        <f aca="false">SUMPRODUCT(MMULT(E1280:J1280,_XtX!$B$44:$G$49),E1280:J1280)</f>
        <v>0.310925251436782</v>
      </c>
      <c r="M1280" s="0" t="n">
        <f aca="false">04_回帰ANOVA!$K$19*04_回帰ANOVA!$K$14*SQRT(1+L1280)</f>
        <v>1.551549146857</v>
      </c>
      <c r="N1280" s="0" t="n">
        <f aca="false">K1280-M1280</f>
        <v>43.8194149336028</v>
      </c>
      <c r="O1280" s="0" t="n">
        <f aca="false">K1280+M1280</f>
        <v>46.9225132273168</v>
      </c>
      <c r="P1280" s="54" t="b">
        <f aca="false">AND(C1280&gt;=01_因子設定!$L$5-0.000000001,C1280&lt;=01_因子設定!$M$5+0.000000001,D1280&gt;=01_因子設定!$L$6-0.000000001,D1280&lt;=01_因子設定!$M$6+0.000000001,IF(01_因子設定!$B$20="Box-Behnken",C1280^2+D1280^2&lt;=2+0.000000001,TRUE()))</f>
        <v>1</v>
      </c>
      <c r="Q1280" s="55" t="n">
        <f aca="false">IF(P1280,IF(01_因子設定!$B$13="最大化",N1280-01_因子設定!$B$14,IF(01_因子設定!$B$13="最小化",01_因子設定!$B$15-O1280,MIN(N1280-01_因子設定!$B$14,01_因子設定!$B$15-O1280))),-1E+030)</f>
        <v>-2.68058506639724</v>
      </c>
      <c r="R1280" s="55" t="n">
        <f aca="false">IF(P1280,IF(01_因子設定!$B$13="最大化",K1280,IF(01_因子設定!$B$13="最小化",-K1280,-ABS(K1280-01_因子設定!$B$16))),-1E+030)</f>
        <v>45.3709640804598</v>
      </c>
      <c r="S1280" s="55" t="n">
        <f aca="false">Q1280+ROW()*0.000000001</f>
        <v>-2.68058378639724</v>
      </c>
      <c r="T1280" s="55" t="n">
        <f aca="false">R1280+ROW()*0.000000001</f>
        <v>45.3709653604598</v>
      </c>
    </row>
    <row r="1281" customFormat="false" ht="15" hidden="false" customHeight="false" outlineLevel="0" collapsed="false">
      <c r="A1281" s="0" t="n">
        <v>31</v>
      </c>
      <c r="B1281" s="0" t="n">
        <v>5</v>
      </c>
      <c r="C1281" s="0" t="n">
        <f aca="false">-1+A1281*0.05</f>
        <v>0.55</v>
      </c>
      <c r="D1281" s="0" t="n">
        <f aca="false">-1+B1281*0.05</f>
        <v>-0.75</v>
      </c>
      <c r="E1281" s="0" t="n">
        <f aca="false">1</f>
        <v>1</v>
      </c>
      <c r="F1281" s="0" t="n">
        <f aca="false">C1281</f>
        <v>0.55</v>
      </c>
      <c r="G1281" s="0" t="n">
        <f aca="false">D1281</f>
        <v>-0.75</v>
      </c>
      <c r="H1281" s="0" t="n">
        <f aca="false">C1281*D1281</f>
        <v>-0.4125</v>
      </c>
      <c r="I1281" s="0" t="n">
        <f aca="false">C1281*C1281</f>
        <v>0.3025</v>
      </c>
      <c r="J1281" s="0" t="n">
        <f aca="false">D1281*D1281</f>
        <v>0.5625</v>
      </c>
      <c r="K1281" s="0" t="n">
        <f aca="false">SUMPRODUCT(E1281:J1281,_XtX!$B$53:$G$53)</f>
        <v>45.6174920977011</v>
      </c>
      <c r="L1281" s="0" t="n">
        <f aca="false">SUMPRODUCT(MMULT(E1281:J1281,_XtX!$B$44:$G$49),E1281:J1281)</f>
        <v>0.280906806752874</v>
      </c>
      <c r="M1281" s="0" t="n">
        <f aca="false">04_回帰ANOVA!$K$19*04_回帰ANOVA!$K$14*SQRT(1+L1281)</f>
        <v>1.53368206549325</v>
      </c>
      <c r="N1281" s="0" t="n">
        <f aca="false">K1281-M1281</f>
        <v>44.0838100322079</v>
      </c>
      <c r="O1281" s="0" t="n">
        <f aca="false">K1281+M1281</f>
        <v>47.1511741631944</v>
      </c>
      <c r="P1281" s="54" t="b">
        <f aca="false">AND(C1281&gt;=01_因子設定!$L$5-0.000000001,C1281&lt;=01_因子設定!$M$5+0.000000001,D1281&gt;=01_因子設定!$L$6-0.000000001,D1281&lt;=01_因子設定!$M$6+0.000000001,IF(01_因子設定!$B$20="Box-Behnken",C1281^2+D1281^2&lt;=2+0.000000001,TRUE()))</f>
        <v>1</v>
      </c>
      <c r="Q1281" s="55" t="n">
        <f aca="false">IF(P1281,IF(01_因子設定!$B$13="最大化",N1281-01_因子設定!$B$14,IF(01_因子設定!$B$13="最小化",01_因子設定!$B$15-O1281,MIN(N1281-01_因子設定!$B$14,01_因子設定!$B$15-O1281))),-1E+030)</f>
        <v>-2.4161899677921</v>
      </c>
      <c r="R1281" s="55" t="n">
        <f aca="false">IF(P1281,IF(01_因子設定!$B$13="最大化",K1281,IF(01_因子設定!$B$13="最小化",-K1281,-ABS(K1281-01_因子設定!$B$16))),-1E+030)</f>
        <v>45.6174920977011</v>
      </c>
      <c r="S1281" s="55" t="n">
        <f aca="false">Q1281+ROW()*0.000000001</f>
        <v>-2.4161886867921</v>
      </c>
      <c r="T1281" s="55" t="n">
        <f aca="false">R1281+ROW()*0.000000001</f>
        <v>45.6174933787012</v>
      </c>
    </row>
    <row r="1282" customFormat="false" ht="15" hidden="false" customHeight="false" outlineLevel="0" collapsed="false">
      <c r="A1282" s="0" t="n">
        <v>31</v>
      </c>
      <c r="B1282" s="0" t="n">
        <v>6</v>
      </c>
      <c r="C1282" s="0" t="n">
        <f aca="false">-1+A1282*0.05</f>
        <v>0.55</v>
      </c>
      <c r="D1282" s="0" t="n">
        <f aca="false">-1+B1282*0.05</f>
        <v>-0.7</v>
      </c>
      <c r="E1282" s="0" t="n">
        <f aca="false">1</f>
        <v>1</v>
      </c>
      <c r="F1282" s="0" t="n">
        <f aca="false">C1282</f>
        <v>0.55</v>
      </c>
      <c r="G1282" s="0" t="n">
        <f aca="false">D1282</f>
        <v>-0.7</v>
      </c>
      <c r="H1282" s="0" t="n">
        <f aca="false">C1282*D1282</f>
        <v>-0.385</v>
      </c>
      <c r="I1282" s="0" t="n">
        <f aca="false">C1282*C1282</f>
        <v>0.3025</v>
      </c>
      <c r="J1282" s="0" t="n">
        <f aca="false">D1282*D1282</f>
        <v>0.49</v>
      </c>
      <c r="K1282" s="0" t="n">
        <f aca="false">SUMPRODUCT(E1282:J1282,_XtX!$B$53:$G$53)</f>
        <v>45.8563045977012</v>
      </c>
      <c r="L1282" s="0" t="n">
        <f aca="false">SUMPRODUCT(MMULT(E1282:J1282,_XtX!$B$44:$G$49),E1282:J1282)</f>
        <v>0.25676253591954</v>
      </c>
      <c r="M1282" s="0" t="n">
        <f aca="false">04_回帰ANOVA!$K$19*04_回帰ANOVA!$K$14*SQRT(1+L1282)</f>
        <v>1.51915884046963</v>
      </c>
      <c r="N1282" s="0" t="n">
        <f aca="false">K1282-M1282</f>
        <v>44.3371457572315</v>
      </c>
      <c r="O1282" s="0" t="n">
        <f aca="false">K1282+M1282</f>
        <v>47.3754634381708</v>
      </c>
      <c r="P1282" s="54" t="b">
        <f aca="false">AND(C1282&gt;=01_因子設定!$L$5-0.000000001,C1282&lt;=01_因子設定!$M$5+0.000000001,D1282&gt;=01_因子設定!$L$6-0.000000001,D1282&lt;=01_因子設定!$M$6+0.000000001,IF(01_因子設定!$B$20="Box-Behnken",C1282^2+D1282^2&lt;=2+0.000000001,TRUE()))</f>
        <v>1</v>
      </c>
      <c r="Q1282" s="55" t="n">
        <f aca="false">IF(P1282,IF(01_因子設定!$B$13="最大化",N1282-01_因子設定!$B$14,IF(01_因子設定!$B$13="最小化",01_因子設定!$B$15-O1282,MIN(N1282-01_因子設定!$B$14,01_因子設定!$B$15-O1282))),-1E+030)</f>
        <v>-2.16285424276849</v>
      </c>
      <c r="R1282" s="55" t="n">
        <f aca="false">IF(P1282,IF(01_因子設定!$B$13="最大化",K1282,IF(01_因子設定!$B$13="最小化",-K1282,-ABS(K1282-01_因子設定!$B$16))),-1E+030)</f>
        <v>45.8563045977012</v>
      </c>
      <c r="S1282" s="55" t="n">
        <f aca="false">Q1282+ROW()*0.000000001</f>
        <v>-2.16285296076849</v>
      </c>
      <c r="T1282" s="55" t="n">
        <f aca="false">R1282+ROW()*0.000000001</f>
        <v>45.8563058797012</v>
      </c>
    </row>
    <row r="1283" customFormat="false" ht="15" hidden="false" customHeight="false" outlineLevel="0" collapsed="false">
      <c r="A1283" s="0" t="n">
        <v>31</v>
      </c>
      <c r="B1283" s="0" t="n">
        <v>7</v>
      </c>
      <c r="C1283" s="0" t="n">
        <f aca="false">-1+A1283*0.05</f>
        <v>0.55</v>
      </c>
      <c r="D1283" s="0" t="n">
        <f aca="false">-1+B1283*0.05</f>
        <v>-0.65</v>
      </c>
      <c r="E1283" s="0" t="n">
        <f aca="false">1</f>
        <v>1</v>
      </c>
      <c r="F1283" s="0" t="n">
        <f aca="false">C1283</f>
        <v>0.55</v>
      </c>
      <c r="G1283" s="0" t="n">
        <f aca="false">D1283</f>
        <v>-0.65</v>
      </c>
      <c r="H1283" s="0" t="n">
        <f aca="false">C1283*D1283</f>
        <v>-0.3575</v>
      </c>
      <c r="I1283" s="0" t="n">
        <f aca="false">C1283*C1283</f>
        <v>0.3025</v>
      </c>
      <c r="J1283" s="0" t="n">
        <f aca="false">D1283*D1283</f>
        <v>0.4225</v>
      </c>
      <c r="K1283" s="0" t="n">
        <f aca="false">SUMPRODUCT(E1283:J1283,_XtX!$B$53:$G$53)</f>
        <v>46.0874015804598</v>
      </c>
      <c r="L1283" s="0" t="n">
        <f aca="false">SUMPRODUCT(MMULT(E1283:J1283,_XtX!$B$44:$G$49),E1283:J1283)</f>
        <v>0.237704938936782</v>
      </c>
      <c r="M1283" s="0" t="n">
        <f aca="false">04_回帰ANOVA!$K$19*04_回帰ANOVA!$K$14*SQRT(1+L1283)</f>
        <v>1.5075965477804</v>
      </c>
      <c r="N1283" s="0" t="n">
        <f aca="false">K1283-M1283</f>
        <v>44.5798050326794</v>
      </c>
      <c r="O1283" s="0" t="n">
        <f aca="false">K1283+M1283</f>
        <v>47.5949981282402</v>
      </c>
      <c r="P1283" s="54" t="b">
        <f aca="false">AND(C1283&gt;=01_因子設定!$L$5-0.000000001,C1283&lt;=01_因子設定!$M$5+0.000000001,D1283&gt;=01_因子設定!$L$6-0.000000001,D1283&lt;=01_因子設定!$M$6+0.000000001,IF(01_因子設定!$B$20="Box-Behnken",C1283^2+D1283^2&lt;=2+0.000000001,TRUE()))</f>
        <v>1</v>
      </c>
      <c r="Q1283" s="55" t="n">
        <f aca="false">IF(P1283,IF(01_因子設定!$B$13="最大化",N1283-01_因子設定!$B$14,IF(01_因子設定!$B$13="最小化",01_因子設定!$B$15-O1283,MIN(N1283-01_因子設定!$B$14,01_因子設定!$B$15-O1283))),-1E+030)</f>
        <v>-1.92019496732063</v>
      </c>
      <c r="R1283" s="55" t="n">
        <f aca="false">IF(P1283,IF(01_因子設定!$B$13="最大化",K1283,IF(01_因子設定!$B$13="最小化",-K1283,-ABS(K1283-01_因子設定!$B$16))),-1E+030)</f>
        <v>46.0874015804598</v>
      </c>
      <c r="S1283" s="55" t="n">
        <f aca="false">Q1283+ROW()*0.000000001</f>
        <v>-1.92019368432063</v>
      </c>
      <c r="T1283" s="55" t="n">
        <f aca="false">R1283+ROW()*0.000000001</f>
        <v>46.0874028634598</v>
      </c>
    </row>
    <row r="1284" customFormat="false" ht="15" hidden="false" customHeight="false" outlineLevel="0" collapsed="false">
      <c r="A1284" s="0" t="n">
        <v>31</v>
      </c>
      <c r="B1284" s="0" t="n">
        <v>8</v>
      </c>
      <c r="C1284" s="0" t="n">
        <f aca="false">-1+A1284*0.05</f>
        <v>0.55</v>
      </c>
      <c r="D1284" s="0" t="n">
        <f aca="false">-1+B1284*0.05</f>
        <v>-0.6</v>
      </c>
      <c r="E1284" s="0" t="n">
        <f aca="false">1</f>
        <v>1</v>
      </c>
      <c r="F1284" s="0" t="n">
        <f aca="false">C1284</f>
        <v>0.55</v>
      </c>
      <c r="G1284" s="0" t="n">
        <f aca="false">D1284</f>
        <v>-0.6</v>
      </c>
      <c r="H1284" s="0" t="n">
        <f aca="false">C1284*D1284</f>
        <v>-0.33</v>
      </c>
      <c r="I1284" s="0" t="n">
        <f aca="false">C1284*C1284</f>
        <v>0.3025</v>
      </c>
      <c r="J1284" s="0" t="n">
        <f aca="false">D1284*D1284</f>
        <v>0.36</v>
      </c>
      <c r="K1284" s="0" t="n">
        <f aca="false">SUMPRODUCT(E1284:J1284,_XtX!$B$53:$G$53)</f>
        <v>46.310783045977</v>
      </c>
      <c r="L1284" s="0" t="n">
        <f aca="false">SUMPRODUCT(MMULT(E1284:J1284,_XtX!$B$44:$G$49),E1284:J1284)</f>
        <v>0.223000826149425</v>
      </c>
      <c r="M1284" s="0" t="n">
        <f aca="false">04_回帰ANOVA!$K$19*04_回帰ANOVA!$K$14*SQRT(1+L1284)</f>
        <v>1.49861455927642</v>
      </c>
      <c r="N1284" s="0" t="n">
        <f aca="false">K1284-M1284</f>
        <v>44.8121684867006</v>
      </c>
      <c r="O1284" s="0" t="n">
        <f aca="false">K1284+M1284</f>
        <v>47.8093976052534</v>
      </c>
      <c r="P1284" s="54" t="b">
        <f aca="false">AND(C1284&gt;=01_因子設定!$L$5-0.000000001,C1284&lt;=01_因子設定!$M$5+0.000000001,D1284&gt;=01_因子設定!$L$6-0.000000001,D1284&lt;=01_因子設定!$M$6+0.000000001,IF(01_因子設定!$B$20="Box-Behnken",C1284^2+D1284^2&lt;=2+0.000000001,TRUE()))</f>
        <v>1</v>
      </c>
      <c r="Q1284" s="55" t="n">
        <f aca="false">IF(P1284,IF(01_因子設定!$B$13="最大化",N1284-01_因子設定!$B$14,IF(01_因子設定!$B$13="最小化",01_因子設定!$B$15-O1284,MIN(N1284-01_因子設定!$B$14,01_因子設定!$B$15-O1284))),-1E+030)</f>
        <v>-1.68783151329941</v>
      </c>
      <c r="R1284" s="55" t="n">
        <f aca="false">IF(P1284,IF(01_因子設定!$B$13="最大化",K1284,IF(01_因子設定!$B$13="最小化",-K1284,-ABS(K1284-01_因子設定!$B$16))),-1E+030)</f>
        <v>46.310783045977</v>
      </c>
      <c r="S1284" s="55" t="n">
        <f aca="false">Q1284+ROW()*0.000000001</f>
        <v>-1.68783022929941</v>
      </c>
      <c r="T1284" s="55" t="n">
        <f aca="false">R1284+ROW()*0.000000001</f>
        <v>46.310784329977</v>
      </c>
    </row>
    <row r="1285" customFormat="false" ht="15" hidden="false" customHeight="false" outlineLevel="0" collapsed="false">
      <c r="A1285" s="0" t="n">
        <v>31</v>
      </c>
      <c r="B1285" s="0" t="n">
        <v>9</v>
      </c>
      <c r="C1285" s="0" t="n">
        <f aca="false">-1+A1285*0.05</f>
        <v>0.55</v>
      </c>
      <c r="D1285" s="0" t="n">
        <f aca="false">-1+B1285*0.05</f>
        <v>-0.55</v>
      </c>
      <c r="E1285" s="0" t="n">
        <f aca="false">1</f>
        <v>1</v>
      </c>
      <c r="F1285" s="0" t="n">
        <f aca="false">C1285</f>
        <v>0.55</v>
      </c>
      <c r="G1285" s="0" t="n">
        <f aca="false">D1285</f>
        <v>-0.55</v>
      </c>
      <c r="H1285" s="0" t="n">
        <f aca="false">C1285*D1285</f>
        <v>-0.3025</v>
      </c>
      <c r="I1285" s="0" t="n">
        <f aca="false">C1285*C1285</f>
        <v>0.3025</v>
      </c>
      <c r="J1285" s="0" t="n">
        <f aca="false">D1285*D1285</f>
        <v>0.3025</v>
      </c>
      <c r="K1285" s="0" t="n">
        <f aca="false">SUMPRODUCT(E1285:J1285,_XtX!$B$53:$G$53)</f>
        <v>46.5264489942529</v>
      </c>
      <c r="L1285" s="0" t="n">
        <f aca="false">SUMPRODUCT(MMULT(E1285:J1285,_XtX!$B$44:$G$49),E1285:J1285)</f>
        <v>0.211971318247126</v>
      </c>
      <c r="M1285" s="0" t="n">
        <f aca="false">04_回帰ANOVA!$K$19*04_回帰ANOVA!$K$14*SQRT(1+L1285)</f>
        <v>1.49184170352873</v>
      </c>
      <c r="N1285" s="0" t="n">
        <f aca="false">K1285-M1285</f>
        <v>45.0346072907241</v>
      </c>
      <c r="O1285" s="0" t="n">
        <f aca="false">K1285+M1285</f>
        <v>48.0182906977816</v>
      </c>
      <c r="P1285" s="54" t="b">
        <f aca="false">AND(C1285&gt;=01_因子設定!$L$5-0.000000001,C1285&lt;=01_因子設定!$M$5+0.000000001,D1285&gt;=01_因子設定!$L$6-0.000000001,D1285&lt;=01_因子設定!$M$6+0.000000001,IF(01_因子設定!$B$20="Box-Behnken",C1285^2+D1285^2&lt;=2+0.000000001,TRUE()))</f>
        <v>1</v>
      </c>
      <c r="Q1285" s="55" t="n">
        <f aca="false">IF(P1285,IF(01_因子設定!$B$13="最大化",N1285-01_因子設定!$B$14,IF(01_因子設定!$B$13="最小化",01_因子設定!$B$15-O1285,MIN(N1285-01_因子設定!$B$14,01_因子設定!$B$15-O1285))),-1E+030)</f>
        <v>-1.46539270927586</v>
      </c>
      <c r="R1285" s="55" t="n">
        <f aca="false">IF(P1285,IF(01_因子設定!$B$13="最大化",K1285,IF(01_因子設定!$B$13="最小化",-K1285,-ABS(K1285-01_因子設定!$B$16))),-1E+030)</f>
        <v>46.5264489942529</v>
      </c>
      <c r="S1285" s="55" t="n">
        <f aca="false">Q1285+ROW()*0.000000001</f>
        <v>-1.46539142427586</v>
      </c>
      <c r="T1285" s="55" t="n">
        <f aca="false">R1285+ROW()*0.000000001</f>
        <v>46.5264502792529</v>
      </c>
    </row>
    <row r="1286" customFormat="false" ht="15" hidden="false" customHeight="false" outlineLevel="0" collapsed="false">
      <c r="A1286" s="0" t="n">
        <v>31</v>
      </c>
      <c r="B1286" s="0" t="n">
        <v>10</v>
      </c>
      <c r="C1286" s="0" t="n">
        <f aca="false">-1+A1286*0.05</f>
        <v>0.55</v>
      </c>
      <c r="D1286" s="0" t="n">
        <f aca="false">-1+B1286*0.05</f>
        <v>-0.5</v>
      </c>
      <c r="E1286" s="0" t="n">
        <f aca="false">1</f>
        <v>1</v>
      </c>
      <c r="F1286" s="0" t="n">
        <f aca="false">C1286</f>
        <v>0.55</v>
      </c>
      <c r="G1286" s="0" t="n">
        <f aca="false">D1286</f>
        <v>-0.5</v>
      </c>
      <c r="H1286" s="0" t="n">
        <f aca="false">C1286*D1286</f>
        <v>-0.275</v>
      </c>
      <c r="I1286" s="0" t="n">
        <f aca="false">C1286*C1286</f>
        <v>0.3025</v>
      </c>
      <c r="J1286" s="0" t="n">
        <f aca="false">D1286*D1286</f>
        <v>0.25</v>
      </c>
      <c r="K1286" s="0" t="n">
        <f aca="false">SUMPRODUCT(E1286:J1286,_XtX!$B$53:$G$53)</f>
        <v>46.7343994252874</v>
      </c>
      <c r="L1286" s="0" t="n">
        <f aca="false">SUMPRODUCT(MMULT(E1286:J1286,_XtX!$B$44:$G$49),E1286:J1286)</f>
        <v>0.203991846264368</v>
      </c>
      <c r="M1286" s="0" t="n">
        <f aca="false">04_回帰ANOVA!$K$19*04_回帰ANOVA!$K$14*SQRT(1+L1286)</f>
        <v>1.48692254105892</v>
      </c>
      <c r="N1286" s="0" t="n">
        <f aca="false">K1286-M1286</f>
        <v>45.2474768842284</v>
      </c>
      <c r="O1286" s="0" t="n">
        <f aca="false">K1286+M1286</f>
        <v>48.2213219663463</v>
      </c>
      <c r="P1286" s="54" t="b">
        <f aca="false">AND(C1286&gt;=01_因子設定!$L$5-0.000000001,C1286&lt;=01_因子設定!$M$5+0.000000001,D1286&gt;=01_因子設定!$L$6-0.000000001,D1286&lt;=01_因子設定!$M$6+0.000000001,IF(01_因子設定!$B$20="Box-Behnken",C1286^2+D1286^2&lt;=2+0.000000001,TRUE()))</f>
        <v>1</v>
      </c>
      <c r="Q1286" s="55" t="n">
        <f aca="false">IF(P1286,IF(01_因子設定!$B$13="最大化",N1286-01_因子設定!$B$14,IF(01_因子設定!$B$13="最小化",01_因子設定!$B$15-O1286,MIN(N1286-01_因子設定!$B$14,01_因子設定!$B$15-O1286))),-1E+030)</f>
        <v>-1.25252311577157</v>
      </c>
      <c r="R1286" s="55" t="n">
        <f aca="false">IF(P1286,IF(01_因子設定!$B$13="最大化",K1286,IF(01_因子設定!$B$13="最小化",-K1286,-ABS(K1286-01_因子設定!$B$16))),-1E+030)</f>
        <v>46.7343994252874</v>
      </c>
      <c r="S1286" s="55" t="n">
        <f aca="false">Q1286+ROW()*0.000000001</f>
        <v>-1.25252182977157</v>
      </c>
      <c r="T1286" s="55" t="n">
        <f aca="false">R1286+ROW()*0.000000001</f>
        <v>46.7344007112874</v>
      </c>
    </row>
    <row r="1287" customFormat="false" ht="15" hidden="false" customHeight="false" outlineLevel="0" collapsed="false">
      <c r="A1287" s="0" t="n">
        <v>31</v>
      </c>
      <c r="B1287" s="0" t="n">
        <v>11</v>
      </c>
      <c r="C1287" s="0" t="n">
        <f aca="false">-1+A1287*0.05</f>
        <v>0.55</v>
      </c>
      <c r="D1287" s="0" t="n">
        <f aca="false">-1+B1287*0.05</f>
        <v>-0.45</v>
      </c>
      <c r="E1287" s="0" t="n">
        <f aca="false">1</f>
        <v>1</v>
      </c>
      <c r="F1287" s="0" t="n">
        <f aca="false">C1287</f>
        <v>0.55</v>
      </c>
      <c r="G1287" s="0" t="n">
        <f aca="false">D1287</f>
        <v>-0.45</v>
      </c>
      <c r="H1287" s="0" t="n">
        <f aca="false">C1287*D1287</f>
        <v>-0.2475</v>
      </c>
      <c r="I1287" s="0" t="n">
        <f aca="false">C1287*C1287</f>
        <v>0.3025</v>
      </c>
      <c r="J1287" s="0" t="n">
        <f aca="false">D1287*D1287</f>
        <v>0.2025</v>
      </c>
      <c r="K1287" s="0" t="n">
        <f aca="false">SUMPRODUCT(E1287:J1287,_XtX!$B$53:$G$53)</f>
        <v>46.9346343390805</v>
      </c>
      <c r="L1287" s="0" t="n">
        <f aca="false">SUMPRODUCT(MMULT(E1287:J1287,_XtX!$B$44:$G$49),E1287:J1287)</f>
        <v>0.19849215158046</v>
      </c>
      <c r="M1287" s="0" t="n">
        <f aca="false">04_回帰ANOVA!$K$19*04_回帰ANOVA!$K$14*SQRT(1+L1287)</f>
        <v>1.48352260940076</v>
      </c>
      <c r="N1287" s="0" t="n">
        <f aca="false">K1287-M1287</f>
        <v>45.4511117296797</v>
      </c>
      <c r="O1287" s="0" t="n">
        <f aca="false">K1287+M1287</f>
        <v>48.4181569484812</v>
      </c>
      <c r="P1287" s="54" t="b">
        <f aca="false">AND(C1287&gt;=01_因子設定!$L$5-0.000000001,C1287&lt;=01_因子設定!$M$5+0.000000001,D1287&gt;=01_因子設定!$L$6-0.000000001,D1287&lt;=01_因子設定!$M$6+0.000000001,IF(01_因子設定!$B$20="Box-Behnken",C1287^2+D1287^2&lt;=2+0.000000001,TRUE()))</f>
        <v>1</v>
      </c>
      <c r="Q1287" s="55" t="n">
        <f aca="false">IF(P1287,IF(01_因子設定!$B$13="最大化",N1287-01_因子設定!$B$14,IF(01_因子設定!$B$13="最小化",01_因子設定!$B$15-O1287,MIN(N1287-01_因子設定!$B$14,01_因子設定!$B$15-O1287))),-1E+030)</f>
        <v>-1.0488882703203</v>
      </c>
      <c r="R1287" s="55" t="n">
        <f aca="false">IF(P1287,IF(01_因子設定!$B$13="最大化",K1287,IF(01_因子設定!$B$13="最小化",-K1287,-ABS(K1287-01_因子設定!$B$16))),-1E+030)</f>
        <v>46.9346343390805</v>
      </c>
      <c r="S1287" s="55" t="n">
        <f aca="false">Q1287+ROW()*0.000000001</f>
        <v>-1.0488869833203</v>
      </c>
      <c r="T1287" s="55" t="n">
        <f aca="false">R1287+ROW()*0.000000001</f>
        <v>46.9346356260805</v>
      </c>
    </row>
    <row r="1288" customFormat="false" ht="15" hidden="false" customHeight="false" outlineLevel="0" collapsed="false">
      <c r="A1288" s="0" t="n">
        <v>31</v>
      </c>
      <c r="B1288" s="0" t="n">
        <v>12</v>
      </c>
      <c r="C1288" s="0" t="n">
        <f aca="false">-1+A1288*0.05</f>
        <v>0.55</v>
      </c>
      <c r="D1288" s="0" t="n">
        <f aca="false">-1+B1288*0.05</f>
        <v>-0.4</v>
      </c>
      <c r="E1288" s="0" t="n">
        <f aca="false">1</f>
        <v>1</v>
      </c>
      <c r="F1288" s="0" t="n">
        <f aca="false">C1288</f>
        <v>0.55</v>
      </c>
      <c r="G1288" s="0" t="n">
        <f aca="false">D1288</f>
        <v>-0.4</v>
      </c>
      <c r="H1288" s="0" t="n">
        <f aca="false">C1288*D1288</f>
        <v>-0.22</v>
      </c>
      <c r="I1288" s="0" t="n">
        <f aca="false">C1288*C1288</f>
        <v>0.3025</v>
      </c>
      <c r="J1288" s="0" t="n">
        <f aca="false">D1288*D1288</f>
        <v>0.16</v>
      </c>
      <c r="K1288" s="0" t="n">
        <f aca="false">SUMPRODUCT(E1288:J1288,_XtX!$B$53:$G$53)</f>
        <v>47.1271537356322</v>
      </c>
      <c r="L1288" s="0" t="n">
        <f aca="false">SUMPRODUCT(MMULT(E1288:J1288,_XtX!$B$44:$G$49),E1288:J1288)</f>
        <v>0.19495628591954</v>
      </c>
      <c r="M1288" s="0" t="n">
        <f aca="false">04_回帰ANOVA!$K$19*04_回帰ANOVA!$K$14*SQRT(1+L1288)</f>
        <v>1.48133260286245</v>
      </c>
      <c r="N1288" s="0" t="n">
        <f aca="false">K1288-M1288</f>
        <v>45.6458211327697</v>
      </c>
      <c r="O1288" s="0" t="n">
        <f aca="false">K1288+M1288</f>
        <v>48.6084863384946</v>
      </c>
      <c r="P1288" s="54" t="b">
        <f aca="false">AND(C1288&gt;=01_因子設定!$L$5-0.000000001,C1288&lt;=01_因子設定!$M$5+0.000000001,D1288&gt;=01_因子設定!$L$6-0.000000001,D1288&lt;=01_因子設定!$M$6+0.000000001,IF(01_因子設定!$B$20="Box-Behnken",C1288^2+D1288^2&lt;=2+0.000000001,TRUE()))</f>
        <v>1</v>
      </c>
      <c r="Q1288" s="55" t="n">
        <f aca="false">IF(P1288,IF(01_因子設定!$B$13="最大化",N1288-01_因子設定!$B$14,IF(01_因子設定!$B$13="最小化",01_因子設定!$B$15-O1288,MIN(N1288-01_因子設定!$B$14,01_因子設定!$B$15-O1288))),-1E+030)</f>
        <v>-0.854178867230274</v>
      </c>
      <c r="R1288" s="55" t="n">
        <f aca="false">IF(P1288,IF(01_因子設定!$B$13="最大化",K1288,IF(01_因子設定!$B$13="最小化",-K1288,-ABS(K1288-01_因子設定!$B$16))),-1E+030)</f>
        <v>47.1271537356322</v>
      </c>
      <c r="S1288" s="55" t="n">
        <f aca="false">Q1288+ROW()*0.000000001</f>
        <v>-0.854177579230274</v>
      </c>
      <c r="T1288" s="55" t="n">
        <f aca="false">R1288+ROW()*0.000000001</f>
        <v>47.1271550236322</v>
      </c>
    </row>
    <row r="1289" customFormat="false" ht="15" hidden="false" customHeight="false" outlineLevel="0" collapsed="false">
      <c r="A1289" s="0" t="n">
        <v>31</v>
      </c>
      <c r="B1289" s="0" t="n">
        <v>13</v>
      </c>
      <c r="C1289" s="0" t="n">
        <f aca="false">-1+A1289*0.05</f>
        <v>0.55</v>
      </c>
      <c r="D1289" s="0" t="n">
        <f aca="false">-1+B1289*0.05</f>
        <v>-0.35</v>
      </c>
      <c r="E1289" s="0" t="n">
        <f aca="false">1</f>
        <v>1</v>
      </c>
      <c r="F1289" s="0" t="n">
        <f aca="false">C1289</f>
        <v>0.55</v>
      </c>
      <c r="G1289" s="0" t="n">
        <f aca="false">D1289</f>
        <v>-0.35</v>
      </c>
      <c r="H1289" s="0" t="n">
        <f aca="false">C1289*D1289</f>
        <v>-0.1925</v>
      </c>
      <c r="I1289" s="0" t="n">
        <f aca="false">C1289*C1289</f>
        <v>0.3025</v>
      </c>
      <c r="J1289" s="0" t="n">
        <f aca="false">D1289*D1289</f>
        <v>0.1225</v>
      </c>
      <c r="K1289" s="0" t="n">
        <f aca="false">SUMPRODUCT(E1289:J1289,_XtX!$B$53:$G$53)</f>
        <v>47.3119576149425</v>
      </c>
      <c r="L1289" s="0" t="n">
        <f aca="false">SUMPRODUCT(MMULT(E1289:J1289,_XtX!$B$44:$G$49),E1289:J1289)</f>
        <v>0.192922611350575</v>
      </c>
      <c r="M1289" s="0" t="n">
        <f aca="false">04_回帰ANOVA!$K$19*04_回帰ANOVA!$K$14*SQRT(1+L1289)</f>
        <v>1.48007153945768</v>
      </c>
      <c r="N1289" s="0" t="n">
        <f aca="false">K1289-M1289</f>
        <v>45.8318860754848</v>
      </c>
      <c r="O1289" s="0" t="n">
        <f aca="false">K1289+M1289</f>
        <v>48.7920291544002</v>
      </c>
      <c r="P1289" s="54" t="b">
        <f aca="false">AND(C1289&gt;=01_因子設定!$L$5-0.000000001,C1289&lt;=01_因子設定!$M$5+0.000000001,D1289&gt;=01_因子設定!$L$6-0.000000001,D1289&lt;=01_因子設定!$M$6+0.000000001,IF(01_因子設定!$B$20="Box-Behnken",C1289^2+D1289^2&lt;=2+0.000000001,TRUE()))</f>
        <v>1</v>
      </c>
      <c r="Q1289" s="55" t="n">
        <f aca="false">IF(P1289,IF(01_因子設定!$B$13="最大化",N1289-01_因子設定!$B$14,IF(01_因子設定!$B$13="最小化",01_因子設定!$B$15-O1289,MIN(N1289-01_因子設定!$B$14,01_因子設定!$B$15-O1289))),-1E+030)</f>
        <v>-0.668113924515154</v>
      </c>
      <c r="R1289" s="55" t="n">
        <f aca="false">IF(P1289,IF(01_因子設定!$B$13="最大化",K1289,IF(01_因子設定!$B$13="最小化",-K1289,-ABS(K1289-01_因子設定!$B$16))),-1E+030)</f>
        <v>47.3119576149425</v>
      </c>
      <c r="S1289" s="55" t="n">
        <f aca="false">Q1289+ROW()*0.000000001</f>
        <v>-0.668112635515154</v>
      </c>
      <c r="T1289" s="55" t="n">
        <f aca="false">R1289+ROW()*0.000000001</f>
        <v>47.3119589039425</v>
      </c>
    </row>
    <row r="1290" customFormat="false" ht="15" hidden="false" customHeight="false" outlineLevel="0" collapsed="false">
      <c r="A1290" s="0" t="n">
        <v>31</v>
      </c>
      <c r="B1290" s="0" t="n">
        <v>14</v>
      </c>
      <c r="C1290" s="0" t="n">
        <f aca="false">-1+A1290*0.05</f>
        <v>0.55</v>
      </c>
      <c r="D1290" s="0" t="n">
        <f aca="false">-1+B1290*0.05</f>
        <v>-0.3</v>
      </c>
      <c r="E1290" s="0" t="n">
        <f aca="false">1</f>
        <v>1</v>
      </c>
      <c r="F1290" s="0" t="n">
        <f aca="false">C1290</f>
        <v>0.55</v>
      </c>
      <c r="G1290" s="0" t="n">
        <f aca="false">D1290</f>
        <v>-0.3</v>
      </c>
      <c r="H1290" s="0" t="n">
        <f aca="false">C1290*D1290</f>
        <v>-0.165</v>
      </c>
      <c r="I1290" s="0" t="n">
        <f aca="false">C1290*C1290</f>
        <v>0.3025</v>
      </c>
      <c r="J1290" s="0" t="n">
        <f aca="false">D1290*D1290</f>
        <v>0.09</v>
      </c>
      <c r="K1290" s="0" t="n">
        <f aca="false">SUMPRODUCT(E1290:J1290,_XtX!$B$53:$G$53)</f>
        <v>47.4890459770115</v>
      </c>
      <c r="L1290" s="0" t="n">
        <f aca="false">SUMPRODUCT(MMULT(E1290:J1290,_XtX!$B$44:$G$49),E1290:J1290)</f>
        <v>0.191983800287356</v>
      </c>
      <c r="M1290" s="0" t="n">
        <f aca="false">04_回帰ANOVA!$K$19*04_回帰ANOVA!$K$14*SQRT(1+L1290)</f>
        <v>1.47948902848418</v>
      </c>
      <c r="N1290" s="0" t="n">
        <f aca="false">K1290-M1290</f>
        <v>46.0095569485273</v>
      </c>
      <c r="O1290" s="0" t="n">
        <f aca="false">K1290+M1290</f>
        <v>48.9685350054957</v>
      </c>
      <c r="P1290" s="54" t="b">
        <f aca="false">AND(C1290&gt;=01_因子設定!$L$5-0.000000001,C1290&lt;=01_因子設定!$M$5+0.000000001,D1290&gt;=01_因子設定!$L$6-0.000000001,D1290&lt;=01_因子設定!$M$6+0.000000001,IF(01_因子設定!$B$20="Box-Behnken",C1290^2+D1290^2&lt;=2+0.000000001,TRUE()))</f>
        <v>1</v>
      </c>
      <c r="Q1290" s="55" t="n">
        <f aca="false">IF(P1290,IF(01_因子設定!$B$13="最大化",N1290-01_因子設定!$B$14,IF(01_因子設定!$B$13="最小化",01_因子設定!$B$15-O1290,MIN(N1290-01_因子設定!$B$14,01_因子設定!$B$15-O1290))),-1E+030)</f>
        <v>-0.490443051472695</v>
      </c>
      <c r="R1290" s="55" t="n">
        <f aca="false">IF(P1290,IF(01_因子設定!$B$13="最大化",K1290,IF(01_因子設定!$B$13="最小化",-K1290,-ABS(K1290-01_因子設定!$B$16))),-1E+030)</f>
        <v>47.4890459770115</v>
      </c>
      <c r="S1290" s="55" t="n">
        <f aca="false">Q1290+ROW()*0.000000001</f>
        <v>-0.490441761472695</v>
      </c>
      <c r="T1290" s="55" t="n">
        <f aca="false">R1290+ROW()*0.000000001</f>
        <v>47.4890472670115</v>
      </c>
    </row>
    <row r="1291" customFormat="false" ht="15" hidden="false" customHeight="false" outlineLevel="0" collapsed="false">
      <c r="A1291" s="0" t="n">
        <v>31</v>
      </c>
      <c r="B1291" s="0" t="n">
        <v>15</v>
      </c>
      <c r="C1291" s="0" t="n">
        <f aca="false">-1+A1291*0.05</f>
        <v>0.55</v>
      </c>
      <c r="D1291" s="0" t="n">
        <f aca="false">-1+B1291*0.05</f>
        <v>-0.25</v>
      </c>
      <c r="E1291" s="0" t="n">
        <f aca="false">1</f>
        <v>1</v>
      </c>
      <c r="F1291" s="0" t="n">
        <f aca="false">C1291</f>
        <v>0.55</v>
      </c>
      <c r="G1291" s="0" t="n">
        <f aca="false">D1291</f>
        <v>-0.25</v>
      </c>
      <c r="H1291" s="0" t="n">
        <f aca="false">C1291*D1291</f>
        <v>-0.1375</v>
      </c>
      <c r="I1291" s="0" t="n">
        <f aca="false">C1291*C1291</f>
        <v>0.3025</v>
      </c>
      <c r="J1291" s="0" t="n">
        <f aca="false">D1291*D1291</f>
        <v>0.0625</v>
      </c>
      <c r="K1291" s="0" t="n">
        <f aca="false">SUMPRODUCT(E1291:J1291,_XtX!$B$53:$G$53)</f>
        <v>47.6584188218391</v>
      </c>
      <c r="L1291" s="0" t="n">
        <f aca="false">SUMPRODUCT(MMULT(E1291:J1291,_XtX!$B$44:$G$49),E1291:J1291)</f>
        <v>0.191786835488506</v>
      </c>
      <c r="M1291" s="0" t="n">
        <f aca="false">04_回帰ANOVA!$K$19*04_回帰ANOVA!$K$14*SQRT(1+L1291)</f>
        <v>1.47936678718445</v>
      </c>
      <c r="N1291" s="0" t="n">
        <f aca="false">K1291-M1291</f>
        <v>46.1790520346546</v>
      </c>
      <c r="O1291" s="0" t="n">
        <f aca="false">K1291+M1291</f>
        <v>49.1377856090235</v>
      </c>
      <c r="P1291" s="54" t="b">
        <f aca="false">AND(C1291&gt;=01_因子設定!$L$5-0.000000001,C1291&lt;=01_因子設定!$M$5+0.000000001,D1291&gt;=01_因子設定!$L$6-0.000000001,D1291&lt;=01_因子設定!$M$6+0.000000001,IF(01_因子設定!$B$20="Box-Behnken",C1291^2+D1291^2&lt;=2+0.000000001,TRUE()))</f>
        <v>1</v>
      </c>
      <c r="Q1291" s="55" t="n">
        <f aca="false">IF(P1291,IF(01_因子設定!$B$13="最大化",N1291-01_因子設定!$B$14,IF(01_因子設定!$B$13="最小化",01_因子設定!$B$15-O1291,MIN(N1291-01_因子設定!$B$14,01_因子設定!$B$15-O1291))),-1E+030)</f>
        <v>-0.320947965345376</v>
      </c>
      <c r="R1291" s="55" t="n">
        <f aca="false">IF(P1291,IF(01_因子設定!$B$13="最大化",K1291,IF(01_因子設定!$B$13="最小化",-K1291,-ABS(K1291-01_因子設定!$B$16))),-1E+030)</f>
        <v>47.6584188218391</v>
      </c>
      <c r="S1291" s="55" t="n">
        <f aca="false">Q1291+ROW()*0.000000001</f>
        <v>-0.320946674345376</v>
      </c>
      <c r="T1291" s="55" t="n">
        <f aca="false">R1291+ROW()*0.000000001</f>
        <v>47.6584201128391</v>
      </c>
    </row>
    <row r="1292" customFormat="false" ht="15" hidden="false" customHeight="false" outlineLevel="0" collapsed="false">
      <c r="A1292" s="0" t="n">
        <v>31</v>
      </c>
      <c r="B1292" s="0" t="n">
        <v>16</v>
      </c>
      <c r="C1292" s="0" t="n">
        <f aca="false">-1+A1292*0.05</f>
        <v>0.55</v>
      </c>
      <c r="D1292" s="0" t="n">
        <f aca="false">-1+B1292*0.05</f>
        <v>-0.2</v>
      </c>
      <c r="E1292" s="0" t="n">
        <f aca="false">1</f>
        <v>1</v>
      </c>
      <c r="F1292" s="0" t="n">
        <f aca="false">C1292</f>
        <v>0.55</v>
      </c>
      <c r="G1292" s="0" t="n">
        <f aca="false">D1292</f>
        <v>-0.2</v>
      </c>
      <c r="H1292" s="0" t="n">
        <f aca="false">C1292*D1292</f>
        <v>-0.11</v>
      </c>
      <c r="I1292" s="0" t="n">
        <f aca="false">C1292*C1292</f>
        <v>0.3025</v>
      </c>
      <c r="J1292" s="0" t="n">
        <f aca="false">D1292*D1292</f>
        <v>0.04</v>
      </c>
      <c r="K1292" s="0" t="n">
        <f aca="false">SUMPRODUCT(E1292:J1292,_XtX!$B$53:$G$53)</f>
        <v>47.8200761494253</v>
      </c>
      <c r="L1292" s="0" t="n">
        <f aca="false">SUMPRODUCT(MMULT(E1292:J1292,_XtX!$B$44:$G$49),E1292:J1292)</f>
        <v>0.192033010057471</v>
      </c>
      <c r="M1292" s="0" t="n">
        <f aca="false">04_回帰ANOVA!$K$19*04_回帰ANOVA!$K$14*SQRT(1+L1292)</f>
        <v>1.47951956772622</v>
      </c>
      <c r="N1292" s="0" t="n">
        <f aca="false">K1292-M1292</f>
        <v>46.3405565816991</v>
      </c>
      <c r="O1292" s="0" t="n">
        <f aca="false">K1292+M1292</f>
        <v>49.2995957171515</v>
      </c>
      <c r="P1292" s="54" t="b">
        <f aca="false">AND(C1292&gt;=01_因子設定!$L$5-0.000000001,C1292&lt;=01_因子設定!$M$5+0.000000001,D1292&gt;=01_因子設定!$L$6-0.000000001,D1292&lt;=01_因子設定!$M$6+0.000000001,IF(01_因子設定!$B$20="Box-Behnken",C1292^2+D1292^2&lt;=2+0.000000001,TRUE()))</f>
        <v>1</v>
      </c>
      <c r="Q1292" s="55" t="n">
        <f aca="false">IF(P1292,IF(01_因子設定!$B$13="最大化",N1292-01_因子設定!$B$14,IF(01_因子設定!$B$13="最小化",01_因子設定!$B$15-O1292,MIN(N1292-01_因子設定!$B$14,01_因子設定!$B$15-O1292))),-1E+030)</f>
        <v>-0.159443418300938</v>
      </c>
      <c r="R1292" s="55" t="n">
        <f aca="false">IF(P1292,IF(01_因子設定!$B$13="最大化",K1292,IF(01_因子設定!$B$13="最小化",-K1292,-ABS(K1292-01_因子設定!$B$16))),-1E+030)</f>
        <v>47.8200761494253</v>
      </c>
      <c r="S1292" s="55" t="n">
        <f aca="false">Q1292+ROW()*0.000000001</f>
        <v>-0.159442126300938</v>
      </c>
      <c r="T1292" s="55" t="n">
        <f aca="false">R1292+ROW()*0.000000001</f>
        <v>47.8200774414253</v>
      </c>
    </row>
    <row r="1293" customFormat="false" ht="15" hidden="false" customHeight="false" outlineLevel="0" collapsed="false">
      <c r="A1293" s="0" t="n">
        <v>31</v>
      </c>
      <c r="B1293" s="0" t="n">
        <v>17</v>
      </c>
      <c r="C1293" s="0" t="n">
        <f aca="false">-1+A1293*0.05</f>
        <v>0.55</v>
      </c>
      <c r="D1293" s="0" t="n">
        <f aca="false">-1+B1293*0.05</f>
        <v>-0.15</v>
      </c>
      <c r="E1293" s="0" t="n">
        <f aca="false">1</f>
        <v>1</v>
      </c>
      <c r="F1293" s="0" t="n">
        <f aca="false">C1293</f>
        <v>0.55</v>
      </c>
      <c r="G1293" s="0" t="n">
        <f aca="false">D1293</f>
        <v>-0.15</v>
      </c>
      <c r="H1293" s="0" t="n">
        <f aca="false">C1293*D1293</f>
        <v>-0.0825</v>
      </c>
      <c r="I1293" s="0" t="n">
        <f aca="false">C1293*C1293</f>
        <v>0.3025</v>
      </c>
      <c r="J1293" s="0" t="n">
        <f aca="false">D1293*D1293</f>
        <v>0.0225</v>
      </c>
      <c r="K1293" s="0" t="n">
        <f aca="false">SUMPRODUCT(E1293:J1293,_XtX!$B$53:$G$53)</f>
        <v>47.9740179597701</v>
      </c>
      <c r="L1293" s="0" t="n">
        <f aca="false">SUMPRODUCT(MMULT(E1293:J1293,_XtX!$B$44:$G$49),E1293:J1293)</f>
        <v>0.192477927442529</v>
      </c>
      <c r="M1293" s="0" t="n">
        <f aca="false">04_回帰ANOVA!$K$19*04_回帰ANOVA!$K$14*SQRT(1+L1293)</f>
        <v>1.47979565176085</v>
      </c>
      <c r="N1293" s="0" t="n">
        <f aca="false">K1293-M1293</f>
        <v>46.4942223080093</v>
      </c>
      <c r="O1293" s="0" t="n">
        <f aca="false">K1293+M1293</f>
        <v>49.453813611531</v>
      </c>
      <c r="P1293" s="54" t="b">
        <f aca="false">AND(C1293&gt;=01_因子設定!$L$5-0.000000001,C1293&lt;=01_因子設定!$M$5+0.000000001,D1293&gt;=01_因子設定!$L$6-0.000000001,D1293&lt;=01_因子設定!$M$6+0.000000001,IF(01_因子設定!$B$20="Box-Behnken",C1293^2+D1293^2&lt;=2+0.000000001,TRUE()))</f>
        <v>1</v>
      </c>
      <c r="Q1293" s="55" t="n">
        <f aca="false">IF(P1293,IF(01_因子設定!$B$13="最大化",N1293-01_因子設定!$B$14,IF(01_因子設定!$B$13="最小化",01_因子設定!$B$15-O1293,MIN(N1293-01_因子設定!$B$14,01_因子設定!$B$15-O1293))),-1E+030)</f>
        <v>-0.00577769199073686</v>
      </c>
      <c r="R1293" s="55" t="n">
        <f aca="false">IF(P1293,IF(01_因子設定!$B$13="最大化",K1293,IF(01_因子設定!$B$13="最小化",-K1293,-ABS(K1293-01_因子設定!$B$16))),-1E+030)</f>
        <v>47.9740179597701</v>
      </c>
      <c r="S1293" s="55" t="n">
        <f aca="false">Q1293+ROW()*0.000000001</f>
        <v>-0.00577639899073686</v>
      </c>
      <c r="T1293" s="55" t="n">
        <f aca="false">R1293+ROW()*0.000000001</f>
        <v>47.9740192527701</v>
      </c>
    </row>
    <row r="1294" customFormat="false" ht="15" hidden="false" customHeight="false" outlineLevel="0" collapsed="false">
      <c r="A1294" s="0" t="n">
        <v>31</v>
      </c>
      <c r="B1294" s="0" t="n">
        <v>18</v>
      </c>
      <c r="C1294" s="0" t="n">
        <f aca="false">-1+A1294*0.05</f>
        <v>0.55</v>
      </c>
      <c r="D1294" s="0" t="n">
        <f aca="false">-1+B1294*0.05</f>
        <v>-0.1</v>
      </c>
      <c r="E1294" s="0" t="n">
        <f aca="false">1</f>
        <v>1</v>
      </c>
      <c r="F1294" s="0" t="n">
        <f aca="false">C1294</f>
        <v>0.55</v>
      </c>
      <c r="G1294" s="0" t="n">
        <f aca="false">D1294</f>
        <v>-0.1</v>
      </c>
      <c r="H1294" s="0" t="n">
        <f aca="false">C1294*D1294</f>
        <v>-0.055</v>
      </c>
      <c r="I1294" s="0" t="n">
        <f aca="false">C1294*C1294</f>
        <v>0.3025</v>
      </c>
      <c r="J1294" s="0" t="n">
        <f aca="false">D1294*D1294</f>
        <v>0.01</v>
      </c>
      <c r="K1294" s="0" t="n">
        <f aca="false">SUMPRODUCT(E1294:J1294,_XtX!$B$53:$G$53)</f>
        <v>48.1202442528736</v>
      </c>
      <c r="L1294" s="0" t="n">
        <f aca="false">SUMPRODUCT(MMULT(E1294:J1294,_XtX!$B$44:$G$49),E1294:J1294)</f>
        <v>0.192931501436782</v>
      </c>
      <c r="M1294" s="0" t="n">
        <f aca="false">04_回帰ANOVA!$K$19*04_回帰ANOVA!$K$14*SQRT(1+L1294)</f>
        <v>1.48007705445879</v>
      </c>
      <c r="N1294" s="0" t="n">
        <f aca="false">K1294-M1294</f>
        <v>46.6401671984148</v>
      </c>
      <c r="O1294" s="0" t="n">
        <f aca="false">K1294+M1294</f>
        <v>49.6003213073323</v>
      </c>
      <c r="P1294" s="54" t="b">
        <f aca="false">AND(C1294&gt;=01_因子設定!$L$5-0.000000001,C1294&lt;=01_因子設定!$M$5+0.000000001,D1294&gt;=01_因子設定!$L$6-0.000000001,D1294&lt;=01_因子設定!$M$6+0.000000001,IF(01_因子設定!$B$20="Box-Behnken",C1294^2+D1294^2&lt;=2+0.000000001,TRUE()))</f>
        <v>1</v>
      </c>
      <c r="Q1294" s="55" t="n">
        <f aca="false">IF(P1294,IF(01_因子設定!$B$13="最大化",N1294-01_因子設定!$B$14,IF(01_因子設定!$B$13="最小化",01_因子設定!$B$15-O1294,MIN(N1294-01_因子設定!$B$14,01_因子設定!$B$15-O1294))),-1E+030)</f>
        <v>0.140167198414765</v>
      </c>
      <c r="R1294" s="55" t="n">
        <f aca="false">IF(P1294,IF(01_因子設定!$B$13="最大化",K1294,IF(01_因子設定!$B$13="最小化",-K1294,-ABS(K1294-01_因子設定!$B$16))),-1E+030)</f>
        <v>48.1202442528736</v>
      </c>
      <c r="S1294" s="55" t="n">
        <f aca="false">Q1294+ROW()*0.000000001</f>
        <v>0.140168492414765</v>
      </c>
      <c r="T1294" s="55" t="n">
        <f aca="false">R1294+ROW()*0.000000001</f>
        <v>48.1202455468736</v>
      </c>
    </row>
    <row r="1295" customFormat="false" ht="15" hidden="false" customHeight="false" outlineLevel="0" collapsed="false">
      <c r="A1295" s="0" t="n">
        <v>31</v>
      </c>
      <c r="B1295" s="0" t="n">
        <v>19</v>
      </c>
      <c r="C1295" s="0" t="n">
        <f aca="false">-1+A1295*0.05</f>
        <v>0.55</v>
      </c>
      <c r="D1295" s="0" t="n">
        <f aca="false">-1+B1295*0.05</f>
        <v>-0.0499999999999999</v>
      </c>
      <c r="E1295" s="0" t="n">
        <f aca="false">1</f>
        <v>1</v>
      </c>
      <c r="F1295" s="0" t="n">
        <f aca="false">C1295</f>
        <v>0.55</v>
      </c>
      <c r="G1295" s="0" t="n">
        <f aca="false">D1295</f>
        <v>-0.0499999999999999</v>
      </c>
      <c r="H1295" s="0" t="n">
        <f aca="false">C1295*D1295</f>
        <v>-0.0275</v>
      </c>
      <c r="I1295" s="0" t="n">
        <f aca="false">C1295*C1295</f>
        <v>0.3025</v>
      </c>
      <c r="J1295" s="0" t="n">
        <f aca="false">D1295*D1295</f>
        <v>0.00249999999999999</v>
      </c>
      <c r="K1295" s="0" t="n">
        <f aca="false">SUMPRODUCT(E1295:J1295,_XtX!$B$53:$G$53)</f>
        <v>48.2587550287356</v>
      </c>
      <c r="L1295" s="0" t="n">
        <f aca="false">SUMPRODUCT(MMULT(E1295:J1295,_XtX!$B$44:$G$49),E1295:J1295)</f>
        <v>0.193257956178161</v>
      </c>
      <c r="M1295" s="0" t="n">
        <f aca="false">04_回帰ANOVA!$K$19*04_回帰ANOVA!$K$14*SQRT(1+L1295)</f>
        <v>1.48027955775409</v>
      </c>
      <c r="N1295" s="0" t="n">
        <f aca="false">K1295-M1295</f>
        <v>46.7784754709815</v>
      </c>
      <c r="O1295" s="0" t="n">
        <f aca="false">K1295+M1295</f>
        <v>49.7390345864897</v>
      </c>
      <c r="P1295" s="54" t="b">
        <f aca="false">AND(C1295&gt;=01_因子設定!$L$5-0.000000001,C1295&lt;=01_因子設定!$M$5+0.000000001,D1295&gt;=01_因子設定!$L$6-0.000000001,D1295&lt;=01_因子設定!$M$6+0.000000001,IF(01_因子設定!$B$20="Box-Behnken",C1295^2+D1295^2&lt;=2+0.000000001,TRUE()))</f>
        <v>1</v>
      </c>
      <c r="Q1295" s="55" t="n">
        <f aca="false">IF(P1295,IF(01_因子設定!$B$13="最大化",N1295-01_因子設定!$B$14,IF(01_因子設定!$B$13="最小化",01_因子設定!$B$15-O1295,MIN(N1295-01_因子設定!$B$14,01_因子設定!$B$15-O1295))),-1E+030)</f>
        <v>0.278475470981533</v>
      </c>
      <c r="R1295" s="55" t="n">
        <f aca="false">IF(P1295,IF(01_因子設定!$B$13="最大化",K1295,IF(01_因子設定!$B$13="最小化",-K1295,-ABS(K1295-01_因子設定!$B$16))),-1E+030)</f>
        <v>48.2587550287356</v>
      </c>
      <c r="S1295" s="55" t="n">
        <f aca="false">Q1295+ROW()*0.000000001</f>
        <v>0.278476765981533</v>
      </c>
      <c r="T1295" s="55" t="n">
        <f aca="false">R1295+ROW()*0.000000001</f>
        <v>48.2587563237356</v>
      </c>
    </row>
    <row r="1296" customFormat="false" ht="15" hidden="false" customHeight="false" outlineLevel="0" collapsed="false">
      <c r="A1296" s="0" t="n">
        <v>31</v>
      </c>
      <c r="B1296" s="0" t="n">
        <v>20</v>
      </c>
      <c r="C1296" s="0" t="n">
        <f aca="false">-1+A1296*0.05</f>
        <v>0.55</v>
      </c>
      <c r="D1296" s="0" t="n">
        <f aca="false">-1+B1296*0.05</f>
        <v>0</v>
      </c>
      <c r="E1296" s="0" t="n">
        <f aca="false">1</f>
        <v>1</v>
      </c>
      <c r="F1296" s="0" t="n">
        <f aca="false">C1296</f>
        <v>0.55</v>
      </c>
      <c r="G1296" s="0" t="n">
        <f aca="false">D1296</f>
        <v>0</v>
      </c>
      <c r="H1296" s="0" t="n">
        <f aca="false">C1296*D1296</f>
        <v>0</v>
      </c>
      <c r="I1296" s="0" t="n">
        <f aca="false">C1296*C1296</f>
        <v>0.3025</v>
      </c>
      <c r="J1296" s="0" t="n">
        <f aca="false">D1296*D1296</f>
        <v>0</v>
      </c>
      <c r="K1296" s="0" t="n">
        <f aca="false">SUMPRODUCT(E1296:J1296,_XtX!$B$53:$G$53)</f>
        <v>48.3895502873563</v>
      </c>
      <c r="L1296" s="0" t="n">
        <f aca="false">SUMPRODUCT(MMULT(E1296:J1296,_XtX!$B$44:$G$49),E1296:J1296)</f>
        <v>0.193375826149425</v>
      </c>
      <c r="M1296" s="0" t="n">
        <f aca="false">04_回帰ANOVA!$K$19*04_回帰ANOVA!$K$14*SQRT(1+L1296)</f>
        <v>1.48035266692527</v>
      </c>
      <c r="N1296" s="0" t="n">
        <f aca="false">K1296-M1296</f>
        <v>46.909197620431</v>
      </c>
      <c r="O1296" s="0" t="n">
        <f aca="false">K1296+M1296</f>
        <v>49.8699029542816</v>
      </c>
      <c r="P1296" s="54" t="b">
        <f aca="false">AND(C1296&gt;=01_因子設定!$L$5-0.000000001,C1296&lt;=01_因子設定!$M$5+0.000000001,D1296&gt;=01_因子設定!$L$6-0.000000001,D1296&lt;=01_因子設定!$M$6+0.000000001,IF(01_因子設定!$B$20="Box-Behnken",C1296^2+D1296^2&lt;=2+0.000000001,TRUE()))</f>
        <v>1</v>
      </c>
      <c r="Q1296" s="55" t="n">
        <f aca="false">IF(P1296,IF(01_因子設定!$B$13="最大化",N1296-01_因子設定!$B$14,IF(01_因子設定!$B$13="最小化",01_因子設定!$B$15-O1296,MIN(N1296-01_因子設定!$B$14,01_因子設定!$B$15-O1296))),-1E+030)</f>
        <v>0.409197620431044</v>
      </c>
      <c r="R1296" s="55" t="n">
        <f aca="false">IF(P1296,IF(01_因子設定!$B$13="最大化",K1296,IF(01_因子設定!$B$13="最小化",-K1296,-ABS(K1296-01_因子設定!$B$16))),-1E+030)</f>
        <v>48.3895502873563</v>
      </c>
      <c r="S1296" s="55" t="n">
        <f aca="false">Q1296+ROW()*0.000000001</f>
        <v>0.409198916431044</v>
      </c>
      <c r="T1296" s="55" t="n">
        <f aca="false">R1296+ROW()*0.000000001</f>
        <v>48.3895515833563</v>
      </c>
    </row>
    <row r="1297" customFormat="false" ht="15" hidden="false" customHeight="false" outlineLevel="0" collapsed="false">
      <c r="A1297" s="0" t="n">
        <v>31</v>
      </c>
      <c r="B1297" s="0" t="n">
        <v>21</v>
      </c>
      <c r="C1297" s="0" t="n">
        <f aca="false">-1+A1297*0.05</f>
        <v>0.55</v>
      </c>
      <c r="D1297" s="0" t="n">
        <f aca="false">-1+B1297*0.05</f>
        <v>0.05</v>
      </c>
      <c r="E1297" s="0" t="n">
        <f aca="false">1</f>
        <v>1</v>
      </c>
      <c r="F1297" s="0" t="n">
        <f aca="false">C1297</f>
        <v>0.55</v>
      </c>
      <c r="G1297" s="0" t="n">
        <f aca="false">D1297</f>
        <v>0.05</v>
      </c>
      <c r="H1297" s="0" t="n">
        <f aca="false">C1297*D1297</f>
        <v>0.0275</v>
      </c>
      <c r="I1297" s="0" t="n">
        <f aca="false">C1297*C1297</f>
        <v>0.3025</v>
      </c>
      <c r="J1297" s="0" t="n">
        <f aca="false">D1297*D1297</f>
        <v>0.0025</v>
      </c>
      <c r="K1297" s="0" t="n">
        <f aca="false">SUMPRODUCT(E1297:J1297,_XtX!$B$53:$G$53)</f>
        <v>48.5126300287356</v>
      </c>
      <c r="L1297" s="0" t="n">
        <f aca="false">SUMPRODUCT(MMULT(E1297:J1297,_XtX!$B$44:$G$49),E1297:J1297)</f>
        <v>0.193257956178161</v>
      </c>
      <c r="M1297" s="0" t="n">
        <f aca="false">04_回帰ANOVA!$K$19*04_回帰ANOVA!$K$14*SQRT(1+L1297)</f>
        <v>1.48027955775409</v>
      </c>
      <c r="N1297" s="0" t="n">
        <f aca="false">K1297-M1297</f>
        <v>47.0323504709815</v>
      </c>
      <c r="O1297" s="0" t="n">
        <f aca="false">K1297+M1297</f>
        <v>49.9929095864897</v>
      </c>
      <c r="P1297" s="54" t="b">
        <f aca="false">AND(C1297&gt;=01_因子設定!$L$5-0.000000001,C1297&lt;=01_因子設定!$M$5+0.000000001,D1297&gt;=01_因子設定!$L$6-0.000000001,D1297&lt;=01_因子設定!$M$6+0.000000001,IF(01_因子設定!$B$20="Box-Behnken",C1297^2+D1297^2&lt;=2+0.000000001,TRUE()))</f>
        <v>1</v>
      </c>
      <c r="Q1297" s="55" t="n">
        <f aca="false">IF(P1297,IF(01_因子設定!$B$13="最大化",N1297-01_因子設定!$B$14,IF(01_因子設定!$B$13="最小化",01_因子設定!$B$15-O1297,MIN(N1297-01_因子設定!$B$14,01_因子設定!$B$15-O1297))),-1E+030)</f>
        <v>0.532350470981527</v>
      </c>
      <c r="R1297" s="55" t="n">
        <f aca="false">IF(P1297,IF(01_因子設定!$B$13="最大化",K1297,IF(01_因子設定!$B$13="最小化",-K1297,-ABS(K1297-01_因子設定!$B$16))),-1E+030)</f>
        <v>48.5126300287356</v>
      </c>
      <c r="S1297" s="55" t="n">
        <f aca="false">Q1297+ROW()*0.000000001</f>
        <v>0.532351767981527</v>
      </c>
      <c r="T1297" s="55" t="n">
        <f aca="false">R1297+ROW()*0.000000001</f>
        <v>48.5126313257356</v>
      </c>
    </row>
    <row r="1298" customFormat="false" ht="15" hidden="false" customHeight="false" outlineLevel="0" collapsed="false">
      <c r="A1298" s="0" t="n">
        <v>31</v>
      </c>
      <c r="B1298" s="0" t="n">
        <v>22</v>
      </c>
      <c r="C1298" s="0" t="n">
        <f aca="false">-1+A1298*0.05</f>
        <v>0.55</v>
      </c>
      <c r="D1298" s="0" t="n">
        <f aca="false">-1+B1298*0.05</f>
        <v>0.1</v>
      </c>
      <c r="E1298" s="0" t="n">
        <f aca="false">1</f>
        <v>1</v>
      </c>
      <c r="F1298" s="0" t="n">
        <f aca="false">C1298</f>
        <v>0.55</v>
      </c>
      <c r="G1298" s="0" t="n">
        <f aca="false">D1298</f>
        <v>0.1</v>
      </c>
      <c r="H1298" s="0" t="n">
        <f aca="false">C1298*D1298</f>
        <v>0.0550000000000001</v>
      </c>
      <c r="I1298" s="0" t="n">
        <f aca="false">C1298*C1298</f>
        <v>0.3025</v>
      </c>
      <c r="J1298" s="0" t="n">
        <f aca="false">D1298*D1298</f>
        <v>0.01</v>
      </c>
      <c r="K1298" s="0" t="n">
        <f aca="false">SUMPRODUCT(E1298:J1298,_XtX!$B$53:$G$53)</f>
        <v>48.6279942528736</v>
      </c>
      <c r="L1298" s="0" t="n">
        <f aca="false">SUMPRODUCT(MMULT(E1298:J1298,_XtX!$B$44:$G$49),E1298:J1298)</f>
        <v>0.192931501436782</v>
      </c>
      <c r="M1298" s="0" t="n">
        <f aca="false">04_回帰ANOVA!$K$19*04_回帰ANOVA!$K$14*SQRT(1+L1298)</f>
        <v>1.48007705445879</v>
      </c>
      <c r="N1298" s="0" t="n">
        <f aca="false">K1298-M1298</f>
        <v>47.1479171984148</v>
      </c>
      <c r="O1298" s="0" t="n">
        <f aca="false">K1298+M1298</f>
        <v>50.1080713073323</v>
      </c>
      <c r="P1298" s="54" t="b">
        <f aca="false">AND(C1298&gt;=01_因子設定!$L$5-0.000000001,C1298&lt;=01_因子設定!$M$5+0.000000001,D1298&gt;=01_因子設定!$L$6-0.000000001,D1298&lt;=01_因子設定!$M$6+0.000000001,IF(01_因子設定!$B$20="Box-Behnken",C1298^2+D1298^2&lt;=2+0.000000001,TRUE()))</f>
        <v>1</v>
      </c>
      <c r="Q1298" s="55" t="n">
        <f aca="false">IF(P1298,IF(01_因子設定!$B$13="最大化",N1298-01_因子設定!$B$14,IF(01_因子設定!$B$13="最小化",01_因子設定!$B$15-O1298,MIN(N1298-01_因子設定!$B$14,01_因子設定!$B$15-O1298))),-1E+030)</f>
        <v>0.647917198414767</v>
      </c>
      <c r="R1298" s="55" t="n">
        <f aca="false">IF(P1298,IF(01_因子設定!$B$13="最大化",K1298,IF(01_因子設定!$B$13="最小化",-K1298,-ABS(K1298-01_因子設定!$B$16))),-1E+030)</f>
        <v>48.6279942528736</v>
      </c>
      <c r="S1298" s="55" t="n">
        <f aca="false">Q1298+ROW()*0.000000001</f>
        <v>0.647918496414767</v>
      </c>
      <c r="T1298" s="55" t="n">
        <f aca="false">R1298+ROW()*0.000000001</f>
        <v>48.6279955508736</v>
      </c>
    </row>
    <row r="1299" customFormat="false" ht="15" hidden="false" customHeight="false" outlineLevel="0" collapsed="false">
      <c r="A1299" s="0" t="n">
        <v>31</v>
      </c>
      <c r="B1299" s="0" t="n">
        <v>23</v>
      </c>
      <c r="C1299" s="0" t="n">
        <f aca="false">-1+A1299*0.05</f>
        <v>0.55</v>
      </c>
      <c r="D1299" s="0" t="n">
        <f aca="false">-1+B1299*0.05</f>
        <v>0.15</v>
      </c>
      <c r="E1299" s="0" t="n">
        <f aca="false">1</f>
        <v>1</v>
      </c>
      <c r="F1299" s="0" t="n">
        <f aca="false">C1299</f>
        <v>0.55</v>
      </c>
      <c r="G1299" s="0" t="n">
        <f aca="false">D1299</f>
        <v>0.15</v>
      </c>
      <c r="H1299" s="0" t="n">
        <f aca="false">C1299*D1299</f>
        <v>0.0825000000000001</v>
      </c>
      <c r="I1299" s="0" t="n">
        <f aca="false">C1299*C1299</f>
        <v>0.3025</v>
      </c>
      <c r="J1299" s="0" t="n">
        <f aca="false">D1299*D1299</f>
        <v>0.0225</v>
      </c>
      <c r="K1299" s="0" t="n">
        <f aca="false">SUMPRODUCT(E1299:J1299,_XtX!$B$53:$G$53)</f>
        <v>48.7356429597701</v>
      </c>
      <c r="L1299" s="0" t="n">
        <f aca="false">SUMPRODUCT(MMULT(E1299:J1299,_XtX!$B$44:$G$49),E1299:J1299)</f>
        <v>0.192477927442529</v>
      </c>
      <c r="M1299" s="0" t="n">
        <f aca="false">04_回帰ANOVA!$K$19*04_回帰ANOVA!$K$14*SQRT(1+L1299)</f>
        <v>1.47979565176085</v>
      </c>
      <c r="N1299" s="0" t="n">
        <f aca="false">K1299-M1299</f>
        <v>47.2558473080093</v>
      </c>
      <c r="O1299" s="0" t="n">
        <f aca="false">K1299+M1299</f>
        <v>50.215438611531</v>
      </c>
      <c r="P1299" s="54" t="b">
        <f aca="false">AND(C1299&gt;=01_因子設定!$L$5-0.000000001,C1299&lt;=01_因子設定!$M$5+0.000000001,D1299&gt;=01_因子設定!$L$6-0.000000001,D1299&lt;=01_因子設定!$M$6+0.000000001,IF(01_因子設定!$B$20="Box-Behnken",C1299^2+D1299^2&lt;=2+0.000000001,TRUE()))</f>
        <v>1</v>
      </c>
      <c r="Q1299" s="55" t="n">
        <f aca="false">IF(P1299,IF(01_因子設定!$B$13="最大化",N1299-01_因子設定!$B$14,IF(01_因子設定!$B$13="最小化",01_因子設定!$B$15-O1299,MIN(N1299-01_因子設定!$B$14,01_因子設定!$B$15-O1299))),-1E+030)</f>
        <v>0.755847308009265</v>
      </c>
      <c r="R1299" s="55" t="n">
        <f aca="false">IF(P1299,IF(01_因子設定!$B$13="最大化",K1299,IF(01_因子設定!$B$13="最小化",-K1299,-ABS(K1299-01_因子設定!$B$16))),-1E+030)</f>
        <v>48.7356429597701</v>
      </c>
      <c r="S1299" s="55" t="n">
        <f aca="false">Q1299+ROW()*0.000000001</f>
        <v>0.755848607009265</v>
      </c>
      <c r="T1299" s="55" t="n">
        <f aca="false">R1299+ROW()*0.000000001</f>
        <v>48.7356442587701</v>
      </c>
    </row>
    <row r="1300" customFormat="false" ht="15" hidden="false" customHeight="false" outlineLevel="0" collapsed="false">
      <c r="A1300" s="0" t="n">
        <v>31</v>
      </c>
      <c r="B1300" s="0" t="n">
        <v>24</v>
      </c>
      <c r="C1300" s="0" t="n">
        <f aca="false">-1+A1300*0.05</f>
        <v>0.55</v>
      </c>
      <c r="D1300" s="0" t="n">
        <f aca="false">-1+B1300*0.05</f>
        <v>0.2</v>
      </c>
      <c r="E1300" s="0" t="n">
        <f aca="false">1</f>
        <v>1</v>
      </c>
      <c r="F1300" s="0" t="n">
        <f aca="false">C1300</f>
        <v>0.55</v>
      </c>
      <c r="G1300" s="0" t="n">
        <f aca="false">D1300</f>
        <v>0.2</v>
      </c>
      <c r="H1300" s="0" t="n">
        <f aca="false">C1300*D1300</f>
        <v>0.11</v>
      </c>
      <c r="I1300" s="0" t="n">
        <f aca="false">C1300*C1300</f>
        <v>0.3025</v>
      </c>
      <c r="J1300" s="0" t="n">
        <f aca="false">D1300*D1300</f>
        <v>0.0400000000000001</v>
      </c>
      <c r="K1300" s="0" t="n">
        <f aca="false">SUMPRODUCT(E1300:J1300,_XtX!$B$53:$G$53)</f>
        <v>48.8355761494253</v>
      </c>
      <c r="L1300" s="0" t="n">
        <f aca="false">SUMPRODUCT(MMULT(E1300:J1300,_XtX!$B$44:$G$49),E1300:J1300)</f>
        <v>0.192033010057471</v>
      </c>
      <c r="M1300" s="0" t="n">
        <f aca="false">04_回帰ANOVA!$K$19*04_回帰ANOVA!$K$14*SQRT(1+L1300)</f>
        <v>1.47951956772622</v>
      </c>
      <c r="N1300" s="0" t="n">
        <f aca="false">K1300-M1300</f>
        <v>47.3560565816991</v>
      </c>
      <c r="O1300" s="0" t="n">
        <f aca="false">K1300+M1300</f>
        <v>50.3150957171515</v>
      </c>
      <c r="P1300" s="54" t="b">
        <f aca="false">AND(C1300&gt;=01_因子設定!$L$5-0.000000001,C1300&lt;=01_因子設定!$M$5+0.000000001,D1300&gt;=01_因子設定!$L$6-0.000000001,D1300&lt;=01_因子設定!$M$6+0.000000001,IF(01_因子設定!$B$20="Box-Behnken",C1300^2+D1300^2&lt;=2+0.000000001,TRUE()))</f>
        <v>1</v>
      </c>
      <c r="Q1300" s="55" t="n">
        <f aca="false">IF(P1300,IF(01_因子設定!$B$13="最大化",N1300-01_因子設定!$B$14,IF(01_因子設定!$B$13="最小化",01_因子設定!$B$15-O1300,MIN(N1300-01_因子設定!$B$14,01_因子設定!$B$15-O1300))),-1E+030)</f>
        <v>0.856056581699058</v>
      </c>
      <c r="R1300" s="55" t="n">
        <f aca="false">IF(P1300,IF(01_因子設定!$B$13="最大化",K1300,IF(01_因子設定!$B$13="最小化",-K1300,-ABS(K1300-01_因子設定!$B$16))),-1E+030)</f>
        <v>48.8355761494253</v>
      </c>
      <c r="S1300" s="55" t="n">
        <f aca="false">Q1300+ROW()*0.000000001</f>
        <v>0.856057881699058</v>
      </c>
      <c r="T1300" s="55" t="n">
        <f aca="false">R1300+ROW()*0.000000001</f>
        <v>48.8355774494253</v>
      </c>
    </row>
    <row r="1301" customFormat="false" ht="15" hidden="false" customHeight="false" outlineLevel="0" collapsed="false">
      <c r="A1301" s="0" t="n">
        <v>31</v>
      </c>
      <c r="B1301" s="0" t="n">
        <v>25</v>
      </c>
      <c r="C1301" s="0" t="n">
        <f aca="false">-1+A1301*0.05</f>
        <v>0.55</v>
      </c>
      <c r="D1301" s="0" t="n">
        <f aca="false">-1+B1301*0.05</f>
        <v>0.25</v>
      </c>
      <c r="E1301" s="0" t="n">
        <f aca="false">1</f>
        <v>1</v>
      </c>
      <c r="F1301" s="0" t="n">
        <f aca="false">C1301</f>
        <v>0.55</v>
      </c>
      <c r="G1301" s="0" t="n">
        <f aca="false">D1301</f>
        <v>0.25</v>
      </c>
      <c r="H1301" s="0" t="n">
        <f aca="false">C1301*D1301</f>
        <v>0.1375</v>
      </c>
      <c r="I1301" s="0" t="n">
        <f aca="false">C1301*C1301</f>
        <v>0.3025</v>
      </c>
      <c r="J1301" s="0" t="n">
        <f aca="false">D1301*D1301</f>
        <v>0.0625</v>
      </c>
      <c r="K1301" s="0" t="n">
        <f aca="false">SUMPRODUCT(E1301:J1301,_XtX!$B$53:$G$53)</f>
        <v>48.9277938218391</v>
      </c>
      <c r="L1301" s="0" t="n">
        <f aca="false">SUMPRODUCT(MMULT(E1301:J1301,_XtX!$B$44:$G$49),E1301:J1301)</f>
        <v>0.191786835488506</v>
      </c>
      <c r="M1301" s="0" t="n">
        <f aca="false">04_回帰ANOVA!$K$19*04_回帰ANOVA!$K$14*SQRT(1+L1301)</f>
        <v>1.47936678718445</v>
      </c>
      <c r="N1301" s="0" t="n">
        <f aca="false">K1301-M1301</f>
        <v>47.4484270346546</v>
      </c>
      <c r="O1301" s="0" t="n">
        <f aca="false">K1301+M1301</f>
        <v>50.4071606090235</v>
      </c>
      <c r="P1301" s="54" t="b">
        <f aca="false">AND(C1301&gt;=01_因子設定!$L$5-0.000000001,C1301&lt;=01_因子設定!$M$5+0.000000001,D1301&gt;=01_因子設定!$L$6-0.000000001,D1301&lt;=01_因子設定!$M$6+0.000000001,IF(01_因子設定!$B$20="Box-Behnken",C1301^2+D1301^2&lt;=2+0.000000001,TRUE()))</f>
        <v>1</v>
      </c>
      <c r="Q1301" s="55" t="n">
        <f aca="false">IF(P1301,IF(01_因子設定!$B$13="最大化",N1301-01_因子設定!$B$14,IF(01_因子設定!$B$13="最小化",01_因子設定!$B$15-O1301,MIN(N1301-01_因子設定!$B$14,01_因子設定!$B$15-O1301))),-1E+030)</f>
        <v>0.948427034654628</v>
      </c>
      <c r="R1301" s="55" t="n">
        <f aca="false">IF(P1301,IF(01_因子設定!$B$13="最大化",K1301,IF(01_因子設定!$B$13="最小化",-K1301,-ABS(K1301-01_因子設定!$B$16))),-1E+030)</f>
        <v>48.9277938218391</v>
      </c>
      <c r="S1301" s="55" t="n">
        <f aca="false">Q1301+ROW()*0.000000001</f>
        <v>0.948428335654628</v>
      </c>
      <c r="T1301" s="55" t="n">
        <f aca="false">R1301+ROW()*0.000000001</f>
        <v>48.9277951228391</v>
      </c>
    </row>
    <row r="1302" customFormat="false" ht="15" hidden="false" customHeight="false" outlineLevel="0" collapsed="false">
      <c r="A1302" s="0" t="n">
        <v>31</v>
      </c>
      <c r="B1302" s="0" t="n">
        <v>26</v>
      </c>
      <c r="C1302" s="0" t="n">
        <f aca="false">-1+A1302*0.05</f>
        <v>0.55</v>
      </c>
      <c r="D1302" s="0" t="n">
        <f aca="false">-1+B1302*0.05</f>
        <v>0.3</v>
      </c>
      <c r="E1302" s="0" t="n">
        <f aca="false">1</f>
        <v>1</v>
      </c>
      <c r="F1302" s="0" t="n">
        <f aca="false">C1302</f>
        <v>0.55</v>
      </c>
      <c r="G1302" s="0" t="n">
        <f aca="false">D1302</f>
        <v>0.3</v>
      </c>
      <c r="H1302" s="0" t="n">
        <f aca="false">C1302*D1302</f>
        <v>0.165</v>
      </c>
      <c r="I1302" s="0" t="n">
        <f aca="false">C1302*C1302</f>
        <v>0.3025</v>
      </c>
      <c r="J1302" s="0" t="n">
        <f aca="false">D1302*D1302</f>
        <v>0.09</v>
      </c>
      <c r="K1302" s="0" t="n">
        <f aca="false">SUMPRODUCT(E1302:J1302,_XtX!$B$53:$G$53)</f>
        <v>49.0122959770115</v>
      </c>
      <c r="L1302" s="0" t="n">
        <f aca="false">SUMPRODUCT(MMULT(E1302:J1302,_XtX!$B$44:$G$49),E1302:J1302)</f>
        <v>0.191983800287356</v>
      </c>
      <c r="M1302" s="0" t="n">
        <f aca="false">04_回帰ANOVA!$K$19*04_回帰ANOVA!$K$14*SQRT(1+L1302)</f>
        <v>1.47948902848418</v>
      </c>
      <c r="N1302" s="0" t="n">
        <f aca="false">K1302-M1302</f>
        <v>47.5328069485273</v>
      </c>
      <c r="O1302" s="0" t="n">
        <f aca="false">K1302+M1302</f>
        <v>50.4917850054957</v>
      </c>
      <c r="P1302" s="54" t="b">
        <f aca="false">AND(C1302&gt;=01_因子設定!$L$5-0.000000001,C1302&lt;=01_因子設定!$M$5+0.000000001,D1302&gt;=01_因子設定!$L$6-0.000000001,D1302&lt;=01_因子設定!$M$6+0.000000001,IF(01_因子設定!$B$20="Box-Behnken",C1302^2+D1302^2&lt;=2+0.000000001,TRUE()))</f>
        <v>1</v>
      </c>
      <c r="Q1302" s="55" t="n">
        <f aca="false">IF(P1302,IF(01_因子設定!$B$13="最大化",N1302-01_因子設定!$B$14,IF(01_因子設定!$B$13="最小化",01_因子設定!$B$15-O1302,MIN(N1302-01_因子設定!$B$14,01_因子設定!$B$15-O1302))),-1E+030)</f>
        <v>1.0328069485273</v>
      </c>
      <c r="R1302" s="55" t="n">
        <f aca="false">IF(P1302,IF(01_因子設定!$B$13="最大化",K1302,IF(01_因子設定!$B$13="最小化",-K1302,-ABS(K1302-01_因子設定!$B$16))),-1E+030)</f>
        <v>49.0122959770115</v>
      </c>
      <c r="S1302" s="55" t="n">
        <f aca="false">Q1302+ROW()*0.000000001</f>
        <v>1.0328082505273</v>
      </c>
      <c r="T1302" s="55" t="n">
        <f aca="false">R1302+ROW()*0.000000001</f>
        <v>49.0122972790115</v>
      </c>
    </row>
    <row r="1303" customFormat="false" ht="15" hidden="false" customHeight="false" outlineLevel="0" collapsed="false">
      <c r="A1303" s="0" t="n">
        <v>31</v>
      </c>
      <c r="B1303" s="0" t="n">
        <v>27</v>
      </c>
      <c r="C1303" s="0" t="n">
        <f aca="false">-1+A1303*0.05</f>
        <v>0.55</v>
      </c>
      <c r="D1303" s="0" t="n">
        <f aca="false">-1+B1303*0.05</f>
        <v>0.35</v>
      </c>
      <c r="E1303" s="0" t="n">
        <f aca="false">1</f>
        <v>1</v>
      </c>
      <c r="F1303" s="0" t="n">
        <f aca="false">C1303</f>
        <v>0.55</v>
      </c>
      <c r="G1303" s="0" t="n">
        <f aca="false">D1303</f>
        <v>0.35</v>
      </c>
      <c r="H1303" s="0" t="n">
        <f aca="false">C1303*D1303</f>
        <v>0.1925</v>
      </c>
      <c r="I1303" s="0" t="n">
        <f aca="false">C1303*C1303</f>
        <v>0.3025</v>
      </c>
      <c r="J1303" s="0" t="n">
        <f aca="false">D1303*D1303</f>
        <v>0.1225</v>
      </c>
      <c r="K1303" s="0" t="n">
        <f aca="false">SUMPRODUCT(E1303:J1303,_XtX!$B$53:$G$53)</f>
        <v>49.0890826149425</v>
      </c>
      <c r="L1303" s="0" t="n">
        <f aca="false">SUMPRODUCT(MMULT(E1303:J1303,_XtX!$B$44:$G$49),E1303:J1303)</f>
        <v>0.192922611350575</v>
      </c>
      <c r="M1303" s="0" t="n">
        <f aca="false">04_回帰ANOVA!$K$19*04_回帰ANOVA!$K$14*SQRT(1+L1303)</f>
        <v>1.48007153945768</v>
      </c>
      <c r="N1303" s="0" t="n">
        <f aca="false">K1303-M1303</f>
        <v>47.6090110754848</v>
      </c>
      <c r="O1303" s="0" t="n">
        <f aca="false">K1303+M1303</f>
        <v>50.5691541544002</v>
      </c>
      <c r="P1303" s="54" t="b">
        <f aca="false">AND(C1303&gt;=01_因子設定!$L$5-0.000000001,C1303&lt;=01_因子設定!$M$5+0.000000001,D1303&gt;=01_因子設定!$L$6-0.000000001,D1303&lt;=01_因子設定!$M$6+0.000000001,IF(01_因子設定!$B$20="Box-Behnken",C1303^2+D1303^2&lt;=2+0.000000001,TRUE()))</f>
        <v>1</v>
      </c>
      <c r="Q1303" s="55" t="n">
        <f aca="false">IF(P1303,IF(01_因子設定!$B$13="最大化",N1303-01_因子設定!$B$14,IF(01_因子設定!$B$13="最小化",01_因子設定!$B$15-O1303,MIN(N1303-01_因子設定!$B$14,01_因子設定!$B$15-O1303))),-1E+030)</f>
        <v>1.10901107548484</v>
      </c>
      <c r="R1303" s="55" t="n">
        <f aca="false">IF(P1303,IF(01_因子設定!$B$13="最大化",K1303,IF(01_因子設定!$B$13="最小化",-K1303,-ABS(K1303-01_因子設定!$B$16))),-1E+030)</f>
        <v>49.0890826149425</v>
      </c>
      <c r="S1303" s="55" t="n">
        <f aca="false">Q1303+ROW()*0.000000001</f>
        <v>1.10901237848484</v>
      </c>
      <c r="T1303" s="55" t="n">
        <f aca="false">R1303+ROW()*0.000000001</f>
        <v>49.0890839179425</v>
      </c>
    </row>
    <row r="1304" customFormat="false" ht="15" hidden="false" customHeight="false" outlineLevel="0" collapsed="false">
      <c r="A1304" s="0" t="n">
        <v>31</v>
      </c>
      <c r="B1304" s="0" t="n">
        <v>28</v>
      </c>
      <c r="C1304" s="0" t="n">
        <f aca="false">-1+A1304*0.05</f>
        <v>0.55</v>
      </c>
      <c r="D1304" s="0" t="n">
        <f aca="false">-1+B1304*0.05</f>
        <v>0.4</v>
      </c>
      <c r="E1304" s="0" t="n">
        <f aca="false">1</f>
        <v>1</v>
      </c>
      <c r="F1304" s="0" t="n">
        <f aca="false">C1304</f>
        <v>0.55</v>
      </c>
      <c r="G1304" s="0" t="n">
        <f aca="false">D1304</f>
        <v>0.4</v>
      </c>
      <c r="H1304" s="0" t="n">
        <f aca="false">C1304*D1304</f>
        <v>0.22</v>
      </c>
      <c r="I1304" s="0" t="n">
        <f aca="false">C1304*C1304</f>
        <v>0.3025</v>
      </c>
      <c r="J1304" s="0" t="n">
        <f aca="false">D1304*D1304</f>
        <v>0.16</v>
      </c>
      <c r="K1304" s="0" t="n">
        <f aca="false">SUMPRODUCT(E1304:J1304,_XtX!$B$53:$G$53)</f>
        <v>49.1581537356322</v>
      </c>
      <c r="L1304" s="0" t="n">
        <f aca="false">SUMPRODUCT(MMULT(E1304:J1304,_XtX!$B$44:$G$49),E1304:J1304)</f>
        <v>0.19495628591954</v>
      </c>
      <c r="M1304" s="0" t="n">
        <f aca="false">04_回帰ANOVA!$K$19*04_回帰ANOVA!$K$14*SQRT(1+L1304)</f>
        <v>1.48133260286245</v>
      </c>
      <c r="N1304" s="0" t="n">
        <f aca="false">K1304-M1304</f>
        <v>47.6768211327697</v>
      </c>
      <c r="O1304" s="0" t="n">
        <f aca="false">K1304+M1304</f>
        <v>50.6394863384946</v>
      </c>
      <c r="P1304" s="54" t="b">
        <f aca="false">AND(C1304&gt;=01_因子設定!$L$5-0.000000001,C1304&lt;=01_因子設定!$M$5+0.000000001,D1304&gt;=01_因子設定!$L$6-0.000000001,D1304&lt;=01_因子設定!$M$6+0.000000001,IF(01_因子設定!$B$20="Box-Behnken",C1304^2+D1304^2&lt;=2+0.000000001,TRUE()))</f>
        <v>1</v>
      </c>
      <c r="Q1304" s="55" t="n">
        <f aca="false">IF(P1304,IF(01_因子設定!$B$13="最大化",N1304-01_因子設定!$B$14,IF(01_因子設定!$B$13="最小化",01_因子設定!$B$15-O1304,MIN(N1304-01_因子設定!$B$14,01_因子設定!$B$15-O1304))),-1E+030)</f>
        <v>1.17682113276972</v>
      </c>
      <c r="R1304" s="55" t="n">
        <f aca="false">IF(P1304,IF(01_因子設定!$B$13="最大化",K1304,IF(01_因子設定!$B$13="最小化",-K1304,-ABS(K1304-01_因子設定!$B$16))),-1E+030)</f>
        <v>49.1581537356322</v>
      </c>
      <c r="S1304" s="55" t="n">
        <f aca="false">Q1304+ROW()*0.000000001</f>
        <v>1.17682243676972</v>
      </c>
      <c r="T1304" s="55" t="n">
        <f aca="false">R1304+ROW()*0.000000001</f>
        <v>49.1581550396322</v>
      </c>
    </row>
    <row r="1305" customFormat="false" ht="15" hidden="false" customHeight="false" outlineLevel="0" collapsed="false">
      <c r="A1305" s="0" t="n">
        <v>31</v>
      </c>
      <c r="B1305" s="0" t="n">
        <v>29</v>
      </c>
      <c r="C1305" s="0" t="n">
        <f aca="false">-1+A1305*0.05</f>
        <v>0.55</v>
      </c>
      <c r="D1305" s="0" t="n">
        <f aca="false">-1+B1305*0.05</f>
        <v>0.45</v>
      </c>
      <c r="E1305" s="0" t="n">
        <f aca="false">1</f>
        <v>1</v>
      </c>
      <c r="F1305" s="0" t="n">
        <f aca="false">C1305</f>
        <v>0.55</v>
      </c>
      <c r="G1305" s="0" t="n">
        <f aca="false">D1305</f>
        <v>0.45</v>
      </c>
      <c r="H1305" s="0" t="n">
        <f aca="false">C1305*D1305</f>
        <v>0.2475</v>
      </c>
      <c r="I1305" s="0" t="n">
        <f aca="false">C1305*C1305</f>
        <v>0.3025</v>
      </c>
      <c r="J1305" s="0" t="n">
        <f aca="false">D1305*D1305</f>
        <v>0.2025</v>
      </c>
      <c r="K1305" s="0" t="n">
        <f aca="false">SUMPRODUCT(E1305:J1305,_XtX!$B$53:$G$53)</f>
        <v>49.2195093390805</v>
      </c>
      <c r="L1305" s="0" t="n">
        <f aca="false">SUMPRODUCT(MMULT(E1305:J1305,_XtX!$B$44:$G$49),E1305:J1305)</f>
        <v>0.19849215158046</v>
      </c>
      <c r="M1305" s="0" t="n">
        <f aca="false">04_回帰ANOVA!$K$19*04_回帰ANOVA!$K$14*SQRT(1+L1305)</f>
        <v>1.48352260940076</v>
      </c>
      <c r="N1305" s="0" t="n">
        <f aca="false">K1305-M1305</f>
        <v>47.7359867296797</v>
      </c>
      <c r="O1305" s="0" t="n">
        <f aca="false">K1305+M1305</f>
        <v>50.7030319484812</v>
      </c>
      <c r="P1305" s="54" t="b">
        <f aca="false">AND(C1305&gt;=01_因子設定!$L$5-0.000000001,C1305&lt;=01_因子設定!$M$5+0.000000001,D1305&gt;=01_因子設定!$L$6-0.000000001,D1305&lt;=01_因子設定!$M$6+0.000000001,IF(01_因子設定!$B$20="Box-Behnken",C1305^2+D1305^2&lt;=2+0.000000001,TRUE()))</f>
        <v>1</v>
      </c>
      <c r="Q1305" s="55" t="n">
        <f aca="false">IF(P1305,IF(01_因子設定!$B$13="最大化",N1305-01_因子設定!$B$14,IF(01_因子設定!$B$13="最小化",01_因子設定!$B$15-O1305,MIN(N1305-01_因子設定!$B$14,01_因子設定!$B$15-O1305))),-1E+030)</f>
        <v>1.2359867296797</v>
      </c>
      <c r="R1305" s="55" t="n">
        <f aca="false">IF(P1305,IF(01_因子設定!$B$13="最大化",K1305,IF(01_因子設定!$B$13="最小化",-K1305,-ABS(K1305-01_因子設定!$B$16))),-1E+030)</f>
        <v>49.2195093390805</v>
      </c>
      <c r="S1305" s="55" t="n">
        <f aca="false">Q1305+ROW()*0.000000001</f>
        <v>1.2359880346797</v>
      </c>
      <c r="T1305" s="55" t="n">
        <f aca="false">R1305+ROW()*0.000000001</f>
        <v>49.2195106440805</v>
      </c>
    </row>
    <row r="1306" customFormat="false" ht="15" hidden="false" customHeight="false" outlineLevel="0" collapsed="false">
      <c r="A1306" s="0" t="n">
        <v>31</v>
      </c>
      <c r="B1306" s="0" t="n">
        <v>30</v>
      </c>
      <c r="C1306" s="0" t="n">
        <f aca="false">-1+A1306*0.05</f>
        <v>0.55</v>
      </c>
      <c r="D1306" s="0" t="n">
        <f aca="false">-1+B1306*0.05</f>
        <v>0.5</v>
      </c>
      <c r="E1306" s="0" t="n">
        <f aca="false">1</f>
        <v>1</v>
      </c>
      <c r="F1306" s="0" t="n">
        <f aca="false">C1306</f>
        <v>0.55</v>
      </c>
      <c r="G1306" s="0" t="n">
        <f aca="false">D1306</f>
        <v>0.5</v>
      </c>
      <c r="H1306" s="0" t="n">
        <f aca="false">C1306*D1306</f>
        <v>0.275</v>
      </c>
      <c r="I1306" s="0" t="n">
        <f aca="false">C1306*C1306</f>
        <v>0.3025</v>
      </c>
      <c r="J1306" s="0" t="n">
        <f aca="false">D1306*D1306</f>
        <v>0.25</v>
      </c>
      <c r="K1306" s="0" t="n">
        <f aca="false">SUMPRODUCT(E1306:J1306,_XtX!$B$53:$G$53)</f>
        <v>49.2731494252874</v>
      </c>
      <c r="L1306" s="0" t="n">
        <f aca="false">SUMPRODUCT(MMULT(E1306:J1306,_XtX!$B$44:$G$49),E1306:J1306)</f>
        <v>0.203991846264368</v>
      </c>
      <c r="M1306" s="0" t="n">
        <f aca="false">04_回帰ANOVA!$K$19*04_回帰ANOVA!$K$14*SQRT(1+L1306)</f>
        <v>1.48692254105892</v>
      </c>
      <c r="N1306" s="0" t="n">
        <f aca="false">K1306-M1306</f>
        <v>47.7862268842284</v>
      </c>
      <c r="O1306" s="0" t="n">
        <f aca="false">K1306+M1306</f>
        <v>50.7600719663463</v>
      </c>
      <c r="P1306" s="54" t="b">
        <f aca="false">AND(C1306&gt;=01_因子設定!$L$5-0.000000001,C1306&lt;=01_因子設定!$M$5+0.000000001,D1306&gt;=01_因子設定!$L$6-0.000000001,D1306&lt;=01_因子設定!$M$6+0.000000001,IF(01_因子設定!$B$20="Box-Behnken",C1306^2+D1306^2&lt;=2+0.000000001,TRUE()))</f>
        <v>1</v>
      </c>
      <c r="Q1306" s="55" t="n">
        <f aca="false">IF(P1306,IF(01_因子設定!$B$13="最大化",N1306-01_因子設定!$B$14,IF(01_因子設定!$B$13="最小化",01_因子設定!$B$15-O1306,MIN(N1306-01_因子設定!$B$14,01_因子設定!$B$15-O1306))),-1E+030)</f>
        <v>1.28622688422843</v>
      </c>
      <c r="R1306" s="55" t="n">
        <f aca="false">IF(P1306,IF(01_因子設定!$B$13="最大化",K1306,IF(01_因子設定!$B$13="最小化",-K1306,-ABS(K1306-01_因子設定!$B$16))),-1E+030)</f>
        <v>49.2731494252874</v>
      </c>
      <c r="S1306" s="55" t="n">
        <f aca="false">Q1306+ROW()*0.000000001</f>
        <v>1.28622819022843</v>
      </c>
      <c r="T1306" s="55" t="n">
        <f aca="false">R1306+ROW()*0.000000001</f>
        <v>49.2731507312874</v>
      </c>
    </row>
    <row r="1307" customFormat="false" ht="15" hidden="false" customHeight="false" outlineLevel="0" collapsed="false">
      <c r="A1307" s="0" t="n">
        <v>31</v>
      </c>
      <c r="B1307" s="0" t="n">
        <v>31</v>
      </c>
      <c r="C1307" s="0" t="n">
        <f aca="false">-1+A1307*0.05</f>
        <v>0.55</v>
      </c>
      <c r="D1307" s="0" t="n">
        <f aca="false">-1+B1307*0.05</f>
        <v>0.55</v>
      </c>
      <c r="E1307" s="0" t="n">
        <f aca="false">1</f>
        <v>1</v>
      </c>
      <c r="F1307" s="0" t="n">
        <f aca="false">C1307</f>
        <v>0.55</v>
      </c>
      <c r="G1307" s="0" t="n">
        <f aca="false">D1307</f>
        <v>0.55</v>
      </c>
      <c r="H1307" s="0" t="n">
        <f aca="false">C1307*D1307</f>
        <v>0.3025</v>
      </c>
      <c r="I1307" s="0" t="n">
        <f aca="false">C1307*C1307</f>
        <v>0.3025</v>
      </c>
      <c r="J1307" s="0" t="n">
        <f aca="false">D1307*D1307</f>
        <v>0.3025</v>
      </c>
      <c r="K1307" s="0" t="n">
        <f aca="false">SUMPRODUCT(E1307:J1307,_XtX!$B$53:$G$53)</f>
        <v>49.3190739942529</v>
      </c>
      <c r="L1307" s="0" t="n">
        <f aca="false">SUMPRODUCT(MMULT(E1307:J1307,_XtX!$B$44:$G$49),E1307:J1307)</f>
        <v>0.211971318247126</v>
      </c>
      <c r="M1307" s="0" t="n">
        <f aca="false">04_回帰ANOVA!$K$19*04_回帰ANOVA!$K$14*SQRT(1+L1307)</f>
        <v>1.49184170352873</v>
      </c>
      <c r="N1307" s="0" t="n">
        <f aca="false">K1307-M1307</f>
        <v>47.8272322907241</v>
      </c>
      <c r="O1307" s="0" t="n">
        <f aca="false">K1307+M1307</f>
        <v>50.8109156977816</v>
      </c>
      <c r="P1307" s="54" t="b">
        <f aca="false">AND(C1307&gt;=01_因子設定!$L$5-0.000000001,C1307&lt;=01_因子設定!$M$5+0.000000001,D1307&gt;=01_因子設定!$L$6-0.000000001,D1307&lt;=01_因子設定!$M$6+0.000000001,IF(01_因子設定!$B$20="Box-Behnken",C1307^2+D1307^2&lt;=2+0.000000001,TRUE()))</f>
        <v>1</v>
      </c>
      <c r="Q1307" s="55" t="n">
        <f aca="false">IF(P1307,IF(01_因子設定!$B$13="最大化",N1307-01_因子設定!$B$14,IF(01_因子設定!$B$13="最小化",01_因子設定!$B$15-O1307,MIN(N1307-01_因子設定!$B$14,01_因子設定!$B$15-O1307))),-1E+030)</f>
        <v>1.32723229072414</v>
      </c>
      <c r="R1307" s="55" t="n">
        <f aca="false">IF(P1307,IF(01_因子設定!$B$13="最大化",K1307,IF(01_因子設定!$B$13="最小化",-K1307,-ABS(K1307-01_因子設定!$B$16))),-1E+030)</f>
        <v>49.3190739942529</v>
      </c>
      <c r="S1307" s="55" t="n">
        <f aca="false">Q1307+ROW()*0.000000001</f>
        <v>1.32723359772414</v>
      </c>
      <c r="T1307" s="55" t="n">
        <f aca="false">R1307+ROW()*0.000000001</f>
        <v>49.3190753012529</v>
      </c>
    </row>
    <row r="1308" customFormat="false" ht="15" hidden="false" customHeight="false" outlineLevel="0" collapsed="false">
      <c r="A1308" s="0" t="n">
        <v>31</v>
      </c>
      <c r="B1308" s="0" t="n">
        <v>32</v>
      </c>
      <c r="C1308" s="0" t="n">
        <f aca="false">-1+A1308*0.05</f>
        <v>0.55</v>
      </c>
      <c r="D1308" s="0" t="n">
        <f aca="false">-1+B1308*0.05</f>
        <v>0.6</v>
      </c>
      <c r="E1308" s="0" t="n">
        <f aca="false">1</f>
        <v>1</v>
      </c>
      <c r="F1308" s="0" t="n">
        <f aca="false">C1308</f>
        <v>0.55</v>
      </c>
      <c r="G1308" s="0" t="n">
        <f aca="false">D1308</f>
        <v>0.6</v>
      </c>
      <c r="H1308" s="0" t="n">
        <f aca="false">C1308*D1308</f>
        <v>0.33</v>
      </c>
      <c r="I1308" s="0" t="n">
        <f aca="false">C1308*C1308</f>
        <v>0.3025</v>
      </c>
      <c r="J1308" s="0" t="n">
        <f aca="false">D1308*D1308</f>
        <v>0.36</v>
      </c>
      <c r="K1308" s="0" t="n">
        <f aca="false">SUMPRODUCT(E1308:J1308,_XtX!$B$53:$G$53)</f>
        <v>49.357283045977</v>
      </c>
      <c r="L1308" s="0" t="n">
        <f aca="false">SUMPRODUCT(MMULT(E1308:J1308,_XtX!$B$44:$G$49),E1308:J1308)</f>
        <v>0.223000826149425</v>
      </c>
      <c r="M1308" s="0" t="n">
        <f aca="false">04_回帰ANOVA!$K$19*04_回帰ANOVA!$K$14*SQRT(1+L1308)</f>
        <v>1.49861455927642</v>
      </c>
      <c r="N1308" s="0" t="n">
        <f aca="false">K1308-M1308</f>
        <v>47.8586684867006</v>
      </c>
      <c r="O1308" s="0" t="n">
        <f aca="false">K1308+M1308</f>
        <v>50.8558976052534</v>
      </c>
      <c r="P1308" s="54" t="b">
        <f aca="false">AND(C1308&gt;=01_因子設定!$L$5-0.000000001,C1308&lt;=01_因子設定!$M$5+0.000000001,D1308&gt;=01_因子設定!$L$6-0.000000001,D1308&lt;=01_因子設定!$M$6+0.000000001,IF(01_因子設定!$B$20="Box-Behnken",C1308^2+D1308^2&lt;=2+0.000000001,TRUE()))</f>
        <v>1</v>
      </c>
      <c r="Q1308" s="55" t="n">
        <f aca="false">IF(P1308,IF(01_因子設定!$B$13="最大化",N1308-01_因子設定!$B$14,IF(01_因子設定!$B$13="最小化",01_因子設定!$B$15-O1308,MIN(N1308-01_因子設定!$B$14,01_因子設定!$B$15-O1308))),-1E+030)</f>
        <v>1.35866848670059</v>
      </c>
      <c r="R1308" s="55" t="n">
        <f aca="false">IF(P1308,IF(01_因子設定!$B$13="最大化",K1308,IF(01_因子設定!$B$13="最小化",-K1308,-ABS(K1308-01_因子設定!$B$16))),-1E+030)</f>
        <v>49.357283045977</v>
      </c>
      <c r="S1308" s="55" t="n">
        <f aca="false">Q1308+ROW()*0.000000001</f>
        <v>1.35866979470059</v>
      </c>
      <c r="T1308" s="55" t="n">
        <f aca="false">R1308+ROW()*0.000000001</f>
        <v>49.357284353977</v>
      </c>
    </row>
    <row r="1309" customFormat="false" ht="15" hidden="false" customHeight="false" outlineLevel="0" collapsed="false">
      <c r="A1309" s="0" t="n">
        <v>31</v>
      </c>
      <c r="B1309" s="0" t="n">
        <v>33</v>
      </c>
      <c r="C1309" s="0" t="n">
        <f aca="false">-1+A1309*0.05</f>
        <v>0.55</v>
      </c>
      <c r="D1309" s="0" t="n">
        <f aca="false">-1+B1309*0.05</f>
        <v>0.65</v>
      </c>
      <c r="E1309" s="0" t="n">
        <f aca="false">1</f>
        <v>1</v>
      </c>
      <c r="F1309" s="0" t="n">
        <f aca="false">C1309</f>
        <v>0.55</v>
      </c>
      <c r="G1309" s="0" t="n">
        <f aca="false">D1309</f>
        <v>0.65</v>
      </c>
      <c r="H1309" s="0" t="n">
        <f aca="false">C1309*D1309</f>
        <v>0.3575</v>
      </c>
      <c r="I1309" s="0" t="n">
        <f aca="false">C1309*C1309</f>
        <v>0.3025</v>
      </c>
      <c r="J1309" s="0" t="n">
        <f aca="false">D1309*D1309</f>
        <v>0.4225</v>
      </c>
      <c r="K1309" s="0" t="n">
        <f aca="false">SUMPRODUCT(E1309:J1309,_XtX!$B$53:$G$53)</f>
        <v>49.3877765804598</v>
      </c>
      <c r="L1309" s="0" t="n">
        <f aca="false">SUMPRODUCT(MMULT(E1309:J1309,_XtX!$B$44:$G$49),E1309:J1309)</f>
        <v>0.237704938936782</v>
      </c>
      <c r="M1309" s="0" t="n">
        <f aca="false">04_回帰ANOVA!$K$19*04_回帰ANOVA!$K$14*SQRT(1+L1309)</f>
        <v>1.5075965477804</v>
      </c>
      <c r="N1309" s="0" t="n">
        <f aca="false">K1309-M1309</f>
        <v>47.8801800326794</v>
      </c>
      <c r="O1309" s="0" t="n">
        <f aca="false">K1309+M1309</f>
        <v>50.8953731282402</v>
      </c>
      <c r="P1309" s="54" t="b">
        <f aca="false">AND(C1309&gt;=01_因子設定!$L$5-0.000000001,C1309&lt;=01_因子設定!$M$5+0.000000001,D1309&gt;=01_因子設定!$L$6-0.000000001,D1309&lt;=01_因子設定!$M$6+0.000000001,IF(01_因子設定!$B$20="Box-Behnken",C1309^2+D1309^2&lt;=2+0.000000001,TRUE()))</f>
        <v>1</v>
      </c>
      <c r="Q1309" s="55" t="n">
        <f aca="false">IF(P1309,IF(01_因子設定!$B$13="最大化",N1309-01_因子設定!$B$14,IF(01_因子設定!$B$13="最小化",01_因子設定!$B$15-O1309,MIN(N1309-01_因子設定!$B$14,01_因子設定!$B$15-O1309))),-1E+030)</f>
        <v>1.38018003267937</v>
      </c>
      <c r="R1309" s="55" t="n">
        <f aca="false">IF(P1309,IF(01_因子設定!$B$13="最大化",K1309,IF(01_因子設定!$B$13="最小化",-K1309,-ABS(K1309-01_因子設定!$B$16))),-1E+030)</f>
        <v>49.3877765804598</v>
      </c>
      <c r="S1309" s="55" t="n">
        <f aca="false">Q1309+ROW()*0.000000001</f>
        <v>1.38018134167937</v>
      </c>
      <c r="T1309" s="55" t="n">
        <f aca="false">R1309+ROW()*0.000000001</f>
        <v>49.3877778894598</v>
      </c>
    </row>
    <row r="1310" customFormat="false" ht="15" hidden="false" customHeight="false" outlineLevel="0" collapsed="false">
      <c r="A1310" s="0" t="n">
        <v>31</v>
      </c>
      <c r="B1310" s="0" t="n">
        <v>34</v>
      </c>
      <c r="C1310" s="0" t="n">
        <f aca="false">-1+A1310*0.05</f>
        <v>0.55</v>
      </c>
      <c r="D1310" s="0" t="n">
        <f aca="false">-1+B1310*0.05</f>
        <v>0.7</v>
      </c>
      <c r="E1310" s="0" t="n">
        <f aca="false">1</f>
        <v>1</v>
      </c>
      <c r="F1310" s="0" t="n">
        <f aca="false">C1310</f>
        <v>0.55</v>
      </c>
      <c r="G1310" s="0" t="n">
        <f aca="false">D1310</f>
        <v>0.7</v>
      </c>
      <c r="H1310" s="0" t="n">
        <f aca="false">C1310*D1310</f>
        <v>0.385</v>
      </c>
      <c r="I1310" s="0" t="n">
        <f aca="false">C1310*C1310</f>
        <v>0.3025</v>
      </c>
      <c r="J1310" s="0" t="n">
        <f aca="false">D1310*D1310</f>
        <v>0.49</v>
      </c>
      <c r="K1310" s="0" t="n">
        <f aca="false">SUMPRODUCT(E1310:J1310,_XtX!$B$53:$G$53)</f>
        <v>49.4105545977011</v>
      </c>
      <c r="L1310" s="0" t="n">
        <f aca="false">SUMPRODUCT(MMULT(E1310:J1310,_XtX!$B$44:$G$49),E1310:J1310)</f>
        <v>0.25676253591954</v>
      </c>
      <c r="M1310" s="0" t="n">
        <f aca="false">04_回帰ANOVA!$K$19*04_回帰ANOVA!$K$14*SQRT(1+L1310)</f>
        <v>1.51915884046963</v>
      </c>
      <c r="N1310" s="0" t="n">
        <f aca="false">K1310-M1310</f>
        <v>47.8913957572315</v>
      </c>
      <c r="O1310" s="0" t="n">
        <f aca="false">K1310+M1310</f>
        <v>50.9297134381708</v>
      </c>
      <c r="P1310" s="54" t="b">
        <f aca="false">AND(C1310&gt;=01_因子設定!$L$5-0.000000001,C1310&lt;=01_因子設定!$M$5+0.000000001,D1310&gt;=01_因子設定!$L$6-0.000000001,D1310&lt;=01_因子設定!$M$6+0.000000001,IF(01_因子設定!$B$20="Box-Behnken",C1310^2+D1310^2&lt;=2+0.000000001,TRUE()))</f>
        <v>1</v>
      </c>
      <c r="Q1310" s="55" t="n">
        <f aca="false">IF(P1310,IF(01_因子設定!$B$13="最大化",N1310-01_因子設定!$B$14,IF(01_因子設定!$B$13="最小化",01_因子設定!$B$15-O1310,MIN(N1310-01_因子設定!$B$14,01_因子設定!$B$15-O1310))),-1E+030)</f>
        <v>1.39139575723151</v>
      </c>
      <c r="R1310" s="55" t="n">
        <f aca="false">IF(P1310,IF(01_因子設定!$B$13="最大化",K1310,IF(01_因子設定!$B$13="最小化",-K1310,-ABS(K1310-01_因子設定!$B$16))),-1E+030)</f>
        <v>49.4105545977011</v>
      </c>
      <c r="S1310" s="55" t="n">
        <f aca="false">Q1310+ROW()*0.000000001</f>
        <v>1.39139706723151</v>
      </c>
      <c r="T1310" s="55" t="n">
        <f aca="false">R1310+ROW()*0.000000001</f>
        <v>49.4105559077011</v>
      </c>
    </row>
    <row r="1311" customFormat="false" ht="15" hidden="false" customHeight="false" outlineLevel="0" collapsed="false">
      <c r="A1311" s="0" t="n">
        <v>31</v>
      </c>
      <c r="B1311" s="0" t="n">
        <v>35</v>
      </c>
      <c r="C1311" s="0" t="n">
        <f aca="false">-1+A1311*0.05</f>
        <v>0.55</v>
      </c>
      <c r="D1311" s="0" t="n">
        <f aca="false">-1+B1311*0.05</f>
        <v>0.75</v>
      </c>
      <c r="E1311" s="0" t="n">
        <f aca="false">1</f>
        <v>1</v>
      </c>
      <c r="F1311" s="0" t="n">
        <f aca="false">C1311</f>
        <v>0.55</v>
      </c>
      <c r="G1311" s="0" t="n">
        <f aca="false">D1311</f>
        <v>0.75</v>
      </c>
      <c r="H1311" s="0" t="n">
        <f aca="false">C1311*D1311</f>
        <v>0.4125</v>
      </c>
      <c r="I1311" s="0" t="n">
        <f aca="false">C1311*C1311</f>
        <v>0.3025</v>
      </c>
      <c r="J1311" s="0" t="n">
        <f aca="false">D1311*D1311</f>
        <v>0.5625</v>
      </c>
      <c r="K1311" s="0" t="n">
        <f aca="false">SUMPRODUCT(E1311:J1311,_XtX!$B$53:$G$53)</f>
        <v>49.4256170977011</v>
      </c>
      <c r="L1311" s="0" t="n">
        <f aca="false">SUMPRODUCT(MMULT(E1311:J1311,_XtX!$B$44:$G$49),E1311:J1311)</f>
        <v>0.280906806752874</v>
      </c>
      <c r="M1311" s="0" t="n">
        <f aca="false">04_回帰ANOVA!$K$19*04_回帰ANOVA!$K$14*SQRT(1+L1311)</f>
        <v>1.53368206549325</v>
      </c>
      <c r="N1311" s="0" t="n">
        <f aca="false">K1311-M1311</f>
        <v>47.8919350322079</v>
      </c>
      <c r="O1311" s="0" t="n">
        <f aca="false">K1311+M1311</f>
        <v>50.9592991631944</v>
      </c>
      <c r="P1311" s="54" t="b">
        <f aca="false">AND(C1311&gt;=01_因子設定!$L$5-0.000000001,C1311&lt;=01_因子設定!$M$5+0.000000001,D1311&gt;=01_因子設定!$L$6-0.000000001,D1311&lt;=01_因子設定!$M$6+0.000000001,IF(01_因子設定!$B$20="Box-Behnken",C1311^2+D1311^2&lt;=2+0.000000001,TRUE()))</f>
        <v>1</v>
      </c>
      <c r="Q1311" s="55" t="n">
        <f aca="false">IF(P1311,IF(01_因子設定!$B$13="最大化",N1311-01_因子設定!$B$14,IF(01_因子設定!$B$13="最小化",01_因子設定!$B$15-O1311,MIN(N1311-01_因子設定!$B$14,01_因子設定!$B$15-O1311))),-1E+030)</f>
        <v>1.3919350322079</v>
      </c>
      <c r="R1311" s="55" t="n">
        <f aca="false">IF(P1311,IF(01_因子設定!$B$13="最大化",K1311,IF(01_因子設定!$B$13="最小化",-K1311,-ABS(K1311-01_因子設定!$B$16))),-1E+030)</f>
        <v>49.4256170977011</v>
      </c>
      <c r="S1311" s="55" t="n">
        <f aca="false">Q1311+ROW()*0.000000001</f>
        <v>1.3919363432079</v>
      </c>
      <c r="T1311" s="55" t="n">
        <f aca="false">R1311+ROW()*0.000000001</f>
        <v>49.4256184087011</v>
      </c>
    </row>
    <row r="1312" customFormat="false" ht="15" hidden="false" customHeight="false" outlineLevel="0" collapsed="false">
      <c r="A1312" s="0" t="n">
        <v>31</v>
      </c>
      <c r="B1312" s="0" t="n">
        <v>36</v>
      </c>
      <c r="C1312" s="0" t="n">
        <f aca="false">-1+A1312*0.05</f>
        <v>0.55</v>
      </c>
      <c r="D1312" s="0" t="n">
        <f aca="false">-1+B1312*0.05</f>
        <v>0.8</v>
      </c>
      <c r="E1312" s="0" t="n">
        <f aca="false">1</f>
        <v>1</v>
      </c>
      <c r="F1312" s="0" t="n">
        <f aca="false">C1312</f>
        <v>0.55</v>
      </c>
      <c r="G1312" s="0" t="n">
        <f aca="false">D1312</f>
        <v>0.8</v>
      </c>
      <c r="H1312" s="0" t="n">
        <f aca="false">C1312*D1312</f>
        <v>0.44</v>
      </c>
      <c r="I1312" s="0" t="n">
        <f aca="false">C1312*C1312</f>
        <v>0.3025</v>
      </c>
      <c r="J1312" s="0" t="n">
        <f aca="false">D1312*D1312</f>
        <v>0.64</v>
      </c>
      <c r="K1312" s="0" t="n">
        <f aca="false">SUMPRODUCT(E1312:J1312,_XtX!$B$53:$G$53)</f>
        <v>49.4329640804598</v>
      </c>
      <c r="L1312" s="0" t="n">
        <f aca="false">SUMPRODUCT(MMULT(E1312:J1312,_XtX!$B$44:$G$49),E1312:J1312)</f>
        <v>0.310925251436782</v>
      </c>
      <c r="M1312" s="0" t="n">
        <f aca="false">04_回帰ANOVA!$K$19*04_回帰ANOVA!$K$14*SQRT(1+L1312)</f>
        <v>1.551549146857</v>
      </c>
      <c r="N1312" s="0" t="n">
        <f aca="false">K1312-M1312</f>
        <v>47.8814149336028</v>
      </c>
      <c r="O1312" s="0" t="n">
        <f aca="false">K1312+M1312</f>
        <v>50.9845132273168</v>
      </c>
      <c r="P1312" s="54" t="b">
        <f aca="false">AND(C1312&gt;=01_因子設定!$L$5-0.000000001,C1312&lt;=01_因子設定!$M$5+0.000000001,D1312&gt;=01_因子設定!$L$6-0.000000001,D1312&lt;=01_因子設定!$M$6+0.000000001,IF(01_因子設定!$B$20="Box-Behnken",C1312^2+D1312^2&lt;=2+0.000000001,TRUE()))</f>
        <v>1</v>
      </c>
      <c r="Q1312" s="55" t="n">
        <f aca="false">IF(P1312,IF(01_因子設定!$B$13="最大化",N1312-01_因子設定!$B$14,IF(01_因子設定!$B$13="最小化",01_因子設定!$B$15-O1312,MIN(N1312-01_因子設定!$B$14,01_因子設定!$B$15-O1312))),-1E+030)</f>
        <v>1.38141493360276</v>
      </c>
      <c r="R1312" s="55" t="n">
        <f aca="false">IF(P1312,IF(01_因子設定!$B$13="最大化",K1312,IF(01_因子設定!$B$13="最小化",-K1312,-ABS(K1312-01_因子設定!$B$16))),-1E+030)</f>
        <v>49.4329640804598</v>
      </c>
      <c r="S1312" s="55" t="n">
        <f aca="false">Q1312+ROW()*0.000000001</f>
        <v>1.38141624560276</v>
      </c>
      <c r="T1312" s="55" t="n">
        <f aca="false">R1312+ROW()*0.000000001</f>
        <v>49.4329653924598</v>
      </c>
    </row>
    <row r="1313" customFormat="false" ht="15" hidden="false" customHeight="false" outlineLevel="0" collapsed="false">
      <c r="A1313" s="0" t="n">
        <v>31</v>
      </c>
      <c r="B1313" s="0" t="n">
        <v>37</v>
      </c>
      <c r="C1313" s="0" t="n">
        <f aca="false">-1+A1313*0.05</f>
        <v>0.55</v>
      </c>
      <c r="D1313" s="0" t="n">
        <f aca="false">-1+B1313*0.05</f>
        <v>0.85</v>
      </c>
      <c r="E1313" s="0" t="n">
        <f aca="false">1</f>
        <v>1</v>
      </c>
      <c r="F1313" s="0" t="n">
        <f aca="false">C1313</f>
        <v>0.55</v>
      </c>
      <c r="G1313" s="0" t="n">
        <f aca="false">D1313</f>
        <v>0.85</v>
      </c>
      <c r="H1313" s="0" t="n">
        <f aca="false">C1313*D1313</f>
        <v>0.4675</v>
      </c>
      <c r="I1313" s="0" t="n">
        <f aca="false">C1313*C1313</f>
        <v>0.3025</v>
      </c>
      <c r="J1313" s="0" t="n">
        <f aca="false">D1313*D1313</f>
        <v>0.7225</v>
      </c>
      <c r="K1313" s="0" t="n">
        <f aca="false">SUMPRODUCT(E1313:J1313,_XtX!$B$53:$G$53)</f>
        <v>49.432595545977</v>
      </c>
      <c r="L1313" s="0" t="n">
        <f aca="false">SUMPRODUCT(MMULT(E1313:J1313,_XtX!$B$44:$G$49),E1313:J1313)</f>
        <v>0.347659680316092</v>
      </c>
      <c r="M1313" s="0" t="n">
        <f aca="false">04_回帰ANOVA!$K$19*04_回帰ANOVA!$K$14*SQRT(1+L1313)</f>
        <v>1.57313752229609</v>
      </c>
      <c r="N1313" s="0" t="n">
        <f aca="false">K1313-M1313</f>
        <v>47.8594580236809</v>
      </c>
      <c r="O1313" s="0" t="n">
        <f aca="false">K1313+M1313</f>
        <v>51.0057330682731</v>
      </c>
      <c r="P1313" s="54" t="b">
        <f aca="false">AND(C1313&gt;=01_因子設定!$L$5-0.000000001,C1313&lt;=01_因子設定!$M$5+0.000000001,D1313&gt;=01_因子設定!$L$6-0.000000001,D1313&lt;=01_因子設定!$M$6+0.000000001,IF(01_因子設定!$B$20="Box-Behnken",C1313^2+D1313^2&lt;=2+0.000000001,TRUE()))</f>
        <v>1</v>
      </c>
      <c r="Q1313" s="55" t="n">
        <f aca="false">IF(P1313,IF(01_因子設定!$B$13="最大化",N1313-01_因子設定!$B$14,IF(01_因子設定!$B$13="最小化",01_因子設定!$B$15-O1313,MIN(N1313-01_因子設定!$B$14,01_因子設定!$B$15-O1313))),-1E+030)</f>
        <v>1.35945802368092</v>
      </c>
      <c r="R1313" s="55" t="n">
        <f aca="false">IF(P1313,IF(01_因子設定!$B$13="最大化",K1313,IF(01_因子設定!$B$13="最小化",-K1313,-ABS(K1313-01_因子設定!$B$16))),-1E+030)</f>
        <v>49.432595545977</v>
      </c>
      <c r="S1313" s="55" t="n">
        <f aca="false">Q1313+ROW()*0.000000001</f>
        <v>1.35945933668092</v>
      </c>
      <c r="T1313" s="55" t="n">
        <f aca="false">R1313+ROW()*0.000000001</f>
        <v>49.432596858977</v>
      </c>
    </row>
    <row r="1314" customFormat="false" ht="15" hidden="false" customHeight="false" outlineLevel="0" collapsed="false">
      <c r="A1314" s="0" t="n">
        <v>31</v>
      </c>
      <c r="B1314" s="0" t="n">
        <v>38</v>
      </c>
      <c r="C1314" s="0" t="n">
        <f aca="false">-1+A1314*0.05</f>
        <v>0.55</v>
      </c>
      <c r="D1314" s="0" t="n">
        <f aca="false">-1+B1314*0.05</f>
        <v>0.9</v>
      </c>
      <c r="E1314" s="0" t="n">
        <f aca="false">1</f>
        <v>1</v>
      </c>
      <c r="F1314" s="0" t="n">
        <f aca="false">C1314</f>
        <v>0.55</v>
      </c>
      <c r="G1314" s="0" t="n">
        <f aca="false">D1314</f>
        <v>0.9</v>
      </c>
      <c r="H1314" s="0" t="n">
        <f aca="false">C1314*D1314</f>
        <v>0.495</v>
      </c>
      <c r="I1314" s="0" t="n">
        <f aca="false">C1314*C1314</f>
        <v>0.3025</v>
      </c>
      <c r="J1314" s="0" t="n">
        <f aca="false">D1314*D1314</f>
        <v>0.81</v>
      </c>
      <c r="K1314" s="0" t="n">
        <f aca="false">SUMPRODUCT(E1314:J1314,_XtX!$B$53:$G$53)</f>
        <v>49.4245114942529</v>
      </c>
      <c r="L1314" s="0" t="n">
        <f aca="false">SUMPRODUCT(MMULT(E1314:J1314,_XtX!$B$44:$G$49),E1314:J1314)</f>
        <v>0.39200621408046</v>
      </c>
      <c r="M1314" s="0" t="n">
        <f aca="false">04_回帰ANOVA!$K$19*04_回帰ANOVA!$K$14*SQRT(1+L1314)</f>
        <v>1.59881111683123</v>
      </c>
      <c r="N1314" s="0" t="n">
        <f aca="false">K1314-M1314</f>
        <v>47.8257003774216</v>
      </c>
      <c r="O1314" s="0" t="n">
        <f aca="false">K1314+M1314</f>
        <v>51.0233226110841</v>
      </c>
      <c r="P1314" s="54" t="b">
        <f aca="false">AND(C1314&gt;=01_因子設定!$L$5-0.000000001,C1314&lt;=01_因子設定!$M$5+0.000000001,D1314&gt;=01_因子設定!$L$6-0.000000001,D1314&lt;=01_因子設定!$M$6+0.000000001,IF(01_因子設定!$B$20="Box-Behnken",C1314^2+D1314^2&lt;=2+0.000000001,TRUE()))</f>
        <v>1</v>
      </c>
      <c r="Q1314" s="55" t="n">
        <f aca="false">IF(P1314,IF(01_因子設定!$B$13="最大化",N1314-01_因子設定!$B$14,IF(01_因子設定!$B$13="最小化",01_因子設定!$B$15-O1314,MIN(N1314-01_因子設定!$B$14,01_因子設定!$B$15-O1314))),-1E+030)</f>
        <v>1.32570037742164</v>
      </c>
      <c r="R1314" s="55" t="n">
        <f aca="false">IF(P1314,IF(01_因子設定!$B$13="最大化",K1314,IF(01_因子設定!$B$13="最小化",-K1314,-ABS(K1314-01_因子設定!$B$16))),-1E+030)</f>
        <v>49.4245114942529</v>
      </c>
      <c r="S1314" s="55" t="n">
        <f aca="false">Q1314+ROW()*0.000000001</f>
        <v>1.32570169142164</v>
      </c>
      <c r="T1314" s="55" t="n">
        <f aca="false">R1314+ROW()*0.000000001</f>
        <v>49.4245128082529</v>
      </c>
    </row>
    <row r="1315" customFormat="false" ht="15" hidden="false" customHeight="false" outlineLevel="0" collapsed="false">
      <c r="A1315" s="0" t="n">
        <v>31</v>
      </c>
      <c r="B1315" s="0" t="n">
        <v>39</v>
      </c>
      <c r="C1315" s="0" t="n">
        <f aca="false">-1+A1315*0.05</f>
        <v>0.55</v>
      </c>
      <c r="D1315" s="0" t="n">
        <f aca="false">-1+B1315*0.05</f>
        <v>0.95</v>
      </c>
      <c r="E1315" s="0" t="n">
        <f aca="false">1</f>
        <v>1</v>
      </c>
      <c r="F1315" s="0" t="n">
        <f aca="false">C1315</f>
        <v>0.55</v>
      </c>
      <c r="G1315" s="0" t="n">
        <f aca="false">D1315</f>
        <v>0.95</v>
      </c>
      <c r="H1315" s="0" t="n">
        <f aca="false">C1315*D1315</f>
        <v>0.5225</v>
      </c>
      <c r="I1315" s="0" t="n">
        <f aca="false">C1315*C1315</f>
        <v>0.3025</v>
      </c>
      <c r="J1315" s="0" t="n">
        <f aca="false">D1315*D1315</f>
        <v>0.9025</v>
      </c>
      <c r="K1315" s="0" t="n">
        <f aca="false">SUMPRODUCT(E1315:J1315,_XtX!$B$53:$G$53)</f>
        <v>49.4087119252874</v>
      </c>
      <c r="L1315" s="0" t="n">
        <f aca="false">SUMPRODUCT(MMULT(E1315:J1315,_XtX!$B$44:$G$49),E1315:J1315)</f>
        <v>0.444915283764368</v>
      </c>
      <c r="M1315" s="0" t="n">
        <f aca="false">04_回帰ANOVA!$K$19*04_回帰ANOVA!$K$14*SQRT(1+L1315)</f>
        <v>1.62891253282135</v>
      </c>
      <c r="N1315" s="0" t="n">
        <f aca="false">K1315-M1315</f>
        <v>47.779799392466</v>
      </c>
      <c r="O1315" s="0" t="n">
        <f aca="false">K1315+M1315</f>
        <v>51.0376244581087</v>
      </c>
      <c r="P1315" s="54" t="b">
        <f aca="false">AND(C1315&gt;=01_因子設定!$L$5-0.000000001,C1315&lt;=01_因子設定!$M$5+0.000000001,D1315&gt;=01_因子設定!$L$6-0.000000001,D1315&lt;=01_因子設定!$M$6+0.000000001,IF(01_因子設定!$B$20="Box-Behnken",C1315^2+D1315^2&lt;=2+0.000000001,TRUE()))</f>
        <v>1</v>
      </c>
      <c r="Q1315" s="55" t="n">
        <f aca="false">IF(P1315,IF(01_因子設定!$B$13="最大化",N1315-01_因子設定!$B$14,IF(01_因子設定!$B$13="最小化",01_因子設定!$B$15-O1315,MIN(N1315-01_因子設定!$B$14,01_因子設定!$B$15-O1315))),-1E+030)</f>
        <v>1.279799392466</v>
      </c>
      <c r="R1315" s="55" t="n">
        <f aca="false">IF(P1315,IF(01_因子設定!$B$13="最大化",K1315,IF(01_因子設定!$B$13="最小化",-K1315,-ABS(K1315-01_因子設定!$B$16))),-1E+030)</f>
        <v>49.4087119252874</v>
      </c>
      <c r="S1315" s="55" t="n">
        <f aca="false">Q1315+ROW()*0.000000001</f>
        <v>1.279800707466</v>
      </c>
      <c r="T1315" s="55" t="n">
        <f aca="false">R1315+ROW()*0.000000001</f>
        <v>49.4087132402874</v>
      </c>
    </row>
    <row r="1316" customFormat="false" ht="15" hidden="false" customHeight="false" outlineLevel="0" collapsed="false">
      <c r="A1316" s="0" t="n">
        <v>31</v>
      </c>
      <c r="B1316" s="0" t="n">
        <v>40</v>
      </c>
      <c r="C1316" s="0" t="n">
        <f aca="false">-1+A1316*0.05</f>
        <v>0.55</v>
      </c>
      <c r="D1316" s="0" t="n">
        <f aca="false">-1+B1316*0.05</f>
        <v>1</v>
      </c>
      <c r="E1316" s="0" t="n">
        <f aca="false">1</f>
        <v>1</v>
      </c>
      <c r="F1316" s="0" t="n">
        <f aca="false">C1316</f>
        <v>0.55</v>
      </c>
      <c r="G1316" s="0" t="n">
        <f aca="false">D1316</f>
        <v>1</v>
      </c>
      <c r="H1316" s="0" t="n">
        <f aca="false">C1316*D1316</f>
        <v>0.55</v>
      </c>
      <c r="I1316" s="0" t="n">
        <f aca="false">C1316*C1316</f>
        <v>0.3025</v>
      </c>
      <c r="J1316" s="0" t="n">
        <f aca="false">D1316*D1316</f>
        <v>1</v>
      </c>
      <c r="K1316" s="0" t="n">
        <f aca="false">SUMPRODUCT(E1316:J1316,_XtX!$B$53:$G$53)</f>
        <v>49.3851968390805</v>
      </c>
      <c r="L1316" s="0" t="n">
        <f aca="false">SUMPRODUCT(MMULT(E1316:J1316,_XtX!$B$44:$G$49),E1316:J1316)</f>
        <v>0.507391630747127</v>
      </c>
      <c r="M1316" s="0" t="n">
        <f aca="false">04_回帰ANOVA!$K$19*04_回帰ANOVA!$K$14*SQRT(1+L1316)</f>
        <v>1.66375595202306</v>
      </c>
      <c r="N1316" s="0" t="n">
        <f aca="false">K1316-M1316</f>
        <v>47.7214408870574</v>
      </c>
      <c r="O1316" s="0" t="n">
        <f aca="false">K1316+M1316</f>
        <v>51.0489527911035</v>
      </c>
      <c r="P1316" s="54" t="b">
        <f aca="false">AND(C1316&gt;=01_因子設定!$L$5-0.000000001,C1316&lt;=01_因子設定!$M$5+0.000000001,D1316&gt;=01_因子設定!$L$6-0.000000001,D1316&lt;=01_因子設定!$M$6+0.000000001,IF(01_因子設定!$B$20="Box-Behnken",C1316^2+D1316^2&lt;=2+0.000000001,TRUE()))</f>
        <v>1</v>
      </c>
      <c r="Q1316" s="55" t="n">
        <f aca="false">IF(P1316,IF(01_因子設定!$B$13="最大化",N1316-01_因子設定!$B$14,IF(01_因子設定!$B$13="最小化",01_因子設定!$B$15-O1316,MIN(N1316-01_因子設定!$B$14,01_因子設定!$B$15-O1316))),-1E+030)</f>
        <v>1.2214408870574</v>
      </c>
      <c r="R1316" s="55" t="n">
        <f aca="false">IF(P1316,IF(01_因子設定!$B$13="最大化",K1316,IF(01_因子設定!$B$13="最小化",-K1316,-ABS(K1316-01_因子設定!$B$16))),-1E+030)</f>
        <v>49.3851968390805</v>
      </c>
      <c r="S1316" s="55" t="n">
        <f aca="false">Q1316+ROW()*0.000000001</f>
        <v>1.2214422030574</v>
      </c>
      <c r="T1316" s="55" t="n">
        <f aca="false">R1316+ROW()*0.000000001</f>
        <v>49.3851981550805</v>
      </c>
    </row>
    <row r="1317" customFormat="false" ht="15" hidden="false" customHeight="false" outlineLevel="0" collapsed="false">
      <c r="A1317" s="0" t="n">
        <v>32</v>
      </c>
      <c r="B1317" s="0" t="n">
        <v>0</v>
      </c>
      <c r="C1317" s="0" t="n">
        <f aca="false">-1+A1317*0.05</f>
        <v>0.6</v>
      </c>
      <c r="D1317" s="0" t="n">
        <f aca="false">-1+B1317*0.05</f>
        <v>-1</v>
      </c>
      <c r="E1317" s="0" t="n">
        <f aca="false">1</f>
        <v>1</v>
      </c>
      <c r="F1317" s="0" t="n">
        <f aca="false">C1317</f>
        <v>0.6</v>
      </c>
      <c r="G1317" s="0" t="n">
        <f aca="false">D1317</f>
        <v>-1</v>
      </c>
      <c r="H1317" s="0" t="n">
        <f aca="false">C1317*D1317</f>
        <v>-0.6</v>
      </c>
      <c r="I1317" s="0" t="n">
        <f aca="false">C1317*C1317</f>
        <v>0.36</v>
      </c>
      <c r="J1317" s="0" t="n">
        <f aca="false">D1317*D1317</f>
        <v>1</v>
      </c>
      <c r="K1317" s="0" t="n">
        <f aca="false">SUMPRODUCT(E1317:J1317,_XtX!$B$53:$G$53)</f>
        <v>44.2295517241379</v>
      </c>
      <c r="L1317" s="0" t="n">
        <f aca="false">SUMPRODUCT(MMULT(E1317:J1317,_XtX!$B$44:$G$49),E1317:J1317)</f>
        <v>0.517383908045977</v>
      </c>
      <c r="M1317" s="0" t="n">
        <f aca="false">04_回帰ANOVA!$K$19*04_回帰ANOVA!$K$14*SQRT(1+L1317)</f>
        <v>1.66926124034343</v>
      </c>
      <c r="N1317" s="0" t="n">
        <f aca="false">K1317-M1317</f>
        <v>42.5602904837945</v>
      </c>
      <c r="O1317" s="0" t="n">
        <f aca="false">K1317+M1317</f>
        <v>45.8988129644814</v>
      </c>
      <c r="P1317" s="54" t="b">
        <f aca="false">AND(C1317&gt;=01_因子設定!$L$5-0.000000001,C1317&lt;=01_因子設定!$M$5+0.000000001,D1317&gt;=01_因子設定!$L$6-0.000000001,D1317&lt;=01_因子設定!$M$6+0.000000001,IF(01_因子設定!$B$20="Box-Behnken",C1317^2+D1317^2&lt;=2+0.000000001,TRUE()))</f>
        <v>1</v>
      </c>
      <c r="Q1317" s="55" t="n">
        <f aca="false">IF(P1317,IF(01_因子設定!$B$13="最大化",N1317-01_因子設定!$B$14,IF(01_因子設定!$B$13="最小化",01_因子設定!$B$15-O1317,MIN(N1317-01_因子設定!$B$14,01_因子設定!$B$15-O1317))),-1E+030)</f>
        <v>-3.9397095162055</v>
      </c>
      <c r="R1317" s="55" t="n">
        <f aca="false">IF(P1317,IF(01_因子設定!$B$13="最大化",K1317,IF(01_因子設定!$B$13="最小化",-K1317,-ABS(K1317-01_因子設定!$B$16))),-1E+030)</f>
        <v>44.2295517241379</v>
      </c>
      <c r="S1317" s="55" t="n">
        <f aca="false">Q1317+ROW()*0.000000001</f>
        <v>-3.9397081992055</v>
      </c>
      <c r="T1317" s="55" t="n">
        <f aca="false">R1317+ROW()*0.000000001</f>
        <v>44.2295530411379</v>
      </c>
    </row>
    <row r="1318" customFormat="false" ht="15" hidden="false" customHeight="false" outlineLevel="0" collapsed="false">
      <c r="A1318" s="0" t="n">
        <v>32</v>
      </c>
      <c r="B1318" s="0" t="n">
        <v>1</v>
      </c>
      <c r="C1318" s="0" t="n">
        <f aca="false">-1+A1318*0.05</f>
        <v>0.6</v>
      </c>
      <c r="D1318" s="0" t="n">
        <f aca="false">-1+B1318*0.05</f>
        <v>-0.95</v>
      </c>
      <c r="E1318" s="0" t="n">
        <f aca="false">1</f>
        <v>1</v>
      </c>
      <c r="F1318" s="0" t="n">
        <f aca="false">C1318</f>
        <v>0.6</v>
      </c>
      <c r="G1318" s="0" t="n">
        <f aca="false">D1318</f>
        <v>-0.95</v>
      </c>
      <c r="H1318" s="0" t="n">
        <f aca="false">C1318*D1318</f>
        <v>-0.57</v>
      </c>
      <c r="I1318" s="0" t="n">
        <f aca="false">C1318*C1318</f>
        <v>0.36</v>
      </c>
      <c r="J1318" s="0" t="n">
        <f aca="false">D1318*D1318</f>
        <v>0.9025</v>
      </c>
      <c r="K1318" s="0" t="n">
        <f aca="false">SUMPRODUCT(E1318:J1318,_XtX!$B$53:$G$53)</f>
        <v>44.5082543103448</v>
      </c>
      <c r="L1318" s="0" t="n">
        <f aca="false">SUMPRODUCT(MMULT(E1318:J1318,_XtX!$B$44:$G$49),E1318:J1318)</f>
        <v>0.455052550287356</v>
      </c>
      <c r="M1318" s="0" t="n">
        <f aca="false">04_回帰ANOVA!$K$19*04_回帰ANOVA!$K$14*SQRT(1+L1318)</f>
        <v>1.63461662470009</v>
      </c>
      <c r="N1318" s="0" t="n">
        <f aca="false">K1318-M1318</f>
        <v>42.8736376856447</v>
      </c>
      <c r="O1318" s="0" t="n">
        <f aca="false">K1318+M1318</f>
        <v>46.1428709350449</v>
      </c>
      <c r="P1318" s="54" t="b">
        <f aca="false">AND(C1318&gt;=01_因子設定!$L$5-0.000000001,C1318&lt;=01_因子設定!$M$5+0.000000001,D1318&gt;=01_因子設定!$L$6-0.000000001,D1318&lt;=01_因子設定!$M$6+0.000000001,IF(01_因子設定!$B$20="Box-Behnken",C1318^2+D1318^2&lt;=2+0.000000001,TRUE()))</f>
        <v>1</v>
      </c>
      <c r="Q1318" s="55" t="n">
        <f aca="false">IF(P1318,IF(01_因子設定!$B$13="最大化",N1318-01_因子設定!$B$14,IF(01_因子設定!$B$13="最小化",01_因子設定!$B$15-O1318,MIN(N1318-01_因子設定!$B$14,01_因子設定!$B$15-O1318))),-1E+030)</f>
        <v>-3.62636231435526</v>
      </c>
      <c r="R1318" s="55" t="n">
        <f aca="false">IF(P1318,IF(01_因子設定!$B$13="最大化",K1318,IF(01_因子設定!$B$13="最小化",-K1318,-ABS(K1318-01_因子設定!$B$16))),-1E+030)</f>
        <v>44.5082543103448</v>
      </c>
      <c r="S1318" s="55" t="n">
        <f aca="false">Q1318+ROW()*0.000000001</f>
        <v>-3.62636099635526</v>
      </c>
      <c r="T1318" s="55" t="n">
        <f aca="false">R1318+ROW()*0.000000001</f>
        <v>44.5082556283448</v>
      </c>
    </row>
    <row r="1319" customFormat="false" ht="15" hidden="false" customHeight="false" outlineLevel="0" collapsed="false">
      <c r="A1319" s="0" t="n">
        <v>32</v>
      </c>
      <c r="B1319" s="0" t="n">
        <v>2</v>
      </c>
      <c r="C1319" s="0" t="n">
        <f aca="false">-1+A1319*0.05</f>
        <v>0.6</v>
      </c>
      <c r="D1319" s="0" t="n">
        <f aca="false">-1+B1319*0.05</f>
        <v>-0.9</v>
      </c>
      <c r="E1319" s="0" t="n">
        <f aca="false">1</f>
        <v>1</v>
      </c>
      <c r="F1319" s="0" t="n">
        <f aca="false">C1319</f>
        <v>0.6</v>
      </c>
      <c r="G1319" s="0" t="n">
        <f aca="false">D1319</f>
        <v>-0.9</v>
      </c>
      <c r="H1319" s="0" t="n">
        <f aca="false">C1319*D1319</f>
        <v>-0.54</v>
      </c>
      <c r="I1319" s="0" t="n">
        <f aca="false">C1319*C1319</f>
        <v>0.36</v>
      </c>
      <c r="J1319" s="0" t="n">
        <f aca="false">D1319*D1319</f>
        <v>0.81</v>
      </c>
      <c r="K1319" s="0" t="n">
        <f aca="false">SUMPRODUCT(E1319:J1319,_XtX!$B$53:$G$53)</f>
        <v>44.7792413793103</v>
      </c>
      <c r="L1319" s="0" t="n">
        <f aca="false">SUMPRODUCT(MMULT(E1319:J1319,_XtX!$B$44:$G$49),E1319:J1319)</f>
        <v>0.402281034482759</v>
      </c>
      <c r="M1319" s="0" t="n">
        <f aca="false">04_回帰ANOVA!$K$19*04_回帰ANOVA!$K$14*SQRT(1+L1319)</f>
        <v>1.60470092328339</v>
      </c>
      <c r="N1319" s="0" t="n">
        <f aca="false">K1319-M1319</f>
        <v>43.174540456027</v>
      </c>
      <c r="O1319" s="0" t="n">
        <f aca="false">K1319+M1319</f>
        <v>46.3839423025937</v>
      </c>
      <c r="P1319" s="54" t="b">
        <f aca="false">AND(C1319&gt;=01_因子設定!$L$5-0.000000001,C1319&lt;=01_因子設定!$M$5+0.000000001,D1319&gt;=01_因子設定!$L$6-0.000000001,D1319&lt;=01_因子設定!$M$6+0.000000001,IF(01_因子設定!$B$20="Box-Behnken",C1319^2+D1319^2&lt;=2+0.000000001,TRUE()))</f>
        <v>1</v>
      </c>
      <c r="Q1319" s="55" t="n">
        <f aca="false">IF(P1319,IF(01_因子設定!$B$13="最大化",N1319-01_因子設定!$B$14,IF(01_因子設定!$B$13="最小化",01_因子設定!$B$15-O1319,MIN(N1319-01_因子設定!$B$14,01_因子設定!$B$15-O1319))),-1E+030)</f>
        <v>-3.32545954397305</v>
      </c>
      <c r="R1319" s="55" t="n">
        <f aca="false">IF(P1319,IF(01_因子設定!$B$13="最大化",K1319,IF(01_因子設定!$B$13="最小化",-K1319,-ABS(K1319-01_因子設定!$B$16))),-1E+030)</f>
        <v>44.7792413793103</v>
      </c>
      <c r="S1319" s="55" t="n">
        <f aca="false">Q1319+ROW()*0.000000001</f>
        <v>-3.32545822497305</v>
      </c>
      <c r="T1319" s="55" t="n">
        <f aca="false">R1319+ROW()*0.000000001</f>
        <v>44.7792426983103</v>
      </c>
    </row>
    <row r="1320" customFormat="false" ht="15" hidden="false" customHeight="false" outlineLevel="0" collapsed="false">
      <c r="A1320" s="0" t="n">
        <v>32</v>
      </c>
      <c r="B1320" s="0" t="n">
        <v>3</v>
      </c>
      <c r="C1320" s="0" t="n">
        <f aca="false">-1+A1320*0.05</f>
        <v>0.6</v>
      </c>
      <c r="D1320" s="0" t="n">
        <f aca="false">-1+B1320*0.05</f>
        <v>-0.85</v>
      </c>
      <c r="E1320" s="0" t="n">
        <f aca="false">1</f>
        <v>1</v>
      </c>
      <c r="F1320" s="0" t="n">
        <f aca="false">C1320</f>
        <v>0.6</v>
      </c>
      <c r="G1320" s="0" t="n">
        <f aca="false">D1320</f>
        <v>-0.85</v>
      </c>
      <c r="H1320" s="0" t="n">
        <f aca="false">C1320*D1320</f>
        <v>-0.51</v>
      </c>
      <c r="I1320" s="0" t="n">
        <f aca="false">C1320*C1320</f>
        <v>0.36</v>
      </c>
      <c r="J1320" s="0" t="n">
        <f aca="false">D1320*D1320</f>
        <v>0.7225</v>
      </c>
      <c r="K1320" s="0" t="n">
        <f aca="false">SUMPRODUCT(E1320:J1320,_XtX!$B$53:$G$53)</f>
        <v>45.0425129310345</v>
      </c>
      <c r="L1320" s="0" t="n">
        <f aca="false">SUMPRODUCT(MMULT(E1320:J1320,_XtX!$B$44:$G$49),E1320:J1320)</f>
        <v>0.358064619252874</v>
      </c>
      <c r="M1320" s="0" t="n">
        <f aca="false">04_回帰ANOVA!$K$19*04_回帰ANOVA!$K$14*SQRT(1+L1320)</f>
        <v>1.57919874361545</v>
      </c>
      <c r="N1320" s="0" t="n">
        <f aca="false">K1320-M1320</f>
        <v>43.463314187419</v>
      </c>
      <c r="O1320" s="0" t="n">
        <f aca="false">K1320+M1320</f>
        <v>46.6217116746499</v>
      </c>
      <c r="P1320" s="54" t="b">
        <f aca="false">AND(C1320&gt;=01_因子設定!$L$5-0.000000001,C1320&lt;=01_因子設定!$M$5+0.000000001,D1320&gt;=01_因子設定!$L$6-0.000000001,D1320&lt;=01_因子設定!$M$6+0.000000001,IF(01_因子設定!$B$20="Box-Behnken",C1320^2+D1320^2&lt;=2+0.000000001,TRUE()))</f>
        <v>1</v>
      </c>
      <c r="Q1320" s="55" t="n">
        <f aca="false">IF(P1320,IF(01_因子設定!$B$13="最大化",N1320-01_因子設定!$B$14,IF(01_因子設定!$B$13="最小化",01_因子設定!$B$15-O1320,MIN(N1320-01_因子設定!$B$14,01_因子設定!$B$15-O1320))),-1E+030)</f>
        <v>-3.03668581258097</v>
      </c>
      <c r="R1320" s="55" t="n">
        <f aca="false">IF(P1320,IF(01_因子設定!$B$13="最大化",K1320,IF(01_因子設定!$B$13="最小化",-K1320,-ABS(K1320-01_因子設定!$B$16))),-1E+030)</f>
        <v>45.0425129310345</v>
      </c>
      <c r="S1320" s="55" t="n">
        <f aca="false">Q1320+ROW()*0.000000001</f>
        <v>-3.03668449258097</v>
      </c>
      <c r="T1320" s="55" t="n">
        <f aca="false">R1320+ROW()*0.000000001</f>
        <v>45.0425142510345</v>
      </c>
    </row>
    <row r="1321" customFormat="false" ht="15" hidden="false" customHeight="false" outlineLevel="0" collapsed="false">
      <c r="A1321" s="0" t="n">
        <v>32</v>
      </c>
      <c r="B1321" s="0" t="n">
        <v>4</v>
      </c>
      <c r="C1321" s="0" t="n">
        <f aca="false">-1+A1321*0.05</f>
        <v>0.6</v>
      </c>
      <c r="D1321" s="0" t="n">
        <f aca="false">-1+B1321*0.05</f>
        <v>-0.8</v>
      </c>
      <c r="E1321" s="0" t="n">
        <f aca="false">1</f>
        <v>1</v>
      </c>
      <c r="F1321" s="0" t="n">
        <f aca="false">C1321</f>
        <v>0.6</v>
      </c>
      <c r="G1321" s="0" t="n">
        <f aca="false">D1321</f>
        <v>-0.8</v>
      </c>
      <c r="H1321" s="0" t="n">
        <f aca="false">C1321*D1321</f>
        <v>-0.48</v>
      </c>
      <c r="I1321" s="0" t="n">
        <f aca="false">C1321*C1321</f>
        <v>0.36</v>
      </c>
      <c r="J1321" s="0" t="n">
        <f aca="false">D1321*D1321</f>
        <v>0.64</v>
      </c>
      <c r="K1321" s="0" t="n">
        <f aca="false">SUMPRODUCT(E1321:J1321,_XtX!$B$53:$G$53)</f>
        <v>45.2980689655172</v>
      </c>
      <c r="L1321" s="0" t="n">
        <f aca="false">SUMPRODUCT(MMULT(E1321:J1321,_XtX!$B$44:$G$49),E1321:J1321)</f>
        <v>0.321452873563218</v>
      </c>
      <c r="M1321" s="0" t="n">
        <f aca="false">04_回帰ANOVA!$K$19*04_回帰ANOVA!$K$14*SQRT(1+L1321)</f>
        <v>1.55776668694898</v>
      </c>
      <c r="N1321" s="0" t="n">
        <f aca="false">K1321-M1321</f>
        <v>43.7403022785683</v>
      </c>
      <c r="O1321" s="0" t="n">
        <f aca="false">K1321+M1321</f>
        <v>46.8558356524662</v>
      </c>
      <c r="P1321" s="54" t="b">
        <f aca="false">AND(C1321&gt;=01_因子設定!$L$5-0.000000001,C1321&lt;=01_因子設定!$M$5+0.000000001,D1321&gt;=01_因子設定!$L$6-0.000000001,D1321&lt;=01_因子設定!$M$6+0.000000001,IF(01_因子設定!$B$20="Box-Behnken",C1321^2+D1321^2&lt;=2+0.000000001,TRUE()))</f>
        <v>1</v>
      </c>
      <c r="Q1321" s="55" t="n">
        <f aca="false">IF(P1321,IF(01_因子設定!$B$13="最大化",N1321-01_因子設定!$B$14,IF(01_因子設定!$B$13="最小化",01_因子設定!$B$15-O1321,MIN(N1321-01_因子設定!$B$14,01_因子設定!$B$15-O1321))),-1E+030)</f>
        <v>-2.75969772143174</v>
      </c>
      <c r="R1321" s="55" t="n">
        <f aca="false">IF(P1321,IF(01_因子設定!$B$13="最大化",K1321,IF(01_因子設定!$B$13="最小化",-K1321,-ABS(K1321-01_因子設定!$B$16))),-1E+030)</f>
        <v>45.2980689655172</v>
      </c>
      <c r="S1321" s="55" t="n">
        <f aca="false">Q1321+ROW()*0.000000001</f>
        <v>-2.75969640043174</v>
      </c>
      <c r="T1321" s="55" t="n">
        <f aca="false">R1321+ROW()*0.000000001</f>
        <v>45.2980702865172</v>
      </c>
    </row>
    <row r="1322" customFormat="false" ht="15" hidden="false" customHeight="false" outlineLevel="0" collapsed="false">
      <c r="A1322" s="0" t="n">
        <v>32</v>
      </c>
      <c r="B1322" s="0" t="n">
        <v>5</v>
      </c>
      <c r="C1322" s="0" t="n">
        <f aca="false">-1+A1322*0.05</f>
        <v>0.6</v>
      </c>
      <c r="D1322" s="0" t="n">
        <f aca="false">-1+B1322*0.05</f>
        <v>-0.75</v>
      </c>
      <c r="E1322" s="0" t="n">
        <f aca="false">1</f>
        <v>1</v>
      </c>
      <c r="F1322" s="0" t="n">
        <f aca="false">C1322</f>
        <v>0.6</v>
      </c>
      <c r="G1322" s="0" t="n">
        <f aca="false">D1322</f>
        <v>-0.75</v>
      </c>
      <c r="H1322" s="0" t="n">
        <f aca="false">C1322*D1322</f>
        <v>-0.45</v>
      </c>
      <c r="I1322" s="0" t="n">
        <f aca="false">C1322*C1322</f>
        <v>0.36</v>
      </c>
      <c r="J1322" s="0" t="n">
        <f aca="false">D1322*D1322</f>
        <v>0.5625</v>
      </c>
      <c r="K1322" s="0" t="n">
        <f aca="false">SUMPRODUCT(E1322:J1322,_XtX!$B$53:$G$53)</f>
        <v>45.5459094827586</v>
      </c>
      <c r="L1322" s="0" t="n">
        <f aca="false">SUMPRODUCT(MMULT(E1322:J1322,_XtX!$B$44:$G$49),E1322:J1322)</f>
        <v>0.291549676724138</v>
      </c>
      <c r="M1322" s="0" t="n">
        <f aca="false">04_回帰ANOVA!$K$19*04_回帰ANOVA!$K$14*SQRT(1+L1322)</f>
        <v>1.54004045665134</v>
      </c>
      <c r="N1322" s="0" t="n">
        <f aca="false">K1322-M1322</f>
        <v>44.0058690261073</v>
      </c>
      <c r="O1322" s="0" t="n">
        <f aca="false">K1322+M1322</f>
        <v>47.08594993941</v>
      </c>
      <c r="P1322" s="54" t="b">
        <f aca="false">AND(C1322&gt;=01_因子設定!$L$5-0.000000001,C1322&lt;=01_因子設定!$M$5+0.000000001,D1322&gt;=01_因子設定!$L$6-0.000000001,D1322&lt;=01_因子設定!$M$6+0.000000001,IF(01_因子設定!$B$20="Box-Behnken",C1322^2+D1322^2&lt;=2+0.000000001,TRUE()))</f>
        <v>1</v>
      </c>
      <c r="Q1322" s="55" t="n">
        <f aca="false">IF(P1322,IF(01_因子設定!$B$13="最大化",N1322-01_因子設定!$B$14,IF(01_因子設定!$B$13="最小化",01_因子設定!$B$15-O1322,MIN(N1322-01_因子設定!$B$14,01_因子設定!$B$15-O1322))),-1E+030)</f>
        <v>-2.49413097389272</v>
      </c>
      <c r="R1322" s="55" t="n">
        <f aca="false">IF(P1322,IF(01_因子設定!$B$13="最大化",K1322,IF(01_因子設定!$B$13="最小化",-K1322,-ABS(K1322-01_因子設定!$B$16))),-1E+030)</f>
        <v>45.5459094827586</v>
      </c>
      <c r="S1322" s="55" t="n">
        <f aca="false">Q1322+ROW()*0.000000001</f>
        <v>-2.49412965189272</v>
      </c>
      <c r="T1322" s="55" t="n">
        <f aca="false">R1322+ROW()*0.000000001</f>
        <v>45.5459108047586</v>
      </c>
    </row>
    <row r="1323" customFormat="false" ht="15" hidden="false" customHeight="false" outlineLevel="0" collapsed="false">
      <c r="A1323" s="0" t="n">
        <v>32</v>
      </c>
      <c r="B1323" s="0" t="n">
        <v>6</v>
      </c>
      <c r="C1323" s="0" t="n">
        <f aca="false">-1+A1323*0.05</f>
        <v>0.6</v>
      </c>
      <c r="D1323" s="0" t="n">
        <f aca="false">-1+B1323*0.05</f>
        <v>-0.7</v>
      </c>
      <c r="E1323" s="0" t="n">
        <f aca="false">1</f>
        <v>1</v>
      </c>
      <c r="F1323" s="0" t="n">
        <f aca="false">C1323</f>
        <v>0.6</v>
      </c>
      <c r="G1323" s="0" t="n">
        <f aca="false">D1323</f>
        <v>-0.7</v>
      </c>
      <c r="H1323" s="0" t="n">
        <f aca="false">C1323*D1323</f>
        <v>-0.42</v>
      </c>
      <c r="I1323" s="0" t="n">
        <f aca="false">C1323*C1323</f>
        <v>0.36</v>
      </c>
      <c r="J1323" s="0" t="n">
        <f aca="false">D1323*D1323</f>
        <v>0.49</v>
      </c>
      <c r="K1323" s="0" t="n">
        <f aca="false">SUMPRODUCT(E1323:J1323,_XtX!$B$53:$G$53)</f>
        <v>45.7860344827586</v>
      </c>
      <c r="L1323" s="0" t="n">
        <f aca="false">SUMPRODUCT(MMULT(E1323:J1323,_XtX!$B$44:$G$49),E1323:J1323)</f>
        <v>0.267513218390805</v>
      </c>
      <c r="M1323" s="0" t="n">
        <f aca="false">04_回帰ANOVA!$K$19*04_回帰ANOVA!$K$14*SQRT(1+L1323)</f>
        <v>1.52564264921817</v>
      </c>
      <c r="N1323" s="0" t="n">
        <f aca="false">K1323-M1323</f>
        <v>44.2603918335404</v>
      </c>
      <c r="O1323" s="0" t="n">
        <f aca="false">K1323+M1323</f>
        <v>47.3116771319768</v>
      </c>
      <c r="P1323" s="54" t="b">
        <f aca="false">AND(C1323&gt;=01_因子設定!$L$5-0.000000001,C1323&lt;=01_因子設定!$M$5+0.000000001,D1323&gt;=01_因子設定!$L$6-0.000000001,D1323&lt;=01_因子設定!$M$6+0.000000001,IF(01_因子設定!$B$20="Box-Behnken",C1323^2+D1323^2&lt;=2+0.000000001,TRUE()))</f>
        <v>1</v>
      </c>
      <c r="Q1323" s="55" t="n">
        <f aca="false">IF(P1323,IF(01_因子設定!$B$13="最大化",N1323-01_因子設定!$B$14,IF(01_因子設定!$B$13="最小化",01_因子設定!$B$15-O1323,MIN(N1323-01_因子設定!$B$14,01_因子設定!$B$15-O1323))),-1E+030)</f>
        <v>-2.23960816645956</v>
      </c>
      <c r="R1323" s="55" t="n">
        <f aca="false">IF(P1323,IF(01_因子設定!$B$13="最大化",K1323,IF(01_因子設定!$B$13="最小化",-K1323,-ABS(K1323-01_因子設定!$B$16))),-1E+030)</f>
        <v>45.7860344827586</v>
      </c>
      <c r="S1323" s="55" t="n">
        <f aca="false">Q1323+ROW()*0.000000001</f>
        <v>-2.23960684345956</v>
      </c>
      <c r="T1323" s="55" t="n">
        <f aca="false">R1323+ROW()*0.000000001</f>
        <v>45.7860358057586</v>
      </c>
    </row>
    <row r="1324" customFormat="false" ht="15" hidden="false" customHeight="false" outlineLevel="0" collapsed="false">
      <c r="A1324" s="0" t="n">
        <v>32</v>
      </c>
      <c r="B1324" s="0" t="n">
        <v>7</v>
      </c>
      <c r="C1324" s="0" t="n">
        <f aca="false">-1+A1324*0.05</f>
        <v>0.6</v>
      </c>
      <c r="D1324" s="0" t="n">
        <f aca="false">-1+B1324*0.05</f>
        <v>-0.65</v>
      </c>
      <c r="E1324" s="0" t="n">
        <f aca="false">1</f>
        <v>1</v>
      </c>
      <c r="F1324" s="0" t="n">
        <f aca="false">C1324</f>
        <v>0.6</v>
      </c>
      <c r="G1324" s="0" t="n">
        <f aca="false">D1324</f>
        <v>-0.65</v>
      </c>
      <c r="H1324" s="0" t="n">
        <f aca="false">C1324*D1324</f>
        <v>-0.39</v>
      </c>
      <c r="I1324" s="0" t="n">
        <f aca="false">C1324*C1324</f>
        <v>0.36</v>
      </c>
      <c r="J1324" s="0" t="n">
        <f aca="false">D1324*D1324</f>
        <v>0.4225</v>
      </c>
      <c r="K1324" s="0" t="n">
        <f aca="false">SUMPRODUCT(E1324:J1324,_XtX!$B$53:$G$53)</f>
        <v>46.0184439655172</v>
      </c>
      <c r="L1324" s="0" t="n">
        <f aca="false">SUMPRODUCT(MMULT(E1324:J1324,_XtX!$B$44:$G$49),E1324:J1324)</f>
        <v>0.248555998563218</v>
      </c>
      <c r="M1324" s="0" t="n">
        <f aca="false">04_回帰ANOVA!$K$19*04_回帰ANOVA!$K$14*SQRT(1+L1324)</f>
        <v>1.51419073700187</v>
      </c>
      <c r="N1324" s="0" t="n">
        <f aca="false">K1324-M1324</f>
        <v>44.5042532285154</v>
      </c>
      <c r="O1324" s="0" t="n">
        <f aca="false">K1324+M1324</f>
        <v>47.5326347025191</v>
      </c>
      <c r="P1324" s="54" t="b">
        <f aca="false">AND(C1324&gt;=01_因子設定!$L$5-0.000000001,C1324&lt;=01_因子設定!$M$5+0.000000001,D1324&gt;=01_因子設定!$L$6-0.000000001,D1324&lt;=01_因子設定!$M$6+0.000000001,IF(01_因子設定!$B$20="Box-Behnken",C1324^2+D1324^2&lt;=2+0.000000001,TRUE()))</f>
        <v>1</v>
      </c>
      <c r="Q1324" s="55" t="n">
        <f aca="false">IF(P1324,IF(01_因子設定!$B$13="最大化",N1324-01_因子設定!$B$14,IF(01_因子設定!$B$13="最小化",01_因子設定!$B$15-O1324,MIN(N1324-01_因子設定!$B$14,01_因子設定!$B$15-O1324))),-1E+030)</f>
        <v>-1.99574677148463</v>
      </c>
      <c r="R1324" s="55" t="n">
        <f aca="false">IF(P1324,IF(01_因子設定!$B$13="最大化",K1324,IF(01_因子設定!$B$13="最小化",-K1324,-ABS(K1324-01_因子設定!$B$16))),-1E+030)</f>
        <v>46.0184439655172</v>
      </c>
      <c r="S1324" s="55" t="n">
        <f aca="false">Q1324+ROW()*0.000000001</f>
        <v>-1.99574544748463</v>
      </c>
      <c r="T1324" s="55" t="n">
        <f aca="false">R1324+ROW()*0.000000001</f>
        <v>46.0184452895172</v>
      </c>
    </row>
    <row r="1325" customFormat="false" ht="15" hidden="false" customHeight="false" outlineLevel="0" collapsed="false">
      <c r="A1325" s="0" t="n">
        <v>32</v>
      </c>
      <c r="B1325" s="0" t="n">
        <v>8</v>
      </c>
      <c r="C1325" s="0" t="n">
        <f aca="false">-1+A1325*0.05</f>
        <v>0.6</v>
      </c>
      <c r="D1325" s="0" t="n">
        <f aca="false">-1+B1325*0.05</f>
        <v>-0.6</v>
      </c>
      <c r="E1325" s="0" t="n">
        <f aca="false">1</f>
        <v>1</v>
      </c>
      <c r="F1325" s="0" t="n">
        <f aca="false">C1325</f>
        <v>0.6</v>
      </c>
      <c r="G1325" s="0" t="n">
        <f aca="false">D1325</f>
        <v>-0.6</v>
      </c>
      <c r="H1325" s="0" t="n">
        <f aca="false">C1325*D1325</f>
        <v>-0.36</v>
      </c>
      <c r="I1325" s="0" t="n">
        <f aca="false">C1325*C1325</f>
        <v>0.36</v>
      </c>
      <c r="J1325" s="0" t="n">
        <f aca="false">D1325*D1325</f>
        <v>0.36</v>
      </c>
      <c r="K1325" s="0" t="n">
        <f aca="false">SUMPRODUCT(E1325:J1325,_XtX!$B$53:$G$53)</f>
        <v>46.2431379310345</v>
      </c>
      <c r="L1325" s="0" t="n">
        <f aca="false">SUMPRODUCT(MMULT(E1325:J1325,_XtX!$B$44:$G$49),E1325:J1325)</f>
        <v>0.233944827586207</v>
      </c>
      <c r="M1325" s="0" t="n">
        <f aca="false">04_回帰ANOVA!$K$19*04_回帰ANOVA!$K$14*SQRT(1+L1325)</f>
        <v>1.50530478880588</v>
      </c>
      <c r="N1325" s="0" t="n">
        <f aca="false">K1325-M1325</f>
        <v>44.7378331422286</v>
      </c>
      <c r="O1325" s="0" t="n">
        <f aca="false">K1325+M1325</f>
        <v>47.7484427198404</v>
      </c>
      <c r="P1325" s="54" t="b">
        <f aca="false">AND(C1325&gt;=01_因子設定!$L$5-0.000000001,C1325&lt;=01_因子設定!$M$5+0.000000001,D1325&gt;=01_因子設定!$L$6-0.000000001,D1325&lt;=01_因子設定!$M$6+0.000000001,IF(01_因子設定!$B$20="Box-Behnken",C1325^2+D1325^2&lt;=2+0.000000001,TRUE()))</f>
        <v>1</v>
      </c>
      <c r="Q1325" s="55" t="n">
        <f aca="false">IF(P1325,IF(01_因子設定!$B$13="最大化",N1325-01_因子設定!$B$14,IF(01_因子設定!$B$13="最小化",01_因子設定!$B$15-O1325,MIN(N1325-01_因子設定!$B$14,01_因子設定!$B$15-O1325))),-1E+030)</f>
        <v>-1.7621668577714</v>
      </c>
      <c r="R1325" s="55" t="n">
        <f aca="false">IF(P1325,IF(01_因子設定!$B$13="最大化",K1325,IF(01_因子設定!$B$13="最小化",-K1325,-ABS(K1325-01_因子設定!$B$16))),-1E+030)</f>
        <v>46.2431379310345</v>
      </c>
      <c r="S1325" s="55" t="n">
        <f aca="false">Q1325+ROW()*0.000000001</f>
        <v>-1.7621655327714</v>
      </c>
      <c r="T1325" s="55" t="n">
        <f aca="false">R1325+ROW()*0.000000001</f>
        <v>46.2431392560345</v>
      </c>
    </row>
    <row r="1326" customFormat="false" ht="15" hidden="false" customHeight="false" outlineLevel="0" collapsed="false">
      <c r="A1326" s="0" t="n">
        <v>32</v>
      </c>
      <c r="B1326" s="0" t="n">
        <v>9</v>
      </c>
      <c r="C1326" s="0" t="n">
        <f aca="false">-1+A1326*0.05</f>
        <v>0.6</v>
      </c>
      <c r="D1326" s="0" t="n">
        <f aca="false">-1+B1326*0.05</f>
        <v>-0.55</v>
      </c>
      <c r="E1326" s="0" t="n">
        <f aca="false">1</f>
        <v>1</v>
      </c>
      <c r="F1326" s="0" t="n">
        <f aca="false">C1326</f>
        <v>0.6</v>
      </c>
      <c r="G1326" s="0" t="n">
        <f aca="false">D1326</f>
        <v>-0.55</v>
      </c>
      <c r="H1326" s="0" t="n">
        <f aca="false">C1326*D1326</f>
        <v>-0.33</v>
      </c>
      <c r="I1326" s="0" t="n">
        <f aca="false">C1326*C1326</f>
        <v>0.36</v>
      </c>
      <c r="J1326" s="0" t="n">
        <f aca="false">D1326*D1326</f>
        <v>0.3025</v>
      </c>
      <c r="K1326" s="0" t="n">
        <f aca="false">SUMPRODUCT(E1326:J1326,_XtX!$B$53:$G$53)</f>
        <v>46.4601163793103</v>
      </c>
      <c r="L1326" s="0" t="n">
        <f aca="false">SUMPRODUCT(MMULT(E1326:J1326,_XtX!$B$44:$G$49),E1326:J1326)</f>
        <v>0.223000826149425</v>
      </c>
      <c r="M1326" s="0" t="n">
        <f aca="false">04_回帰ANOVA!$K$19*04_回帰ANOVA!$K$14*SQRT(1+L1326)</f>
        <v>1.49861455927642</v>
      </c>
      <c r="N1326" s="0" t="n">
        <f aca="false">K1326-M1326</f>
        <v>44.9615018200339</v>
      </c>
      <c r="O1326" s="0" t="n">
        <f aca="false">K1326+M1326</f>
        <v>47.9587309385868</v>
      </c>
      <c r="P1326" s="54" t="b">
        <f aca="false">AND(C1326&gt;=01_因子設定!$L$5-0.000000001,C1326&lt;=01_因子設定!$M$5+0.000000001,D1326&gt;=01_因子設定!$L$6-0.000000001,D1326&lt;=01_因子設定!$M$6+0.000000001,IF(01_因子設定!$B$20="Box-Behnken",C1326^2+D1326^2&lt;=2+0.000000001,TRUE()))</f>
        <v>1</v>
      </c>
      <c r="Q1326" s="55" t="n">
        <f aca="false">IF(P1326,IF(01_因子設定!$B$13="最大化",N1326-01_因子設定!$B$14,IF(01_因子設定!$B$13="最小化",01_因子設定!$B$15-O1326,MIN(N1326-01_因子設定!$B$14,01_因子設定!$B$15-O1326))),-1E+030)</f>
        <v>-1.53849817996608</v>
      </c>
      <c r="R1326" s="55" t="n">
        <f aca="false">IF(P1326,IF(01_因子設定!$B$13="最大化",K1326,IF(01_因子設定!$B$13="最小化",-K1326,-ABS(K1326-01_因子設定!$B$16))),-1E+030)</f>
        <v>46.4601163793103</v>
      </c>
      <c r="S1326" s="55" t="n">
        <f aca="false">Q1326+ROW()*0.000000001</f>
        <v>-1.53849685396608</v>
      </c>
      <c r="T1326" s="55" t="n">
        <f aca="false">R1326+ROW()*0.000000001</f>
        <v>46.4601177053103</v>
      </c>
    </row>
    <row r="1327" customFormat="false" ht="15" hidden="false" customHeight="false" outlineLevel="0" collapsed="false">
      <c r="A1327" s="0" t="n">
        <v>32</v>
      </c>
      <c r="B1327" s="0" t="n">
        <v>10</v>
      </c>
      <c r="C1327" s="0" t="n">
        <f aca="false">-1+A1327*0.05</f>
        <v>0.6</v>
      </c>
      <c r="D1327" s="0" t="n">
        <f aca="false">-1+B1327*0.05</f>
        <v>-0.5</v>
      </c>
      <c r="E1327" s="0" t="n">
        <f aca="false">1</f>
        <v>1</v>
      </c>
      <c r="F1327" s="0" t="n">
        <f aca="false">C1327</f>
        <v>0.6</v>
      </c>
      <c r="G1327" s="0" t="n">
        <f aca="false">D1327</f>
        <v>-0.5</v>
      </c>
      <c r="H1327" s="0" t="n">
        <f aca="false">C1327*D1327</f>
        <v>-0.3</v>
      </c>
      <c r="I1327" s="0" t="n">
        <f aca="false">C1327*C1327</f>
        <v>0.36</v>
      </c>
      <c r="J1327" s="0" t="n">
        <f aca="false">D1327*D1327</f>
        <v>0.25</v>
      </c>
      <c r="K1327" s="0" t="n">
        <f aca="false">SUMPRODUCT(E1327:J1327,_XtX!$B$53:$G$53)</f>
        <v>46.6693793103448</v>
      </c>
      <c r="L1327" s="0" t="n">
        <f aca="false">SUMPRODUCT(MMULT(E1327:J1327,_XtX!$B$44:$G$49),E1327:J1327)</f>
        <v>0.215099425287356</v>
      </c>
      <c r="M1327" s="0" t="n">
        <f aca="false">04_回帰ANOVA!$K$19*04_回帰ANOVA!$K$14*SQRT(1+L1327)</f>
        <v>1.49376569017207</v>
      </c>
      <c r="N1327" s="0" t="n">
        <f aca="false">K1327-M1327</f>
        <v>45.1756136201728</v>
      </c>
      <c r="O1327" s="0" t="n">
        <f aca="false">K1327+M1327</f>
        <v>48.1631450005169</v>
      </c>
      <c r="P1327" s="54" t="b">
        <f aca="false">AND(C1327&gt;=01_因子設定!$L$5-0.000000001,C1327&lt;=01_因子設定!$M$5+0.000000001,D1327&gt;=01_因子設定!$L$6-0.000000001,D1327&lt;=01_因子設定!$M$6+0.000000001,IF(01_因子設定!$B$20="Box-Behnken",C1327^2+D1327^2&lt;=2+0.000000001,TRUE()))</f>
        <v>1</v>
      </c>
      <c r="Q1327" s="55" t="n">
        <f aca="false">IF(P1327,IF(01_因子設定!$B$13="最大化",N1327-01_因子設定!$B$14,IF(01_因子設定!$B$13="最小化",01_因子設定!$B$15-O1327,MIN(N1327-01_因子設定!$B$14,01_因子設定!$B$15-O1327))),-1E+030)</f>
        <v>-1.32438637982725</v>
      </c>
      <c r="R1327" s="55" t="n">
        <f aca="false">IF(P1327,IF(01_因子設定!$B$13="最大化",K1327,IF(01_因子設定!$B$13="最小化",-K1327,-ABS(K1327-01_因子設定!$B$16))),-1E+030)</f>
        <v>46.6693793103448</v>
      </c>
      <c r="S1327" s="55" t="n">
        <f aca="false">Q1327+ROW()*0.000000001</f>
        <v>-1.32438505282725</v>
      </c>
      <c r="T1327" s="55" t="n">
        <f aca="false">R1327+ROW()*0.000000001</f>
        <v>46.6693806373448</v>
      </c>
    </row>
    <row r="1328" customFormat="false" ht="15" hidden="false" customHeight="false" outlineLevel="0" collapsed="false">
      <c r="A1328" s="0" t="n">
        <v>32</v>
      </c>
      <c r="B1328" s="0" t="n">
        <v>11</v>
      </c>
      <c r="C1328" s="0" t="n">
        <f aca="false">-1+A1328*0.05</f>
        <v>0.6</v>
      </c>
      <c r="D1328" s="0" t="n">
        <f aca="false">-1+B1328*0.05</f>
        <v>-0.45</v>
      </c>
      <c r="E1328" s="0" t="n">
        <f aca="false">1</f>
        <v>1</v>
      </c>
      <c r="F1328" s="0" t="n">
        <f aca="false">C1328</f>
        <v>0.6</v>
      </c>
      <c r="G1328" s="0" t="n">
        <f aca="false">D1328</f>
        <v>-0.45</v>
      </c>
      <c r="H1328" s="0" t="n">
        <f aca="false">C1328*D1328</f>
        <v>-0.27</v>
      </c>
      <c r="I1328" s="0" t="n">
        <f aca="false">C1328*C1328</f>
        <v>0.36</v>
      </c>
      <c r="J1328" s="0" t="n">
        <f aca="false">D1328*D1328</f>
        <v>0.2025</v>
      </c>
      <c r="K1328" s="0" t="n">
        <f aca="false">SUMPRODUCT(E1328:J1328,_XtX!$B$53:$G$53)</f>
        <v>46.8709267241379</v>
      </c>
      <c r="L1328" s="0" t="n">
        <f aca="false">SUMPRODUCT(MMULT(E1328:J1328,_XtX!$B$44:$G$49),E1328:J1328)</f>
        <v>0.20967036637931</v>
      </c>
      <c r="M1328" s="0" t="n">
        <f aca="false">04_回帰ANOVA!$K$19*04_回帰ANOVA!$K$14*SQRT(1+L1328)</f>
        <v>1.49042488503951</v>
      </c>
      <c r="N1328" s="0" t="n">
        <f aca="false">K1328-M1328</f>
        <v>45.3805018390984</v>
      </c>
      <c r="O1328" s="0" t="n">
        <f aca="false">K1328+M1328</f>
        <v>48.3613516091774</v>
      </c>
      <c r="P1328" s="54" t="b">
        <f aca="false">AND(C1328&gt;=01_因子設定!$L$5-0.000000001,C1328&lt;=01_因子設定!$M$5+0.000000001,D1328&gt;=01_因子設定!$L$6-0.000000001,D1328&lt;=01_因子設定!$M$6+0.000000001,IF(01_因子設定!$B$20="Box-Behnken",C1328^2+D1328^2&lt;=2+0.000000001,TRUE()))</f>
        <v>1</v>
      </c>
      <c r="Q1328" s="55" t="n">
        <f aca="false">IF(P1328,IF(01_因子設定!$B$13="最大化",N1328-01_因子設定!$B$14,IF(01_因子設定!$B$13="最小化",01_因子設定!$B$15-O1328,MIN(N1328-01_因子設定!$B$14,01_因子設定!$B$15-O1328))),-1E+030)</f>
        <v>-1.11949816090159</v>
      </c>
      <c r="R1328" s="55" t="n">
        <f aca="false">IF(P1328,IF(01_因子設定!$B$13="最大化",K1328,IF(01_因子設定!$B$13="最小化",-K1328,-ABS(K1328-01_因子設定!$B$16))),-1E+030)</f>
        <v>46.8709267241379</v>
      </c>
      <c r="S1328" s="55" t="n">
        <f aca="false">Q1328+ROW()*0.000000001</f>
        <v>-1.11949683290159</v>
      </c>
      <c r="T1328" s="55" t="n">
        <f aca="false">R1328+ROW()*0.000000001</f>
        <v>46.8709280521379</v>
      </c>
    </row>
    <row r="1329" customFormat="false" ht="15" hidden="false" customHeight="false" outlineLevel="0" collapsed="false">
      <c r="A1329" s="0" t="n">
        <v>32</v>
      </c>
      <c r="B1329" s="0" t="n">
        <v>12</v>
      </c>
      <c r="C1329" s="0" t="n">
        <f aca="false">-1+A1329*0.05</f>
        <v>0.6</v>
      </c>
      <c r="D1329" s="0" t="n">
        <f aca="false">-1+B1329*0.05</f>
        <v>-0.4</v>
      </c>
      <c r="E1329" s="0" t="n">
        <f aca="false">1</f>
        <v>1</v>
      </c>
      <c r="F1329" s="0" t="n">
        <f aca="false">C1329</f>
        <v>0.6</v>
      </c>
      <c r="G1329" s="0" t="n">
        <f aca="false">D1329</f>
        <v>-0.4</v>
      </c>
      <c r="H1329" s="0" t="n">
        <f aca="false">C1329*D1329</f>
        <v>-0.24</v>
      </c>
      <c r="I1329" s="0" t="n">
        <f aca="false">C1329*C1329</f>
        <v>0.36</v>
      </c>
      <c r="J1329" s="0" t="n">
        <f aca="false">D1329*D1329</f>
        <v>0.16</v>
      </c>
      <c r="K1329" s="0" t="n">
        <f aca="false">SUMPRODUCT(E1329:J1329,_XtX!$B$53:$G$53)</f>
        <v>47.0647586206897</v>
      </c>
      <c r="L1329" s="0" t="n">
        <f aca="false">SUMPRODUCT(MMULT(E1329:J1329,_XtX!$B$44:$G$49),E1329:J1329)</f>
        <v>0.206197701149425</v>
      </c>
      <c r="M1329" s="0" t="n">
        <f aca="false">04_回帰ANOVA!$K$19*04_回帰ANOVA!$K$14*SQRT(1+L1329)</f>
        <v>1.48828402636661</v>
      </c>
      <c r="N1329" s="0" t="n">
        <f aca="false">K1329-M1329</f>
        <v>45.576474594323</v>
      </c>
      <c r="O1329" s="0" t="n">
        <f aca="false">K1329+M1329</f>
        <v>48.5530426470563</v>
      </c>
      <c r="P1329" s="54" t="b">
        <f aca="false">AND(C1329&gt;=01_因子設定!$L$5-0.000000001,C1329&lt;=01_因子設定!$M$5+0.000000001,D1329&gt;=01_因子設定!$L$6-0.000000001,D1329&lt;=01_因子設定!$M$6+0.000000001,IF(01_因子設定!$B$20="Box-Behnken",C1329^2+D1329^2&lt;=2+0.000000001,TRUE()))</f>
        <v>1</v>
      </c>
      <c r="Q1329" s="55" t="n">
        <f aca="false">IF(P1329,IF(01_因子設定!$B$13="最大化",N1329-01_因子設定!$B$14,IF(01_因子設定!$B$13="最小化",01_因子設定!$B$15-O1329,MIN(N1329-01_因子設定!$B$14,01_因子設定!$B$15-O1329))),-1E+030)</f>
        <v>-0.923525405676962</v>
      </c>
      <c r="R1329" s="55" t="n">
        <f aca="false">IF(P1329,IF(01_因子設定!$B$13="最大化",K1329,IF(01_因子設定!$B$13="最小化",-K1329,-ABS(K1329-01_因子設定!$B$16))),-1E+030)</f>
        <v>47.0647586206897</v>
      </c>
      <c r="S1329" s="55" t="n">
        <f aca="false">Q1329+ROW()*0.000000001</f>
        <v>-0.923524076676962</v>
      </c>
      <c r="T1329" s="55" t="n">
        <f aca="false">R1329+ROW()*0.000000001</f>
        <v>47.0647599496897</v>
      </c>
    </row>
    <row r="1330" customFormat="false" ht="15" hidden="false" customHeight="false" outlineLevel="0" collapsed="false">
      <c r="A1330" s="0" t="n">
        <v>32</v>
      </c>
      <c r="B1330" s="0" t="n">
        <v>13</v>
      </c>
      <c r="C1330" s="0" t="n">
        <f aca="false">-1+A1330*0.05</f>
        <v>0.6</v>
      </c>
      <c r="D1330" s="0" t="n">
        <f aca="false">-1+B1330*0.05</f>
        <v>-0.35</v>
      </c>
      <c r="E1330" s="0" t="n">
        <f aca="false">1</f>
        <v>1</v>
      </c>
      <c r="F1330" s="0" t="n">
        <f aca="false">C1330</f>
        <v>0.6</v>
      </c>
      <c r="G1330" s="0" t="n">
        <f aca="false">D1330</f>
        <v>-0.35</v>
      </c>
      <c r="H1330" s="0" t="n">
        <f aca="false">C1330*D1330</f>
        <v>-0.21</v>
      </c>
      <c r="I1330" s="0" t="n">
        <f aca="false">C1330*C1330</f>
        <v>0.36</v>
      </c>
      <c r="J1330" s="0" t="n">
        <f aca="false">D1330*D1330</f>
        <v>0.1225</v>
      </c>
      <c r="K1330" s="0" t="n">
        <f aca="false">SUMPRODUCT(E1330:J1330,_XtX!$B$53:$G$53)</f>
        <v>47.250875</v>
      </c>
      <c r="L1330" s="0" t="n">
        <f aca="false">SUMPRODUCT(MMULT(E1330:J1330,_XtX!$B$44:$G$49),E1330:J1330)</f>
        <v>0.204219791666667</v>
      </c>
      <c r="M1330" s="0" t="n">
        <f aca="false">04_回帰ANOVA!$K$19*04_回帰ANOVA!$K$14*SQRT(1+L1330)</f>
        <v>1.48706328998387</v>
      </c>
      <c r="N1330" s="0" t="n">
        <f aca="false">K1330-M1330</f>
        <v>45.7638117100161</v>
      </c>
      <c r="O1330" s="0" t="n">
        <f aca="false">K1330+M1330</f>
        <v>48.7379382899839</v>
      </c>
      <c r="P1330" s="54" t="b">
        <f aca="false">AND(C1330&gt;=01_因子設定!$L$5-0.000000001,C1330&lt;=01_因子設定!$M$5+0.000000001,D1330&gt;=01_因子設定!$L$6-0.000000001,D1330&lt;=01_因子設定!$M$6+0.000000001,IF(01_因子設定!$B$20="Box-Behnken",C1330^2+D1330^2&lt;=2+0.000000001,TRUE()))</f>
        <v>1</v>
      </c>
      <c r="Q1330" s="55" t="n">
        <f aca="false">IF(P1330,IF(01_因子設定!$B$13="最大化",N1330-01_因子設定!$B$14,IF(01_因子設定!$B$13="最小化",01_因子設定!$B$15-O1330,MIN(N1330-01_因子設定!$B$14,01_因子設定!$B$15-O1330))),-1E+030)</f>
        <v>-0.736188289983879</v>
      </c>
      <c r="R1330" s="55" t="n">
        <f aca="false">IF(P1330,IF(01_因子設定!$B$13="最大化",K1330,IF(01_因子設定!$B$13="最小化",-K1330,-ABS(K1330-01_因子設定!$B$16))),-1E+030)</f>
        <v>47.250875</v>
      </c>
      <c r="S1330" s="55" t="n">
        <f aca="false">Q1330+ROW()*0.000000001</f>
        <v>-0.736186959983879</v>
      </c>
      <c r="T1330" s="55" t="n">
        <f aca="false">R1330+ROW()*0.000000001</f>
        <v>47.25087633</v>
      </c>
    </row>
    <row r="1331" customFormat="false" ht="15" hidden="false" customHeight="false" outlineLevel="0" collapsed="false">
      <c r="A1331" s="0" t="n">
        <v>32</v>
      </c>
      <c r="B1331" s="0" t="n">
        <v>14</v>
      </c>
      <c r="C1331" s="0" t="n">
        <f aca="false">-1+A1331*0.05</f>
        <v>0.6</v>
      </c>
      <c r="D1331" s="0" t="n">
        <f aca="false">-1+B1331*0.05</f>
        <v>-0.3</v>
      </c>
      <c r="E1331" s="0" t="n">
        <f aca="false">1</f>
        <v>1</v>
      </c>
      <c r="F1331" s="0" t="n">
        <f aca="false">C1331</f>
        <v>0.6</v>
      </c>
      <c r="G1331" s="0" t="n">
        <f aca="false">D1331</f>
        <v>-0.3</v>
      </c>
      <c r="H1331" s="0" t="n">
        <f aca="false">C1331*D1331</f>
        <v>-0.18</v>
      </c>
      <c r="I1331" s="0" t="n">
        <f aca="false">C1331*C1331</f>
        <v>0.36</v>
      </c>
      <c r="J1331" s="0" t="n">
        <f aca="false">D1331*D1331</f>
        <v>0.09</v>
      </c>
      <c r="K1331" s="0" t="n">
        <f aca="false">SUMPRODUCT(E1331:J1331,_XtX!$B$53:$G$53)</f>
        <v>47.429275862069</v>
      </c>
      <c r="L1331" s="0" t="n">
        <f aca="false">SUMPRODUCT(MMULT(E1331:J1331,_XtX!$B$44:$G$49),E1331:J1331)</f>
        <v>0.203329310344828</v>
      </c>
      <c r="M1331" s="0" t="n">
        <f aca="false">04_回帰ANOVA!$K$19*04_回帰ANOVA!$K$14*SQRT(1+L1331)</f>
        <v>1.48651337086407</v>
      </c>
      <c r="N1331" s="0" t="n">
        <f aca="false">K1331-M1331</f>
        <v>45.9427624912049</v>
      </c>
      <c r="O1331" s="0" t="n">
        <f aca="false">K1331+M1331</f>
        <v>48.915789232933</v>
      </c>
      <c r="P1331" s="54" t="b">
        <f aca="false">AND(C1331&gt;=01_因子設定!$L$5-0.000000001,C1331&lt;=01_因子設定!$M$5+0.000000001,D1331&gt;=01_因子設定!$L$6-0.000000001,D1331&lt;=01_因子設定!$M$6+0.000000001,IF(01_因子設定!$B$20="Box-Behnken",C1331^2+D1331^2&lt;=2+0.000000001,TRUE()))</f>
        <v>1</v>
      </c>
      <c r="Q1331" s="55" t="n">
        <f aca="false">IF(P1331,IF(01_因子設定!$B$13="最大化",N1331-01_因子設定!$B$14,IF(01_因子設定!$B$13="最小化",01_因子設定!$B$15-O1331,MIN(N1331-01_因子設定!$B$14,01_因子設定!$B$15-O1331))),-1E+030)</f>
        <v>-0.557237508795119</v>
      </c>
      <c r="R1331" s="55" t="n">
        <f aca="false">IF(P1331,IF(01_因子設定!$B$13="最大化",K1331,IF(01_因子設定!$B$13="最小化",-K1331,-ABS(K1331-01_因子設定!$B$16))),-1E+030)</f>
        <v>47.429275862069</v>
      </c>
      <c r="S1331" s="55" t="n">
        <f aca="false">Q1331+ROW()*0.000000001</f>
        <v>-0.557236177795119</v>
      </c>
      <c r="T1331" s="55" t="n">
        <f aca="false">R1331+ROW()*0.000000001</f>
        <v>47.429277193069</v>
      </c>
    </row>
    <row r="1332" customFormat="false" ht="15" hidden="false" customHeight="false" outlineLevel="0" collapsed="false">
      <c r="A1332" s="0" t="n">
        <v>32</v>
      </c>
      <c r="B1332" s="0" t="n">
        <v>15</v>
      </c>
      <c r="C1332" s="0" t="n">
        <f aca="false">-1+A1332*0.05</f>
        <v>0.6</v>
      </c>
      <c r="D1332" s="0" t="n">
        <f aca="false">-1+B1332*0.05</f>
        <v>-0.25</v>
      </c>
      <c r="E1332" s="0" t="n">
        <f aca="false">1</f>
        <v>1</v>
      </c>
      <c r="F1332" s="0" t="n">
        <f aca="false">C1332</f>
        <v>0.6</v>
      </c>
      <c r="G1332" s="0" t="n">
        <f aca="false">D1332</f>
        <v>-0.25</v>
      </c>
      <c r="H1332" s="0" t="n">
        <f aca="false">C1332*D1332</f>
        <v>-0.15</v>
      </c>
      <c r="I1332" s="0" t="n">
        <f aca="false">C1332*C1332</f>
        <v>0.36</v>
      </c>
      <c r="J1332" s="0" t="n">
        <f aca="false">D1332*D1332</f>
        <v>0.0625</v>
      </c>
      <c r="K1332" s="0" t="n">
        <f aca="false">SUMPRODUCT(E1332:J1332,_XtX!$B$53:$G$53)</f>
        <v>47.5999612068965</v>
      </c>
      <c r="L1332" s="0" t="n">
        <f aca="false">SUMPRODUCT(MMULT(E1332:J1332,_XtX!$B$44:$G$49),E1332:J1332)</f>
        <v>0.203173239942529</v>
      </c>
      <c r="M1332" s="0" t="n">
        <f aca="false">04_回帰ANOVA!$K$19*04_回帰ANOVA!$K$14*SQRT(1+L1332)</f>
        <v>1.48641696821649</v>
      </c>
      <c r="N1332" s="0" t="n">
        <f aca="false">K1332-M1332</f>
        <v>46.1135442386801</v>
      </c>
      <c r="O1332" s="0" t="n">
        <f aca="false">K1332+M1332</f>
        <v>49.086378175113</v>
      </c>
      <c r="P1332" s="54" t="b">
        <f aca="false">AND(C1332&gt;=01_因子設定!$L$5-0.000000001,C1332&lt;=01_因子設定!$M$5+0.000000001,D1332&gt;=01_因子設定!$L$6-0.000000001,D1332&lt;=01_因子設定!$M$6+0.000000001,IF(01_因子設定!$B$20="Box-Behnken",C1332^2+D1332^2&lt;=2+0.000000001,TRUE()))</f>
        <v>1</v>
      </c>
      <c r="Q1332" s="55" t="n">
        <f aca="false">IF(P1332,IF(01_因子設定!$B$13="最大化",N1332-01_因子設定!$B$14,IF(01_因子設定!$B$13="最小化",01_因子設定!$B$15-O1332,MIN(N1332-01_因子設定!$B$14,01_因子設定!$B$15-O1332))),-1E+030)</f>
        <v>-0.386455761319951</v>
      </c>
      <c r="R1332" s="55" t="n">
        <f aca="false">IF(P1332,IF(01_因子設定!$B$13="最大化",K1332,IF(01_因子設定!$B$13="最小化",-K1332,-ABS(K1332-01_因子設定!$B$16))),-1E+030)</f>
        <v>47.5999612068965</v>
      </c>
      <c r="S1332" s="55" t="n">
        <f aca="false">Q1332+ROW()*0.000000001</f>
        <v>-0.386454429319951</v>
      </c>
      <c r="T1332" s="55" t="n">
        <f aca="false">R1332+ROW()*0.000000001</f>
        <v>47.5999625388965</v>
      </c>
    </row>
    <row r="1333" customFormat="false" ht="15" hidden="false" customHeight="false" outlineLevel="0" collapsed="false">
      <c r="A1333" s="0" t="n">
        <v>32</v>
      </c>
      <c r="B1333" s="0" t="n">
        <v>16</v>
      </c>
      <c r="C1333" s="0" t="n">
        <f aca="false">-1+A1333*0.05</f>
        <v>0.6</v>
      </c>
      <c r="D1333" s="0" t="n">
        <f aca="false">-1+B1333*0.05</f>
        <v>-0.2</v>
      </c>
      <c r="E1333" s="0" t="n">
        <f aca="false">1</f>
        <v>1</v>
      </c>
      <c r="F1333" s="0" t="n">
        <f aca="false">C1333</f>
        <v>0.6</v>
      </c>
      <c r="G1333" s="0" t="n">
        <f aca="false">D1333</f>
        <v>-0.2</v>
      </c>
      <c r="H1333" s="0" t="n">
        <f aca="false">C1333*D1333</f>
        <v>-0.12</v>
      </c>
      <c r="I1333" s="0" t="n">
        <f aca="false">C1333*C1333</f>
        <v>0.36</v>
      </c>
      <c r="J1333" s="0" t="n">
        <f aca="false">D1333*D1333</f>
        <v>0.04</v>
      </c>
      <c r="K1333" s="0" t="n">
        <f aca="false">SUMPRODUCT(E1333:J1333,_XtX!$B$53:$G$53)</f>
        <v>47.7629310344828</v>
      </c>
      <c r="L1333" s="0" t="n">
        <f aca="false">SUMPRODUCT(MMULT(E1333:J1333,_XtX!$B$44:$G$49),E1333:J1333)</f>
        <v>0.203452873563218</v>
      </c>
      <c r="M1333" s="0" t="n">
        <f aca="false">04_回帰ANOVA!$K$19*04_回帰ANOVA!$K$14*SQRT(1+L1333)</f>
        <v>1.48658968981505</v>
      </c>
      <c r="N1333" s="0" t="n">
        <f aca="false">K1333-M1333</f>
        <v>46.2763413446677</v>
      </c>
      <c r="O1333" s="0" t="n">
        <f aca="false">K1333+M1333</f>
        <v>49.2495207242978</v>
      </c>
      <c r="P1333" s="54" t="b">
        <f aca="false">AND(C1333&gt;=01_因子設定!$L$5-0.000000001,C1333&lt;=01_因子設定!$M$5+0.000000001,D1333&gt;=01_因子設定!$L$6-0.000000001,D1333&lt;=01_因子設定!$M$6+0.000000001,IF(01_因子設定!$B$20="Box-Behnken",C1333^2+D1333^2&lt;=2+0.000000001,TRUE()))</f>
        <v>1</v>
      </c>
      <c r="Q1333" s="55" t="n">
        <f aca="false">IF(P1333,IF(01_因子設定!$B$13="最大化",N1333-01_因子設定!$B$14,IF(01_因子設定!$B$13="最小化",01_因子設定!$B$15-O1333,MIN(N1333-01_因子設定!$B$14,01_因子設定!$B$15-O1333))),-1E+030)</f>
        <v>-0.223658655332308</v>
      </c>
      <c r="R1333" s="55" t="n">
        <f aca="false">IF(P1333,IF(01_因子設定!$B$13="最大化",K1333,IF(01_因子設定!$B$13="最小化",-K1333,-ABS(K1333-01_因子設定!$B$16))),-1E+030)</f>
        <v>47.7629310344828</v>
      </c>
      <c r="S1333" s="55" t="n">
        <f aca="false">Q1333+ROW()*0.000000001</f>
        <v>-0.223657322332308</v>
      </c>
      <c r="T1333" s="55" t="n">
        <f aca="false">R1333+ROW()*0.000000001</f>
        <v>47.7629323674828</v>
      </c>
    </row>
    <row r="1334" customFormat="false" ht="15" hidden="false" customHeight="false" outlineLevel="0" collapsed="false">
      <c r="A1334" s="0" t="n">
        <v>32</v>
      </c>
      <c r="B1334" s="0" t="n">
        <v>17</v>
      </c>
      <c r="C1334" s="0" t="n">
        <f aca="false">-1+A1334*0.05</f>
        <v>0.6</v>
      </c>
      <c r="D1334" s="0" t="n">
        <f aca="false">-1+B1334*0.05</f>
        <v>-0.15</v>
      </c>
      <c r="E1334" s="0" t="n">
        <f aca="false">1</f>
        <v>1</v>
      </c>
      <c r="F1334" s="0" t="n">
        <f aca="false">C1334</f>
        <v>0.6</v>
      </c>
      <c r="G1334" s="0" t="n">
        <f aca="false">D1334</f>
        <v>-0.15</v>
      </c>
      <c r="H1334" s="0" t="n">
        <f aca="false">C1334*D1334</f>
        <v>-0.09</v>
      </c>
      <c r="I1334" s="0" t="n">
        <f aca="false">C1334*C1334</f>
        <v>0.36</v>
      </c>
      <c r="J1334" s="0" t="n">
        <f aca="false">D1334*D1334</f>
        <v>0.0225</v>
      </c>
      <c r="K1334" s="0" t="n">
        <f aca="false">SUMPRODUCT(E1334:J1334,_XtX!$B$53:$G$53)</f>
        <v>47.9181853448276</v>
      </c>
      <c r="L1334" s="0" t="n">
        <f aca="false">SUMPRODUCT(MMULT(E1334:J1334,_XtX!$B$44:$G$49),E1334:J1334)</f>
        <v>0.203923814655172</v>
      </c>
      <c r="M1334" s="0" t="n">
        <f aca="false">04_回帰ANOVA!$K$19*04_回帰ANOVA!$K$14*SQRT(1+L1334)</f>
        <v>1.48688053115555</v>
      </c>
      <c r="N1334" s="0" t="n">
        <f aca="false">K1334-M1334</f>
        <v>46.431304813672</v>
      </c>
      <c r="O1334" s="0" t="n">
        <f aca="false">K1334+M1334</f>
        <v>49.4050658759831</v>
      </c>
      <c r="P1334" s="54" t="b">
        <f aca="false">AND(C1334&gt;=01_因子設定!$L$5-0.000000001,C1334&lt;=01_因子設定!$M$5+0.000000001,D1334&gt;=01_因子設定!$L$6-0.000000001,D1334&lt;=01_因子設定!$M$6+0.000000001,IF(01_因子設定!$B$20="Box-Behnken",C1334^2+D1334^2&lt;=2+0.000000001,TRUE()))</f>
        <v>1</v>
      </c>
      <c r="Q1334" s="55" t="n">
        <f aca="false">IF(P1334,IF(01_因子設定!$B$13="最大化",N1334-01_因子設定!$B$14,IF(01_因子設定!$B$13="最小化",01_因子設定!$B$15-O1334,MIN(N1334-01_因子設定!$B$14,01_因子設定!$B$15-O1334))),-1E+030)</f>
        <v>-0.0686951863279717</v>
      </c>
      <c r="R1334" s="55" t="n">
        <f aca="false">IF(P1334,IF(01_因子設定!$B$13="最大化",K1334,IF(01_因子設定!$B$13="最小化",-K1334,-ABS(K1334-01_因子設定!$B$16))),-1E+030)</f>
        <v>47.9181853448276</v>
      </c>
      <c r="S1334" s="55" t="n">
        <f aca="false">Q1334+ROW()*0.000000001</f>
        <v>-0.0686938523279717</v>
      </c>
      <c r="T1334" s="55" t="n">
        <f aca="false">R1334+ROW()*0.000000001</f>
        <v>47.9181866788276</v>
      </c>
    </row>
    <row r="1335" customFormat="false" ht="15" hidden="false" customHeight="false" outlineLevel="0" collapsed="false">
      <c r="A1335" s="0" t="n">
        <v>32</v>
      </c>
      <c r="B1335" s="0" t="n">
        <v>18</v>
      </c>
      <c r="C1335" s="0" t="n">
        <f aca="false">-1+A1335*0.05</f>
        <v>0.6</v>
      </c>
      <c r="D1335" s="0" t="n">
        <f aca="false">-1+B1335*0.05</f>
        <v>-0.1</v>
      </c>
      <c r="E1335" s="0" t="n">
        <f aca="false">1</f>
        <v>1</v>
      </c>
      <c r="F1335" s="0" t="n">
        <f aca="false">C1335</f>
        <v>0.6</v>
      </c>
      <c r="G1335" s="0" t="n">
        <f aca="false">D1335</f>
        <v>-0.1</v>
      </c>
      <c r="H1335" s="0" t="n">
        <f aca="false">C1335*D1335</f>
        <v>-0.06</v>
      </c>
      <c r="I1335" s="0" t="n">
        <f aca="false">C1335*C1335</f>
        <v>0.36</v>
      </c>
      <c r="J1335" s="0" t="n">
        <f aca="false">D1335*D1335</f>
        <v>0.01</v>
      </c>
      <c r="K1335" s="0" t="n">
        <f aca="false">SUMPRODUCT(E1335:J1335,_XtX!$B$53:$G$53)</f>
        <v>48.065724137931</v>
      </c>
      <c r="L1335" s="0" t="n">
        <f aca="false">SUMPRODUCT(MMULT(E1335:J1335,_XtX!$B$44:$G$49),E1335:J1335)</f>
        <v>0.204395977011494</v>
      </c>
      <c r="M1335" s="0" t="n">
        <f aca="false">04_回帰ANOVA!$K$19*04_回帰ANOVA!$K$14*SQRT(1+L1335)</f>
        <v>1.48717206961779</v>
      </c>
      <c r="N1335" s="0" t="n">
        <f aca="false">K1335-M1335</f>
        <v>46.5785520683132</v>
      </c>
      <c r="O1335" s="0" t="n">
        <f aca="false">K1335+M1335</f>
        <v>49.5528962075488</v>
      </c>
      <c r="P1335" s="54" t="b">
        <f aca="false">AND(C1335&gt;=01_因子設定!$L$5-0.000000001,C1335&lt;=01_因子設定!$M$5+0.000000001,D1335&gt;=01_因子設定!$L$6-0.000000001,D1335&lt;=01_因子設定!$M$6+0.000000001,IF(01_因子設定!$B$20="Box-Behnken",C1335^2+D1335^2&lt;=2+0.000000001,TRUE()))</f>
        <v>1</v>
      </c>
      <c r="Q1335" s="55" t="n">
        <f aca="false">IF(P1335,IF(01_因子設定!$B$13="最大化",N1335-01_因子設定!$B$14,IF(01_因子設定!$B$13="最小化",01_因子設定!$B$15-O1335,MIN(N1335-01_因子設定!$B$14,01_因子設定!$B$15-O1335))),-1E+030)</f>
        <v>0.0785520683132361</v>
      </c>
      <c r="R1335" s="55" t="n">
        <f aca="false">IF(P1335,IF(01_因子設定!$B$13="最大化",K1335,IF(01_因子設定!$B$13="最小化",-K1335,-ABS(K1335-01_因子設定!$B$16))),-1E+030)</f>
        <v>48.065724137931</v>
      </c>
      <c r="S1335" s="55" t="n">
        <f aca="false">Q1335+ROW()*0.000000001</f>
        <v>0.0785534033132361</v>
      </c>
      <c r="T1335" s="55" t="n">
        <f aca="false">R1335+ROW()*0.000000001</f>
        <v>48.065725472931</v>
      </c>
    </row>
    <row r="1336" customFormat="false" ht="15" hidden="false" customHeight="false" outlineLevel="0" collapsed="false">
      <c r="A1336" s="0" t="n">
        <v>32</v>
      </c>
      <c r="B1336" s="0" t="n">
        <v>19</v>
      </c>
      <c r="C1336" s="0" t="n">
        <f aca="false">-1+A1336*0.05</f>
        <v>0.6</v>
      </c>
      <c r="D1336" s="0" t="n">
        <f aca="false">-1+B1336*0.05</f>
        <v>-0.0499999999999999</v>
      </c>
      <c r="E1336" s="0" t="n">
        <f aca="false">1</f>
        <v>1</v>
      </c>
      <c r="F1336" s="0" t="n">
        <f aca="false">C1336</f>
        <v>0.6</v>
      </c>
      <c r="G1336" s="0" t="n">
        <f aca="false">D1336</f>
        <v>-0.0499999999999999</v>
      </c>
      <c r="H1336" s="0" t="n">
        <f aca="false">C1336*D1336</f>
        <v>-0.03</v>
      </c>
      <c r="I1336" s="0" t="n">
        <f aca="false">C1336*C1336</f>
        <v>0.36</v>
      </c>
      <c r="J1336" s="0" t="n">
        <f aca="false">D1336*D1336</f>
        <v>0.00249999999999999</v>
      </c>
      <c r="K1336" s="0" t="n">
        <f aca="false">SUMPRODUCT(E1336:J1336,_XtX!$B$53:$G$53)</f>
        <v>48.2055474137931</v>
      </c>
      <c r="L1336" s="0" t="n">
        <f aca="false">SUMPRODUCT(MMULT(E1336:J1336,_XtX!$B$44:$G$49),E1336:J1336)</f>
        <v>0.204733584770115</v>
      </c>
      <c r="M1336" s="0" t="n">
        <f aca="false">04_回帰ANOVA!$K$19*04_回帰ANOVA!$K$14*SQRT(1+L1336)</f>
        <v>1.48738049178902</v>
      </c>
      <c r="N1336" s="0" t="n">
        <f aca="false">K1336-M1336</f>
        <v>46.7181669220041</v>
      </c>
      <c r="O1336" s="0" t="n">
        <f aca="false">K1336+M1336</f>
        <v>49.6929279055821</v>
      </c>
      <c r="P1336" s="54" t="b">
        <f aca="false">AND(C1336&gt;=01_因子設定!$L$5-0.000000001,C1336&lt;=01_因子設定!$M$5+0.000000001,D1336&gt;=01_因子設定!$L$6-0.000000001,D1336&lt;=01_因子設定!$M$6+0.000000001,IF(01_因子設定!$B$20="Box-Behnken",C1336^2+D1336^2&lt;=2+0.000000001,TRUE()))</f>
        <v>1</v>
      </c>
      <c r="Q1336" s="55" t="n">
        <f aca="false">IF(P1336,IF(01_因子設定!$B$13="最大化",N1336-01_因子設定!$B$14,IF(01_因子設定!$B$13="最小化",01_因子設定!$B$15-O1336,MIN(N1336-01_因子設定!$B$14,01_因子設定!$B$15-O1336))),-1E+030)</f>
        <v>0.21816692200408</v>
      </c>
      <c r="R1336" s="55" t="n">
        <f aca="false">IF(P1336,IF(01_因子設定!$B$13="最大化",K1336,IF(01_因子設定!$B$13="最小化",-K1336,-ABS(K1336-01_因子設定!$B$16))),-1E+030)</f>
        <v>48.2055474137931</v>
      </c>
      <c r="S1336" s="55" t="n">
        <f aca="false">Q1336+ROW()*0.000000001</f>
        <v>0.21816825800408</v>
      </c>
      <c r="T1336" s="55" t="n">
        <f aca="false">R1336+ROW()*0.000000001</f>
        <v>48.2055487497931</v>
      </c>
    </row>
    <row r="1337" customFormat="false" ht="15" hidden="false" customHeight="false" outlineLevel="0" collapsed="false">
      <c r="A1337" s="0" t="n">
        <v>32</v>
      </c>
      <c r="B1337" s="0" t="n">
        <v>20</v>
      </c>
      <c r="C1337" s="0" t="n">
        <f aca="false">-1+A1337*0.05</f>
        <v>0.6</v>
      </c>
      <c r="D1337" s="0" t="n">
        <f aca="false">-1+B1337*0.05</f>
        <v>0</v>
      </c>
      <c r="E1337" s="0" t="n">
        <f aca="false">1</f>
        <v>1</v>
      </c>
      <c r="F1337" s="0" t="n">
        <f aca="false">C1337</f>
        <v>0.6</v>
      </c>
      <c r="G1337" s="0" t="n">
        <f aca="false">D1337</f>
        <v>0</v>
      </c>
      <c r="H1337" s="0" t="n">
        <f aca="false">C1337*D1337</f>
        <v>0</v>
      </c>
      <c r="I1337" s="0" t="n">
        <f aca="false">C1337*C1337</f>
        <v>0.36</v>
      </c>
      <c r="J1337" s="0" t="n">
        <f aca="false">D1337*D1337</f>
        <v>0</v>
      </c>
      <c r="K1337" s="0" t="n">
        <f aca="false">SUMPRODUCT(E1337:J1337,_XtX!$B$53:$G$53)</f>
        <v>48.3376551724138</v>
      </c>
      <c r="L1337" s="0" t="n">
        <f aca="false">SUMPRODUCT(MMULT(E1337:J1337,_XtX!$B$44:$G$49),E1337:J1337)</f>
        <v>0.204855172413793</v>
      </c>
      <c r="M1337" s="0" t="n">
        <f aca="false">04_回帰ANOVA!$K$19*04_回帰ANOVA!$K$14*SQRT(1+L1337)</f>
        <v>1.48745554677577</v>
      </c>
      <c r="N1337" s="0" t="n">
        <f aca="false">K1337-M1337</f>
        <v>46.850199625638</v>
      </c>
      <c r="O1337" s="0" t="n">
        <f aca="false">K1337+M1337</f>
        <v>49.8251107191896</v>
      </c>
      <c r="P1337" s="54" t="b">
        <f aca="false">AND(C1337&gt;=01_因子設定!$L$5-0.000000001,C1337&lt;=01_因子設定!$M$5+0.000000001,D1337&gt;=01_因子設定!$L$6-0.000000001,D1337&lt;=01_因子設定!$M$6+0.000000001,IF(01_因子設定!$B$20="Box-Behnken",C1337^2+D1337^2&lt;=2+0.000000001,TRUE()))</f>
        <v>1</v>
      </c>
      <c r="Q1337" s="55" t="n">
        <f aca="false">IF(P1337,IF(01_因子設定!$B$13="最大化",N1337-01_因子設定!$B$14,IF(01_因子設定!$B$13="最小化",01_因子設定!$B$15-O1337,MIN(N1337-01_因子設定!$B$14,01_因子設定!$B$15-O1337))),-1E+030)</f>
        <v>0.350199625638012</v>
      </c>
      <c r="R1337" s="55" t="n">
        <f aca="false">IF(P1337,IF(01_因子設定!$B$13="最大化",K1337,IF(01_因子設定!$B$13="最小化",-K1337,-ABS(K1337-01_因子設定!$B$16))),-1E+030)</f>
        <v>48.3376551724138</v>
      </c>
      <c r="S1337" s="55" t="n">
        <f aca="false">Q1337+ROW()*0.000000001</f>
        <v>0.350200962638012</v>
      </c>
      <c r="T1337" s="55" t="n">
        <f aca="false">R1337+ROW()*0.000000001</f>
        <v>48.3376565094138</v>
      </c>
    </row>
    <row r="1338" customFormat="false" ht="15" hidden="false" customHeight="false" outlineLevel="0" collapsed="false">
      <c r="A1338" s="0" t="n">
        <v>32</v>
      </c>
      <c r="B1338" s="0" t="n">
        <v>21</v>
      </c>
      <c r="C1338" s="0" t="n">
        <f aca="false">-1+A1338*0.05</f>
        <v>0.6</v>
      </c>
      <c r="D1338" s="0" t="n">
        <f aca="false">-1+B1338*0.05</f>
        <v>0.05</v>
      </c>
      <c r="E1338" s="0" t="n">
        <f aca="false">1</f>
        <v>1</v>
      </c>
      <c r="F1338" s="0" t="n">
        <f aca="false">C1338</f>
        <v>0.6</v>
      </c>
      <c r="G1338" s="0" t="n">
        <f aca="false">D1338</f>
        <v>0.05</v>
      </c>
      <c r="H1338" s="0" t="n">
        <f aca="false">C1338*D1338</f>
        <v>0.03</v>
      </c>
      <c r="I1338" s="0" t="n">
        <f aca="false">C1338*C1338</f>
        <v>0.36</v>
      </c>
      <c r="J1338" s="0" t="n">
        <f aca="false">D1338*D1338</f>
        <v>0.0025</v>
      </c>
      <c r="K1338" s="0" t="n">
        <f aca="false">SUMPRODUCT(E1338:J1338,_XtX!$B$53:$G$53)</f>
        <v>48.4620474137931</v>
      </c>
      <c r="L1338" s="0" t="n">
        <f aca="false">SUMPRODUCT(MMULT(E1338:J1338,_XtX!$B$44:$G$49),E1338:J1338)</f>
        <v>0.204733584770115</v>
      </c>
      <c r="M1338" s="0" t="n">
        <f aca="false">04_回帰ANOVA!$K$19*04_回帰ANOVA!$K$14*SQRT(1+L1338)</f>
        <v>1.48738049178902</v>
      </c>
      <c r="N1338" s="0" t="n">
        <f aca="false">K1338-M1338</f>
        <v>46.9746669220041</v>
      </c>
      <c r="O1338" s="0" t="n">
        <f aca="false">K1338+M1338</f>
        <v>49.9494279055821</v>
      </c>
      <c r="P1338" s="54" t="b">
        <f aca="false">AND(C1338&gt;=01_因子設定!$L$5-0.000000001,C1338&lt;=01_因子設定!$M$5+0.000000001,D1338&gt;=01_因子設定!$L$6-0.000000001,D1338&lt;=01_因子設定!$M$6+0.000000001,IF(01_因子設定!$B$20="Box-Behnken",C1338^2+D1338^2&lt;=2+0.000000001,TRUE()))</f>
        <v>1</v>
      </c>
      <c r="Q1338" s="55" t="n">
        <f aca="false">IF(P1338,IF(01_因子設定!$B$13="最大化",N1338-01_因子設定!$B$14,IF(01_因子設定!$B$13="最小化",01_因子設定!$B$15-O1338,MIN(N1338-01_因子設定!$B$14,01_因子設定!$B$15-O1338))),-1E+030)</f>
        <v>0.474666922004076</v>
      </c>
      <c r="R1338" s="55" t="n">
        <f aca="false">IF(P1338,IF(01_因子設定!$B$13="最大化",K1338,IF(01_因子設定!$B$13="最小化",-K1338,-ABS(K1338-01_因子設定!$B$16))),-1E+030)</f>
        <v>48.4620474137931</v>
      </c>
      <c r="S1338" s="55" t="n">
        <f aca="false">Q1338+ROW()*0.000000001</f>
        <v>0.474668260004076</v>
      </c>
      <c r="T1338" s="55" t="n">
        <f aca="false">R1338+ROW()*0.000000001</f>
        <v>48.4620487517931</v>
      </c>
    </row>
    <row r="1339" customFormat="false" ht="15" hidden="false" customHeight="false" outlineLevel="0" collapsed="false">
      <c r="A1339" s="0" t="n">
        <v>32</v>
      </c>
      <c r="B1339" s="0" t="n">
        <v>22</v>
      </c>
      <c r="C1339" s="0" t="n">
        <f aca="false">-1+A1339*0.05</f>
        <v>0.6</v>
      </c>
      <c r="D1339" s="0" t="n">
        <f aca="false">-1+B1339*0.05</f>
        <v>0.1</v>
      </c>
      <c r="E1339" s="0" t="n">
        <f aca="false">1</f>
        <v>1</v>
      </c>
      <c r="F1339" s="0" t="n">
        <f aca="false">C1339</f>
        <v>0.6</v>
      </c>
      <c r="G1339" s="0" t="n">
        <f aca="false">D1339</f>
        <v>0.1</v>
      </c>
      <c r="H1339" s="0" t="n">
        <f aca="false">C1339*D1339</f>
        <v>0.0600000000000001</v>
      </c>
      <c r="I1339" s="0" t="n">
        <f aca="false">C1339*C1339</f>
        <v>0.36</v>
      </c>
      <c r="J1339" s="0" t="n">
        <f aca="false">D1339*D1339</f>
        <v>0.01</v>
      </c>
      <c r="K1339" s="0" t="n">
        <f aca="false">SUMPRODUCT(E1339:J1339,_XtX!$B$53:$G$53)</f>
        <v>48.578724137931</v>
      </c>
      <c r="L1339" s="0" t="n">
        <f aca="false">SUMPRODUCT(MMULT(E1339:J1339,_XtX!$B$44:$G$49),E1339:J1339)</f>
        <v>0.204395977011494</v>
      </c>
      <c r="M1339" s="0" t="n">
        <f aca="false">04_回帰ANOVA!$K$19*04_回帰ANOVA!$K$14*SQRT(1+L1339)</f>
        <v>1.48717206961779</v>
      </c>
      <c r="N1339" s="0" t="n">
        <f aca="false">K1339-M1339</f>
        <v>47.0915520683132</v>
      </c>
      <c r="O1339" s="0" t="n">
        <f aca="false">K1339+M1339</f>
        <v>50.0658962075488</v>
      </c>
      <c r="P1339" s="54" t="b">
        <f aca="false">AND(C1339&gt;=01_因子設定!$L$5-0.000000001,C1339&lt;=01_因子設定!$M$5+0.000000001,D1339&gt;=01_因子設定!$L$6-0.000000001,D1339&lt;=01_因子設定!$M$6+0.000000001,IF(01_因子設定!$B$20="Box-Behnken",C1339^2+D1339^2&lt;=2+0.000000001,TRUE()))</f>
        <v>1</v>
      </c>
      <c r="Q1339" s="55" t="n">
        <f aca="false">IF(P1339,IF(01_因子設定!$B$13="最大化",N1339-01_因子設定!$B$14,IF(01_因子設定!$B$13="最小化",01_因子設定!$B$15-O1339,MIN(N1339-01_因子設定!$B$14,01_因子設定!$B$15-O1339))),-1E+030)</f>
        <v>0.591552068313234</v>
      </c>
      <c r="R1339" s="55" t="n">
        <f aca="false">IF(P1339,IF(01_因子設定!$B$13="最大化",K1339,IF(01_因子設定!$B$13="最小化",-K1339,-ABS(K1339-01_因子設定!$B$16))),-1E+030)</f>
        <v>48.578724137931</v>
      </c>
      <c r="S1339" s="55" t="n">
        <f aca="false">Q1339+ROW()*0.000000001</f>
        <v>0.591553407313234</v>
      </c>
      <c r="T1339" s="55" t="n">
        <f aca="false">R1339+ROW()*0.000000001</f>
        <v>48.578725476931</v>
      </c>
    </row>
    <row r="1340" customFormat="false" ht="15" hidden="false" customHeight="false" outlineLevel="0" collapsed="false">
      <c r="A1340" s="0" t="n">
        <v>32</v>
      </c>
      <c r="B1340" s="0" t="n">
        <v>23</v>
      </c>
      <c r="C1340" s="0" t="n">
        <f aca="false">-1+A1340*0.05</f>
        <v>0.6</v>
      </c>
      <c r="D1340" s="0" t="n">
        <f aca="false">-1+B1340*0.05</f>
        <v>0.15</v>
      </c>
      <c r="E1340" s="0" t="n">
        <f aca="false">1</f>
        <v>1</v>
      </c>
      <c r="F1340" s="0" t="n">
        <f aca="false">C1340</f>
        <v>0.6</v>
      </c>
      <c r="G1340" s="0" t="n">
        <f aca="false">D1340</f>
        <v>0.15</v>
      </c>
      <c r="H1340" s="0" t="n">
        <f aca="false">C1340*D1340</f>
        <v>0.0900000000000001</v>
      </c>
      <c r="I1340" s="0" t="n">
        <f aca="false">C1340*C1340</f>
        <v>0.36</v>
      </c>
      <c r="J1340" s="0" t="n">
        <f aca="false">D1340*D1340</f>
        <v>0.0225</v>
      </c>
      <c r="K1340" s="0" t="n">
        <f aca="false">SUMPRODUCT(E1340:J1340,_XtX!$B$53:$G$53)</f>
        <v>48.6876853448276</v>
      </c>
      <c r="L1340" s="0" t="n">
        <f aca="false">SUMPRODUCT(MMULT(E1340:J1340,_XtX!$B$44:$G$49),E1340:J1340)</f>
        <v>0.203923814655172</v>
      </c>
      <c r="M1340" s="0" t="n">
        <f aca="false">04_回帰ANOVA!$K$19*04_回帰ANOVA!$K$14*SQRT(1+L1340)</f>
        <v>1.48688053115555</v>
      </c>
      <c r="N1340" s="0" t="n">
        <f aca="false">K1340-M1340</f>
        <v>47.200804813672</v>
      </c>
      <c r="O1340" s="0" t="n">
        <f aca="false">K1340+M1340</f>
        <v>50.1745658759831</v>
      </c>
      <c r="P1340" s="54" t="b">
        <f aca="false">AND(C1340&gt;=01_因子設定!$L$5-0.000000001,C1340&lt;=01_因子設定!$M$5+0.000000001,D1340&gt;=01_因子設定!$L$6-0.000000001,D1340&lt;=01_因子設定!$M$6+0.000000001,IF(01_因子設定!$B$20="Box-Behnken",C1340^2+D1340^2&lt;=2+0.000000001,TRUE()))</f>
        <v>1</v>
      </c>
      <c r="Q1340" s="55" t="n">
        <f aca="false">IF(P1340,IF(01_因子設定!$B$13="最大化",N1340-01_因子設定!$B$14,IF(01_因子設定!$B$13="最小化",01_因子設定!$B$15-O1340,MIN(N1340-01_因子設定!$B$14,01_因子設定!$B$15-O1340))),-1E+030)</f>
        <v>0.700804813672029</v>
      </c>
      <c r="R1340" s="55" t="n">
        <f aca="false">IF(P1340,IF(01_因子設定!$B$13="最大化",K1340,IF(01_因子設定!$B$13="最小化",-K1340,-ABS(K1340-01_因子設定!$B$16))),-1E+030)</f>
        <v>48.6876853448276</v>
      </c>
      <c r="S1340" s="55" t="n">
        <f aca="false">Q1340+ROW()*0.000000001</f>
        <v>0.700806153672029</v>
      </c>
      <c r="T1340" s="55" t="n">
        <f aca="false">R1340+ROW()*0.000000001</f>
        <v>48.6876866848276</v>
      </c>
    </row>
    <row r="1341" customFormat="false" ht="15" hidden="false" customHeight="false" outlineLevel="0" collapsed="false">
      <c r="A1341" s="0" t="n">
        <v>32</v>
      </c>
      <c r="B1341" s="0" t="n">
        <v>24</v>
      </c>
      <c r="C1341" s="0" t="n">
        <f aca="false">-1+A1341*0.05</f>
        <v>0.6</v>
      </c>
      <c r="D1341" s="0" t="n">
        <f aca="false">-1+B1341*0.05</f>
        <v>0.2</v>
      </c>
      <c r="E1341" s="0" t="n">
        <f aca="false">1</f>
        <v>1</v>
      </c>
      <c r="F1341" s="0" t="n">
        <f aca="false">C1341</f>
        <v>0.6</v>
      </c>
      <c r="G1341" s="0" t="n">
        <f aca="false">D1341</f>
        <v>0.2</v>
      </c>
      <c r="H1341" s="0" t="n">
        <f aca="false">C1341*D1341</f>
        <v>0.12</v>
      </c>
      <c r="I1341" s="0" t="n">
        <f aca="false">C1341*C1341</f>
        <v>0.36</v>
      </c>
      <c r="J1341" s="0" t="n">
        <f aca="false">D1341*D1341</f>
        <v>0.0400000000000001</v>
      </c>
      <c r="K1341" s="0" t="n">
        <f aca="false">SUMPRODUCT(E1341:J1341,_XtX!$B$53:$G$53)</f>
        <v>48.7889310344828</v>
      </c>
      <c r="L1341" s="0" t="n">
        <f aca="false">SUMPRODUCT(MMULT(E1341:J1341,_XtX!$B$44:$G$49),E1341:J1341)</f>
        <v>0.203452873563218</v>
      </c>
      <c r="M1341" s="0" t="n">
        <f aca="false">04_回帰ANOVA!$K$19*04_回帰ANOVA!$K$14*SQRT(1+L1341)</f>
        <v>1.48658968981505</v>
      </c>
      <c r="N1341" s="0" t="n">
        <f aca="false">K1341-M1341</f>
        <v>47.3023413446677</v>
      </c>
      <c r="O1341" s="0" t="n">
        <f aca="false">K1341+M1341</f>
        <v>50.2755207242978</v>
      </c>
      <c r="P1341" s="54" t="b">
        <f aca="false">AND(C1341&gt;=01_因子設定!$L$5-0.000000001,C1341&lt;=01_因子設定!$M$5+0.000000001,D1341&gt;=01_因子設定!$L$6-0.000000001,D1341&lt;=01_因子設定!$M$6+0.000000001,IF(01_因子設定!$B$20="Box-Behnken",C1341^2+D1341^2&lt;=2+0.000000001,TRUE()))</f>
        <v>1</v>
      </c>
      <c r="Q1341" s="55" t="n">
        <f aca="false">IF(P1341,IF(01_因子設定!$B$13="最大化",N1341-01_因子設定!$B$14,IF(01_因子設定!$B$13="最小化",01_因子設定!$B$15-O1341,MIN(N1341-01_因子設定!$B$14,01_因子設定!$B$15-O1341))),-1E+030)</f>
        <v>0.802341344667696</v>
      </c>
      <c r="R1341" s="55" t="n">
        <f aca="false">IF(P1341,IF(01_因子設定!$B$13="最大化",K1341,IF(01_因子設定!$B$13="最小化",-K1341,-ABS(K1341-01_因子設定!$B$16))),-1E+030)</f>
        <v>48.7889310344828</v>
      </c>
      <c r="S1341" s="55" t="n">
        <f aca="false">Q1341+ROW()*0.000000001</f>
        <v>0.802342685667696</v>
      </c>
      <c r="T1341" s="55" t="n">
        <f aca="false">R1341+ROW()*0.000000001</f>
        <v>48.7889323754828</v>
      </c>
    </row>
    <row r="1342" customFormat="false" ht="15" hidden="false" customHeight="false" outlineLevel="0" collapsed="false">
      <c r="A1342" s="0" t="n">
        <v>32</v>
      </c>
      <c r="B1342" s="0" t="n">
        <v>25</v>
      </c>
      <c r="C1342" s="0" t="n">
        <f aca="false">-1+A1342*0.05</f>
        <v>0.6</v>
      </c>
      <c r="D1342" s="0" t="n">
        <f aca="false">-1+B1342*0.05</f>
        <v>0.25</v>
      </c>
      <c r="E1342" s="0" t="n">
        <f aca="false">1</f>
        <v>1</v>
      </c>
      <c r="F1342" s="0" t="n">
        <f aca="false">C1342</f>
        <v>0.6</v>
      </c>
      <c r="G1342" s="0" t="n">
        <f aca="false">D1342</f>
        <v>0.25</v>
      </c>
      <c r="H1342" s="0" t="n">
        <f aca="false">C1342*D1342</f>
        <v>0.15</v>
      </c>
      <c r="I1342" s="0" t="n">
        <f aca="false">C1342*C1342</f>
        <v>0.36</v>
      </c>
      <c r="J1342" s="0" t="n">
        <f aca="false">D1342*D1342</f>
        <v>0.0625</v>
      </c>
      <c r="K1342" s="0" t="n">
        <f aca="false">SUMPRODUCT(E1342:J1342,_XtX!$B$53:$G$53)</f>
        <v>48.8824612068965</v>
      </c>
      <c r="L1342" s="0" t="n">
        <f aca="false">SUMPRODUCT(MMULT(E1342:J1342,_XtX!$B$44:$G$49),E1342:J1342)</f>
        <v>0.203173239942529</v>
      </c>
      <c r="M1342" s="0" t="n">
        <f aca="false">04_回帰ANOVA!$K$19*04_回帰ANOVA!$K$14*SQRT(1+L1342)</f>
        <v>1.48641696821649</v>
      </c>
      <c r="N1342" s="0" t="n">
        <f aca="false">K1342-M1342</f>
        <v>47.3960442386801</v>
      </c>
      <c r="O1342" s="0" t="n">
        <f aca="false">K1342+M1342</f>
        <v>50.368878175113</v>
      </c>
      <c r="P1342" s="54" t="b">
        <f aca="false">AND(C1342&gt;=01_因子設定!$L$5-0.000000001,C1342&lt;=01_因子設定!$M$5+0.000000001,D1342&gt;=01_因子設定!$L$6-0.000000001,D1342&lt;=01_因子設定!$M$6+0.000000001,IF(01_因子設定!$B$20="Box-Behnken",C1342^2+D1342^2&lt;=2+0.000000001,TRUE()))</f>
        <v>1</v>
      </c>
      <c r="Q1342" s="55" t="n">
        <f aca="false">IF(P1342,IF(01_因子設定!$B$13="最大化",N1342-01_因子設定!$B$14,IF(01_因子設定!$B$13="最小化",01_因子設定!$B$15-O1342,MIN(N1342-01_因子設定!$B$14,01_因子設定!$B$15-O1342))),-1E+030)</f>
        <v>0.896044238680048</v>
      </c>
      <c r="R1342" s="55" t="n">
        <f aca="false">IF(P1342,IF(01_因子設定!$B$13="最大化",K1342,IF(01_因子設定!$B$13="最小化",-K1342,-ABS(K1342-01_因子設定!$B$16))),-1E+030)</f>
        <v>48.8824612068965</v>
      </c>
      <c r="S1342" s="55" t="n">
        <f aca="false">Q1342+ROW()*0.000000001</f>
        <v>0.896045580680048</v>
      </c>
      <c r="T1342" s="55" t="n">
        <f aca="false">R1342+ROW()*0.000000001</f>
        <v>48.8824625488965</v>
      </c>
    </row>
    <row r="1343" customFormat="false" ht="15" hidden="false" customHeight="false" outlineLevel="0" collapsed="false">
      <c r="A1343" s="0" t="n">
        <v>32</v>
      </c>
      <c r="B1343" s="0" t="n">
        <v>26</v>
      </c>
      <c r="C1343" s="0" t="n">
        <f aca="false">-1+A1343*0.05</f>
        <v>0.6</v>
      </c>
      <c r="D1343" s="0" t="n">
        <f aca="false">-1+B1343*0.05</f>
        <v>0.3</v>
      </c>
      <c r="E1343" s="0" t="n">
        <f aca="false">1</f>
        <v>1</v>
      </c>
      <c r="F1343" s="0" t="n">
        <f aca="false">C1343</f>
        <v>0.6</v>
      </c>
      <c r="G1343" s="0" t="n">
        <f aca="false">D1343</f>
        <v>0.3</v>
      </c>
      <c r="H1343" s="0" t="n">
        <f aca="false">C1343*D1343</f>
        <v>0.18</v>
      </c>
      <c r="I1343" s="0" t="n">
        <f aca="false">C1343*C1343</f>
        <v>0.36</v>
      </c>
      <c r="J1343" s="0" t="n">
        <f aca="false">D1343*D1343</f>
        <v>0.09</v>
      </c>
      <c r="K1343" s="0" t="n">
        <f aca="false">SUMPRODUCT(E1343:J1343,_XtX!$B$53:$G$53)</f>
        <v>48.968275862069</v>
      </c>
      <c r="L1343" s="0" t="n">
        <f aca="false">SUMPRODUCT(MMULT(E1343:J1343,_XtX!$B$44:$G$49),E1343:J1343)</f>
        <v>0.203329310344828</v>
      </c>
      <c r="M1343" s="0" t="n">
        <f aca="false">04_回帰ANOVA!$K$19*04_回帰ANOVA!$K$14*SQRT(1+L1343)</f>
        <v>1.48651337086407</v>
      </c>
      <c r="N1343" s="0" t="n">
        <f aca="false">K1343-M1343</f>
        <v>47.4817624912049</v>
      </c>
      <c r="O1343" s="0" t="n">
        <f aca="false">K1343+M1343</f>
        <v>50.454789232933</v>
      </c>
      <c r="P1343" s="54" t="b">
        <f aca="false">AND(C1343&gt;=01_因子設定!$L$5-0.000000001,C1343&lt;=01_因子設定!$M$5+0.000000001,D1343&gt;=01_因子設定!$L$6-0.000000001,D1343&lt;=01_因子設定!$M$6+0.000000001,IF(01_因子設定!$B$20="Box-Behnken",C1343^2+D1343^2&lt;=2+0.000000001,TRUE()))</f>
        <v>1</v>
      </c>
      <c r="Q1343" s="55" t="n">
        <f aca="false">IF(P1343,IF(01_因子設定!$B$13="最大化",N1343-01_因子設定!$B$14,IF(01_因子設定!$B$13="最小化",01_因子設定!$B$15-O1343,MIN(N1343-01_因子設定!$B$14,01_因子設定!$B$15-O1343))),-1E+030)</f>
        <v>0.981762491204883</v>
      </c>
      <c r="R1343" s="55" t="n">
        <f aca="false">IF(P1343,IF(01_因子設定!$B$13="最大化",K1343,IF(01_因子設定!$B$13="最小化",-K1343,-ABS(K1343-01_因子設定!$B$16))),-1E+030)</f>
        <v>48.968275862069</v>
      </c>
      <c r="S1343" s="55" t="n">
        <f aca="false">Q1343+ROW()*0.000000001</f>
        <v>0.981763834204883</v>
      </c>
      <c r="T1343" s="55" t="n">
        <f aca="false">R1343+ROW()*0.000000001</f>
        <v>48.968277205069</v>
      </c>
    </row>
    <row r="1344" customFormat="false" ht="15" hidden="false" customHeight="false" outlineLevel="0" collapsed="false">
      <c r="A1344" s="0" t="n">
        <v>32</v>
      </c>
      <c r="B1344" s="0" t="n">
        <v>27</v>
      </c>
      <c r="C1344" s="0" t="n">
        <f aca="false">-1+A1344*0.05</f>
        <v>0.6</v>
      </c>
      <c r="D1344" s="0" t="n">
        <f aca="false">-1+B1344*0.05</f>
        <v>0.35</v>
      </c>
      <c r="E1344" s="0" t="n">
        <f aca="false">1</f>
        <v>1</v>
      </c>
      <c r="F1344" s="0" t="n">
        <f aca="false">C1344</f>
        <v>0.6</v>
      </c>
      <c r="G1344" s="0" t="n">
        <f aca="false">D1344</f>
        <v>0.35</v>
      </c>
      <c r="H1344" s="0" t="n">
        <f aca="false">C1344*D1344</f>
        <v>0.21</v>
      </c>
      <c r="I1344" s="0" t="n">
        <f aca="false">C1344*C1344</f>
        <v>0.36</v>
      </c>
      <c r="J1344" s="0" t="n">
        <f aca="false">D1344*D1344</f>
        <v>0.1225</v>
      </c>
      <c r="K1344" s="0" t="n">
        <f aca="false">SUMPRODUCT(E1344:J1344,_XtX!$B$53:$G$53)</f>
        <v>49.046375</v>
      </c>
      <c r="L1344" s="0" t="n">
        <f aca="false">SUMPRODUCT(MMULT(E1344:J1344,_XtX!$B$44:$G$49),E1344:J1344)</f>
        <v>0.204219791666667</v>
      </c>
      <c r="M1344" s="0" t="n">
        <f aca="false">04_回帰ANOVA!$K$19*04_回帰ANOVA!$K$14*SQRT(1+L1344)</f>
        <v>1.48706328998387</v>
      </c>
      <c r="N1344" s="0" t="n">
        <f aca="false">K1344-M1344</f>
        <v>47.5593117100161</v>
      </c>
      <c r="O1344" s="0" t="n">
        <f aca="false">K1344+M1344</f>
        <v>50.5334382899839</v>
      </c>
      <c r="P1344" s="54" t="b">
        <f aca="false">AND(C1344&gt;=01_因子設定!$L$5-0.000000001,C1344&lt;=01_因子設定!$M$5+0.000000001,D1344&gt;=01_因子設定!$L$6-0.000000001,D1344&lt;=01_因子設定!$M$6+0.000000001,IF(01_因子設定!$B$20="Box-Behnken",C1344^2+D1344^2&lt;=2+0.000000001,TRUE()))</f>
        <v>1</v>
      </c>
      <c r="Q1344" s="55" t="n">
        <f aca="false">IF(P1344,IF(01_因子設定!$B$13="最大化",N1344-01_因子設定!$B$14,IF(01_因子設定!$B$13="最小化",01_因子設定!$B$15-O1344,MIN(N1344-01_因子設定!$B$14,01_因子設定!$B$15-O1344))),-1E+030)</f>
        <v>1.05931171001612</v>
      </c>
      <c r="R1344" s="55" t="n">
        <f aca="false">IF(P1344,IF(01_因子設定!$B$13="最大化",K1344,IF(01_因子設定!$B$13="最小化",-K1344,-ABS(K1344-01_因子設定!$B$16))),-1E+030)</f>
        <v>49.046375</v>
      </c>
      <c r="S1344" s="55" t="n">
        <f aca="false">Q1344+ROW()*0.000000001</f>
        <v>1.05931305401612</v>
      </c>
      <c r="T1344" s="55" t="n">
        <f aca="false">R1344+ROW()*0.000000001</f>
        <v>49.046376344</v>
      </c>
    </row>
    <row r="1345" customFormat="false" ht="15" hidden="false" customHeight="false" outlineLevel="0" collapsed="false">
      <c r="A1345" s="0" t="n">
        <v>32</v>
      </c>
      <c r="B1345" s="0" t="n">
        <v>28</v>
      </c>
      <c r="C1345" s="0" t="n">
        <f aca="false">-1+A1345*0.05</f>
        <v>0.6</v>
      </c>
      <c r="D1345" s="0" t="n">
        <f aca="false">-1+B1345*0.05</f>
        <v>0.4</v>
      </c>
      <c r="E1345" s="0" t="n">
        <f aca="false">1</f>
        <v>1</v>
      </c>
      <c r="F1345" s="0" t="n">
        <f aca="false">C1345</f>
        <v>0.6</v>
      </c>
      <c r="G1345" s="0" t="n">
        <f aca="false">D1345</f>
        <v>0.4</v>
      </c>
      <c r="H1345" s="0" t="n">
        <f aca="false">C1345*D1345</f>
        <v>0.24</v>
      </c>
      <c r="I1345" s="0" t="n">
        <f aca="false">C1345*C1345</f>
        <v>0.36</v>
      </c>
      <c r="J1345" s="0" t="n">
        <f aca="false">D1345*D1345</f>
        <v>0.16</v>
      </c>
      <c r="K1345" s="0" t="n">
        <f aca="false">SUMPRODUCT(E1345:J1345,_XtX!$B$53:$G$53)</f>
        <v>49.1167586206896</v>
      </c>
      <c r="L1345" s="0" t="n">
        <f aca="false">SUMPRODUCT(MMULT(E1345:J1345,_XtX!$B$44:$G$49),E1345:J1345)</f>
        <v>0.206197701149425</v>
      </c>
      <c r="M1345" s="0" t="n">
        <f aca="false">04_回帰ANOVA!$K$19*04_回帰ANOVA!$K$14*SQRT(1+L1345)</f>
        <v>1.48828402636661</v>
      </c>
      <c r="N1345" s="0" t="n">
        <f aca="false">K1345-M1345</f>
        <v>47.628474594323</v>
      </c>
      <c r="O1345" s="0" t="n">
        <f aca="false">K1345+M1345</f>
        <v>50.6050426470563</v>
      </c>
      <c r="P1345" s="54" t="b">
        <f aca="false">AND(C1345&gt;=01_因子設定!$L$5-0.000000001,C1345&lt;=01_因子設定!$M$5+0.000000001,D1345&gt;=01_因子設定!$L$6-0.000000001,D1345&lt;=01_因子設定!$M$6+0.000000001,IF(01_因子設定!$B$20="Box-Behnken",C1345^2+D1345^2&lt;=2+0.000000001,TRUE()))</f>
        <v>1</v>
      </c>
      <c r="Q1345" s="55" t="n">
        <f aca="false">IF(P1345,IF(01_因子設定!$B$13="最大化",N1345-01_因子設定!$B$14,IF(01_因子設定!$B$13="最小化",01_因子設定!$B$15-O1345,MIN(N1345-01_因子設定!$B$14,01_因子設定!$B$15-O1345))),-1E+030)</f>
        <v>1.12847459432303</v>
      </c>
      <c r="R1345" s="55" t="n">
        <f aca="false">IF(P1345,IF(01_因子設定!$B$13="最大化",K1345,IF(01_因子設定!$B$13="最小化",-K1345,-ABS(K1345-01_因子設定!$B$16))),-1E+030)</f>
        <v>49.1167586206896</v>
      </c>
      <c r="S1345" s="55" t="n">
        <f aca="false">Q1345+ROW()*0.000000001</f>
        <v>1.12847593932303</v>
      </c>
      <c r="T1345" s="55" t="n">
        <f aca="false">R1345+ROW()*0.000000001</f>
        <v>49.1167599656896</v>
      </c>
    </row>
    <row r="1346" customFormat="false" ht="15" hidden="false" customHeight="false" outlineLevel="0" collapsed="false">
      <c r="A1346" s="0" t="n">
        <v>32</v>
      </c>
      <c r="B1346" s="0" t="n">
        <v>29</v>
      </c>
      <c r="C1346" s="0" t="n">
        <f aca="false">-1+A1346*0.05</f>
        <v>0.6</v>
      </c>
      <c r="D1346" s="0" t="n">
        <f aca="false">-1+B1346*0.05</f>
        <v>0.45</v>
      </c>
      <c r="E1346" s="0" t="n">
        <f aca="false">1</f>
        <v>1</v>
      </c>
      <c r="F1346" s="0" t="n">
        <f aca="false">C1346</f>
        <v>0.6</v>
      </c>
      <c r="G1346" s="0" t="n">
        <f aca="false">D1346</f>
        <v>0.45</v>
      </c>
      <c r="H1346" s="0" t="n">
        <f aca="false">C1346*D1346</f>
        <v>0.27</v>
      </c>
      <c r="I1346" s="0" t="n">
        <f aca="false">C1346*C1346</f>
        <v>0.36</v>
      </c>
      <c r="J1346" s="0" t="n">
        <f aca="false">D1346*D1346</f>
        <v>0.2025</v>
      </c>
      <c r="K1346" s="0" t="n">
        <f aca="false">SUMPRODUCT(E1346:J1346,_XtX!$B$53:$G$53)</f>
        <v>49.1794267241379</v>
      </c>
      <c r="L1346" s="0" t="n">
        <f aca="false">SUMPRODUCT(MMULT(E1346:J1346,_XtX!$B$44:$G$49),E1346:J1346)</f>
        <v>0.20967036637931</v>
      </c>
      <c r="M1346" s="0" t="n">
        <f aca="false">04_回帰ANOVA!$K$19*04_回帰ANOVA!$K$14*SQRT(1+L1346)</f>
        <v>1.49042488503951</v>
      </c>
      <c r="N1346" s="0" t="n">
        <f aca="false">K1346-M1346</f>
        <v>47.6890018390984</v>
      </c>
      <c r="O1346" s="0" t="n">
        <f aca="false">K1346+M1346</f>
        <v>50.6698516091774</v>
      </c>
      <c r="P1346" s="54" t="b">
        <f aca="false">AND(C1346&gt;=01_因子設定!$L$5-0.000000001,C1346&lt;=01_因子設定!$M$5+0.000000001,D1346&gt;=01_因子設定!$L$6-0.000000001,D1346&lt;=01_因子設定!$M$6+0.000000001,IF(01_因子設定!$B$20="Box-Behnken",C1346^2+D1346^2&lt;=2+0.000000001,TRUE()))</f>
        <v>1</v>
      </c>
      <c r="Q1346" s="55" t="n">
        <f aca="false">IF(P1346,IF(01_因子設定!$B$13="最大化",N1346-01_因子設定!$B$14,IF(01_因子設定!$B$13="最小化",01_因子設定!$B$15-O1346,MIN(N1346-01_因子設定!$B$14,01_因子設定!$B$15-O1346))),-1E+030)</f>
        <v>1.18900183909842</v>
      </c>
      <c r="R1346" s="55" t="n">
        <f aca="false">IF(P1346,IF(01_因子設定!$B$13="最大化",K1346,IF(01_因子設定!$B$13="最小化",-K1346,-ABS(K1346-01_因子設定!$B$16))),-1E+030)</f>
        <v>49.1794267241379</v>
      </c>
      <c r="S1346" s="55" t="n">
        <f aca="false">Q1346+ROW()*0.000000001</f>
        <v>1.18900318509842</v>
      </c>
      <c r="T1346" s="55" t="n">
        <f aca="false">R1346+ROW()*0.000000001</f>
        <v>49.1794280701379</v>
      </c>
    </row>
    <row r="1347" customFormat="false" ht="15" hidden="false" customHeight="false" outlineLevel="0" collapsed="false">
      <c r="A1347" s="0" t="n">
        <v>32</v>
      </c>
      <c r="B1347" s="0" t="n">
        <v>30</v>
      </c>
      <c r="C1347" s="0" t="n">
        <f aca="false">-1+A1347*0.05</f>
        <v>0.6</v>
      </c>
      <c r="D1347" s="0" t="n">
        <f aca="false">-1+B1347*0.05</f>
        <v>0.5</v>
      </c>
      <c r="E1347" s="0" t="n">
        <f aca="false">1</f>
        <v>1</v>
      </c>
      <c r="F1347" s="0" t="n">
        <f aca="false">C1347</f>
        <v>0.6</v>
      </c>
      <c r="G1347" s="0" t="n">
        <f aca="false">D1347</f>
        <v>0.5</v>
      </c>
      <c r="H1347" s="0" t="n">
        <f aca="false">C1347*D1347</f>
        <v>0.3</v>
      </c>
      <c r="I1347" s="0" t="n">
        <f aca="false">C1347*C1347</f>
        <v>0.36</v>
      </c>
      <c r="J1347" s="0" t="n">
        <f aca="false">D1347*D1347</f>
        <v>0.25</v>
      </c>
      <c r="K1347" s="0" t="n">
        <f aca="false">SUMPRODUCT(E1347:J1347,_XtX!$B$53:$G$53)</f>
        <v>49.2343793103448</v>
      </c>
      <c r="L1347" s="0" t="n">
        <f aca="false">SUMPRODUCT(MMULT(E1347:J1347,_XtX!$B$44:$G$49),E1347:J1347)</f>
        <v>0.215099425287356</v>
      </c>
      <c r="M1347" s="0" t="n">
        <f aca="false">04_回帰ANOVA!$K$19*04_回帰ANOVA!$K$14*SQRT(1+L1347)</f>
        <v>1.49376569017207</v>
      </c>
      <c r="N1347" s="0" t="n">
        <f aca="false">K1347-M1347</f>
        <v>47.7406136201728</v>
      </c>
      <c r="O1347" s="0" t="n">
        <f aca="false">K1347+M1347</f>
        <v>50.7281450005169</v>
      </c>
      <c r="P1347" s="54" t="b">
        <f aca="false">AND(C1347&gt;=01_因子設定!$L$5-0.000000001,C1347&lt;=01_因子設定!$M$5+0.000000001,D1347&gt;=01_因子設定!$L$6-0.000000001,D1347&lt;=01_因子設定!$M$6+0.000000001,IF(01_因子設定!$B$20="Box-Behnken",C1347^2+D1347^2&lt;=2+0.000000001,TRUE()))</f>
        <v>1</v>
      </c>
      <c r="Q1347" s="55" t="n">
        <f aca="false">IF(P1347,IF(01_因子設定!$B$13="最大化",N1347-01_因子設定!$B$14,IF(01_因子設定!$B$13="最小化",01_因子設定!$B$15-O1347,MIN(N1347-01_因子設定!$B$14,01_因子設定!$B$15-O1347))),-1E+030)</f>
        <v>1.24061362017275</v>
      </c>
      <c r="R1347" s="55" t="n">
        <f aca="false">IF(P1347,IF(01_因子設定!$B$13="最大化",K1347,IF(01_因子設定!$B$13="最小化",-K1347,-ABS(K1347-01_因子設定!$B$16))),-1E+030)</f>
        <v>49.2343793103448</v>
      </c>
      <c r="S1347" s="55" t="n">
        <f aca="false">Q1347+ROW()*0.000000001</f>
        <v>1.24061496717275</v>
      </c>
      <c r="T1347" s="55" t="n">
        <f aca="false">R1347+ROW()*0.000000001</f>
        <v>49.2343806573448</v>
      </c>
    </row>
    <row r="1348" customFormat="false" ht="15" hidden="false" customHeight="false" outlineLevel="0" collapsed="false">
      <c r="A1348" s="0" t="n">
        <v>32</v>
      </c>
      <c r="B1348" s="0" t="n">
        <v>31</v>
      </c>
      <c r="C1348" s="0" t="n">
        <f aca="false">-1+A1348*0.05</f>
        <v>0.6</v>
      </c>
      <c r="D1348" s="0" t="n">
        <f aca="false">-1+B1348*0.05</f>
        <v>0.55</v>
      </c>
      <c r="E1348" s="0" t="n">
        <f aca="false">1</f>
        <v>1</v>
      </c>
      <c r="F1348" s="0" t="n">
        <f aca="false">C1348</f>
        <v>0.6</v>
      </c>
      <c r="G1348" s="0" t="n">
        <f aca="false">D1348</f>
        <v>0.55</v>
      </c>
      <c r="H1348" s="0" t="n">
        <f aca="false">C1348*D1348</f>
        <v>0.33</v>
      </c>
      <c r="I1348" s="0" t="n">
        <f aca="false">C1348*C1348</f>
        <v>0.36</v>
      </c>
      <c r="J1348" s="0" t="n">
        <f aca="false">D1348*D1348</f>
        <v>0.3025</v>
      </c>
      <c r="K1348" s="0" t="n">
        <f aca="false">SUMPRODUCT(E1348:J1348,_XtX!$B$53:$G$53)</f>
        <v>49.2816163793103</v>
      </c>
      <c r="L1348" s="0" t="n">
        <f aca="false">SUMPRODUCT(MMULT(E1348:J1348,_XtX!$B$44:$G$49),E1348:J1348)</f>
        <v>0.223000826149425</v>
      </c>
      <c r="M1348" s="0" t="n">
        <f aca="false">04_回帰ANOVA!$K$19*04_回帰ANOVA!$K$14*SQRT(1+L1348)</f>
        <v>1.49861455927642</v>
      </c>
      <c r="N1348" s="0" t="n">
        <f aca="false">K1348-M1348</f>
        <v>47.7830018200339</v>
      </c>
      <c r="O1348" s="0" t="n">
        <f aca="false">K1348+M1348</f>
        <v>50.7802309385868</v>
      </c>
      <c r="P1348" s="54" t="b">
        <f aca="false">AND(C1348&gt;=01_因子設定!$L$5-0.000000001,C1348&lt;=01_因子設定!$M$5+0.000000001,D1348&gt;=01_因子設定!$L$6-0.000000001,D1348&lt;=01_因子設定!$M$6+0.000000001,IF(01_因子設定!$B$20="Box-Behnken",C1348^2+D1348^2&lt;=2+0.000000001,TRUE()))</f>
        <v>1</v>
      </c>
      <c r="Q1348" s="55" t="n">
        <f aca="false">IF(P1348,IF(01_因子設定!$B$13="最大化",N1348-01_因子設定!$B$14,IF(01_因子設定!$B$13="最小化",01_因子設定!$B$15-O1348,MIN(N1348-01_因子設定!$B$14,01_因子設定!$B$15-O1348))),-1E+030)</f>
        <v>1.28300182003392</v>
      </c>
      <c r="R1348" s="55" t="n">
        <f aca="false">IF(P1348,IF(01_因子設定!$B$13="最大化",K1348,IF(01_因子設定!$B$13="最小化",-K1348,-ABS(K1348-01_因子設定!$B$16))),-1E+030)</f>
        <v>49.2816163793103</v>
      </c>
      <c r="S1348" s="55" t="n">
        <f aca="false">Q1348+ROW()*0.000000001</f>
        <v>1.28300316803392</v>
      </c>
      <c r="T1348" s="55" t="n">
        <f aca="false">R1348+ROW()*0.000000001</f>
        <v>49.2816177273103</v>
      </c>
    </row>
    <row r="1349" customFormat="false" ht="15" hidden="false" customHeight="false" outlineLevel="0" collapsed="false">
      <c r="A1349" s="0" t="n">
        <v>32</v>
      </c>
      <c r="B1349" s="0" t="n">
        <v>32</v>
      </c>
      <c r="C1349" s="0" t="n">
        <f aca="false">-1+A1349*0.05</f>
        <v>0.6</v>
      </c>
      <c r="D1349" s="0" t="n">
        <f aca="false">-1+B1349*0.05</f>
        <v>0.6</v>
      </c>
      <c r="E1349" s="0" t="n">
        <f aca="false">1</f>
        <v>1</v>
      </c>
      <c r="F1349" s="0" t="n">
        <f aca="false">C1349</f>
        <v>0.6</v>
      </c>
      <c r="G1349" s="0" t="n">
        <f aca="false">D1349</f>
        <v>0.6</v>
      </c>
      <c r="H1349" s="0" t="n">
        <f aca="false">C1349*D1349</f>
        <v>0.36</v>
      </c>
      <c r="I1349" s="0" t="n">
        <f aca="false">C1349*C1349</f>
        <v>0.36</v>
      </c>
      <c r="J1349" s="0" t="n">
        <f aca="false">D1349*D1349</f>
        <v>0.36</v>
      </c>
      <c r="K1349" s="0" t="n">
        <f aca="false">SUMPRODUCT(E1349:J1349,_XtX!$B$53:$G$53)</f>
        <v>49.3211379310345</v>
      </c>
      <c r="L1349" s="0" t="n">
        <f aca="false">SUMPRODUCT(MMULT(E1349:J1349,_XtX!$B$44:$G$49),E1349:J1349)</f>
        <v>0.233944827586207</v>
      </c>
      <c r="M1349" s="0" t="n">
        <f aca="false">04_回帰ANOVA!$K$19*04_回帰ANOVA!$K$14*SQRT(1+L1349)</f>
        <v>1.50530478880588</v>
      </c>
      <c r="N1349" s="0" t="n">
        <f aca="false">K1349-M1349</f>
        <v>47.8158331422286</v>
      </c>
      <c r="O1349" s="0" t="n">
        <f aca="false">K1349+M1349</f>
        <v>50.8264427198404</v>
      </c>
      <c r="P1349" s="54" t="b">
        <f aca="false">AND(C1349&gt;=01_因子設定!$L$5-0.000000001,C1349&lt;=01_因子設定!$M$5+0.000000001,D1349&gt;=01_因子設定!$L$6-0.000000001,D1349&lt;=01_因子設定!$M$6+0.000000001,IF(01_因子設定!$B$20="Box-Behnken",C1349^2+D1349^2&lt;=2+0.000000001,TRUE()))</f>
        <v>1</v>
      </c>
      <c r="Q1349" s="55" t="n">
        <f aca="false">IF(P1349,IF(01_因子設定!$B$13="最大化",N1349-01_因子設定!$B$14,IF(01_因子設定!$B$13="最小化",01_因子設定!$B$15-O1349,MIN(N1349-01_因子設定!$B$14,01_因子設定!$B$15-O1349))),-1E+030)</f>
        <v>1.31583314222859</v>
      </c>
      <c r="R1349" s="55" t="n">
        <f aca="false">IF(P1349,IF(01_因子設定!$B$13="最大化",K1349,IF(01_因子設定!$B$13="最小化",-K1349,-ABS(K1349-01_因子設定!$B$16))),-1E+030)</f>
        <v>49.3211379310345</v>
      </c>
      <c r="S1349" s="55" t="n">
        <f aca="false">Q1349+ROW()*0.000000001</f>
        <v>1.31583449122859</v>
      </c>
      <c r="T1349" s="55" t="n">
        <f aca="false">R1349+ROW()*0.000000001</f>
        <v>49.3211392800345</v>
      </c>
    </row>
    <row r="1350" customFormat="false" ht="15" hidden="false" customHeight="false" outlineLevel="0" collapsed="false">
      <c r="A1350" s="0" t="n">
        <v>32</v>
      </c>
      <c r="B1350" s="0" t="n">
        <v>33</v>
      </c>
      <c r="C1350" s="0" t="n">
        <f aca="false">-1+A1350*0.05</f>
        <v>0.6</v>
      </c>
      <c r="D1350" s="0" t="n">
        <f aca="false">-1+B1350*0.05</f>
        <v>0.65</v>
      </c>
      <c r="E1350" s="0" t="n">
        <f aca="false">1</f>
        <v>1</v>
      </c>
      <c r="F1350" s="0" t="n">
        <f aca="false">C1350</f>
        <v>0.6</v>
      </c>
      <c r="G1350" s="0" t="n">
        <f aca="false">D1350</f>
        <v>0.65</v>
      </c>
      <c r="H1350" s="0" t="n">
        <f aca="false">C1350*D1350</f>
        <v>0.39</v>
      </c>
      <c r="I1350" s="0" t="n">
        <f aca="false">C1350*C1350</f>
        <v>0.36</v>
      </c>
      <c r="J1350" s="0" t="n">
        <f aca="false">D1350*D1350</f>
        <v>0.4225</v>
      </c>
      <c r="K1350" s="0" t="n">
        <f aca="false">SUMPRODUCT(E1350:J1350,_XtX!$B$53:$G$53)</f>
        <v>49.3529439655172</v>
      </c>
      <c r="L1350" s="0" t="n">
        <f aca="false">SUMPRODUCT(MMULT(E1350:J1350,_XtX!$B$44:$G$49),E1350:J1350)</f>
        <v>0.248555998563218</v>
      </c>
      <c r="M1350" s="0" t="n">
        <f aca="false">04_回帰ANOVA!$K$19*04_回帰ANOVA!$K$14*SQRT(1+L1350)</f>
        <v>1.51419073700187</v>
      </c>
      <c r="N1350" s="0" t="n">
        <f aca="false">K1350-M1350</f>
        <v>47.8387532285154</v>
      </c>
      <c r="O1350" s="0" t="n">
        <f aca="false">K1350+M1350</f>
        <v>50.8671347025191</v>
      </c>
      <c r="P1350" s="54" t="b">
        <f aca="false">AND(C1350&gt;=01_因子設定!$L$5-0.000000001,C1350&lt;=01_因子設定!$M$5+0.000000001,D1350&gt;=01_因子設定!$L$6-0.000000001,D1350&lt;=01_因子設定!$M$6+0.000000001,IF(01_因子設定!$B$20="Box-Behnken",C1350^2+D1350^2&lt;=2+0.000000001,TRUE()))</f>
        <v>1</v>
      </c>
      <c r="Q1350" s="55" t="n">
        <f aca="false">IF(P1350,IF(01_因子設定!$B$13="最大化",N1350-01_因子設定!$B$14,IF(01_因子設定!$B$13="最小化",01_因子設定!$B$15-O1350,MIN(N1350-01_因子設定!$B$14,01_因子設定!$B$15-O1350))),-1E+030)</f>
        <v>1.33875322851537</v>
      </c>
      <c r="R1350" s="55" t="n">
        <f aca="false">IF(P1350,IF(01_因子設定!$B$13="最大化",K1350,IF(01_因子設定!$B$13="最小化",-K1350,-ABS(K1350-01_因子設定!$B$16))),-1E+030)</f>
        <v>49.3529439655172</v>
      </c>
      <c r="S1350" s="55" t="n">
        <f aca="false">Q1350+ROW()*0.000000001</f>
        <v>1.33875457851537</v>
      </c>
      <c r="T1350" s="55" t="n">
        <f aca="false">R1350+ROW()*0.000000001</f>
        <v>49.3529453155172</v>
      </c>
    </row>
    <row r="1351" customFormat="false" ht="15" hidden="false" customHeight="false" outlineLevel="0" collapsed="false">
      <c r="A1351" s="0" t="n">
        <v>32</v>
      </c>
      <c r="B1351" s="0" t="n">
        <v>34</v>
      </c>
      <c r="C1351" s="0" t="n">
        <f aca="false">-1+A1351*0.05</f>
        <v>0.6</v>
      </c>
      <c r="D1351" s="0" t="n">
        <f aca="false">-1+B1351*0.05</f>
        <v>0.7</v>
      </c>
      <c r="E1351" s="0" t="n">
        <f aca="false">1</f>
        <v>1</v>
      </c>
      <c r="F1351" s="0" t="n">
        <f aca="false">C1351</f>
        <v>0.6</v>
      </c>
      <c r="G1351" s="0" t="n">
        <f aca="false">D1351</f>
        <v>0.7</v>
      </c>
      <c r="H1351" s="0" t="n">
        <f aca="false">C1351*D1351</f>
        <v>0.42</v>
      </c>
      <c r="I1351" s="0" t="n">
        <f aca="false">C1351*C1351</f>
        <v>0.36</v>
      </c>
      <c r="J1351" s="0" t="n">
        <f aca="false">D1351*D1351</f>
        <v>0.49</v>
      </c>
      <c r="K1351" s="0" t="n">
        <f aca="false">SUMPRODUCT(E1351:J1351,_XtX!$B$53:$G$53)</f>
        <v>49.3770344827586</v>
      </c>
      <c r="L1351" s="0" t="n">
        <f aca="false">SUMPRODUCT(MMULT(E1351:J1351,_XtX!$B$44:$G$49),E1351:J1351)</f>
        <v>0.267513218390805</v>
      </c>
      <c r="M1351" s="0" t="n">
        <f aca="false">04_回帰ANOVA!$K$19*04_回帰ANOVA!$K$14*SQRT(1+L1351)</f>
        <v>1.52564264921817</v>
      </c>
      <c r="N1351" s="0" t="n">
        <f aca="false">K1351-M1351</f>
        <v>47.8513918335404</v>
      </c>
      <c r="O1351" s="0" t="n">
        <f aca="false">K1351+M1351</f>
        <v>50.9026771319768</v>
      </c>
      <c r="P1351" s="54" t="b">
        <f aca="false">AND(C1351&gt;=01_因子設定!$L$5-0.000000001,C1351&lt;=01_因子設定!$M$5+0.000000001,D1351&gt;=01_因子設定!$L$6-0.000000001,D1351&lt;=01_因子設定!$M$6+0.000000001,IF(01_因子設定!$B$20="Box-Behnken",C1351^2+D1351^2&lt;=2+0.000000001,TRUE()))</f>
        <v>1</v>
      </c>
      <c r="Q1351" s="55" t="n">
        <f aca="false">IF(P1351,IF(01_因子設定!$B$13="最大化",N1351-01_因子設定!$B$14,IF(01_因子設定!$B$13="最小化",01_因子設定!$B$15-O1351,MIN(N1351-01_因子設定!$B$14,01_因子設定!$B$15-O1351))),-1E+030)</f>
        <v>1.35139183354043</v>
      </c>
      <c r="R1351" s="55" t="n">
        <f aca="false">IF(P1351,IF(01_因子設定!$B$13="最大化",K1351,IF(01_因子設定!$B$13="最小化",-K1351,-ABS(K1351-01_因子設定!$B$16))),-1E+030)</f>
        <v>49.3770344827586</v>
      </c>
      <c r="S1351" s="55" t="n">
        <f aca="false">Q1351+ROW()*0.000000001</f>
        <v>1.35139318454043</v>
      </c>
      <c r="T1351" s="55" t="n">
        <f aca="false">R1351+ROW()*0.000000001</f>
        <v>49.3770358337586</v>
      </c>
    </row>
    <row r="1352" customFormat="false" ht="15" hidden="false" customHeight="false" outlineLevel="0" collapsed="false">
      <c r="A1352" s="0" t="n">
        <v>32</v>
      </c>
      <c r="B1352" s="0" t="n">
        <v>35</v>
      </c>
      <c r="C1352" s="0" t="n">
        <f aca="false">-1+A1352*0.05</f>
        <v>0.6</v>
      </c>
      <c r="D1352" s="0" t="n">
        <f aca="false">-1+B1352*0.05</f>
        <v>0.75</v>
      </c>
      <c r="E1352" s="0" t="n">
        <f aca="false">1</f>
        <v>1</v>
      </c>
      <c r="F1352" s="0" t="n">
        <f aca="false">C1352</f>
        <v>0.6</v>
      </c>
      <c r="G1352" s="0" t="n">
        <f aca="false">D1352</f>
        <v>0.75</v>
      </c>
      <c r="H1352" s="0" t="n">
        <f aca="false">C1352*D1352</f>
        <v>0.45</v>
      </c>
      <c r="I1352" s="0" t="n">
        <f aca="false">C1352*C1352</f>
        <v>0.36</v>
      </c>
      <c r="J1352" s="0" t="n">
        <f aca="false">D1352*D1352</f>
        <v>0.5625</v>
      </c>
      <c r="K1352" s="0" t="n">
        <f aca="false">SUMPRODUCT(E1352:J1352,_XtX!$B$53:$G$53)</f>
        <v>49.3934094827586</v>
      </c>
      <c r="L1352" s="0" t="n">
        <f aca="false">SUMPRODUCT(MMULT(E1352:J1352,_XtX!$B$44:$G$49),E1352:J1352)</f>
        <v>0.291549676724138</v>
      </c>
      <c r="M1352" s="0" t="n">
        <f aca="false">04_回帰ANOVA!$K$19*04_回帰ANOVA!$K$14*SQRT(1+L1352)</f>
        <v>1.54004045665134</v>
      </c>
      <c r="N1352" s="0" t="n">
        <f aca="false">K1352-M1352</f>
        <v>47.8533690261073</v>
      </c>
      <c r="O1352" s="0" t="n">
        <f aca="false">K1352+M1352</f>
        <v>50.93344993941</v>
      </c>
      <c r="P1352" s="54" t="b">
        <f aca="false">AND(C1352&gt;=01_因子設定!$L$5-0.000000001,C1352&lt;=01_因子設定!$M$5+0.000000001,D1352&gt;=01_因子設定!$L$6-0.000000001,D1352&lt;=01_因子設定!$M$6+0.000000001,IF(01_因子設定!$B$20="Box-Behnken",C1352^2+D1352^2&lt;=2+0.000000001,TRUE()))</f>
        <v>1</v>
      </c>
      <c r="Q1352" s="55" t="n">
        <f aca="false">IF(P1352,IF(01_因子設定!$B$13="最大化",N1352-01_因子設定!$B$14,IF(01_因子設定!$B$13="最小化",01_因子設定!$B$15-O1352,MIN(N1352-01_因子設定!$B$14,01_因子設定!$B$15-O1352))),-1E+030)</f>
        <v>1.35336902610728</v>
      </c>
      <c r="R1352" s="55" t="n">
        <f aca="false">IF(P1352,IF(01_因子設定!$B$13="最大化",K1352,IF(01_因子設定!$B$13="最小化",-K1352,-ABS(K1352-01_因子設定!$B$16))),-1E+030)</f>
        <v>49.3934094827586</v>
      </c>
      <c r="S1352" s="55" t="n">
        <f aca="false">Q1352+ROW()*0.000000001</f>
        <v>1.35337037810728</v>
      </c>
      <c r="T1352" s="55" t="n">
        <f aca="false">R1352+ROW()*0.000000001</f>
        <v>49.3934108347586</v>
      </c>
    </row>
    <row r="1353" customFormat="false" ht="15" hidden="false" customHeight="false" outlineLevel="0" collapsed="false">
      <c r="A1353" s="0" t="n">
        <v>32</v>
      </c>
      <c r="B1353" s="0" t="n">
        <v>36</v>
      </c>
      <c r="C1353" s="0" t="n">
        <f aca="false">-1+A1353*0.05</f>
        <v>0.6</v>
      </c>
      <c r="D1353" s="0" t="n">
        <f aca="false">-1+B1353*0.05</f>
        <v>0.8</v>
      </c>
      <c r="E1353" s="0" t="n">
        <f aca="false">1</f>
        <v>1</v>
      </c>
      <c r="F1353" s="0" t="n">
        <f aca="false">C1353</f>
        <v>0.6</v>
      </c>
      <c r="G1353" s="0" t="n">
        <f aca="false">D1353</f>
        <v>0.8</v>
      </c>
      <c r="H1353" s="0" t="n">
        <f aca="false">C1353*D1353</f>
        <v>0.48</v>
      </c>
      <c r="I1353" s="0" t="n">
        <f aca="false">C1353*C1353</f>
        <v>0.36</v>
      </c>
      <c r="J1353" s="0" t="n">
        <f aca="false">D1353*D1353</f>
        <v>0.64</v>
      </c>
      <c r="K1353" s="0" t="n">
        <f aca="false">SUMPRODUCT(E1353:J1353,_XtX!$B$53:$G$53)</f>
        <v>49.4020689655172</v>
      </c>
      <c r="L1353" s="0" t="n">
        <f aca="false">SUMPRODUCT(MMULT(E1353:J1353,_XtX!$B$44:$G$49),E1353:J1353)</f>
        <v>0.321452873563218</v>
      </c>
      <c r="M1353" s="0" t="n">
        <f aca="false">04_回帰ANOVA!$K$19*04_回帰ANOVA!$K$14*SQRT(1+L1353)</f>
        <v>1.55776668694898</v>
      </c>
      <c r="N1353" s="0" t="n">
        <f aca="false">K1353-M1353</f>
        <v>47.8443022785683</v>
      </c>
      <c r="O1353" s="0" t="n">
        <f aca="false">K1353+M1353</f>
        <v>50.9598356524662</v>
      </c>
      <c r="P1353" s="54" t="b">
        <f aca="false">AND(C1353&gt;=01_因子設定!$L$5-0.000000001,C1353&lt;=01_因子設定!$M$5+0.000000001,D1353&gt;=01_因子設定!$L$6-0.000000001,D1353&lt;=01_因子設定!$M$6+0.000000001,IF(01_因子設定!$B$20="Box-Behnken",C1353^2+D1353^2&lt;=2+0.000000001,TRUE()))</f>
        <v>1</v>
      </c>
      <c r="Q1353" s="55" t="n">
        <f aca="false">IF(P1353,IF(01_因子設定!$B$13="最大化",N1353-01_因子設定!$B$14,IF(01_因子設定!$B$13="最小化",01_因子設定!$B$15-O1353,MIN(N1353-01_因子設定!$B$14,01_因子設定!$B$15-O1353))),-1E+030)</f>
        <v>1.34430227856825</v>
      </c>
      <c r="R1353" s="55" t="n">
        <f aca="false">IF(P1353,IF(01_因子設定!$B$13="最大化",K1353,IF(01_因子設定!$B$13="最小化",-K1353,-ABS(K1353-01_因子設定!$B$16))),-1E+030)</f>
        <v>49.4020689655172</v>
      </c>
      <c r="S1353" s="55" t="n">
        <f aca="false">Q1353+ROW()*0.000000001</f>
        <v>1.34430363156825</v>
      </c>
      <c r="T1353" s="55" t="n">
        <f aca="false">R1353+ROW()*0.000000001</f>
        <v>49.4020703185172</v>
      </c>
    </row>
    <row r="1354" customFormat="false" ht="15" hidden="false" customHeight="false" outlineLevel="0" collapsed="false">
      <c r="A1354" s="0" t="n">
        <v>32</v>
      </c>
      <c r="B1354" s="0" t="n">
        <v>37</v>
      </c>
      <c r="C1354" s="0" t="n">
        <f aca="false">-1+A1354*0.05</f>
        <v>0.6</v>
      </c>
      <c r="D1354" s="0" t="n">
        <f aca="false">-1+B1354*0.05</f>
        <v>0.85</v>
      </c>
      <c r="E1354" s="0" t="n">
        <f aca="false">1</f>
        <v>1</v>
      </c>
      <c r="F1354" s="0" t="n">
        <f aca="false">C1354</f>
        <v>0.6</v>
      </c>
      <c r="G1354" s="0" t="n">
        <f aca="false">D1354</f>
        <v>0.85</v>
      </c>
      <c r="H1354" s="0" t="n">
        <f aca="false">C1354*D1354</f>
        <v>0.51</v>
      </c>
      <c r="I1354" s="0" t="n">
        <f aca="false">C1354*C1354</f>
        <v>0.36</v>
      </c>
      <c r="J1354" s="0" t="n">
        <f aca="false">D1354*D1354</f>
        <v>0.7225</v>
      </c>
      <c r="K1354" s="0" t="n">
        <f aca="false">SUMPRODUCT(E1354:J1354,_XtX!$B$53:$G$53)</f>
        <v>49.4030129310345</v>
      </c>
      <c r="L1354" s="0" t="n">
        <f aca="false">SUMPRODUCT(MMULT(E1354:J1354,_XtX!$B$44:$G$49),E1354:J1354)</f>
        <v>0.358064619252874</v>
      </c>
      <c r="M1354" s="0" t="n">
        <f aca="false">04_回帰ANOVA!$K$19*04_回帰ANOVA!$K$14*SQRT(1+L1354)</f>
        <v>1.57919874361545</v>
      </c>
      <c r="N1354" s="0" t="n">
        <f aca="false">K1354-M1354</f>
        <v>47.823814187419</v>
      </c>
      <c r="O1354" s="0" t="n">
        <f aca="false">K1354+M1354</f>
        <v>50.9822116746499</v>
      </c>
      <c r="P1354" s="54" t="b">
        <f aca="false">AND(C1354&gt;=01_因子設定!$L$5-0.000000001,C1354&lt;=01_因子設定!$M$5+0.000000001,D1354&gt;=01_因子設定!$L$6-0.000000001,D1354&lt;=01_因子設定!$M$6+0.000000001,IF(01_因子設定!$B$20="Box-Behnken",C1354^2+D1354^2&lt;=2+0.000000001,TRUE()))</f>
        <v>1</v>
      </c>
      <c r="Q1354" s="55" t="n">
        <f aca="false">IF(P1354,IF(01_因子設定!$B$13="最大化",N1354-01_因子設定!$B$14,IF(01_因子設定!$B$13="最小化",01_因子設定!$B$15-O1354,MIN(N1354-01_因子設定!$B$14,01_因子設定!$B$15-O1354))),-1E+030)</f>
        <v>1.32381418741902</v>
      </c>
      <c r="R1354" s="55" t="n">
        <f aca="false">IF(P1354,IF(01_因子設定!$B$13="最大化",K1354,IF(01_因子設定!$B$13="最小化",-K1354,-ABS(K1354-01_因子設定!$B$16))),-1E+030)</f>
        <v>49.4030129310345</v>
      </c>
      <c r="S1354" s="55" t="n">
        <f aca="false">Q1354+ROW()*0.000000001</f>
        <v>1.32381554141902</v>
      </c>
      <c r="T1354" s="55" t="n">
        <f aca="false">R1354+ROW()*0.000000001</f>
        <v>49.4030142850345</v>
      </c>
    </row>
    <row r="1355" customFormat="false" ht="15" hidden="false" customHeight="false" outlineLevel="0" collapsed="false">
      <c r="A1355" s="0" t="n">
        <v>32</v>
      </c>
      <c r="B1355" s="0" t="n">
        <v>38</v>
      </c>
      <c r="C1355" s="0" t="n">
        <f aca="false">-1+A1355*0.05</f>
        <v>0.6</v>
      </c>
      <c r="D1355" s="0" t="n">
        <f aca="false">-1+B1355*0.05</f>
        <v>0.9</v>
      </c>
      <c r="E1355" s="0" t="n">
        <f aca="false">1</f>
        <v>1</v>
      </c>
      <c r="F1355" s="0" t="n">
        <f aca="false">C1355</f>
        <v>0.6</v>
      </c>
      <c r="G1355" s="0" t="n">
        <f aca="false">D1355</f>
        <v>0.9</v>
      </c>
      <c r="H1355" s="0" t="n">
        <f aca="false">C1355*D1355</f>
        <v>0.54</v>
      </c>
      <c r="I1355" s="0" t="n">
        <f aca="false">C1355*C1355</f>
        <v>0.36</v>
      </c>
      <c r="J1355" s="0" t="n">
        <f aca="false">D1355*D1355</f>
        <v>0.81</v>
      </c>
      <c r="K1355" s="0" t="n">
        <f aca="false">SUMPRODUCT(E1355:J1355,_XtX!$B$53:$G$53)</f>
        <v>49.3962413793103</v>
      </c>
      <c r="L1355" s="0" t="n">
        <f aca="false">SUMPRODUCT(MMULT(E1355:J1355,_XtX!$B$44:$G$49),E1355:J1355)</f>
        <v>0.402281034482759</v>
      </c>
      <c r="M1355" s="0" t="n">
        <f aca="false">04_回帰ANOVA!$K$19*04_回帰ANOVA!$K$14*SQRT(1+L1355)</f>
        <v>1.60470092328339</v>
      </c>
      <c r="N1355" s="0" t="n">
        <f aca="false">K1355-M1355</f>
        <v>47.791540456027</v>
      </c>
      <c r="O1355" s="0" t="n">
        <f aca="false">K1355+M1355</f>
        <v>51.0009423025937</v>
      </c>
      <c r="P1355" s="54" t="b">
        <f aca="false">AND(C1355&gt;=01_因子設定!$L$5-0.000000001,C1355&lt;=01_因子設定!$M$5+0.000000001,D1355&gt;=01_因子設定!$L$6-0.000000001,D1355&lt;=01_因子設定!$M$6+0.000000001,IF(01_因子設定!$B$20="Box-Behnken",C1355^2+D1355^2&lt;=2+0.000000001,TRUE()))</f>
        <v>1</v>
      </c>
      <c r="Q1355" s="55" t="n">
        <f aca="false">IF(P1355,IF(01_因子設定!$B$13="最大化",N1355-01_因子設定!$B$14,IF(01_因子設定!$B$13="最小化",01_因子設定!$B$15-O1355,MIN(N1355-01_因子設定!$B$14,01_因子設定!$B$15-O1355))),-1E+030)</f>
        <v>1.29154045602695</v>
      </c>
      <c r="R1355" s="55" t="n">
        <f aca="false">IF(P1355,IF(01_因子設定!$B$13="最大化",K1355,IF(01_因子設定!$B$13="最小化",-K1355,-ABS(K1355-01_因子設定!$B$16))),-1E+030)</f>
        <v>49.3962413793103</v>
      </c>
      <c r="S1355" s="55" t="n">
        <f aca="false">Q1355+ROW()*0.000000001</f>
        <v>1.29154181102695</v>
      </c>
      <c r="T1355" s="55" t="n">
        <f aca="false">R1355+ROW()*0.000000001</f>
        <v>49.3962427343103</v>
      </c>
    </row>
    <row r="1356" customFormat="false" ht="15" hidden="false" customHeight="false" outlineLevel="0" collapsed="false">
      <c r="A1356" s="0" t="n">
        <v>32</v>
      </c>
      <c r="B1356" s="0" t="n">
        <v>39</v>
      </c>
      <c r="C1356" s="0" t="n">
        <f aca="false">-1+A1356*0.05</f>
        <v>0.6</v>
      </c>
      <c r="D1356" s="0" t="n">
        <f aca="false">-1+B1356*0.05</f>
        <v>0.95</v>
      </c>
      <c r="E1356" s="0" t="n">
        <f aca="false">1</f>
        <v>1</v>
      </c>
      <c r="F1356" s="0" t="n">
        <f aca="false">C1356</f>
        <v>0.6</v>
      </c>
      <c r="G1356" s="0" t="n">
        <f aca="false">D1356</f>
        <v>0.95</v>
      </c>
      <c r="H1356" s="0" t="n">
        <f aca="false">C1356*D1356</f>
        <v>0.57</v>
      </c>
      <c r="I1356" s="0" t="n">
        <f aca="false">C1356*C1356</f>
        <v>0.36</v>
      </c>
      <c r="J1356" s="0" t="n">
        <f aca="false">D1356*D1356</f>
        <v>0.9025</v>
      </c>
      <c r="K1356" s="0" t="n">
        <f aca="false">SUMPRODUCT(E1356:J1356,_XtX!$B$53:$G$53)</f>
        <v>49.3817543103448</v>
      </c>
      <c r="L1356" s="0" t="n">
        <f aca="false">SUMPRODUCT(MMULT(E1356:J1356,_XtX!$B$44:$G$49),E1356:J1356)</f>
        <v>0.455052550287357</v>
      </c>
      <c r="M1356" s="0" t="n">
        <f aca="false">04_回帰ANOVA!$K$19*04_回帰ANOVA!$K$14*SQRT(1+L1356)</f>
        <v>1.63461662470009</v>
      </c>
      <c r="N1356" s="0" t="n">
        <f aca="false">K1356-M1356</f>
        <v>47.7471376856447</v>
      </c>
      <c r="O1356" s="0" t="n">
        <f aca="false">K1356+M1356</f>
        <v>51.0163709350449</v>
      </c>
      <c r="P1356" s="54" t="b">
        <f aca="false">AND(C1356&gt;=01_因子設定!$L$5-0.000000001,C1356&lt;=01_因子設定!$M$5+0.000000001,D1356&gt;=01_因子設定!$L$6-0.000000001,D1356&lt;=01_因子設定!$M$6+0.000000001,IF(01_因子設定!$B$20="Box-Behnken",C1356^2+D1356^2&lt;=2+0.000000001,TRUE()))</f>
        <v>1</v>
      </c>
      <c r="Q1356" s="55" t="n">
        <f aca="false">IF(P1356,IF(01_因子設定!$B$13="最大化",N1356-01_因子設定!$B$14,IF(01_因子設定!$B$13="最小化",01_因子設定!$B$15-O1356,MIN(N1356-01_因子設定!$B$14,01_因子設定!$B$15-O1356))),-1E+030)</f>
        <v>1.24713768564474</v>
      </c>
      <c r="R1356" s="55" t="n">
        <f aca="false">IF(P1356,IF(01_因子設定!$B$13="最大化",K1356,IF(01_因子設定!$B$13="最小化",-K1356,-ABS(K1356-01_因子設定!$B$16))),-1E+030)</f>
        <v>49.3817543103448</v>
      </c>
      <c r="S1356" s="55" t="n">
        <f aca="false">Q1356+ROW()*0.000000001</f>
        <v>1.24713904164474</v>
      </c>
      <c r="T1356" s="55" t="n">
        <f aca="false">R1356+ROW()*0.000000001</f>
        <v>49.3817556663448</v>
      </c>
    </row>
    <row r="1357" customFormat="false" ht="15" hidden="false" customHeight="false" outlineLevel="0" collapsed="false">
      <c r="A1357" s="0" t="n">
        <v>32</v>
      </c>
      <c r="B1357" s="0" t="n">
        <v>40</v>
      </c>
      <c r="C1357" s="0" t="n">
        <f aca="false">-1+A1357*0.05</f>
        <v>0.6</v>
      </c>
      <c r="D1357" s="0" t="n">
        <f aca="false">-1+B1357*0.05</f>
        <v>1</v>
      </c>
      <c r="E1357" s="0" t="n">
        <f aca="false">1</f>
        <v>1</v>
      </c>
      <c r="F1357" s="0" t="n">
        <f aca="false">C1357</f>
        <v>0.6</v>
      </c>
      <c r="G1357" s="0" t="n">
        <f aca="false">D1357</f>
        <v>1</v>
      </c>
      <c r="H1357" s="0" t="n">
        <f aca="false">C1357*D1357</f>
        <v>0.6</v>
      </c>
      <c r="I1357" s="0" t="n">
        <f aca="false">C1357*C1357</f>
        <v>0.36</v>
      </c>
      <c r="J1357" s="0" t="n">
        <f aca="false">D1357*D1357</f>
        <v>1</v>
      </c>
      <c r="K1357" s="0" t="n">
        <f aca="false">SUMPRODUCT(E1357:J1357,_XtX!$B$53:$G$53)</f>
        <v>49.3595517241379</v>
      </c>
      <c r="L1357" s="0" t="n">
        <f aca="false">SUMPRODUCT(MMULT(E1357:J1357,_XtX!$B$44:$G$49),E1357:J1357)</f>
        <v>0.517383908045977</v>
      </c>
      <c r="M1357" s="0" t="n">
        <f aca="false">04_回帰ANOVA!$K$19*04_回帰ANOVA!$K$14*SQRT(1+L1357)</f>
        <v>1.66926124034343</v>
      </c>
      <c r="N1357" s="0" t="n">
        <f aca="false">K1357-M1357</f>
        <v>47.6902904837945</v>
      </c>
      <c r="O1357" s="0" t="n">
        <f aca="false">K1357+M1357</f>
        <v>51.0288129644814</v>
      </c>
      <c r="P1357" s="54" t="b">
        <f aca="false">AND(C1357&gt;=01_因子設定!$L$5-0.000000001,C1357&lt;=01_因子設定!$M$5+0.000000001,D1357&gt;=01_因子設定!$L$6-0.000000001,D1357&lt;=01_因子設定!$M$6+0.000000001,IF(01_因子設定!$B$20="Box-Behnken",C1357^2+D1357^2&lt;=2+0.000000001,TRUE()))</f>
        <v>1</v>
      </c>
      <c r="Q1357" s="55" t="n">
        <f aca="false">IF(P1357,IF(01_因子設定!$B$13="最大化",N1357-01_因子設定!$B$14,IF(01_因子設定!$B$13="最小化",01_因子設定!$B$15-O1357,MIN(N1357-01_因子設定!$B$14,01_因子設定!$B$15-O1357))),-1E+030)</f>
        <v>1.19029048379449</v>
      </c>
      <c r="R1357" s="55" t="n">
        <f aca="false">IF(P1357,IF(01_因子設定!$B$13="最大化",K1357,IF(01_因子設定!$B$13="最小化",-K1357,-ABS(K1357-01_因子設定!$B$16))),-1E+030)</f>
        <v>49.3595517241379</v>
      </c>
      <c r="S1357" s="55" t="n">
        <f aca="false">Q1357+ROW()*0.000000001</f>
        <v>1.19029184079449</v>
      </c>
      <c r="T1357" s="55" t="n">
        <f aca="false">R1357+ROW()*0.000000001</f>
        <v>49.3595530811379</v>
      </c>
    </row>
    <row r="1358" customFormat="false" ht="15" hidden="false" customHeight="false" outlineLevel="0" collapsed="false">
      <c r="A1358" s="0" t="n">
        <v>33</v>
      </c>
      <c r="B1358" s="0" t="n">
        <v>0</v>
      </c>
      <c r="C1358" s="0" t="n">
        <f aca="false">-1+A1358*0.05</f>
        <v>0.65</v>
      </c>
      <c r="D1358" s="0" t="n">
        <f aca="false">-1+B1358*0.05</f>
        <v>-1</v>
      </c>
      <c r="E1358" s="0" t="n">
        <f aca="false">1</f>
        <v>1</v>
      </c>
      <c r="F1358" s="0" t="n">
        <f aca="false">C1358</f>
        <v>0.65</v>
      </c>
      <c r="G1358" s="0" t="n">
        <f aca="false">D1358</f>
        <v>-1</v>
      </c>
      <c r="H1358" s="0" t="n">
        <f aca="false">C1358*D1358</f>
        <v>-0.65</v>
      </c>
      <c r="I1358" s="0" t="n">
        <f aca="false">C1358*C1358</f>
        <v>0.4225</v>
      </c>
      <c r="J1358" s="0" t="n">
        <f aca="false">D1358*D1358</f>
        <v>1</v>
      </c>
      <c r="K1358" s="0" t="n">
        <f aca="false">SUMPRODUCT(E1358:J1358,_XtX!$B$53:$G$53)</f>
        <v>44.137691091954</v>
      </c>
      <c r="L1358" s="0" t="n">
        <f aca="false">SUMPRODUCT(MMULT(E1358:J1358,_XtX!$B$44:$G$49),E1358:J1358)</f>
        <v>0.530960596264368</v>
      </c>
      <c r="M1358" s="0" t="n">
        <f aca="false">04_回帰ANOVA!$K$19*04_回帰ANOVA!$K$14*SQRT(1+L1358)</f>
        <v>1.6767124103567</v>
      </c>
      <c r="N1358" s="0" t="n">
        <f aca="false">K1358-M1358</f>
        <v>42.4609786815973</v>
      </c>
      <c r="O1358" s="0" t="n">
        <f aca="false">K1358+M1358</f>
        <v>45.8144035023107</v>
      </c>
      <c r="P1358" s="54" t="b">
        <f aca="false">AND(C1358&gt;=01_因子設定!$L$5-0.000000001,C1358&lt;=01_因子設定!$M$5+0.000000001,D1358&gt;=01_因子設定!$L$6-0.000000001,D1358&lt;=01_因子設定!$M$6+0.000000001,IF(01_因子設定!$B$20="Box-Behnken",C1358^2+D1358^2&lt;=2+0.000000001,TRUE()))</f>
        <v>1</v>
      </c>
      <c r="Q1358" s="55" t="n">
        <f aca="false">IF(P1358,IF(01_因子設定!$B$13="最大化",N1358-01_因子設定!$B$14,IF(01_因子設定!$B$13="最小化",01_因子設定!$B$15-O1358,MIN(N1358-01_因子設定!$B$14,01_因子設定!$B$15-O1358))),-1E+030)</f>
        <v>-4.03902131840269</v>
      </c>
      <c r="R1358" s="55" t="n">
        <f aca="false">IF(P1358,IF(01_因子設定!$B$13="最大化",K1358,IF(01_因子設定!$B$13="最小化",-K1358,-ABS(K1358-01_因子設定!$B$16))),-1E+030)</f>
        <v>44.137691091954</v>
      </c>
      <c r="S1358" s="55" t="n">
        <f aca="false">Q1358+ROW()*0.000000001</f>
        <v>-4.03901996040269</v>
      </c>
      <c r="T1358" s="55" t="n">
        <f aca="false">R1358+ROW()*0.000000001</f>
        <v>44.137692449954</v>
      </c>
    </row>
    <row r="1359" customFormat="false" ht="15" hidden="false" customHeight="false" outlineLevel="0" collapsed="false">
      <c r="A1359" s="0" t="n">
        <v>33</v>
      </c>
      <c r="B1359" s="0" t="n">
        <v>1</v>
      </c>
      <c r="C1359" s="0" t="n">
        <f aca="false">-1+A1359*0.05</f>
        <v>0.65</v>
      </c>
      <c r="D1359" s="0" t="n">
        <f aca="false">-1+B1359*0.05</f>
        <v>-0.95</v>
      </c>
      <c r="E1359" s="0" t="n">
        <f aca="false">1</f>
        <v>1</v>
      </c>
      <c r="F1359" s="0" t="n">
        <f aca="false">C1359</f>
        <v>0.65</v>
      </c>
      <c r="G1359" s="0" t="n">
        <f aca="false">D1359</f>
        <v>-0.95</v>
      </c>
      <c r="H1359" s="0" t="n">
        <f aca="false">C1359*D1359</f>
        <v>-0.6175</v>
      </c>
      <c r="I1359" s="0" t="n">
        <f aca="false">C1359*C1359</f>
        <v>0.4225</v>
      </c>
      <c r="J1359" s="0" t="n">
        <f aca="false">D1359*D1359</f>
        <v>0.9025</v>
      </c>
      <c r="K1359" s="0" t="n">
        <f aca="false">SUMPRODUCT(E1359:J1359,_XtX!$B$53:$G$53)</f>
        <v>44.4177061781609</v>
      </c>
      <c r="L1359" s="0" t="n">
        <f aca="false">SUMPRODUCT(MMULT(E1359:J1359,_XtX!$B$44:$G$49),E1359:J1359)</f>
        <v>0.468786835488506</v>
      </c>
      <c r="M1359" s="0" t="n">
        <f aca="false">04_回帰ANOVA!$K$19*04_回帰ANOVA!$K$14*SQRT(1+L1359)</f>
        <v>1.64231310350799</v>
      </c>
      <c r="N1359" s="0" t="n">
        <f aca="false">K1359-M1359</f>
        <v>42.7753930746529</v>
      </c>
      <c r="O1359" s="0" t="n">
        <f aca="false">K1359+M1359</f>
        <v>46.0600192816689</v>
      </c>
      <c r="P1359" s="54" t="b">
        <f aca="false">AND(C1359&gt;=01_因子設定!$L$5-0.000000001,C1359&lt;=01_因子設定!$M$5+0.000000001,D1359&gt;=01_因子設定!$L$6-0.000000001,D1359&lt;=01_因子設定!$M$6+0.000000001,IF(01_因子設定!$B$20="Box-Behnken",C1359^2+D1359^2&lt;=2+0.000000001,TRUE()))</f>
        <v>1</v>
      </c>
      <c r="Q1359" s="55" t="n">
        <f aca="false">IF(P1359,IF(01_因子設定!$B$13="最大化",N1359-01_因子設定!$B$14,IF(01_因子設定!$B$13="最小化",01_因子設定!$B$15-O1359,MIN(N1359-01_因子設定!$B$14,01_因子設定!$B$15-O1359))),-1E+030)</f>
        <v>-3.72460692534708</v>
      </c>
      <c r="R1359" s="55" t="n">
        <f aca="false">IF(P1359,IF(01_因子設定!$B$13="最大化",K1359,IF(01_因子設定!$B$13="最小化",-K1359,-ABS(K1359-01_因子設定!$B$16))),-1E+030)</f>
        <v>44.4177061781609</v>
      </c>
      <c r="S1359" s="55" t="n">
        <f aca="false">Q1359+ROW()*0.000000001</f>
        <v>-3.72460556634708</v>
      </c>
      <c r="T1359" s="55" t="n">
        <f aca="false">R1359+ROW()*0.000000001</f>
        <v>44.4177075371609</v>
      </c>
    </row>
    <row r="1360" customFormat="false" ht="15" hidden="false" customHeight="false" outlineLevel="0" collapsed="false">
      <c r="A1360" s="0" t="n">
        <v>33</v>
      </c>
      <c r="B1360" s="0" t="n">
        <v>2</v>
      </c>
      <c r="C1360" s="0" t="n">
        <f aca="false">-1+A1360*0.05</f>
        <v>0.65</v>
      </c>
      <c r="D1360" s="0" t="n">
        <f aca="false">-1+B1360*0.05</f>
        <v>-0.9</v>
      </c>
      <c r="E1360" s="0" t="n">
        <f aca="false">1</f>
        <v>1</v>
      </c>
      <c r="F1360" s="0" t="n">
        <f aca="false">C1360</f>
        <v>0.65</v>
      </c>
      <c r="G1360" s="0" t="n">
        <f aca="false">D1360</f>
        <v>-0.9</v>
      </c>
      <c r="H1360" s="0" t="n">
        <f aca="false">C1360*D1360</f>
        <v>-0.585</v>
      </c>
      <c r="I1360" s="0" t="n">
        <f aca="false">C1360*C1360</f>
        <v>0.4225</v>
      </c>
      <c r="J1360" s="0" t="n">
        <f aca="false">D1360*D1360</f>
        <v>0.81</v>
      </c>
      <c r="K1360" s="0" t="n">
        <f aca="false">SUMPRODUCT(E1360:J1360,_XtX!$B$53:$G$53)</f>
        <v>44.6900057471264</v>
      </c>
      <c r="L1360" s="0" t="n">
        <f aca="false">SUMPRODUCT(MMULT(E1360:J1360,_XtX!$B$44:$G$49),E1360:J1360)</f>
        <v>0.416164834770115</v>
      </c>
      <c r="M1360" s="0" t="n">
        <f aca="false">04_回帰ANOVA!$K$19*04_回帰ANOVA!$K$14*SQRT(1+L1360)</f>
        <v>1.61262532348959</v>
      </c>
      <c r="N1360" s="0" t="n">
        <f aca="false">K1360-M1360</f>
        <v>43.0773804236368</v>
      </c>
      <c r="O1360" s="0" t="n">
        <f aca="false">K1360+M1360</f>
        <v>46.302631070616</v>
      </c>
      <c r="P1360" s="54" t="b">
        <f aca="false">AND(C1360&gt;=01_因子設定!$L$5-0.000000001,C1360&lt;=01_因子設定!$M$5+0.000000001,D1360&gt;=01_因子設定!$L$6-0.000000001,D1360&lt;=01_因子設定!$M$6+0.000000001,IF(01_因子設定!$B$20="Box-Behnken",C1360^2+D1360^2&lt;=2+0.000000001,TRUE()))</f>
        <v>1</v>
      </c>
      <c r="Q1360" s="55" t="n">
        <f aca="false">IF(P1360,IF(01_因子設定!$B$13="最大化",N1360-01_因子設定!$B$14,IF(01_因子設定!$B$13="最小化",01_因子設定!$B$15-O1360,MIN(N1360-01_因子設定!$B$14,01_因子設定!$B$15-O1360))),-1E+030)</f>
        <v>-3.42261957636316</v>
      </c>
      <c r="R1360" s="55" t="n">
        <f aca="false">IF(P1360,IF(01_因子設定!$B$13="最大化",K1360,IF(01_因子設定!$B$13="最小化",-K1360,-ABS(K1360-01_因子設定!$B$16))),-1E+030)</f>
        <v>44.6900057471264</v>
      </c>
      <c r="S1360" s="55" t="n">
        <f aca="false">Q1360+ROW()*0.000000001</f>
        <v>-3.42261821636316</v>
      </c>
      <c r="T1360" s="55" t="n">
        <f aca="false">R1360+ROW()*0.000000001</f>
        <v>44.6900071071264</v>
      </c>
    </row>
    <row r="1361" customFormat="false" ht="15" hidden="false" customHeight="false" outlineLevel="0" collapsed="false">
      <c r="A1361" s="0" t="n">
        <v>33</v>
      </c>
      <c r="B1361" s="0" t="n">
        <v>3</v>
      </c>
      <c r="C1361" s="0" t="n">
        <f aca="false">-1+A1361*0.05</f>
        <v>0.65</v>
      </c>
      <c r="D1361" s="0" t="n">
        <f aca="false">-1+B1361*0.05</f>
        <v>-0.85</v>
      </c>
      <c r="E1361" s="0" t="n">
        <f aca="false">1</f>
        <v>1</v>
      </c>
      <c r="F1361" s="0" t="n">
        <f aca="false">C1361</f>
        <v>0.65</v>
      </c>
      <c r="G1361" s="0" t="n">
        <f aca="false">D1361</f>
        <v>-0.85</v>
      </c>
      <c r="H1361" s="0" t="n">
        <f aca="false">C1361*D1361</f>
        <v>-0.5525</v>
      </c>
      <c r="I1361" s="0" t="n">
        <f aca="false">C1361*C1361</f>
        <v>0.4225</v>
      </c>
      <c r="J1361" s="0" t="n">
        <f aca="false">D1361*D1361</f>
        <v>0.7225</v>
      </c>
      <c r="K1361" s="0" t="n">
        <f aca="false">SUMPRODUCT(E1361:J1361,_XtX!$B$53:$G$53)</f>
        <v>44.9545897988506</v>
      </c>
      <c r="L1361" s="0" t="n">
        <f aca="false">SUMPRODUCT(MMULT(E1361:J1361,_XtX!$B$44:$G$49),E1361:J1361)</f>
        <v>0.372089852729885</v>
      </c>
      <c r="M1361" s="0" t="n">
        <f aca="false">04_回帰ANOVA!$K$19*04_回帰ANOVA!$K$14*SQRT(1+L1361)</f>
        <v>1.58733228155404</v>
      </c>
      <c r="N1361" s="0" t="n">
        <f aca="false">K1361-M1361</f>
        <v>43.3672575172965</v>
      </c>
      <c r="O1361" s="0" t="n">
        <f aca="false">K1361+M1361</f>
        <v>46.5419220804046</v>
      </c>
      <c r="P1361" s="54" t="b">
        <f aca="false">AND(C1361&gt;=01_因子設定!$L$5-0.000000001,C1361&lt;=01_因子設定!$M$5+0.000000001,D1361&gt;=01_因子設定!$L$6-0.000000001,D1361&lt;=01_因子設定!$M$6+0.000000001,IF(01_因子設定!$B$20="Box-Behnken",C1361^2+D1361^2&lt;=2+0.000000001,TRUE()))</f>
        <v>1</v>
      </c>
      <c r="Q1361" s="55" t="n">
        <f aca="false">IF(P1361,IF(01_因子設定!$B$13="最大化",N1361-01_因子設定!$B$14,IF(01_因子設定!$B$13="最小化",01_因子設定!$B$15-O1361,MIN(N1361-01_因子設定!$B$14,01_因子設定!$B$15-O1361))),-1E+030)</f>
        <v>-3.13274248270347</v>
      </c>
      <c r="R1361" s="55" t="n">
        <f aca="false">IF(P1361,IF(01_因子設定!$B$13="最大化",K1361,IF(01_因子設定!$B$13="最小化",-K1361,-ABS(K1361-01_因子設定!$B$16))),-1E+030)</f>
        <v>44.9545897988506</v>
      </c>
      <c r="S1361" s="55" t="n">
        <f aca="false">Q1361+ROW()*0.000000001</f>
        <v>-3.13274112170347</v>
      </c>
      <c r="T1361" s="55" t="n">
        <f aca="false">R1361+ROW()*0.000000001</f>
        <v>44.9545911598506</v>
      </c>
    </row>
    <row r="1362" customFormat="false" ht="15" hidden="false" customHeight="false" outlineLevel="0" collapsed="false">
      <c r="A1362" s="0" t="n">
        <v>33</v>
      </c>
      <c r="B1362" s="0" t="n">
        <v>4</v>
      </c>
      <c r="C1362" s="0" t="n">
        <f aca="false">-1+A1362*0.05</f>
        <v>0.65</v>
      </c>
      <c r="D1362" s="0" t="n">
        <f aca="false">-1+B1362*0.05</f>
        <v>-0.8</v>
      </c>
      <c r="E1362" s="0" t="n">
        <f aca="false">1</f>
        <v>1</v>
      </c>
      <c r="F1362" s="0" t="n">
        <f aca="false">C1362</f>
        <v>0.65</v>
      </c>
      <c r="G1362" s="0" t="n">
        <f aca="false">D1362</f>
        <v>-0.8</v>
      </c>
      <c r="H1362" s="0" t="n">
        <f aca="false">C1362*D1362</f>
        <v>-0.52</v>
      </c>
      <c r="I1362" s="0" t="n">
        <f aca="false">C1362*C1362</f>
        <v>0.4225</v>
      </c>
      <c r="J1362" s="0" t="n">
        <f aca="false">D1362*D1362</f>
        <v>0.64</v>
      </c>
      <c r="K1362" s="0" t="n">
        <f aca="false">SUMPRODUCT(E1362:J1362,_XtX!$B$53:$G$53)</f>
        <v>45.2114583333333</v>
      </c>
      <c r="L1362" s="0" t="n">
        <f aca="false">SUMPRODUCT(MMULT(E1362:J1362,_XtX!$B$44:$G$49),E1362:J1362)</f>
        <v>0.335611458333333</v>
      </c>
      <c r="M1362" s="0" t="n">
        <f aca="false">04_回帰ANOVA!$K$19*04_回帰ANOVA!$K$14*SQRT(1+L1362)</f>
        <v>1.56608972588958</v>
      </c>
      <c r="N1362" s="0" t="n">
        <f aca="false">K1362-M1362</f>
        <v>43.6453686074438</v>
      </c>
      <c r="O1362" s="0" t="n">
        <f aca="false">K1362+M1362</f>
        <v>46.7775480592229</v>
      </c>
      <c r="P1362" s="54" t="b">
        <f aca="false">AND(C1362&gt;=01_因子設定!$L$5-0.000000001,C1362&lt;=01_因子設定!$M$5+0.000000001,D1362&gt;=01_因子設定!$L$6-0.000000001,D1362&lt;=01_因子設定!$M$6+0.000000001,IF(01_因子設定!$B$20="Box-Behnken",C1362^2+D1362^2&lt;=2+0.000000001,TRUE()))</f>
        <v>1</v>
      </c>
      <c r="Q1362" s="55" t="n">
        <f aca="false">IF(P1362,IF(01_因子設定!$B$13="最大化",N1362-01_因子設定!$B$14,IF(01_因子設定!$B$13="最小化",01_因子設定!$B$15-O1362,MIN(N1362-01_因子設定!$B$14,01_因子設定!$B$15-O1362))),-1E+030)</f>
        <v>-2.85463139255625</v>
      </c>
      <c r="R1362" s="55" t="n">
        <f aca="false">IF(P1362,IF(01_因子設定!$B$13="最大化",K1362,IF(01_因子設定!$B$13="最小化",-K1362,-ABS(K1362-01_因子設定!$B$16))),-1E+030)</f>
        <v>45.2114583333333</v>
      </c>
      <c r="S1362" s="55" t="n">
        <f aca="false">Q1362+ROW()*0.000000001</f>
        <v>-2.85463003055625</v>
      </c>
      <c r="T1362" s="55" t="n">
        <f aca="false">R1362+ROW()*0.000000001</f>
        <v>45.2114596953333</v>
      </c>
    </row>
    <row r="1363" customFormat="false" ht="15" hidden="false" customHeight="false" outlineLevel="0" collapsed="false">
      <c r="A1363" s="0" t="n">
        <v>33</v>
      </c>
      <c r="B1363" s="0" t="n">
        <v>5</v>
      </c>
      <c r="C1363" s="0" t="n">
        <f aca="false">-1+A1363*0.05</f>
        <v>0.65</v>
      </c>
      <c r="D1363" s="0" t="n">
        <f aca="false">-1+B1363*0.05</f>
        <v>-0.75</v>
      </c>
      <c r="E1363" s="0" t="n">
        <f aca="false">1</f>
        <v>1</v>
      </c>
      <c r="F1363" s="0" t="n">
        <f aca="false">C1363</f>
        <v>0.65</v>
      </c>
      <c r="G1363" s="0" t="n">
        <f aca="false">D1363</f>
        <v>-0.75</v>
      </c>
      <c r="H1363" s="0" t="n">
        <f aca="false">C1363*D1363</f>
        <v>-0.4875</v>
      </c>
      <c r="I1363" s="0" t="n">
        <f aca="false">C1363*C1363</f>
        <v>0.4225</v>
      </c>
      <c r="J1363" s="0" t="n">
        <f aca="false">D1363*D1363</f>
        <v>0.5625</v>
      </c>
      <c r="K1363" s="0" t="n">
        <f aca="false">SUMPRODUCT(E1363:J1363,_XtX!$B$53:$G$53)</f>
        <v>45.4606113505747</v>
      </c>
      <c r="L1363" s="0" t="n">
        <f aca="false">SUMPRODUCT(MMULT(E1363:J1363,_XtX!$B$44:$G$49),E1363:J1363)</f>
        <v>0.305833530890805</v>
      </c>
      <c r="M1363" s="0" t="n">
        <f aca="false">04_回帰ANOVA!$K$19*04_回帰ANOVA!$K$14*SQRT(1+L1363)</f>
        <v>1.54853305548253</v>
      </c>
      <c r="N1363" s="0" t="n">
        <f aca="false">K1363-M1363</f>
        <v>43.9120782950922</v>
      </c>
      <c r="O1363" s="0" t="n">
        <f aca="false">K1363+M1363</f>
        <v>47.0091444060572</v>
      </c>
      <c r="P1363" s="54" t="b">
        <f aca="false">AND(C1363&gt;=01_因子設定!$L$5-0.000000001,C1363&lt;=01_因子設定!$M$5+0.000000001,D1363&gt;=01_因子設定!$L$6-0.000000001,D1363&lt;=01_因子設定!$M$6+0.000000001,IF(01_因子設定!$B$20="Box-Behnken",C1363^2+D1363^2&lt;=2+0.000000001,TRUE()))</f>
        <v>1</v>
      </c>
      <c r="Q1363" s="55" t="n">
        <f aca="false">IF(P1363,IF(01_因子設定!$B$13="最大化",N1363-01_因子設定!$B$14,IF(01_因子設定!$B$13="最小化",01_因子設定!$B$15-O1363,MIN(N1363-01_因子設定!$B$14,01_因子設定!$B$15-O1363))),-1E+030)</f>
        <v>-2.58792170490782</v>
      </c>
      <c r="R1363" s="55" t="n">
        <f aca="false">IF(P1363,IF(01_因子設定!$B$13="最大化",K1363,IF(01_因子設定!$B$13="最小化",-K1363,-ABS(K1363-01_因子設定!$B$16))),-1E+030)</f>
        <v>45.4606113505747</v>
      </c>
      <c r="S1363" s="55" t="n">
        <f aca="false">Q1363+ROW()*0.000000001</f>
        <v>-2.58792034190782</v>
      </c>
      <c r="T1363" s="55" t="n">
        <f aca="false">R1363+ROW()*0.000000001</f>
        <v>45.4606127135747</v>
      </c>
    </row>
    <row r="1364" customFormat="false" ht="15" hidden="false" customHeight="false" outlineLevel="0" collapsed="false">
      <c r="A1364" s="0" t="n">
        <v>33</v>
      </c>
      <c r="B1364" s="0" t="n">
        <v>6</v>
      </c>
      <c r="C1364" s="0" t="n">
        <f aca="false">-1+A1364*0.05</f>
        <v>0.65</v>
      </c>
      <c r="D1364" s="0" t="n">
        <f aca="false">-1+B1364*0.05</f>
        <v>-0.7</v>
      </c>
      <c r="E1364" s="0" t="n">
        <f aca="false">1</f>
        <v>1</v>
      </c>
      <c r="F1364" s="0" t="n">
        <f aca="false">C1364</f>
        <v>0.65</v>
      </c>
      <c r="G1364" s="0" t="n">
        <f aca="false">D1364</f>
        <v>-0.7</v>
      </c>
      <c r="H1364" s="0" t="n">
        <f aca="false">C1364*D1364</f>
        <v>-0.455</v>
      </c>
      <c r="I1364" s="0" t="n">
        <f aca="false">C1364*C1364</f>
        <v>0.4225</v>
      </c>
      <c r="J1364" s="0" t="n">
        <f aca="false">D1364*D1364</f>
        <v>0.49</v>
      </c>
      <c r="K1364" s="0" t="n">
        <f aca="false">SUMPRODUCT(E1364:J1364,_XtX!$B$53:$G$53)</f>
        <v>45.7020488505747</v>
      </c>
      <c r="L1364" s="0" t="n">
        <f aca="false">SUMPRODUCT(MMULT(E1364:J1364,_XtX!$B$44:$G$49),E1364:J1364)</f>
        <v>0.281914260057471</v>
      </c>
      <c r="M1364" s="0" t="n">
        <f aca="false">04_回帰ANOVA!$K$19*04_回帰ANOVA!$K$14*SQRT(1+L1364)</f>
        <v>1.53428507945275</v>
      </c>
      <c r="N1364" s="0" t="n">
        <f aca="false">K1364-M1364</f>
        <v>44.167763771122</v>
      </c>
      <c r="O1364" s="0" t="n">
        <f aca="false">K1364+M1364</f>
        <v>47.2363339300275</v>
      </c>
      <c r="P1364" s="54" t="b">
        <f aca="false">AND(C1364&gt;=01_因子設定!$L$5-0.000000001,C1364&lt;=01_因子設定!$M$5+0.000000001,D1364&gt;=01_因子設定!$L$6-0.000000001,D1364&lt;=01_因子設定!$M$6+0.000000001,IF(01_因子設定!$B$20="Box-Behnken",C1364^2+D1364^2&lt;=2+0.000000001,TRUE()))</f>
        <v>1</v>
      </c>
      <c r="Q1364" s="55" t="n">
        <f aca="false">IF(P1364,IF(01_因子設定!$B$13="最大化",N1364-01_因子設定!$B$14,IF(01_因子設定!$B$13="最小化",01_因子設定!$B$15-O1364,MIN(N1364-01_因子設定!$B$14,01_因子設定!$B$15-O1364))),-1E+030)</f>
        <v>-2.33223622887805</v>
      </c>
      <c r="R1364" s="55" t="n">
        <f aca="false">IF(P1364,IF(01_因子設定!$B$13="最大化",K1364,IF(01_因子設定!$B$13="最小化",-K1364,-ABS(K1364-01_因子設定!$B$16))),-1E+030)</f>
        <v>45.7020488505747</v>
      </c>
      <c r="S1364" s="55" t="n">
        <f aca="false">Q1364+ROW()*0.000000001</f>
        <v>-2.33223486487805</v>
      </c>
      <c r="T1364" s="55" t="n">
        <f aca="false">R1364+ROW()*0.000000001</f>
        <v>45.7020502145747</v>
      </c>
    </row>
    <row r="1365" customFormat="false" ht="15" hidden="false" customHeight="false" outlineLevel="0" collapsed="false">
      <c r="A1365" s="0" t="n">
        <v>33</v>
      </c>
      <c r="B1365" s="0" t="n">
        <v>7</v>
      </c>
      <c r="C1365" s="0" t="n">
        <f aca="false">-1+A1365*0.05</f>
        <v>0.65</v>
      </c>
      <c r="D1365" s="0" t="n">
        <f aca="false">-1+B1365*0.05</f>
        <v>-0.65</v>
      </c>
      <c r="E1365" s="0" t="n">
        <f aca="false">1</f>
        <v>1</v>
      </c>
      <c r="F1365" s="0" t="n">
        <f aca="false">C1365</f>
        <v>0.65</v>
      </c>
      <c r="G1365" s="0" t="n">
        <f aca="false">D1365</f>
        <v>-0.65</v>
      </c>
      <c r="H1365" s="0" t="n">
        <f aca="false">C1365*D1365</f>
        <v>-0.4225</v>
      </c>
      <c r="I1365" s="0" t="n">
        <f aca="false">C1365*C1365</f>
        <v>0.4225</v>
      </c>
      <c r="J1365" s="0" t="n">
        <f aca="false">D1365*D1365</f>
        <v>0.4225</v>
      </c>
      <c r="K1365" s="0" t="n">
        <f aca="false">SUMPRODUCT(E1365:J1365,_XtX!$B$53:$G$53)</f>
        <v>45.9357708333333</v>
      </c>
      <c r="L1365" s="0" t="n">
        <f aca="false">SUMPRODUCT(MMULT(E1365:J1365,_XtX!$B$44:$G$49),E1365:J1365)</f>
        <v>0.263066145833333</v>
      </c>
      <c r="M1365" s="0" t="n">
        <f aca="false">04_回帰ANOVA!$K$19*04_回帰ANOVA!$K$14*SQRT(1+L1365)</f>
        <v>1.52296393750712</v>
      </c>
      <c r="N1365" s="0" t="n">
        <f aca="false">K1365-M1365</f>
        <v>44.4128068958262</v>
      </c>
      <c r="O1365" s="0" t="n">
        <f aca="false">K1365+M1365</f>
        <v>47.4587347708404</v>
      </c>
      <c r="P1365" s="54" t="b">
        <f aca="false">AND(C1365&gt;=01_因子設定!$L$5-0.000000001,C1365&lt;=01_因子設定!$M$5+0.000000001,D1365&gt;=01_因子設定!$L$6-0.000000001,D1365&lt;=01_因子設定!$M$6+0.000000001,IF(01_因子設定!$B$20="Box-Behnken",C1365^2+D1365^2&lt;=2+0.000000001,TRUE()))</f>
        <v>1</v>
      </c>
      <c r="Q1365" s="55" t="n">
        <f aca="false">IF(P1365,IF(01_因子設定!$B$13="最大化",N1365-01_因子設定!$B$14,IF(01_因子設定!$B$13="最小化",01_因子設定!$B$15-O1365,MIN(N1365-01_因子設定!$B$14,01_因子設定!$B$15-O1365))),-1E+030)</f>
        <v>-2.08719310417379</v>
      </c>
      <c r="R1365" s="55" t="n">
        <f aca="false">IF(P1365,IF(01_因子設定!$B$13="最大化",K1365,IF(01_因子設定!$B$13="最小化",-K1365,-ABS(K1365-01_因子設定!$B$16))),-1E+030)</f>
        <v>45.9357708333333</v>
      </c>
      <c r="S1365" s="55" t="n">
        <f aca="false">Q1365+ROW()*0.000000001</f>
        <v>-2.08719173917379</v>
      </c>
      <c r="T1365" s="55" t="n">
        <f aca="false">R1365+ROW()*0.000000001</f>
        <v>45.9357721983333</v>
      </c>
    </row>
    <row r="1366" customFormat="false" ht="15" hidden="false" customHeight="false" outlineLevel="0" collapsed="false">
      <c r="A1366" s="0" t="n">
        <v>33</v>
      </c>
      <c r="B1366" s="0" t="n">
        <v>8</v>
      </c>
      <c r="C1366" s="0" t="n">
        <f aca="false">-1+A1366*0.05</f>
        <v>0.65</v>
      </c>
      <c r="D1366" s="0" t="n">
        <f aca="false">-1+B1366*0.05</f>
        <v>-0.6</v>
      </c>
      <c r="E1366" s="0" t="n">
        <f aca="false">1</f>
        <v>1</v>
      </c>
      <c r="F1366" s="0" t="n">
        <f aca="false">C1366</f>
        <v>0.65</v>
      </c>
      <c r="G1366" s="0" t="n">
        <f aca="false">D1366</f>
        <v>-0.6</v>
      </c>
      <c r="H1366" s="0" t="n">
        <f aca="false">C1366*D1366</f>
        <v>-0.39</v>
      </c>
      <c r="I1366" s="0" t="n">
        <f aca="false">C1366*C1366</f>
        <v>0.4225</v>
      </c>
      <c r="J1366" s="0" t="n">
        <f aca="false">D1366*D1366</f>
        <v>0.36</v>
      </c>
      <c r="K1366" s="0" t="n">
        <f aca="false">SUMPRODUCT(E1366:J1366,_XtX!$B$53:$G$53)</f>
        <v>46.1617772988506</v>
      </c>
      <c r="L1366" s="0" t="n">
        <f aca="false">SUMPRODUCT(MMULT(E1366:J1366,_XtX!$B$44:$G$49),E1366:J1366)</f>
        <v>0.248555998563218</v>
      </c>
      <c r="M1366" s="0" t="n">
        <f aca="false">04_回帰ANOVA!$K$19*04_回帰ANOVA!$K$14*SQRT(1+L1366)</f>
        <v>1.51419073700187</v>
      </c>
      <c r="N1366" s="0" t="n">
        <f aca="false">K1366-M1366</f>
        <v>44.6475865618487</v>
      </c>
      <c r="O1366" s="0" t="n">
        <f aca="false">K1366+M1366</f>
        <v>47.6759680358524</v>
      </c>
      <c r="P1366" s="54" t="b">
        <f aca="false">AND(C1366&gt;=01_因子設定!$L$5-0.000000001,C1366&lt;=01_因子設定!$M$5+0.000000001,D1366&gt;=01_因子設定!$L$6-0.000000001,D1366&lt;=01_因子設定!$M$6+0.000000001,IF(01_因子設定!$B$20="Box-Behnken",C1366^2+D1366^2&lt;=2+0.000000001,TRUE()))</f>
        <v>1</v>
      </c>
      <c r="Q1366" s="55" t="n">
        <f aca="false">IF(P1366,IF(01_因子設定!$B$13="最大化",N1366-01_因子設定!$B$14,IF(01_因子設定!$B$13="最小化",01_因子設定!$B$15-O1366,MIN(N1366-01_因子設定!$B$14,01_因子設定!$B$15-O1366))),-1E+030)</f>
        <v>-1.8524134381513</v>
      </c>
      <c r="R1366" s="55" t="n">
        <f aca="false">IF(P1366,IF(01_因子設定!$B$13="最大化",K1366,IF(01_因子設定!$B$13="最小化",-K1366,-ABS(K1366-01_因子設定!$B$16))),-1E+030)</f>
        <v>46.1617772988506</v>
      </c>
      <c r="S1366" s="55" t="n">
        <f aca="false">Q1366+ROW()*0.000000001</f>
        <v>-1.8524120721513</v>
      </c>
      <c r="T1366" s="55" t="n">
        <f aca="false">R1366+ROW()*0.000000001</f>
        <v>46.1617786648506</v>
      </c>
    </row>
    <row r="1367" customFormat="false" ht="15" hidden="false" customHeight="false" outlineLevel="0" collapsed="false">
      <c r="A1367" s="0" t="n">
        <v>33</v>
      </c>
      <c r="B1367" s="0" t="n">
        <v>9</v>
      </c>
      <c r="C1367" s="0" t="n">
        <f aca="false">-1+A1367*0.05</f>
        <v>0.65</v>
      </c>
      <c r="D1367" s="0" t="n">
        <f aca="false">-1+B1367*0.05</f>
        <v>-0.55</v>
      </c>
      <c r="E1367" s="0" t="n">
        <f aca="false">1</f>
        <v>1</v>
      </c>
      <c r="F1367" s="0" t="n">
        <f aca="false">C1367</f>
        <v>0.65</v>
      </c>
      <c r="G1367" s="0" t="n">
        <f aca="false">D1367</f>
        <v>-0.55</v>
      </c>
      <c r="H1367" s="0" t="n">
        <f aca="false">C1367*D1367</f>
        <v>-0.3575</v>
      </c>
      <c r="I1367" s="0" t="n">
        <f aca="false">C1367*C1367</f>
        <v>0.4225</v>
      </c>
      <c r="J1367" s="0" t="n">
        <f aca="false">D1367*D1367</f>
        <v>0.3025</v>
      </c>
      <c r="K1367" s="0" t="n">
        <f aca="false">SUMPRODUCT(E1367:J1367,_XtX!$B$53:$G$53)</f>
        <v>46.3800682471264</v>
      </c>
      <c r="L1367" s="0" t="n">
        <f aca="false">SUMPRODUCT(MMULT(E1367:J1367,_XtX!$B$44:$G$49),E1367:J1367)</f>
        <v>0.237704938936782</v>
      </c>
      <c r="M1367" s="0" t="n">
        <f aca="false">04_回帰ANOVA!$K$19*04_回帰ANOVA!$K$14*SQRT(1+L1367)</f>
        <v>1.5075965477804</v>
      </c>
      <c r="N1367" s="0" t="n">
        <f aca="false">K1367-M1367</f>
        <v>44.872471699346</v>
      </c>
      <c r="O1367" s="0" t="n">
        <f aca="false">K1367+M1367</f>
        <v>47.8876647949068</v>
      </c>
      <c r="P1367" s="54" t="b">
        <f aca="false">AND(C1367&gt;=01_因子設定!$L$5-0.000000001,C1367&lt;=01_因子設定!$M$5+0.000000001,D1367&gt;=01_因子設定!$L$6-0.000000001,D1367&lt;=01_因子設定!$M$6+0.000000001,IF(01_因子設定!$B$20="Box-Behnken",C1367^2+D1367^2&lt;=2+0.000000001,TRUE()))</f>
        <v>1</v>
      </c>
      <c r="Q1367" s="55" t="n">
        <f aca="false">IF(P1367,IF(01_因子設定!$B$13="最大化",N1367-01_因子設定!$B$14,IF(01_因子設定!$B$13="最小化",01_因子設定!$B$15-O1367,MIN(N1367-01_因子設定!$B$14,01_因子設定!$B$15-O1367))),-1E+030)</f>
        <v>-1.62752830065396</v>
      </c>
      <c r="R1367" s="55" t="n">
        <f aca="false">IF(P1367,IF(01_因子設定!$B$13="最大化",K1367,IF(01_因子設定!$B$13="最小化",-K1367,-ABS(K1367-01_因子設定!$B$16))),-1E+030)</f>
        <v>46.3800682471264</v>
      </c>
      <c r="S1367" s="55" t="n">
        <f aca="false">Q1367+ROW()*0.000000001</f>
        <v>-1.62752693365396</v>
      </c>
      <c r="T1367" s="55" t="n">
        <f aca="false">R1367+ROW()*0.000000001</f>
        <v>46.3800696141264</v>
      </c>
    </row>
    <row r="1368" customFormat="false" ht="15" hidden="false" customHeight="false" outlineLevel="0" collapsed="false">
      <c r="A1368" s="0" t="n">
        <v>33</v>
      </c>
      <c r="B1368" s="0" t="n">
        <v>10</v>
      </c>
      <c r="C1368" s="0" t="n">
        <f aca="false">-1+A1368*0.05</f>
        <v>0.65</v>
      </c>
      <c r="D1368" s="0" t="n">
        <f aca="false">-1+B1368*0.05</f>
        <v>-0.5</v>
      </c>
      <c r="E1368" s="0" t="n">
        <f aca="false">1</f>
        <v>1</v>
      </c>
      <c r="F1368" s="0" t="n">
        <f aca="false">C1368</f>
        <v>0.65</v>
      </c>
      <c r="G1368" s="0" t="n">
        <f aca="false">D1368</f>
        <v>-0.5</v>
      </c>
      <c r="H1368" s="0" t="n">
        <f aca="false">C1368*D1368</f>
        <v>-0.325</v>
      </c>
      <c r="I1368" s="0" t="n">
        <f aca="false">C1368*C1368</f>
        <v>0.4225</v>
      </c>
      <c r="J1368" s="0" t="n">
        <f aca="false">D1368*D1368</f>
        <v>0.25</v>
      </c>
      <c r="K1368" s="0" t="n">
        <f aca="false">SUMPRODUCT(E1368:J1368,_XtX!$B$53:$G$53)</f>
        <v>46.5906436781609</v>
      </c>
      <c r="L1368" s="0" t="n">
        <f aca="false">SUMPRODUCT(MMULT(E1368:J1368,_XtX!$B$44:$G$49),E1368:J1368)</f>
        <v>0.229888397988506</v>
      </c>
      <c r="M1368" s="0" t="n">
        <f aca="false">04_回帰ANOVA!$K$19*04_回帰ANOVA!$K$14*SQRT(1+L1368)</f>
        <v>1.50282850731928</v>
      </c>
      <c r="N1368" s="0" t="n">
        <f aca="false">K1368-M1368</f>
        <v>45.0878151708416</v>
      </c>
      <c r="O1368" s="0" t="n">
        <f aca="false">K1368+M1368</f>
        <v>48.0934721854802</v>
      </c>
      <c r="P1368" s="54" t="b">
        <f aca="false">AND(C1368&gt;=01_因子設定!$L$5-0.000000001,C1368&lt;=01_因子設定!$M$5+0.000000001,D1368&gt;=01_因子設定!$L$6-0.000000001,D1368&lt;=01_因子設定!$M$6+0.000000001,IF(01_因子設定!$B$20="Box-Behnken",C1368^2+D1368^2&lt;=2+0.000000001,TRUE()))</f>
        <v>1</v>
      </c>
      <c r="Q1368" s="55" t="n">
        <f aca="false">IF(P1368,IF(01_因子設定!$B$13="最大化",N1368-01_因子設定!$B$14,IF(01_因子設定!$B$13="最小化",01_因子設定!$B$15-O1368,MIN(N1368-01_因子設定!$B$14,01_因子設定!$B$15-O1368))),-1E+030)</f>
        <v>-1.41218482915837</v>
      </c>
      <c r="R1368" s="55" t="n">
        <f aca="false">IF(P1368,IF(01_因子設定!$B$13="最大化",K1368,IF(01_因子設定!$B$13="最小化",-K1368,-ABS(K1368-01_因子設定!$B$16))),-1E+030)</f>
        <v>46.5906436781609</v>
      </c>
      <c r="S1368" s="55" t="n">
        <f aca="false">Q1368+ROW()*0.000000001</f>
        <v>-1.41218346115837</v>
      </c>
      <c r="T1368" s="55" t="n">
        <f aca="false">R1368+ROW()*0.000000001</f>
        <v>46.5906450461609</v>
      </c>
    </row>
    <row r="1369" customFormat="false" ht="15" hidden="false" customHeight="false" outlineLevel="0" collapsed="false">
      <c r="A1369" s="0" t="n">
        <v>33</v>
      </c>
      <c r="B1369" s="0" t="n">
        <v>11</v>
      </c>
      <c r="C1369" s="0" t="n">
        <f aca="false">-1+A1369*0.05</f>
        <v>0.65</v>
      </c>
      <c r="D1369" s="0" t="n">
        <f aca="false">-1+B1369*0.05</f>
        <v>-0.45</v>
      </c>
      <c r="E1369" s="0" t="n">
        <f aca="false">1</f>
        <v>1</v>
      </c>
      <c r="F1369" s="0" t="n">
        <f aca="false">C1369</f>
        <v>0.65</v>
      </c>
      <c r="G1369" s="0" t="n">
        <f aca="false">D1369</f>
        <v>-0.45</v>
      </c>
      <c r="H1369" s="0" t="n">
        <f aca="false">C1369*D1369</f>
        <v>-0.2925</v>
      </c>
      <c r="I1369" s="0" t="n">
        <f aca="false">C1369*C1369</f>
        <v>0.4225</v>
      </c>
      <c r="J1369" s="0" t="n">
        <f aca="false">D1369*D1369</f>
        <v>0.2025</v>
      </c>
      <c r="K1369" s="0" t="n">
        <f aca="false">SUMPRODUCT(E1369:J1369,_XtX!$B$53:$G$53)</f>
        <v>46.793503591954</v>
      </c>
      <c r="L1369" s="0" t="n">
        <f aca="false">SUMPRODUCT(MMULT(E1369:J1369,_XtX!$B$44:$G$49),E1369:J1369)</f>
        <v>0.224536117097701</v>
      </c>
      <c r="M1369" s="0" t="n">
        <f aca="false">04_回帰ANOVA!$K$19*04_回帰ANOVA!$K$14*SQRT(1+L1369)</f>
        <v>1.49955490522416</v>
      </c>
      <c r="N1369" s="0" t="n">
        <f aca="false">K1369-M1369</f>
        <v>45.2939486867299</v>
      </c>
      <c r="O1369" s="0" t="n">
        <f aca="false">K1369+M1369</f>
        <v>48.2930584971782</v>
      </c>
      <c r="P1369" s="54" t="b">
        <f aca="false">AND(C1369&gt;=01_因子設定!$L$5-0.000000001,C1369&lt;=01_因子設定!$M$5+0.000000001,D1369&gt;=01_因子設定!$L$6-0.000000001,D1369&lt;=01_因子設定!$M$6+0.000000001,IF(01_因子設定!$B$20="Box-Behnken",C1369^2+D1369^2&lt;=2+0.000000001,TRUE()))</f>
        <v>1</v>
      </c>
      <c r="Q1369" s="55" t="n">
        <f aca="false">IF(P1369,IF(01_因子設定!$B$13="最大化",N1369-01_因子設定!$B$14,IF(01_因子設定!$B$13="最小化",01_因子設定!$B$15-O1369,MIN(N1369-01_因子設定!$B$14,01_因子設定!$B$15-O1369))),-1E+030)</f>
        <v>-1.20605131327014</v>
      </c>
      <c r="R1369" s="55" t="n">
        <f aca="false">IF(P1369,IF(01_因子設定!$B$13="最大化",K1369,IF(01_因子設定!$B$13="最小化",-K1369,-ABS(K1369-01_因子設定!$B$16))),-1E+030)</f>
        <v>46.793503591954</v>
      </c>
      <c r="S1369" s="55" t="n">
        <f aca="false">Q1369+ROW()*0.000000001</f>
        <v>-1.20604994427014</v>
      </c>
      <c r="T1369" s="55" t="n">
        <f aca="false">R1369+ROW()*0.000000001</f>
        <v>46.793504960954</v>
      </c>
    </row>
    <row r="1370" customFormat="false" ht="15" hidden="false" customHeight="false" outlineLevel="0" collapsed="false">
      <c r="A1370" s="0" t="n">
        <v>33</v>
      </c>
      <c r="B1370" s="0" t="n">
        <v>12</v>
      </c>
      <c r="C1370" s="0" t="n">
        <f aca="false">-1+A1370*0.05</f>
        <v>0.65</v>
      </c>
      <c r="D1370" s="0" t="n">
        <f aca="false">-1+B1370*0.05</f>
        <v>-0.4</v>
      </c>
      <c r="E1370" s="0" t="n">
        <f aca="false">1</f>
        <v>1</v>
      </c>
      <c r="F1370" s="0" t="n">
        <f aca="false">C1370</f>
        <v>0.65</v>
      </c>
      <c r="G1370" s="0" t="n">
        <f aca="false">D1370</f>
        <v>-0.4</v>
      </c>
      <c r="H1370" s="0" t="n">
        <f aca="false">C1370*D1370</f>
        <v>-0.26</v>
      </c>
      <c r="I1370" s="0" t="n">
        <f aca="false">C1370*C1370</f>
        <v>0.4225</v>
      </c>
      <c r="J1370" s="0" t="n">
        <f aca="false">D1370*D1370</f>
        <v>0.16</v>
      </c>
      <c r="K1370" s="0" t="n">
        <f aca="false">SUMPRODUCT(E1370:J1370,_XtX!$B$53:$G$53)</f>
        <v>46.9886479885057</v>
      </c>
      <c r="L1370" s="0" t="n">
        <f aca="false">SUMPRODUCT(MMULT(E1370:J1370,_XtX!$B$44:$G$49),E1370:J1370)</f>
        <v>0.221132147988506</v>
      </c>
      <c r="M1370" s="0" t="n">
        <f aca="false">04_回帰ANOVA!$K$19*04_回帰ANOVA!$K$14*SQRT(1+L1370)</f>
        <v>1.4974692211941</v>
      </c>
      <c r="N1370" s="0" t="n">
        <f aca="false">K1370-M1370</f>
        <v>45.4911787673116</v>
      </c>
      <c r="O1370" s="0" t="n">
        <f aca="false">K1370+M1370</f>
        <v>48.4861172096998</v>
      </c>
      <c r="P1370" s="54" t="b">
        <f aca="false">AND(C1370&gt;=01_因子設定!$L$5-0.000000001,C1370&lt;=01_因子設定!$M$5+0.000000001,D1370&gt;=01_因子設定!$L$6-0.000000001,D1370&lt;=01_因子設定!$M$6+0.000000001,IF(01_因子設定!$B$20="Box-Behnken",C1370^2+D1370^2&lt;=2+0.000000001,TRUE()))</f>
        <v>1</v>
      </c>
      <c r="Q1370" s="55" t="n">
        <f aca="false">IF(P1370,IF(01_因子設定!$B$13="最大化",N1370-01_因子設定!$B$14,IF(01_因子設定!$B$13="最小化",01_因子設定!$B$15-O1370,MIN(N1370-01_因子設定!$B$14,01_因子設定!$B$15-O1370))),-1E+030)</f>
        <v>-1.00882123268836</v>
      </c>
      <c r="R1370" s="55" t="n">
        <f aca="false">IF(P1370,IF(01_因子設定!$B$13="最大化",K1370,IF(01_因子設定!$B$13="最小化",-K1370,-ABS(K1370-01_因子設定!$B$16))),-1E+030)</f>
        <v>46.9886479885057</v>
      </c>
      <c r="S1370" s="55" t="n">
        <f aca="false">Q1370+ROW()*0.000000001</f>
        <v>-1.00881986268836</v>
      </c>
      <c r="T1370" s="55" t="n">
        <f aca="false">R1370+ROW()*0.000000001</f>
        <v>46.9886493585057</v>
      </c>
    </row>
    <row r="1371" customFormat="false" ht="15" hidden="false" customHeight="false" outlineLevel="0" collapsed="false">
      <c r="A1371" s="0" t="n">
        <v>33</v>
      </c>
      <c r="B1371" s="0" t="n">
        <v>13</v>
      </c>
      <c r="C1371" s="0" t="n">
        <f aca="false">-1+A1371*0.05</f>
        <v>0.65</v>
      </c>
      <c r="D1371" s="0" t="n">
        <f aca="false">-1+B1371*0.05</f>
        <v>-0.35</v>
      </c>
      <c r="E1371" s="0" t="n">
        <f aca="false">1</f>
        <v>1</v>
      </c>
      <c r="F1371" s="0" t="n">
        <f aca="false">C1371</f>
        <v>0.65</v>
      </c>
      <c r="G1371" s="0" t="n">
        <f aca="false">D1371</f>
        <v>-0.35</v>
      </c>
      <c r="H1371" s="0" t="n">
        <f aca="false">C1371*D1371</f>
        <v>-0.2275</v>
      </c>
      <c r="I1371" s="0" t="n">
        <f aca="false">C1371*C1371</f>
        <v>0.4225</v>
      </c>
      <c r="J1371" s="0" t="n">
        <f aca="false">D1371*D1371</f>
        <v>0.1225</v>
      </c>
      <c r="K1371" s="0" t="n">
        <f aca="false">SUMPRODUCT(E1371:J1371,_XtX!$B$53:$G$53)</f>
        <v>47.1760768678161</v>
      </c>
      <c r="L1371" s="0" t="n">
        <f aca="false">SUMPRODUCT(MMULT(E1371:J1371,_XtX!$B$44:$G$49),E1371:J1371)</f>
        <v>0.219214852729885</v>
      </c>
      <c r="M1371" s="0" t="n">
        <f aca="false">04_回帰ANOVA!$K$19*04_回帰ANOVA!$K$14*SQRT(1+L1371)</f>
        <v>1.49629317382676</v>
      </c>
      <c r="N1371" s="0" t="n">
        <f aca="false">K1371-M1371</f>
        <v>45.6797836939893</v>
      </c>
      <c r="O1371" s="0" t="n">
        <f aca="false">K1371+M1371</f>
        <v>48.6723700416429</v>
      </c>
      <c r="P1371" s="54" t="b">
        <f aca="false">AND(C1371&gt;=01_因子設定!$L$5-0.000000001,C1371&lt;=01_因子設定!$M$5+0.000000001,D1371&gt;=01_因子設定!$L$6-0.000000001,D1371&lt;=01_因子設定!$M$6+0.000000001,IF(01_因子設定!$B$20="Box-Behnken",C1371^2+D1371^2&lt;=2+0.000000001,TRUE()))</f>
        <v>1</v>
      </c>
      <c r="Q1371" s="55" t="n">
        <f aca="false">IF(P1371,IF(01_因子設定!$B$13="最大化",N1371-01_因子設定!$B$14,IF(01_因子設定!$B$13="最小化",01_因子設定!$B$15-O1371,MIN(N1371-01_因子設定!$B$14,01_因子設定!$B$15-O1371))),-1E+030)</f>
        <v>-0.820216306010678</v>
      </c>
      <c r="R1371" s="55" t="n">
        <f aca="false">IF(P1371,IF(01_因子設定!$B$13="最大化",K1371,IF(01_因子設定!$B$13="最小化",-K1371,-ABS(K1371-01_因子設定!$B$16))),-1E+030)</f>
        <v>47.1760768678161</v>
      </c>
      <c r="S1371" s="55" t="n">
        <f aca="false">Q1371+ROW()*0.000000001</f>
        <v>-0.820214935010678</v>
      </c>
      <c r="T1371" s="55" t="n">
        <f aca="false">R1371+ROW()*0.000000001</f>
        <v>47.1760782388161</v>
      </c>
    </row>
    <row r="1372" customFormat="false" ht="15" hidden="false" customHeight="false" outlineLevel="0" collapsed="false">
      <c r="A1372" s="0" t="n">
        <v>33</v>
      </c>
      <c r="B1372" s="0" t="n">
        <v>14</v>
      </c>
      <c r="C1372" s="0" t="n">
        <f aca="false">-1+A1372*0.05</f>
        <v>0.65</v>
      </c>
      <c r="D1372" s="0" t="n">
        <f aca="false">-1+B1372*0.05</f>
        <v>-0.3</v>
      </c>
      <c r="E1372" s="0" t="n">
        <f aca="false">1</f>
        <v>1</v>
      </c>
      <c r="F1372" s="0" t="n">
        <f aca="false">C1372</f>
        <v>0.65</v>
      </c>
      <c r="G1372" s="0" t="n">
        <f aca="false">D1372</f>
        <v>-0.3</v>
      </c>
      <c r="H1372" s="0" t="n">
        <f aca="false">C1372*D1372</f>
        <v>-0.195</v>
      </c>
      <c r="I1372" s="0" t="n">
        <f aca="false">C1372*C1372</f>
        <v>0.4225</v>
      </c>
      <c r="J1372" s="0" t="n">
        <f aca="false">D1372*D1372</f>
        <v>0.09</v>
      </c>
      <c r="K1372" s="0" t="n">
        <f aca="false">SUMPRODUCT(E1372:J1372,_XtX!$B$53:$G$53)</f>
        <v>47.3557902298851</v>
      </c>
      <c r="L1372" s="0" t="n">
        <f aca="false">SUMPRODUCT(MMULT(E1372:J1372,_XtX!$B$44:$G$49),E1372:J1372)</f>
        <v>0.218376903735632</v>
      </c>
      <c r="M1372" s="0" t="n">
        <f aca="false">04_回帰ANOVA!$K$19*04_回帰ANOVA!$K$14*SQRT(1+L1372)</f>
        <v>1.49577889495948</v>
      </c>
      <c r="N1372" s="0" t="n">
        <f aca="false">K1372-M1372</f>
        <v>45.8600113349256</v>
      </c>
      <c r="O1372" s="0" t="n">
        <f aca="false">K1372+M1372</f>
        <v>48.8515691248445</v>
      </c>
      <c r="P1372" s="54" t="b">
        <f aca="false">AND(C1372&gt;=01_因子設定!$L$5-0.000000001,C1372&lt;=01_因子設定!$M$5+0.000000001,D1372&gt;=01_因子設定!$L$6-0.000000001,D1372&lt;=01_因子設定!$M$6+0.000000001,IF(01_因子設定!$B$20="Box-Behnken",C1372^2+D1372^2&lt;=2+0.000000001,TRUE()))</f>
        <v>1</v>
      </c>
      <c r="Q1372" s="55" t="n">
        <f aca="false">IF(P1372,IF(01_因子設定!$B$13="最大化",N1372-01_因子設定!$B$14,IF(01_因子設定!$B$13="最小化",01_因子設定!$B$15-O1372,MIN(N1372-01_因子設定!$B$14,01_因子設定!$B$15-O1372))),-1E+030)</f>
        <v>-0.639988665074426</v>
      </c>
      <c r="R1372" s="55" t="n">
        <f aca="false">IF(P1372,IF(01_因子設定!$B$13="最大化",K1372,IF(01_因子設定!$B$13="最小化",-K1372,-ABS(K1372-01_因子設定!$B$16))),-1E+030)</f>
        <v>47.3557902298851</v>
      </c>
      <c r="S1372" s="55" t="n">
        <f aca="false">Q1372+ROW()*0.000000001</f>
        <v>-0.639987293074426</v>
      </c>
      <c r="T1372" s="55" t="n">
        <f aca="false">R1372+ROW()*0.000000001</f>
        <v>47.3557916018851</v>
      </c>
    </row>
    <row r="1373" customFormat="false" ht="15" hidden="false" customHeight="false" outlineLevel="0" collapsed="false">
      <c r="A1373" s="0" t="n">
        <v>33</v>
      </c>
      <c r="B1373" s="0" t="n">
        <v>15</v>
      </c>
      <c r="C1373" s="0" t="n">
        <f aca="false">-1+A1373*0.05</f>
        <v>0.65</v>
      </c>
      <c r="D1373" s="0" t="n">
        <f aca="false">-1+B1373*0.05</f>
        <v>-0.25</v>
      </c>
      <c r="E1373" s="0" t="n">
        <f aca="false">1</f>
        <v>1</v>
      </c>
      <c r="F1373" s="0" t="n">
        <f aca="false">C1373</f>
        <v>0.65</v>
      </c>
      <c r="G1373" s="0" t="n">
        <f aca="false">D1373</f>
        <v>-0.25</v>
      </c>
      <c r="H1373" s="0" t="n">
        <f aca="false">C1373*D1373</f>
        <v>-0.1625</v>
      </c>
      <c r="I1373" s="0" t="n">
        <f aca="false">C1373*C1373</f>
        <v>0.4225</v>
      </c>
      <c r="J1373" s="0" t="n">
        <f aca="false">D1373*D1373</f>
        <v>0.0625</v>
      </c>
      <c r="K1373" s="0" t="n">
        <f aca="false">SUMPRODUCT(E1373:J1373,_XtX!$B$53:$G$53)</f>
        <v>47.5277880747126</v>
      </c>
      <c r="L1373" s="0" t="n">
        <f aca="false">SUMPRODUCT(MMULT(E1373:J1373,_XtX!$B$44:$G$49),E1373:J1373)</f>
        <v>0.218265283764368</v>
      </c>
      <c r="M1373" s="0" t="n">
        <f aca="false">04_回帰ANOVA!$K$19*04_回帰ANOVA!$K$14*SQRT(1+L1373)</f>
        <v>1.49571037649821</v>
      </c>
      <c r="N1373" s="0" t="n">
        <f aca="false">K1373-M1373</f>
        <v>46.0320776982144</v>
      </c>
      <c r="O1373" s="0" t="n">
        <f aca="false">K1373+M1373</f>
        <v>49.0234984512108</v>
      </c>
      <c r="P1373" s="54" t="b">
        <f aca="false">AND(C1373&gt;=01_因子設定!$L$5-0.000000001,C1373&lt;=01_因子設定!$M$5+0.000000001,D1373&gt;=01_因子設定!$L$6-0.000000001,D1373&lt;=01_因子設定!$M$6+0.000000001,IF(01_因子設定!$B$20="Box-Behnken",C1373^2+D1373^2&lt;=2+0.000000001,TRUE()))</f>
        <v>1</v>
      </c>
      <c r="Q1373" s="55" t="n">
        <f aca="false">IF(P1373,IF(01_因子設定!$B$13="最大化",N1373-01_因子設定!$B$14,IF(01_因子設定!$B$13="最小化",01_因子設定!$B$15-O1373,MIN(N1373-01_因子設定!$B$14,01_因子設定!$B$15-O1373))),-1E+030)</f>
        <v>-0.467922301785578</v>
      </c>
      <c r="R1373" s="55" t="n">
        <f aca="false">IF(P1373,IF(01_因子設定!$B$13="最大化",K1373,IF(01_因子設定!$B$13="最小化",-K1373,-ABS(K1373-01_因子設定!$B$16))),-1E+030)</f>
        <v>47.5277880747126</v>
      </c>
      <c r="S1373" s="55" t="n">
        <f aca="false">Q1373+ROW()*0.000000001</f>
        <v>-0.467920928785578</v>
      </c>
      <c r="T1373" s="55" t="n">
        <f aca="false">R1373+ROW()*0.000000001</f>
        <v>47.5277894477126</v>
      </c>
    </row>
    <row r="1374" customFormat="false" ht="15" hidden="false" customHeight="false" outlineLevel="0" collapsed="false">
      <c r="A1374" s="0" t="n">
        <v>33</v>
      </c>
      <c r="B1374" s="0" t="n">
        <v>16</v>
      </c>
      <c r="C1374" s="0" t="n">
        <f aca="false">-1+A1374*0.05</f>
        <v>0.65</v>
      </c>
      <c r="D1374" s="0" t="n">
        <f aca="false">-1+B1374*0.05</f>
        <v>-0.2</v>
      </c>
      <c r="E1374" s="0" t="n">
        <f aca="false">1</f>
        <v>1</v>
      </c>
      <c r="F1374" s="0" t="n">
        <f aca="false">C1374</f>
        <v>0.65</v>
      </c>
      <c r="G1374" s="0" t="n">
        <f aca="false">D1374</f>
        <v>-0.2</v>
      </c>
      <c r="H1374" s="0" t="n">
        <f aca="false">C1374*D1374</f>
        <v>-0.13</v>
      </c>
      <c r="I1374" s="0" t="n">
        <f aca="false">C1374*C1374</f>
        <v>0.4225</v>
      </c>
      <c r="J1374" s="0" t="n">
        <f aca="false">D1374*D1374</f>
        <v>0.04</v>
      </c>
      <c r="K1374" s="0" t="n">
        <f aca="false">SUMPRODUCT(E1374:J1374,_XtX!$B$53:$G$53)</f>
        <v>47.6920704022988</v>
      </c>
      <c r="L1374" s="0" t="n">
        <f aca="false">SUMPRODUCT(MMULT(E1374:J1374,_XtX!$B$44:$G$49),E1374:J1374)</f>
        <v>0.21858128591954</v>
      </c>
      <c r="M1374" s="0" t="n">
        <f aca="false">04_回帰ANOVA!$K$19*04_回帰ANOVA!$K$14*SQRT(1+L1374)</f>
        <v>1.49590434782083</v>
      </c>
      <c r="N1374" s="0" t="n">
        <f aca="false">K1374-M1374</f>
        <v>46.196166054478</v>
      </c>
      <c r="O1374" s="0" t="n">
        <f aca="false">K1374+M1374</f>
        <v>49.1879747501197</v>
      </c>
      <c r="P1374" s="54" t="b">
        <f aca="false">AND(C1374&gt;=01_因子設定!$L$5-0.000000001,C1374&lt;=01_因子設定!$M$5+0.000000001,D1374&gt;=01_因子設定!$L$6-0.000000001,D1374&lt;=01_因子設定!$M$6+0.000000001,IF(01_因子設定!$B$20="Box-Behnken",C1374^2+D1374^2&lt;=2+0.000000001,TRUE()))</f>
        <v>1</v>
      </c>
      <c r="Q1374" s="55" t="n">
        <f aca="false">IF(P1374,IF(01_因子設定!$B$13="最大化",N1374-01_因子設定!$B$14,IF(01_因子設定!$B$13="最小化",01_因子設定!$B$15-O1374,MIN(N1374-01_因子設定!$B$14,01_因子設定!$B$15-O1374))),-1E+030)</f>
        <v>-0.303833945521994</v>
      </c>
      <c r="R1374" s="55" t="n">
        <f aca="false">IF(P1374,IF(01_因子設定!$B$13="最大化",K1374,IF(01_因子設定!$B$13="最小化",-K1374,-ABS(K1374-01_因子設定!$B$16))),-1E+030)</f>
        <v>47.6920704022988</v>
      </c>
      <c r="S1374" s="55" t="n">
        <f aca="false">Q1374+ROW()*0.000000001</f>
        <v>-0.303832571521994</v>
      </c>
      <c r="T1374" s="55" t="n">
        <f aca="false">R1374+ROW()*0.000000001</f>
        <v>47.6920717762988</v>
      </c>
    </row>
    <row r="1375" customFormat="false" ht="15" hidden="false" customHeight="false" outlineLevel="0" collapsed="false">
      <c r="A1375" s="0" t="n">
        <v>33</v>
      </c>
      <c r="B1375" s="0" t="n">
        <v>17</v>
      </c>
      <c r="C1375" s="0" t="n">
        <f aca="false">-1+A1375*0.05</f>
        <v>0.65</v>
      </c>
      <c r="D1375" s="0" t="n">
        <f aca="false">-1+B1375*0.05</f>
        <v>-0.15</v>
      </c>
      <c r="E1375" s="0" t="n">
        <f aca="false">1</f>
        <v>1</v>
      </c>
      <c r="F1375" s="0" t="n">
        <f aca="false">C1375</f>
        <v>0.65</v>
      </c>
      <c r="G1375" s="0" t="n">
        <f aca="false">D1375</f>
        <v>-0.15</v>
      </c>
      <c r="H1375" s="0" t="n">
        <f aca="false">C1375*D1375</f>
        <v>-0.0975</v>
      </c>
      <c r="I1375" s="0" t="n">
        <f aca="false">C1375*C1375</f>
        <v>0.4225</v>
      </c>
      <c r="J1375" s="0" t="n">
        <f aca="false">D1375*D1375</f>
        <v>0.0225</v>
      </c>
      <c r="K1375" s="0" t="n">
        <f aca="false">SUMPRODUCT(E1375:J1375,_XtX!$B$53:$G$53)</f>
        <v>47.8486372126437</v>
      </c>
      <c r="L1375" s="0" t="n">
        <f aca="false">SUMPRODUCT(MMULT(E1375:J1375,_XtX!$B$44:$G$49),E1375:J1375)</f>
        <v>0.219080513649425</v>
      </c>
      <c r="M1375" s="0" t="n">
        <f aca="false">04_回帰ANOVA!$K$19*04_回帰ANOVA!$K$14*SQRT(1+L1375)</f>
        <v>1.49621073709053</v>
      </c>
      <c r="N1375" s="0" t="n">
        <f aca="false">K1375-M1375</f>
        <v>46.3524264755531</v>
      </c>
      <c r="O1375" s="0" t="n">
        <f aca="false">K1375+M1375</f>
        <v>49.3448479497342</v>
      </c>
      <c r="P1375" s="54" t="b">
        <f aca="false">AND(C1375&gt;=01_因子設定!$L$5-0.000000001,C1375&lt;=01_因子設定!$M$5+0.000000001,D1375&gt;=01_因子設定!$L$6-0.000000001,D1375&lt;=01_因子設定!$M$6+0.000000001,IF(01_因子設定!$B$20="Box-Behnken",C1375^2+D1375^2&lt;=2+0.000000001,TRUE()))</f>
        <v>1</v>
      </c>
      <c r="Q1375" s="55" t="n">
        <f aca="false">IF(P1375,IF(01_因子設定!$B$13="最大化",N1375-01_因子設定!$B$14,IF(01_因子設定!$B$13="最小化",01_因子設定!$B$15-O1375,MIN(N1375-01_因子設定!$B$14,01_因子設定!$B$15-O1375))),-1E+030)</f>
        <v>-0.147573524446862</v>
      </c>
      <c r="R1375" s="55" t="n">
        <f aca="false">IF(P1375,IF(01_因子設定!$B$13="最大化",K1375,IF(01_因子設定!$B$13="最小化",-K1375,-ABS(K1375-01_因子設定!$B$16))),-1E+030)</f>
        <v>47.8486372126437</v>
      </c>
      <c r="S1375" s="55" t="n">
        <f aca="false">Q1375+ROW()*0.000000001</f>
        <v>-0.147572149446862</v>
      </c>
      <c r="T1375" s="55" t="n">
        <f aca="false">R1375+ROW()*0.000000001</f>
        <v>47.8486385876437</v>
      </c>
    </row>
    <row r="1376" customFormat="false" ht="15" hidden="false" customHeight="false" outlineLevel="0" collapsed="false">
      <c r="A1376" s="0" t="n">
        <v>33</v>
      </c>
      <c r="B1376" s="0" t="n">
        <v>18</v>
      </c>
      <c r="C1376" s="0" t="n">
        <f aca="false">-1+A1376*0.05</f>
        <v>0.65</v>
      </c>
      <c r="D1376" s="0" t="n">
        <f aca="false">-1+B1376*0.05</f>
        <v>-0.1</v>
      </c>
      <c r="E1376" s="0" t="n">
        <f aca="false">1</f>
        <v>1</v>
      </c>
      <c r="F1376" s="0" t="n">
        <f aca="false">C1376</f>
        <v>0.65</v>
      </c>
      <c r="G1376" s="0" t="n">
        <f aca="false">D1376</f>
        <v>-0.1</v>
      </c>
      <c r="H1376" s="0" t="n">
        <f aca="false">C1376*D1376</f>
        <v>-0.065</v>
      </c>
      <c r="I1376" s="0" t="n">
        <f aca="false">C1376*C1376</f>
        <v>0.4225</v>
      </c>
      <c r="J1376" s="0" t="n">
        <f aca="false">D1376*D1376</f>
        <v>0.01</v>
      </c>
      <c r="K1376" s="0" t="n">
        <f aca="false">SUMPRODUCT(E1376:J1376,_XtX!$B$53:$G$53)</f>
        <v>47.9974885057471</v>
      </c>
      <c r="L1376" s="0" t="n">
        <f aca="false">SUMPRODUCT(MMULT(E1376:J1376,_XtX!$B$44:$G$49),E1376:J1376)</f>
        <v>0.219572880747126</v>
      </c>
      <c r="M1376" s="0" t="n">
        <f aca="false">04_回帰ANOVA!$K$19*04_回帰ANOVA!$K$14*SQRT(1+L1376)</f>
        <v>1.49651285436709</v>
      </c>
      <c r="N1376" s="0" t="n">
        <f aca="false">K1376-M1376</f>
        <v>46.50097565138</v>
      </c>
      <c r="O1376" s="0" t="n">
        <f aca="false">K1376+M1376</f>
        <v>49.4940013601142</v>
      </c>
      <c r="P1376" s="54" t="b">
        <f aca="false">AND(C1376&gt;=01_因子設定!$L$5-0.000000001,C1376&lt;=01_因子設定!$M$5+0.000000001,D1376&gt;=01_因子設定!$L$6-0.000000001,D1376&lt;=01_因子設定!$M$6+0.000000001,IF(01_因子設定!$B$20="Box-Behnken",C1376^2+D1376^2&lt;=2+0.000000001,TRUE()))</f>
        <v>1</v>
      </c>
      <c r="Q1376" s="55" t="n">
        <f aca="false">IF(P1376,IF(01_因子設定!$B$13="最大化",N1376-01_因子設定!$B$14,IF(01_因子設定!$B$13="最小化",01_因子設定!$B$15-O1376,MIN(N1376-01_因子設定!$B$14,01_因子設定!$B$15-O1376))),-1E+030)</f>
        <v>0.000975651380031195</v>
      </c>
      <c r="R1376" s="55" t="n">
        <f aca="false">IF(P1376,IF(01_因子設定!$B$13="最大化",K1376,IF(01_因子設定!$B$13="最小化",-K1376,-ABS(K1376-01_因子設定!$B$16))),-1E+030)</f>
        <v>47.9974885057471</v>
      </c>
      <c r="S1376" s="55" t="n">
        <f aca="false">Q1376+ROW()*0.000000001</f>
        <v>0.000977027380031195</v>
      </c>
      <c r="T1376" s="55" t="n">
        <f aca="false">R1376+ROW()*0.000000001</f>
        <v>47.9974898817471</v>
      </c>
    </row>
    <row r="1377" customFormat="false" ht="15" hidden="false" customHeight="false" outlineLevel="0" collapsed="false">
      <c r="A1377" s="0" t="n">
        <v>33</v>
      </c>
      <c r="B1377" s="0" t="n">
        <v>19</v>
      </c>
      <c r="C1377" s="0" t="n">
        <f aca="false">-1+A1377*0.05</f>
        <v>0.65</v>
      </c>
      <c r="D1377" s="0" t="n">
        <f aca="false">-1+B1377*0.05</f>
        <v>-0.0499999999999999</v>
      </c>
      <c r="E1377" s="0" t="n">
        <f aca="false">1</f>
        <v>1</v>
      </c>
      <c r="F1377" s="0" t="n">
        <f aca="false">C1377</f>
        <v>0.65</v>
      </c>
      <c r="G1377" s="0" t="n">
        <f aca="false">D1377</f>
        <v>-0.0499999999999999</v>
      </c>
      <c r="H1377" s="0" t="n">
        <f aca="false">C1377*D1377</f>
        <v>-0.0325</v>
      </c>
      <c r="I1377" s="0" t="n">
        <f aca="false">C1377*C1377</f>
        <v>0.4225</v>
      </c>
      <c r="J1377" s="0" t="n">
        <f aca="false">D1377*D1377</f>
        <v>0.00249999999999999</v>
      </c>
      <c r="K1377" s="0" t="n">
        <f aca="false">SUMPRODUCT(E1377:J1377,_XtX!$B$53:$G$53)</f>
        <v>48.1386242816092</v>
      </c>
      <c r="L1377" s="0" t="n">
        <f aca="false">SUMPRODUCT(MMULT(E1377:J1377,_XtX!$B$44:$G$49),E1377:J1377)</f>
        <v>0.219922611350575</v>
      </c>
      <c r="M1377" s="0" t="n">
        <f aca="false">04_回帰ANOVA!$K$19*04_回帰ANOVA!$K$14*SQRT(1+L1377)</f>
        <v>1.49672741260948</v>
      </c>
      <c r="N1377" s="0" t="n">
        <f aca="false">K1377-M1377</f>
        <v>46.6418968689997</v>
      </c>
      <c r="O1377" s="0" t="n">
        <f aca="false">K1377+M1377</f>
        <v>49.6353516942187</v>
      </c>
      <c r="P1377" s="54" t="b">
        <f aca="false">AND(C1377&gt;=01_因子設定!$L$5-0.000000001,C1377&lt;=01_因子設定!$M$5+0.000000001,D1377&gt;=01_因子設定!$L$6-0.000000001,D1377&lt;=01_因子設定!$M$6+0.000000001,IF(01_因子設定!$B$20="Box-Behnken",C1377^2+D1377^2&lt;=2+0.000000001,TRUE()))</f>
        <v>1</v>
      </c>
      <c r="Q1377" s="55" t="n">
        <f aca="false">IF(P1377,IF(01_因子設定!$B$13="最大化",N1377-01_因子設定!$B$14,IF(01_因子設定!$B$13="最小化",01_因子設定!$B$15-O1377,MIN(N1377-01_因子設定!$B$14,01_因子設定!$B$15-O1377))),-1E+030)</f>
        <v>0.141896868999716</v>
      </c>
      <c r="R1377" s="55" t="n">
        <f aca="false">IF(P1377,IF(01_因子設定!$B$13="最大化",K1377,IF(01_因子設定!$B$13="最小化",-K1377,-ABS(K1377-01_因子設定!$B$16))),-1E+030)</f>
        <v>48.1386242816092</v>
      </c>
      <c r="S1377" s="55" t="n">
        <f aca="false">Q1377+ROW()*0.000000001</f>
        <v>0.141898245999716</v>
      </c>
      <c r="T1377" s="55" t="n">
        <f aca="false">R1377+ROW()*0.000000001</f>
        <v>48.1386256586092</v>
      </c>
    </row>
    <row r="1378" customFormat="false" ht="15" hidden="false" customHeight="false" outlineLevel="0" collapsed="false">
      <c r="A1378" s="0" t="n">
        <v>33</v>
      </c>
      <c r="B1378" s="0" t="n">
        <v>20</v>
      </c>
      <c r="C1378" s="0" t="n">
        <f aca="false">-1+A1378*0.05</f>
        <v>0.65</v>
      </c>
      <c r="D1378" s="0" t="n">
        <f aca="false">-1+B1378*0.05</f>
        <v>0</v>
      </c>
      <c r="E1378" s="0" t="n">
        <f aca="false">1</f>
        <v>1</v>
      </c>
      <c r="F1378" s="0" t="n">
        <f aca="false">C1378</f>
        <v>0.65</v>
      </c>
      <c r="G1378" s="0" t="n">
        <f aca="false">D1378</f>
        <v>0</v>
      </c>
      <c r="H1378" s="0" t="n">
        <f aca="false">C1378*D1378</f>
        <v>0</v>
      </c>
      <c r="I1378" s="0" t="n">
        <f aca="false">C1378*C1378</f>
        <v>0.4225</v>
      </c>
      <c r="J1378" s="0" t="n">
        <f aca="false">D1378*D1378</f>
        <v>0</v>
      </c>
      <c r="K1378" s="0" t="n">
        <f aca="false">SUMPRODUCT(E1378:J1378,_XtX!$B$53:$G$53)</f>
        <v>48.2720445402299</v>
      </c>
      <c r="L1378" s="0" t="n">
        <f aca="false">SUMPRODUCT(MMULT(E1378:J1378,_XtX!$B$44:$G$49),E1378:J1378)</f>
        <v>0.220048239942529</v>
      </c>
      <c r="M1378" s="0" t="n">
        <f aca="false">04_回帰ANOVA!$K$19*04_回帰ANOVA!$K$14*SQRT(1+L1378)</f>
        <v>1.49680447770974</v>
      </c>
      <c r="N1378" s="0" t="n">
        <f aca="false">K1378-M1378</f>
        <v>46.7752400625201</v>
      </c>
      <c r="O1378" s="0" t="n">
        <f aca="false">K1378+M1378</f>
        <v>49.7688490179396</v>
      </c>
      <c r="P1378" s="54" t="b">
        <f aca="false">AND(C1378&gt;=01_因子設定!$L$5-0.000000001,C1378&lt;=01_因子設定!$M$5+0.000000001,D1378&gt;=01_因子設定!$L$6-0.000000001,D1378&lt;=01_因子設定!$M$6+0.000000001,IF(01_因子設定!$B$20="Box-Behnken",C1378^2+D1378^2&lt;=2+0.000000001,TRUE()))</f>
        <v>1</v>
      </c>
      <c r="Q1378" s="55" t="n">
        <f aca="false">IF(P1378,IF(01_因子設定!$B$13="最大化",N1378-01_因子設定!$B$14,IF(01_因子設定!$B$13="最小化",01_因子設定!$B$15-O1378,MIN(N1378-01_因子設定!$B$14,01_因子設定!$B$15-O1378))),-1E+030)</f>
        <v>0.275240062520133</v>
      </c>
      <c r="R1378" s="55" t="n">
        <f aca="false">IF(P1378,IF(01_因子設定!$B$13="最大化",K1378,IF(01_因子設定!$B$13="最小化",-K1378,-ABS(K1378-01_因子設定!$B$16))),-1E+030)</f>
        <v>48.2720445402299</v>
      </c>
      <c r="S1378" s="55" t="n">
        <f aca="false">Q1378+ROW()*0.000000001</f>
        <v>0.275241440520133</v>
      </c>
      <c r="T1378" s="55" t="n">
        <f aca="false">R1378+ROW()*0.000000001</f>
        <v>48.2720459182299</v>
      </c>
    </row>
    <row r="1379" customFormat="false" ht="15" hidden="false" customHeight="false" outlineLevel="0" collapsed="false">
      <c r="A1379" s="0" t="n">
        <v>33</v>
      </c>
      <c r="B1379" s="0" t="n">
        <v>21</v>
      </c>
      <c r="C1379" s="0" t="n">
        <f aca="false">-1+A1379*0.05</f>
        <v>0.65</v>
      </c>
      <c r="D1379" s="0" t="n">
        <f aca="false">-1+B1379*0.05</f>
        <v>0.05</v>
      </c>
      <c r="E1379" s="0" t="n">
        <f aca="false">1</f>
        <v>1</v>
      </c>
      <c r="F1379" s="0" t="n">
        <f aca="false">C1379</f>
        <v>0.65</v>
      </c>
      <c r="G1379" s="0" t="n">
        <f aca="false">D1379</f>
        <v>0.05</v>
      </c>
      <c r="H1379" s="0" t="n">
        <f aca="false">C1379*D1379</f>
        <v>0.0325</v>
      </c>
      <c r="I1379" s="0" t="n">
        <f aca="false">C1379*C1379</f>
        <v>0.4225</v>
      </c>
      <c r="J1379" s="0" t="n">
        <f aca="false">D1379*D1379</f>
        <v>0.0025</v>
      </c>
      <c r="K1379" s="0" t="n">
        <f aca="false">SUMPRODUCT(E1379:J1379,_XtX!$B$53:$G$53)</f>
        <v>48.3977492816092</v>
      </c>
      <c r="L1379" s="0" t="n">
        <f aca="false">SUMPRODUCT(MMULT(E1379:J1379,_XtX!$B$44:$G$49),E1379:J1379)</f>
        <v>0.219922611350575</v>
      </c>
      <c r="M1379" s="0" t="n">
        <f aca="false">04_回帰ANOVA!$K$19*04_回帰ANOVA!$K$14*SQRT(1+L1379)</f>
        <v>1.49672741260948</v>
      </c>
      <c r="N1379" s="0" t="n">
        <f aca="false">K1379-M1379</f>
        <v>46.9010218689997</v>
      </c>
      <c r="O1379" s="0" t="n">
        <f aca="false">K1379+M1379</f>
        <v>49.8944766942187</v>
      </c>
      <c r="P1379" s="54" t="b">
        <f aca="false">AND(C1379&gt;=01_因子設定!$L$5-0.000000001,C1379&lt;=01_因子設定!$M$5+0.000000001,D1379&gt;=01_因子設定!$L$6-0.000000001,D1379&lt;=01_因子設定!$M$6+0.000000001,IF(01_因子設定!$B$20="Box-Behnken",C1379^2+D1379^2&lt;=2+0.000000001,TRUE()))</f>
        <v>1</v>
      </c>
      <c r="Q1379" s="55" t="n">
        <f aca="false">IF(P1379,IF(01_因子設定!$B$13="最大化",N1379-01_因子設定!$B$14,IF(01_因子設定!$B$13="最小化",01_因子設定!$B$15-O1379,MIN(N1379-01_因子設定!$B$14,01_因子設定!$B$15-O1379))),-1E+030)</f>
        <v>0.401021868999713</v>
      </c>
      <c r="R1379" s="55" t="n">
        <f aca="false">IF(P1379,IF(01_因子設定!$B$13="最大化",K1379,IF(01_因子設定!$B$13="最小化",-K1379,-ABS(K1379-01_因子設定!$B$16))),-1E+030)</f>
        <v>48.3977492816092</v>
      </c>
      <c r="S1379" s="55" t="n">
        <f aca="false">Q1379+ROW()*0.000000001</f>
        <v>0.401023247999713</v>
      </c>
      <c r="T1379" s="55" t="n">
        <f aca="false">R1379+ROW()*0.000000001</f>
        <v>48.3977506606092</v>
      </c>
    </row>
    <row r="1380" customFormat="false" ht="15" hidden="false" customHeight="false" outlineLevel="0" collapsed="false">
      <c r="A1380" s="0" t="n">
        <v>33</v>
      </c>
      <c r="B1380" s="0" t="n">
        <v>22</v>
      </c>
      <c r="C1380" s="0" t="n">
        <f aca="false">-1+A1380*0.05</f>
        <v>0.65</v>
      </c>
      <c r="D1380" s="0" t="n">
        <f aca="false">-1+B1380*0.05</f>
        <v>0.1</v>
      </c>
      <c r="E1380" s="0" t="n">
        <f aca="false">1</f>
        <v>1</v>
      </c>
      <c r="F1380" s="0" t="n">
        <f aca="false">C1380</f>
        <v>0.65</v>
      </c>
      <c r="G1380" s="0" t="n">
        <f aca="false">D1380</f>
        <v>0.1</v>
      </c>
      <c r="H1380" s="0" t="n">
        <f aca="false">C1380*D1380</f>
        <v>0.0650000000000001</v>
      </c>
      <c r="I1380" s="0" t="n">
        <f aca="false">C1380*C1380</f>
        <v>0.4225</v>
      </c>
      <c r="J1380" s="0" t="n">
        <f aca="false">D1380*D1380</f>
        <v>0.01</v>
      </c>
      <c r="K1380" s="0" t="n">
        <f aca="false">SUMPRODUCT(E1380:J1380,_XtX!$B$53:$G$53)</f>
        <v>48.5157385057471</v>
      </c>
      <c r="L1380" s="0" t="n">
        <f aca="false">SUMPRODUCT(MMULT(E1380:J1380,_XtX!$B$44:$G$49),E1380:J1380)</f>
        <v>0.219572880747126</v>
      </c>
      <c r="M1380" s="0" t="n">
        <f aca="false">04_回帰ANOVA!$K$19*04_回帰ANOVA!$K$14*SQRT(1+L1380)</f>
        <v>1.49651285436709</v>
      </c>
      <c r="N1380" s="0" t="n">
        <f aca="false">K1380-M1380</f>
        <v>47.01922565138</v>
      </c>
      <c r="O1380" s="0" t="n">
        <f aca="false">K1380+M1380</f>
        <v>50.0122513601142</v>
      </c>
      <c r="P1380" s="54" t="b">
        <f aca="false">AND(C1380&gt;=01_因子設定!$L$5-0.000000001,C1380&lt;=01_因子設定!$M$5+0.000000001,D1380&gt;=01_因子設定!$L$6-0.000000001,D1380&lt;=01_因子設定!$M$6+0.000000001,IF(01_因子設定!$B$20="Box-Behnken",C1380^2+D1380^2&lt;=2+0.000000001,TRUE()))</f>
        <v>1</v>
      </c>
      <c r="Q1380" s="55" t="n">
        <f aca="false">IF(P1380,IF(01_因子設定!$B$13="最大化",N1380-01_因子設定!$B$14,IF(01_因子設定!$B$13="最小化",01_因子設定!$B$15-O1380,MIN(N1380-01_因子設定!$B$14,01_因子設定!$B$15-O1380))),-1E+030)</f>
        <v>0.519225651380033</v>
      </c>
      <c r="R1380" s="55" t="n">
        <f aca="false">IF(P1380,IF(01_因子設定!$B$13="最大化",K1380,IF(01_因子設定!$B$13="最小化",-K1380,-ABS(K1380-01_因子設定!$B$16))),-1E+030)</f>
        <v>48.5157385057471</v>
      </c>
      <c r="S1380" s="55" t="n">
        <f aca="false">Q1380+ROW()*0.000000001</f>
        <v>0.519227031380033</v>
      </c>
      <c r="T1380" s="55" t="n">
        <f aca="false">R1380+ROW()*0.000000001</f>
        <v>48.5157398857471</v>
      </c>
    </row>
    <row r="1381" customFormat="false" ht="15" hidden="false" customHeight="false" outlineLevel="0" collapsed="false">
      <c r="A1381" s="0" t="n">
        <v>33</v>
      </c>
      <c r="B1381" s="0" t="n">
        <v>23</v>
      </c>
      <c r="C1381" s="0" t="n">
        <f aca="false">-1+A1381*0.05</f>
        <v>0.65</v>
      </c>
      <c r="D1381" s="0" t="n">
        <f aca="false">-1+B1381*0.05</f>
        <v>0.15</v>
      </c>
      <c r="E1381" s="0" t="n">
        <f aca="false">1</f>
        <v>1</v>
      </c>
      <c r="F1381" s="0" t="n">
        <f aca="false">C1381</f>
        <v>0.65</v>
      </c>
      <c r="G1381" s="0" t="n">
        <f aca="false">D1381</f>
        <v>0.15</v>
      </c>
      <c r="H1381" s="0" t="n">
        <f aca="false">C1381*D1381</f>
        <v>0.0975000000000001</v>
      </c>
      <c r="I1381" s="0" t="n">
        <f aca="false">C1381*C1381</f>
        <v>0.4225</v>
      </c>
      <c r="J1381" s="0" t="n">
        <f aca="false">D1381*D1381</f>
        <v>0.0225</v>
      </c>
      <c r="K1381" s="0" t="n">
        <f aca="false">SUMPRODUCT(E1381:J1381,_XtX!$B$53:$G$53)</f>
        <v>48.6260122126437</v>
      </c>
      <c r="L1381" s="0" t="n">
        <f aca="false">SUMPRODUCT(MMULT(E1381:J1381,_XtX!$B$44:$G$49),E1381:J1381)</f>
        <v>0.219080513649425</v>
      </c>
      <c r="M1381" s="0" t="n">
        <f aca="false">04_回帰ANOVA!$K$19*04_回帰ANOVA!$K$14*SQRT(1+L1381)</f>
        <v>1.49621073709053</v>
      </c>
      <c r="N1381" s="0" t="n">
        <f aca="false">K1381-M1381</f>
        <v>47.1298014755531</v>
      </c>
      <c r="O1381" s="0" t="n">
        <f aca="false">K1381+M1381</f>
        <v>50.1222229497342</v>
      </c>
      <c r="P1381" s="54" t="b">
        <f aca="false">AND(C1381&gt;=01_因子設定!$L$5-0.000000001,C1381&lt;=01_因子設定!$M$5+0.000000001,D1381&gt;=01_因子設定!$L$6-0.000000001,D1381&lt;=01_因子設定!$M$6+0.000000001,IF(01_因子設定!$B$20="Box-Behnken",C1381^2+D1381^2&lt;=2+0.000000001,TRUE()))</f>
        <v>1</v>
      </c>
      <c r="Q1381" s="55" t="n">
        <f aca="false">IF(P1381,IF(01_因子設定!$B$13="最大化",N1381-01_因子設定!$B$14,IF(01_因子設定!$B$13="最小化",01_因子設定!$B$15-O1381,MIN(N1381-01_因子設定!$B$14,01_因子設定!$B$15-O1381))),-1E+030)</f>
        <v>0.629801475553137</v>
      </c>
      <c r="R1381" s="55" t="n">
        <f aca="false">IF(P1381,IF(01_因子設定!$B$13="最大化",K1381,IF(01_因子設定!$B$13="最小化",-K1381,-ABS(K1381-01_因子設定!$B$16))),-1E+030)</f>
        <v>48.6260122126437</v>
      </c>
      <c r="S1381" s="55" t="n">
        <f aca="false">Q1381+ROW()*0.000000001</f>
        <v>0.629802856553137</v>
      </c>
      <c r="T1381" s="55" t="n">
        <f aca="false">R1381+ROW()*0.000000001</f>
        <v>48.6260135936437</v>
      </c>
    </row>
    <row r="1382" customFormat="false" ht="15" hidden="false" customHeight="false" outlineLevel="0" collapsed="false">
      <c r="A1382" s="0" t="n">
        <v>33</v>
      </c>
      <c r="B1382" s="0" t="n">
        <v>24</v>
      </c>
      <c r="C1382" s="0" t="n">
        <f aca="false">-1+A1382*0.05</f>
        <v>0.65</v>
      </c>
      <c r="D1382" s="0" t="n">
        <f aca="false">-1+B1382*0.05</f>
        <v>0.2</v>
      </c>
      <c r="E1382" s="0" t="n">
        <f aca="false">1</f>
        <v>1</v>
      </c>
      <c r="F1382" s="0" t="n">
        <f aca="false">C1382</f>
        <v>0.65</v>
      </c>
      <c r="G1382" s="0" t="n">
        <f aca="false">D1382</f>
        <v>0.2</v>
      </c>
      <c r="H1382" s="0" t="n">
        <f aca="false">C1382*D1382</f>
        <v>0.13</v>
      </c>
      <c r="I1382" s="0" t="n">
        <f aca="false">C1382*C1382</f>
        <v>0.4225</v>
      </c>
      <c r="J1382" s="0" t="n">
        <f aca="false">D1382*D1382</f>
        <v>0.0400000000000001</v>
      </c>
      <c r="K1382" s="0" t="n">
        <f aca="false">SUMPRODUCT(E1382:J1382,_XtX!$B$53:$G$53)</f>
        <v>48.7285704022988</v>
      </c>
      <c r="L1382" s="0" t="n">
        <f aca="false">SUMPRODUCT(MMULT(E1382:J1382,_XtX!$B$44:$G$49),E1382:J1382)</f>
        <v>0.21858128591954</v>
      </c>
      <c r="M1382" s="0" t="n">
        <f aca="false">04_回帰ANOVA!$K$19*04_回帰ANOVA!$K$14*SQRT(1+L1382)</f>
        <v>1.49590434782083</v>
      </c>
      <c r="N1382" s="0" t="n">
        <f aca="false">K1382-M1382</f>
        <v>47.232666054478</v>
      </c>
      <c r="O1382" s="0" t="n">
        <f aca="false">K1382+M1382</f>
        <v>50.2244747501197</v>
      </c>
      <c r="P1382" s="54" t="b">
        <f aca="false">AND(C1382&gt;=01_因子設定!$L$5-0.000000001,C1382&lt;=01_因子設定!$M$5+0.000000001,D1382&gt;=01_因子設定!$L$6-0.000000001,D1382&lt;=01_因子設定!$M$6+0.000000001,IF(01_因子設定!$B$20="Box-Behnken",C1382^2+D1382^2&lt;=2+0.000000001,TRUE()))</f>
        <v>1</v>
      </c>
      <c r="Q1382" s="55" t="n">
        <f aca="false">IF(P1382,IF(01_因子設定!$B$13="最大化",N1382-01_因子設定!$B$14,IF(01_因子設定!$B$13="最小化",01_因子設定!$B$15-O1382,MIN(N1382-01_因子設定!$B$14,01_因子設定!$B$15-O1382))),-1E+030)</f>
        <v>0.73266605447801</v>
      </c>
      <c r="R1382" s="55" t="n">
        <f aca="false">IF(P1382,IF(01_因子設定!$B$13="最大化",K1382,IF(01_因子設定!$B$13="最小化",-K1382,-ABS(K1382-01_因子設定!$B$16))),-1E+030)</f>
        <v>48.7285704022988</v>
      </c>
      <c r="S1382" s="55" t="n">
        <f aca="false">Q1382+ROW()*0.000000001</f>
        <v>0.73266743647801</v>
      </c>
      <c r="T1382" s="55" t="n">
        <f aca="false">R1382+ROW()*0.000000001</f>
        <v>48.7285717842988</v>
      </c>
    </row>
    <row r="1383" customFormat="false" ht="15" hidden="false" customHeight="false" outlineLevel="0" collapsed="false">
      <c r="A1383" s="0" t="n">
        <v>33</v>
      </c>
      <c r="B1383" s="0" t="n">
        <v>25</v>
      </c>
      <c r="C1383" s="0" t="n">
        <f aca="false">-1+A1383*0.05</f>
        <v>0.65</v>
      </c>
      <c r="D1383" s="0" t="n">
        <f aca="false">-1+B1383*0.05</f>
        <v>0.25</v>
      </c>
      <c r="E1383" s="0" t="n">
        <f aca="false">1</f>
        <v>1</v>
      </c>
      <c r="F1383" s="0" t="n">
        <f aca="false">C1383</f>
        <v>0.65</v>
      </c>
      <c r="G1383" s="0" t="n">
        <f aca="false">D1383</f>
        <v>0.25</v>
      </c>
      <c r="H1383" s="0" t="n">
        <f aca="false">C1383*D1383</f>
        <v>0.1625</v>
      </c>
      <c r="I1383" s="0" t="n">
        <f aca="false">C1383*C1383</f>
        <v>0.4225</v>
      </c>
      <c r="J1383" s="0" t="n">
        <f aca="false">D1383*D1383</f>
        <v>0.0625</v>
      </c>
      <c r="K1383" s="0" t="n">
        <f aca="false">SUMPRODUCT(E1383:J1383,_XtX!$B$53:$G$53)</f>
        <v>48.8234130747126</v>
      </c>
      <c r="L1383" s="0" t="n">
        <f aca="false">SUMPRODUCT(MMULT(E1383:J1383,_XtX!$B$44:$G$49),E1383:J1383)</f>
        <v>0.218265283764368</v>
      </c>
      <c r="M1383" s="0" t="n">
        <f aca="false">04_回帰ANOVA!$K$19*04_回帰ANOVA!$K$14*SQRT(1+L1383)</f>
        <v>1.49571037649821</v>
      </c>
      <c r="N1383" s="0" t="n">
        <f aca="false">K1383-M1383</f>
        <v>47.3277026982144</v>
      </c>
      <c r="O1383" s="0" t="n">
        <f aca="false">K1383+M1383</f>
        <v>50.3191234512108</v>
      </c>
      <c r="P1383" s="54" t="b">
        <f aca="false">AND(C1383&gt;=01_因子設定!$L$5-0.000000001,C1383&lt;=01_因子設定!$M$5+0.000000001,D1383&gt;=01_因子設定!$L$6-0.000000001,D1383&lt;=01_因子設定!$M$6+0.000000001,IF(01_因子設定!$B$20="Box-Behnken",C1383^2+D1383^2&lt;=2+0.000000001,TRUE()))</f>
        <v>1</v>
      </c>
      <c r="Q1383" s="55" t="n">
        <f aca="false">IF(P1383,IF(01_因子設定!$B$13="最大化",N1383-01_因子設定!$B$14,IF(01_因子設定!$B$13="最小化",01_因子設定!$B$15-O1383,MIN(N1383-01_因子設定!$B$14,01_因子設定!$B$15-O1383))),-1E+030)</f>
        <v>0.827702698214424</v>
      </c>
      <c r="R1383" s="55" t="n">
        <f aca="false">IF(P1383,IF(01_因子設定!$B$13="最大化",K1383,IF(01_因子設定!$B$13="最小化",-K1383,-ABS(K1383-01_因子設定!$B$16))),-1E+030)</f>
        <v>48.8234130747126</v>
      </c>
      <c r="S1383" s="55" t="n">
        <f aca="false">Q1383+ROW()*0.000000001</f>
        <v>0.827704081214424</v>
      </c>
      <c r="T1383" s="55" t="n">
        <f aca="false">R1383+ROW()*0.000000001</f>
        <v>48.8234144577126</v>
      </c>
    </row>
    <row r="1384" customFormat="false" ht="15" hidden="false" customHeight="false" outlineLevel="0" collapsed="false">
      <c r="A1384" s="0" t="n">
        <v>33</v>
      </c>
      <c r="B1384" s="0" t="n">
        <v>26</v>
      </c>
      <c r="C1384" s="0" t="n">
        <f aca="false">-1+A1384*0.05</f>
        <v>0.65</v>
      </c>
      <c r="D1384" s="0" t="n">
        <f aca="false">-1+B1384*0.05</f>
        <v>0.3</v>
      </c>
      <c r="E1384" s="0" t="n">
        <f aca="false">1</f>
        <v>1</v>
      </c>
      <c r="F1384" s="0" t="n">
        <f aca="false">C1384</f>
        <v>0.65</v>
      </c>
      <c r="G1384" s="0" t="n">
        <f aca="false">D1384</f>
        <v>0.3</v>
      </c>
      <c r="H1384" s="0" t="n">
        <f aca="false">C1384*D1384</f>
        <v>0.195</v>
      </c>
      <c r="I1384" s="0" t="n">
        <f aca="false">C1384*C1384</f>
        <v>0.4225</v>
      </c>
      <c r="J1384" s="0" t="n">
        <f aca="false">D1384*D1384</f>
        <v>0.09</v>
      </c>
      <c r="K1384" s="0" t="n">
        <f aca="false">SUMPRODUCT(E1384:J1384,_XtX!$B$53:$G$53)</f>
        <v>48.9105402298851</v>
      </c>
      <c r="L1384" s="0" t="n">
        <f aca="false">SUMPRODUCT(MMULT(E1384:J1384,_XtX!$B$44:$G$49),E1384:J1384)</f>
        <v>0.218376903735632</v>
      </c>
      <c r="M1384" s="0" t="n">
        <f aca="false">04_回帰ANOVA!$K$19*04_回帰ANOVA!$K$14*SQRT(1+L1384)</f>
        <v>1.49577889495948</v>
      </c>
      <c r="N1384" s="0" t="n">
        <f aca="false">K1384-M1384</f>
        <v>47.4147613349256</v>
      </c>
      <c r="O1384" s="0" t="n">
        <f aca="false">K1384+M1384</f>
        <v>50.4063191248445</v>
      </c>
      <c r="P1384" s="54" t="b">
        <f aca="false">AND(C1384&gt;=01_因子設定!$L$5-0.000000001,C1384&lt;=01_因子設定!$M$5+0.000000001,D1384&gt;=01_因子設定!$L$6-0.000000001,D1384&lt;=01_因子設定!$M$6+0.000000001,IF(01_因子設定!$B$20="Box-Behnken",C1384^2+D1384^2&lt;=2+0.000000001,TRUE()))</f>
        <v>1</v>
      </c>
      <c r="Q1384" s="55" t="n">
        <f aca="false">IF(P1384,IF(01_因子設定!$B$13="最大化",N1384-01_因子設定!$B$14,IF(01_因子設定!$B$13="最小化",01_因子設定!$B$15-O1384,MIN(N1384-01_因子設定!$B$14,01_因子設定!$B$15-O1384))),-1E+030)</f>
        <v>0.914761334925572</v>
      </c>
      <c r="R1384" s="55" t="n">
        <f aca="false">IF(P1384,IF(01_因子設定!$B$13="最大化",K1384,IF(01_因子設定!$B$13="最小化",-K1384,-ABS(K1384-01_因子設定!$B$16))),-1E+030)</f>
        <v>48.9105402298851</v>
      </c>
      <c r="S1384" s="55" t="n">
        <f aca="false">Q1384+ROW()*0.000000001</f>
        <v>0.914762718925572</v>
      </c>
      <c r="T1384" s="55" t="n">
        <f aca="false">R1384+ROW()*0.000000001</f>
        <v>48.9105416138851</v>
      </c>
    </row>
    <row r="1385" customFormat="false" ht="15" hidden="false" customHeight="false" outlineLevel="0" collapsed="false">
      <c r="A1385" s="0" t="n">
        <v>33</v>
      </c>
      <c r="B1385" s="0" t="n">
        <v>27</v>
      </c>
      <c r="C1385" s="0" t="n">
        <f aca="false">-1+A1385*0.05</f>
        <v>0.65</v>
      </c>
      <c r="D1385" s="0" t="n">
        <f aca="false">-1+B1385*0.05</f>
        <v>0.35</v>
      </c>
      <c r="E1385" s="0" t="n">
        <f aca="false">1</f>
        <v>1</v>
      </c>
      <c r="F1385" s="0" t="n">
        <f aca="false">C1385</f>
        <v>0.65</v>
      </c>
      <c r="G1385" s="0" t="n">
        <f aca="false">D1385</f>
        <v>0.35</v>
      </c>
      <c r="H1385" s="0" t="n">
        <f aca="false">C1385*D1385</f>
        <v>0.2275</v>
      </c>
      <c r="I1385" s="0" t="n">
        <f aca="false">C1385*C1385</f>
        <v>0.4225</v>
      </c>
      <c r="J1385" s="0" t="n">
        <f aca="false">D1385*D1385</f>
        <v>0.1225</v>
      </c>
      <c r="K1385" s="0" t="n">
        <f aca="false">SUMPRODUCT(E1385:J1385,_XtX!$B$53:$G$53)</f>
        <v>48.9899518678161</v>
      </c>
      <c r="L1385" s="0" t="n">
        <f aca="false">SUMPRODUCT(MMULT(E1385:J1385,_XtX!$B$44:$G$49),E1385:J1385)</f>
        <v>0.219214852729885</v>
      </c>
      <c r="M1385" s="0" t="n">
        <f aca="false">04_回帰ANOVA!$K$19*04_回帰ANOVA!$K$14*SQRT(1+L1385)</f>
        <v>1.49629317382676</v>
      </c>
      <c r="N1385" s="0" t="n">
        <f aca="false">K1385-M1385</f>
        <v>47.4936586939893</v>
      </c>
      <c r="O1385" s="0" t="n">
        <f aca="false">K1385+M1385</f>
        <v>50.4862450416428</v>
      </c>
      <c r="P1385" s="54" t="b">
        <f aca="false">AND(C1385&gt;=01_因子設定!$L$5-0.000000001,C1385&lt;=01_因子設定!$M$5+0.000000001,D1385&gt;=01_因子設定!$L$6-0.000000001,D1385&lt;=01_因子設定!$M$6+0.000000001,IF(01_因子設定!$B$20="Box-Behnken",C1385^2+D1385^2&lt;=2+0.000000001,TRUE()))</f>
        <v>1</v>
      </c>
      <c r="Q1385" s="55" t="n">
        <f aca="false">IF(P1385,IF(01_因子設定!$B$13="最大化",N1385-01_因子設定!$B$14,IF(01_因子設定!$B$13="最小化",01_因子設定!$B$15-O1385,MIN(N1385-01_因子設定!$B$14,01_因子設定!$B$15-O1385))),-1E+030)</f>
        <v>0.993658693989318</v>
      </c>
      <c r="R1385" s="55" t="n">
        <f aca="false">IF(P1385,IF(01_因子設定!$B$13="最大化",K1385,IF(01_因子設定!$B$13="最小化",-K1385,-ABS(K1385-01_因子設定!$B$16))),-1E+030)</f>
        <v>48.9899518678161</v>
      </c>
      <c r="S1385" s="55" t="n">
        <f aca="false">Q1385+ROW()*0.000000001</f>
        <v>0.993660078989318</v>
      </c>
      <c r="T1385" s="55" t="n">
        <f aca="false">R1385+ROW()*0.000000001</f>
        <v>48.9899532528161</v>
      </c>
    </row>
    <row r="1386" customFormat="false" ht="15" hidden="false" customHeight="false" outlineLevel="0" collapsed="false">
      <c r="A1386" s="0" t="n">
        <v>33</v>
      </c>
      <c r="B1386" s="0" t="n">
        <v>28</v>
      </c>
      <c r="C1386" s="0" t="n">
        <f aca="false">-1+A1386*0.05</f>
        <v>0.65</v>
      </c>
      <c r="D1386" s="0" t="n">
        <f aca="false">-1+B1386*0.05</f>
        <v>0.4</v>
      </c>
      <c r="E1386" s="0" t="n">
        <f aca="false">1</f>
        <v>1</v>
      </c>
      <c r="F1386" s="0" t="n">
        <f aca="false">C1386</f>
        <v>0.65</v>
      </c>
      <c r="G1386" s="0" t="n">
        <f aca="false">D1386</f>
        <v>0.4</v>
      </c>
      <c r="H1386" s="0" t="n">
        <f aca="false">C1386*D1386</f>
        <v>0.26</v>
      </c>
      <c r="I1386" s="0" t="n">
        <f aca="false">C1386*C1386</f>
        <v>0.4225</v>
      </c>
      <c r="J1386" s="0" t="n">
        <f aca="false">D1386*D1386</f>
        <v>0.16</v>
      </c>
      <c r="K1386" s="0" t="n">
        <f aca="false">SUMPRODUCT(E1386:J1386,_XtX!$B$53:$G$53)</f>
        <v>49.0616479885057</v>
      </c>
      <c r="L1386" s="0" t="n">
        <f aca="false">SUMPRODUCT(MMULT(E1386:J1386,_XtX!$B$44:$G$49),E1386:J1386)</f>
        <v>0.221132147988506</v>
      </c>
      <c r="M1386" s="0" t="n">
        <f aca="false">04_回帰ANOVA!$K$19*04_回帰ANOVA!$K$14*SQRT(1+L1386)</f>
        <v>1.4974692211941</v>
      </c>
      <c r="N1386" s="0" t="n">
        <f aca="false">K1386-M1386</f>
        <v>47.5641787673116</v>
      </c>
      <c r="O1386" s="0" t="n">
        <f aca="false">K1386+M1386</f>
        <v>50.5591172096998</v>
      </c>
      <c r="P1386" s="54" t="b">
        <f aca="false">AND(C1386&gt;=01_因子設定!$L$5-0.000000001,C1386&lt;=01_因子設定!$M$5+0.000000001,D1386&gt;=01_因子設定!$L$6-0.000000001,D1386&lt;=01_因子設定!$M$6+0.000000001,IF(01_因子設定!$B$20="Box-Behnken",C1386^2+D1386^2&lt;=2+0.000000001,TRUE()))</f>
        <v>1</v>
      </c>
      <c r="Q1386" s="55" t="n">
        <f aca="false">IF(P1386,IF(01_因子設定!$B$13="最大化",N1386-01_因子設定!$B$14,IF(01_因子設定!$B$13="最小化",01_因子設定!$B$15-O1386,MIN(N1386-01_因子設定!$B$14,01_因子設定!$B$15-O1386))),-1E+030)</f>
        <v>1.06417876731164</v>
      </c>
      <c r="R1386" s="55" t="n">
        <f aca="false">IF(P1386,IF(01_因子設定!$B$13="最大化",K1386,IF(01_因子設定!$B$13="最小化",-K1386,-ABS(K1386-01_因子設定!$B$16))),-1E+030)</f>
        <v>49.0616479885057</v>
      </c>
      <c r="S1386" s="55" t="n">
        <f aca="false">Q1386+ROW()*0.000000001</f>
        <v>1.06418015331164</v>
      </c>
      <c r="T1386" s="55" t="n">
        <f aca="false">R1386+ROW()*0.000000001</f>
        <v>49.0616493745057</v>
      </c>
    </row>
    <row r="1387" customFormat="false" ht="15" hidden="false" customHeight="false" outlineLevel="0" collapsed="false">
      <c r="A1387" s="0" t="n">
        <v>33</v>
      </c>
      <c r="B1387" s="0" t="n">
        <v>29</v>
      </c>
      <c r="C1387" s="0" t="n">
        <f aca="false">-1+A1387*0.05</f>
        <v>0.65</v>
      </c>
      <c r="D1387" s="0" t="n">
        <f aca="false">-1+B1387*0.05</f>
        <v>0.45</v>
      </c>
      <c r="E1387" s="0" t="n">
        <f aca="false">1</f>
        <v>1</v>
      </c>
      <c r="F1387" s="0" t="n">
        <f aca="false">C1387</f>
        <v>0.65</v>
      </c>
      <c r="G1387" s="0" t="n">
        <f aca="false">D1387</f>
        <v>0.45</v>
      </c>
      <c r="H1387" s="0" t="n">
        <f aca="false">C1387*D1387</f>
        <v>0.2925</v>
      </c>
      <c r="I1387" s="0" t="n">
        <f aca="false">C1387*C1387</f>
        <v>0.4225</v>
      </c>
      <c r="J1387" s="0" t="n">
        <f aca="false">D1387*D1387</f>
        <v>0.2025</v>
      </c>
      <c r="K1387" s="0" t="n">
        <f aca="false">SUMPRODUCT(E1387:J1387,_XtX!$B$53:$G$53)</f>
        <v>49.125628591954</v>
      </c>
      <c r="L1387" s="0" t="n">
        <f aca="false">SUMPRODUCT(MMULT(E1387:J1387,_XtX!$B$44:$G$49),E1387:J1387)</f>
        <v>0.224536117097701</v>
      </c>
      <c r="M1387" s="0" t="n">
        <f aca="false">04_回帰ANOVA!$K$19*04_回帰ANOVA!$K$14*SQRT(1+L1387)</f>
        <v>1.49955490522416</v>
      </c>
      <c r="N1387" s="0" t="n">
        <f aca="false">K1387-M1387</f>
        <v>47.6260736867299</v>
      </c>
      <c r="O1387" s="0" t="n">
        <f aca="false">K1387+M1387</f>
        <v>50.6251834971782</v>
      </c>
      <c r="P1387" s="54" t="b">
        <f aca="false">AND(C1387&gt;=01_因子設定!$L$5-0.000000001,C1387&lt;=01_因子設定!$M$5+0.000000001,D1387&gt;=01_因子設定!$L$6-0.000000001,D1387&lt;=01_因子設定!$M$6+0.000000001,IF(01_因子設定!$B$20="Box-Behnken",C1387^2+D1387^2&lt;=2+0.000000001,TRUE()))</f>
        <v>1</v>
      </c>
      <c r="Q1387" s="55" t="n">
        <f aca="false">IF(P1387,IF(01_因子設定!$B$13="最大化",N1387-01_因子設定!$B$14,IF(01_因子設定!$B$13="最小化",01_因子設定!$B$15-O1387,MIN(N1387-01_因子設定!$B$14,01_因子設定!$B$15-O1387))),-1E+030)</f>
        <v>1.12607368672985</v>
      </c>
      <c r="R1387" s="55" t="n">
        <f aca="false">IF(P1387,IF(01_因子設定!$B$13="最大化",K1387,IF(01_因子設定!$B$13="最小化",-K1387,-ABS(K1387-01_因子設定!$B$16))),-1E+030)</f>
        <v>49.125628591954</v>
      </c>
      <c r="S1387" s="55" t="n">
        <f aca="false">Q1387+ROW()*0.000000001</f>
        <v>1.12607507372985</v>
      </c>
      <c r="T1387" s="55" t="n">
        <f aca="false">R1387+ROW()*0.000000001</f>
        <v>49.125629978954</v>
      </c>
    </row>
    <row r="1388" customFormat="false" ht="15" hidden="false" customHeight="false" outlineLevel="0" collapsed="false">
      <c r="A1388" s="0" t="n">
        <v>33</v>
      </c>
      <c r="B1388" s="0" t="n">
        <v>30</v>
      </c>
      <c r="C1388" s="0" t="n">
        <f aca="false">-1+A1388*0.05</f>
        <v>0.65</v>
      </c>
      <c r="D1388" s="0" t="n">
        <f aca="false">-1+B1388*0.05</f>
        <v>0.5</v>
      </c>
      <c r="E1388" s="0" t="n">
        <f aca="false">1</f>
        <v>1</v>
      </c>
      <c r="F1388" s="0" t="n">
        <f aca="false">C1388</f>
        <v>0.65</v>
      </c>
      <c r="G1388" s="0" t="n">
        <f aca="false">D1388</f>
        <v>0.5</v>
      </c>
      <c r="H1388" s="0" t="n">
        <f aca="false">C1388*D1388</f>
        <v>0.325</v>
      </c>
      <c r="I1388" s="0" t="n">
        <f aca="false">C1388*C1388</f>
        <v>0.4225</v>
      </c>
      <c r="J1388" s="0" t="n">
        <f aca="false">D1388*D1388</f>
        <v>0.25</v>
      </c>
      <c r="K1388" s="0" t="n">
        <f aca="false">SUMPRODUCT(E1388:J1388,_XtX!$B$53:$G$53)</f>
        <v>49.1818936781609</v>
      </c>
      <c r="L1388" s="0" t="n">
        <f aca="false">SUMPRODUCT(MMULT(E1388:J1388,_XtX!$B$44:$G$49),E1388:J1388)</f>
        <v>0.229888397988506</v>
      </c>
      <c r="M1388" s="0" t="n">
        <f aca="false">04_回帰ANOVA!$K$19*04_回帰ANOVA!$K$14*SQRT(1+L1388)</f>
        <v>1.50282850731928</v>
      </c>
      <c r="N1388" s="0" t="n">
        <f aca="false">K1388-M1388</f>
        <v>47.6790651708416</v>
      </c>
      <c r="O1388" s="0" t="n">
        <f aca="false">K1388+M1388</f>
        <v>50.6847221854802</v>
      </c>
      <c r="P1388" s="54" t="b">
        <f aca="false">AND(C1388&gt;=01_因子設定!$L$5-0.000000001,C1388&lt;=01_因子設定!$M$5+0.000000001,D1388&gt;=01_因子設定!$L$6-0.000000001,D1388&lt;=01_因子設定!$M$6+0.000000001,IF(01_因子設定!$B$20="Box-Behnken",C1388^2+D1388^2&lt;=2+0.000000001,TRUE()))</f>
        <v>1</v>
      </c>
      <c r="Q1388" s="55" t="n">
        <f aca="false">IF(P1388,IF(01_因子設定!$B$13="最大化",N1388-01_因子設定!$B$14,IF(01_因子設定!$B$13="最小化",01_因子設定!$B$15-O1388,MIN(N1388-01_因子設定!$B$14,01_因子設定!$B$15-O1388))),-1E+030)</f>
        <v>1.17906517084163</v>
      </c>
      <c r="R1388" s="55" t="n">
        <f aca="false">IF(P1388,IF(01_因子設定!$B$13="最大化",K1388,IF(01_因子設定!$B$13="最小化",-K1388,-ABS(K1388-01_因子設定!$B$16))),-1E+030)</f>
        <v>49.1818936781609</v>
      </c>
      <c r="S1388" s="55" t="n">
        <f aca="false">Q1388+ROW()*0.000000001</f>
        <v>1.17906655884163</v>
      </c>
      <c r="T1388" s="55" t="n">
        <f aca="false">R1388+ROW()*0.000000001</f>
        <v>49.1818950661609</v>
      </c>
    </row>
    <row r="1389" customFormat="false" ht="15" hidden="false" customHeight="false" outlineLevel="0" collapsed="false">
      <c r="A1389" s="0" t="n">
        <v>33</v>
      </c>
      <c r="B1389" s="0" t="n">
        <v>31</v>
      </c>
      <c r="C1389" s="0" t="n">
        <f aca="false">-1+A1389*0.05</f>
        <v>0.65</v>
      </c>
      <c r="D1389" s="0" t="n">
        <f aca="false">-1+B1389*0.05</f>
        <v>0.55</v>
      </c>
      <c r="E1389" s="0" t="n">
        <f aca="false">1</f>
        <v>1</v>
      </c>
      <c r="F1389" s="0" t="n">
        <f aca="false">C1389</f>
        <v>0.65</v>
      </c>
      <c r="G1389" s="0" t="n">
        <f aca="false">D1389</f>
        <v>0.55</v>
      </c>
      <c r="H1389" s="0" t="n">
        <f aca="false">C1389*D1389</f>
        <v>0.3575</v>
      </c>
      <c r="I1389" s="0" t="n">
        <f aca="false">C1389*C1389</f>
        <v>0.4225</v>
      </c>
      <c r="J1389" s="0" t="n">
        <f aca="false">D1389*D1389</f>
        <v>0.3025</v>
      </c>
      <c r="K1389" s="0" t="n">
        <f aca="false">SUMPRODUCT(E1389:J1389,_XtX!$B$53:$G$53)</f>
        <v>49.2304432471264</v>
      </c>
      <c r="L1389" s="0" t="n">
        <f aca="false">SUMPRODUCT(MMULT(E1389:J1389,_XtX!$B$44:$G$49),E1389:J1389)</f>
        <v>0.237704938936782</v>
      </c>
      <c r="M1389" s="0" t="n">
        <f aca="false">04_回帰ANOVA!$K$19*04_回帰ANOVA!$K$14*SQRT(1+L1389)</f>
        <v>1.5075965477804</v>
      </c>
      <c r="N1389" s="0" t="n">
        <f aca="false">K1389-M1389</f>
        <v>47.722846699346</v>
      </c>
      <c r="O1389" s="0" t="n">
        <f aca="false">K1389+M1389</f>
        <v>50.7380397949068</v>
      </c>
      <c r="P1389" s="54" t="b">
        <f aca="false">AND(C1389&gt;=01_因子設定!$L$5-0.000000001,C1389&lt;=01_因子設定!$M$5+0.000000001,D1389&gt;=01_因子設定!$L$6-0.000000001,D1389&lt;=01_因子設定!$M$6+0.000000001,IF(01_因子設定!$B$20="Box-Behnken",C1389^2+D1389^2&lt;=2+0.000000001,TRUE()))</f>
        <v>1</v>
      </c>
      <c r="Q1389" s="55" t="n">
        <f aca="false">IF(P1389,IF(01_因子設定!$B$13="最大化",N1389-01_因子設定!$B$14,IF(01_因子設定!$B$13="最小化",01_因子設定!$B$15-O1389,MIN(N1389-01_因子設定!$B$14,01_因子設定!$B$15-O1389))),-1E+030)</f>
        <v>1.22284669934604</v>
      </c>
      <c r="R1389" s="55" t="n">
        <f aca="false">IF(P1389,IF(01_因子設定!$B$13="最大化",K1389,IF(01_因子設定!$B$13="最小化",-K1389,-ABS(K1389-01_因子設定!$B$16))),-1E+030)</f>
        <v>49.2304432471264</v>
      </c>
      <c r="S1389" s="55" t="n">
        <f aca="false">Q1389+ROW()*0.000000001</f>
        <v>1.22284808834604</v>
      </c>
      <c r="T1389" s="55" t="n">
        <f aca="false">R1389+ROW()*0.000000001</f>
        <v>49.2304446361264</v>
      </c>
    </row>
    <row r="1390" customFormat="false" ht="15" hidden="false" customHeight="false" outlineLevel="0" collapsed="false">
      <c r="A1390" s="0" t="n">
        <v>33</v>
      </c>
      <c r="B1390" s="0" t="n">
        <v>32</v>
      </c>
      <c r="C1390" s="0" t="n">
        <f aca="false">-1+A1390*0.05</f>
        <v>0.65</v>
      </c>
      <c r="D1390" s="0" t="n">
        <f aca="false">-1+B1390*0.05</f>
        <v>0.6</v>
      </c>
      <c r="E1390" s="0" t="n">
        <f aca="false">1</f>
        <v>1</v>
      </c>
      <c r="F1390" s="0" t="n">
        <f aca="false">C1390</f>
        <v>0.65</v>
      </c>
      <c r="G1390" s="0" t="n">
        <f aca="false">D1390</f>
        <v>0.6</v>
      </c>
      <c r="H1390" s="0" t="n">
        <f aca="false">C1390*D1390</f>
        <v>0.39</v>
      </c>
      <c r="I1390" s="0" t="n">
        <f aca="false">C1390*C1390</f>
        <v>0.4225</v>
      </c>
      <c r="J1390" s="0" t="n">
        <f aca="false">D1390*D1390</f>
        <v>0.36</v>
      </c>
      <c r="K1390" s="0" t="n">
        <f aca="false">SUMPRODUCT(E1390:J1390,_XtX!$B$53:$G$53)</f>
        <v>49.2712772988506</v>
      </c>
      <c r="L1390" s="0" t="n">
        <f aca="false">SUMPRODUCT(MMULT(E1390:J1390,_XtX!$B$44:$G$49),E1390:J1390)</f>
        <v>0.248555998563218</v>
      </c>
      <c r="M1390" s="0" t="n">
        <f aca="false">04_回帰ANOVA!$K$19*04_回帰ANOVA!$K$14*SQRT(1+L1390)</f>
        <v>1.51419073700187</v>
      </c>
      <c r="N1390" s="0" t="n">
        <f aca="false">K1390-M1390</f>
        <v>47.7570865618487</v>
      </c>
      <c r="O1390" s="0" t="n">
        <f aca="false">K1390+M1390</f>
        <v>50.7854680358524</v>
      </c>
      <c r="P1390" s="54" t="b">
        <f aca="false">AND(C1390&gt;=01_因子設定!$L$5-0.000000001,C1390&lt;=01_因子設定!$M$5+0.000000001,D1390&gt;=01_因子設定!$L$6-0.000000001,D1390&lt;=01_因子設定!$M$6+0.000000001,IF(01_因子設定!$B$20="Box-Behnken",C1390^2+D1390^2&lt;=2+0.000000001,TRUE()))</f>
        <v>1</v>
      </c>
      <c r="Q1390" s="55" t="n">
        <f aca="false">IF(P1390,IF(01_因子設定!$B$13="最大化",N1390-01_因子設定!$B$14,IF(01_因子設定!$B$13="最小化",01_因子設定!$B$15-O1390,MIN(N1390-01_因子設定!$B$14,01_因子設定!$B$15-O1390))),-1E+030)</f>
        <v>1.25708656184869</v>
      </c>
      <c r="R1390" s="55" t="n">
        <f aca="false">IF(P1390,IF(01_因子設定!$B$13="最大化",K1390,IF(01_因子設定!$B$13="最小化",-K1390,-ABS(K1390-01_因子設定!$B$16))),-1E+030)</f>
        <v>49.2712772988506</v>
      </c>
      <c r="S1390" s="55" t="n">
        <f aca="false">Q1390+ROW()*0.000000001</f>
        <v>1.25708795184869</v>
      </c>
      <c r="T1390" s="55" t="n">
        <f aca="false">R1390+ROW()*0.000000001</f>
        <v>49.2712786888506</v>
      </c>
    </row>
    <row r="1391" customFormat="false" ht="15" hidden="false" customHeight="false" outlineLevel="0" collapsed="false">
      <c r="A1391" s="0" t="n">
        <v>33</v>
      </c>
      <c r="B1391" s="0" t="n">
        <v>33</v>
      </c>
      <c r="C1391" s="0" t="n">
        <f aca="false">-1+A1391*0.05</f>
        <v>0.65</v>
      </c>
      <c r="D1391" s="0" t="n">
        <f aca="false">-1+B1391*0.05</f>
        <v>0.65</v>
      </c>
      <c r="E1391" s="0" t="n">
        <f aca="false">1</f>
        <v>1</v>
      </c>
      <c r="F1391" s="0" t="n">
        <f aca="false">C1391</f>
        <v>0.65</v>
      </c>
      <c r="G1391" s="0" t="n">
        <f aca="false">D1391</f>
        <v>0.65</v>
      </c>
      <c r="H1391" s="0" t="n">
        <f aca="false">C1391*D1391</f>
        <v>0.4225</v>
      </c>
      <c r="I1391" s="0" t="n">
        <f aca="false">C1391*C1391</f>
        <v>0.4225</v>
      </c>
      <c r="J1391" s="0" t="n">
        <f aca="false">D1391*D1391</f>
        <v>0.4225</v>
      </c>
      <c r="K1391" s="0" t="n">
        <f aca="false">SUMPRODUCT(E1391:J1391,_XtX!$B$53:$G$53)</f>
        <v>49.3043958333333</v>
      </c>
      <c r="L1391" s="0" t="n">
        <f aca="false">SUMPRODUCT(MMULT(E1391:J1391,_XtX!$B$44:$G$49),E1391:J1391)</f>
        <v>0.263066145833333</v>
      </c>
      <c r="M1391" s="0" t="n">
        <f aca="false">04_回帰ANOVA!$K$19*04_回帰ANOVA!$K$14*SQRT(1+L1391)</f>
        <v>1.52296393750712</v>
      </c>
      <c r="N1391" s="0" t="n">
        <f aca="false">K1391-M1391</f>
        <v>47.7814318958262</v>
      </c>
      <c r="O1391" s="0" t="n">
        <f aca="false">K1391+M1391</f>
        <v>50.8273597708404</v>
      </c>
      <c r="P1391" s="54" t="b">
        <f aca="false">AND(C1391&gt;=01_因子設定!$L$5-0.000000001,C1391&lt;=01_因子設定!$M$5+0.000000001,D1391&gt;=01_因子設定!$L$6-0.000000001,D1391&lt;=01_因子設定!$M$6+0.000000001,IF(01_因子設定!$B$20="Box-Behnken",C1391^2+D1391^2&lt;=2+0.000000001,TRUE()))</f>
        <v>1</v>
      </c>
      <c r="Q1391" s="55" t="n">
        <f aca="false">IF(P1391,IF(01_因子設定!$B$13="最大化",N1391-01_因子設定!$B$14,IF(01_因子設定!$B$13="最小化",01_因子設定!$B$15-O1391,MIN(N1391-01_因子設定!$B$14,01_因子設定!$B$15-O1391))),-1E+030)</f>
        <v>1.28143189582621</v>
      </c>
      <c r="R1391" s="55" t="n">
        <f aca="false">IF(P1391,IF(01_因子設定!$B$13="最大化",K1391,IF(01_因子設定!$B$13="最小化",-K1391,-ABS(K1391-01_因子設定!$B$16))),-1E+030)</f>
        <v>49.3043958333333</v>
      </c>
      <c r="S1391" s="55" t="n">
        <f aca="false">Q1391+ROW()*0.000000001</f>
        <v>1.28143328682621</v>
      </c>
      <c r="T1391" s="55" t="n">
        <f aca="false">R1391+ROW()*0.000000001</f>
        <v>49.3043972243333</v>
      </c>
    </row>
    <row r="1392" customFormat="false" ht="15" hidden="false" customHeight="false" outlineLevel="0" collapsed="false">
      <c r="A1392" s="0" t="n">
        <v>33</v>
      </c>
      <c r="B1392" s="0" t="n">
        <v>34</v>
      </c>
      <c r="C1392" s="0" t="n">
        <f aca="false">-1+A1392*0.05</f>
        <v>0.65</v>
      </c>
      <c r="D1392" s="0" t="n">
        <f aca="false">-1+B1392*0.05</f>
        <v>0.7</v>
      </c>
      <c r="E1392" s="0" t="n">
        <f aca="false">1</f>
        <v>1</v>
      </c>
      <c r="F1392" s="0" t="n">
        <f aca="false">C1392</f>
        <v>0.65</v>
      </c>
      <c r="G1392" s="0" t="n">
        <f aca="false">D1392</f>
        <v>0.7</v>
      </c>
      <c r="H1392" s="0" t="n">
        <f aca="false">C1392*D1392</f>
        <v>0.455</v>
      </c>
      <c r="I1392" s="0" t="n">
        <f aca="false">C1392*C1392</f>
        <v>0.4225</v>
      </c>
      <c r="J1392" s="0" t="n">
        <f aca="false">D1392*D1392</f>
        <v>0.49</v>
      </c>
      <c r="K1392" s="0" t="n">
        <f aca="false">SUMPRODUCT(E1392:J1392,_XtX!$B$53:$G$53)</f>
        <v>49.3297988505747</v>
      </c>
      <c r="L1392" s="0" t="n">
        <f aca="false">SUMPRODUCT(MMULT(E1392:J1392,_XtX!$B$44:$G$49),E1392:J1392)</f>
        <v>0.281914260057471</v>
      </c>
      <c r="M1392" s="0" t="n">
        <f aca="false">04_回帰ANOVA!$K$19*04_回帰ANOVA!$K$14*SQRT(1+L1392)</f>
        <v>1.53428507945275</v>
      </c>
      <c r="N1392" s="0" t="n">
        <f aca="false">K1392-M1392</f>
        <v>47.795513771122</v>
      </c>
      <c r="O1392" s="0" t="n">
        <f aca="false">K1392+M1392</f>
        <v>50.8640839300275</v>
      </c>
      <c r="P1392" s="54" t="b">
        <f aca="false">AND(C1392&gt;=01_因子設定!$L$5-0.000000001,C1392&lt;=01_因子設定!$M$5+0.000000001,D1392&gt;=01_因子設定!$L$6-0.000000001,D1392&lt;=01_因子設定!$M$6+0.000000001,IF(01_因子設定!$B$20="Box-Behnken",C1392^2+D1392^2&lt;=2+0.000000001,TRUE()))</f>
        <v>1</v>
      </c>
      <c r="Q1392" s="55" t="n">
        <f aca="false">IF(P1392,IF(01_因子設定!$B$13="最大化",N1392-01_因子設定!$B$14,IF(01_因子設定!$B$13="最小化",01_因子設定!$B$15-O1392,MIN(N1392-01_因子設定!$B$14,01_因子設定!$B$15-O1392))),-1E+030)</f>
        <v>1.29551377112195</v>
      </c>
      <c r="R1392" s="55" t="n">
        <f aca="false">IF(P1392,IF(01_因子設定!$B$13="最大化",K1392,IF(01_因子設定!$B$13="最小化",-K1392,-ABS(K1392-01_因子設定!$B$16))),-1E+030)</f>
        <v>49.3297988505747</v>
      </c>
      <c r="S1392" s="55" t="n">
        <f aca="false">Q1392+ROW()*0.000000001</f>
        <v>1.29551516312195</v>
      </c>
      <c r="T1392" s="55" t="n">
        <f aca="false">R1392+ROW()*0.000000001</f>
        <v>49.3298002425747</v>
      </c>
    </row>
    <row r="1393" customFormat="false" ht="15" hidden="false" customHeight="false" outlineLevel="0" collapsed="false">
      <c r="A1393" s="0" t="n">
        <v>33</v>
      </c>
      <c r="B1393" s="0" t="n">
        <v>35</v>
      </c>
      <c r="C1393" s="0" t="n">
        <f aca="false">-1+A1393*0.05</f>
        <v>0.65</v>
      </c>
      <c r="D1393" s="0" t="n">
        <f aca="false">-1+B1393*0.05</f>
        <v>0.75</v>
      </c>
      <c r="E1393" s="0" t="n">
        <f aca="false">1</f>
        <v>1</v>
      </c>
      <c r="F1393" s="0" t="n">
        <f aca="false">C1393</f>
        <v>0.65</v>
      </c>
      <c r="G1393" s="0" t="n">
        <f aca="false">D1393</f>
        <v>0.75</v>
      </c>
      <c r="H1393" s="0" t="n">
        <f aca="false">C1393*D1393</f>
        <v>0.4875</v>
      </c>
      <c r="I1393" s="0" t="n">
        <f aca="false">C1393*C1393</f>
        <v>0.4225</v>
      </c>
      <c r="J1393" s="0" t="n">
        <f aca="false">D1393*D1393</f>
        <v>0.5625</v>
      </c>
      <c r="K1393" s="0" t="n">
        <f aca="false">SUMPRODUCT(E1393:J1393,_XtX!$B$53:$G$53)</f>
        <v>49.3474863505747</v>
      </c>
      <c r="L1393" s="0" t="n">
        <f aca="false">SUMPRODUCT(MMULT(E1393:J1393,_XtX!$B$44:$G$49),E1393:J1393)</f>
        <v>0.305833530890805</v>
      </c>
      <c r="M1393" s="0" t="n">
        <f aca="false">04_回帰ANOVA!$K$19*04_回帰ANOVA!$K$14*SQRT(1+L1393)</f>
        <v>1.54853305548253</v>
      </c>
      <c r="N1393" s="0" t="n">
        <f aca="false">K1393-M1393</f>
        <v>47.7989532950922</v>
      </c>
      <c r="O1393" s="0" t="n">
        <f aca="false">K1393+M1393</f>
        <v>50.8960194060572</v>
      </c>
      <c r="P1393" s="54" t="b">
        <f aca="false">AND(C1393&gt;=01_因子設定!$L$5-0.000000001,C1393&lt;=01_因子設定!$M$5+0.000000001,D1393&gt;=01_因子設定!$L$6-0.000000001,D1393&lt;=01_因子設定!$M$6+0.000000001,IF(01_因子設定!$B$20="Box-Behnken",C1393^2+D1393^2&lt;=2+0.000000001,TRUE()))</f>
        <v>1</v>
      </c>
      <c r="Q1393" s="55" t="n">
        <f aca="false">IF(P1393,IF(01_因子設定!$B$13="最大化",N1393-01_因子設定!$B$14,IF(01_因子設定!$B$13="最小化",01_因子設定!$B$15-O1393,MIN(N1393-01_因子設定!$B$14,01_因子設定!$B$15-O1393))),-1E+030)</f>
        <v>1.29895329509218</v>
      </c>
      <c r="R1393" s="55" t="n">
        <f aca="false">IF(P1393,IF(01_因子設定!$B$13="最大化",K1393,IF(01_因子設定!$B$13="最小化",-K1393,-ABS(K1393-01_因子設定!$B$16))),-1E+030)</f>
        <v>49.3474863505747</v>
      </c>
      <c r="S1393" s="55" t="n">
        <f aca="false">Q1393+ROW()*0.000000001</f>
        <v>1.29895468809218</v>
      </c>
      <c r="T1393" s="55" t="n">
        <f aca="false">R1393+ROW()*0.000000001</f>
        <v>49.3474877435747</v>
      </c>
    </row>
    <row r="1394" customFormat="false" ht="15" hidden="false" customHeight="false" outlineLevel="0" collapsed="false">
      <c r="A1394" s="0" t="n">
        <v>33</v>
      </c>
      <c r="B1394" s="0" t="n">
        <v>36</v>
      </c>
      <c r="C1394" s="0" t="n">
        <f aca="false">-1+A1394*0.05</f>
        <v>0.65</v>
      </c>
      <c r="D1394" s="0" t="n">
        <f aca="false">-1+B1394*0.05</f>
        <v>0.8</v>
      </c>
      <c r="E1394" s="0" t="n">
        <f aca="false">1</f>
        <v>1</v>
      </c>
      <c r="F1394" s="0" t="n">
        <f aca="false">C1394</f>
        <v>0.65</v>
      </c>
      <c r="G1394" s="0" t="n">
        <f aca="false">D1394</f>
        <v>0.8</v>
      </c>
      <c r="H1394" s="0" t="n">
        <f aca="false">C1394*D1394</f>
        <v>0.52</v>
      </c>
      <c r="I1394" s="0" t="n">
        <f aca="false">C1394*C1394</f>
        <v>0.4225</v>
      </c>
      <c r="J1394" s="0" t="n">
        <f aca="false">D1394*D1394</f>
        <v>0.64</v>
      </c>
      <c r="K1394" s="0" t="n">
        <f aca="false">SUMPRODUCT(E1394:J1394,_XtX!$B$53:$G$53)</f>
        <v>49.3574583333333</v>
      </c>
      <c r="L1394" s="0" t="n">
        <f aca="false">SUMPRODUCT(MMULT(E1394:J1394,_XtX!$B$44:$G$49),E1394:J1394)</f>
        <v>0.335611458333333</v>
      </c>
      <c r="M1394" s="0" t="n">
        <f aca="false">04_回帰ANOVA!$K$19*04_回帰ANOVA!$K$14*SQRT(1+L1394)</f>
        <v>1.56608972588958</v>
      </c>
      <c r="N1394" s="0" t="n">
        <f aca="false">K1394-M1394</f>
        <v>47.7913686074438</v>
      </c>
      <c r="O1394" s="0" t="n">
        <f aca="false">K1394+M1394</f>
        <v>50.9235480592229</v>
      </c>
      <c r="P1394" s="54" t="b">
        <f aca="false">AND(C1394&gt;=01_因子設定!$L$5-0.000000001,C1394&lt;=01_因子設定!$M$5+0.000000001,D1394&gt;=01_因子設定!$L$6-0.000000001,D1394&lt;=01_因子設定!$M$6+0.000000001,IF(01_因子設定!$B$20="Box-Behnken",C1394^2+D1394^2&lt;=2+0.000000001,TRUE()))</f>
        <v>1</v>
      </c>
      <c r="Q1394" s="55" t="n">
        <f aca="false">IF(P1394,IF(01_因子設定!$B$13="最大化",N1394-01_因子設定!$B$14,IF(01_因子設定!$B$13="最小化",01_因子設定!$B$15-O1394,MIN(N1394-01_因子設定!$B$14,01_因子設定!$B$15-O1394))),-1E+030)</f>
        <v>1.29136860744375</v>
      </c>
      <c r="R1394" s="55" t="n">
        <f aca="false">IF(P1394,IF(01_因子設定!$B$13="最大化",K1394,IF(01_因子設定!$B$13="最小化",-K1394,-ABS(K1394-01_因子設定!$B$16))),-1E+030)</f>
        <v>49.3574583333333</v>
      </c>
      <c r="S1394" s="55" t="n">
        <f aca="false">Q1394+ROW()*0.000000001</f>
        <v>1.29137000144375</v>
      </c>
      <c r="T1394" s="55" t="n">
        <f aca="false">R1394+ROW()*0.000000001</f>
        <v>49.3574597273333</v>
      </c>
    </row>
    <row r="1395" customFormat="false" ht="15" hidden="false" customHeight="false" outlineLevel="0" collapsed="false">
      <c r="A1395" s="0" t="n">
        <v>33</v>
      </c>
      <c r="B1395" s="0" t="n">
        <v>37</v>
      </c>
      <c r="C1395" s="0" t="n">
        <f aca="false">-1+A1395*0.05</f>
        <v>0.65</v>
      </c>
      <c r="D1395" s="0" t="n">
        <f aca="false">-1+B1395*0.05</f>
        <v>0.85</v>
      </c>
      <c r="E1395" s="0" t="n">
        <f aca="false">1</f>
        <v>1</v>
      </c>
      <c r="F1395" s="0" t="n">
        <f aca="false">C1395</f>
        <v>0.65</v>
      </c>
      <c r="G1395" s="0" t="n">
        <f aca="false">D1395</f>
        <v>0.85</v>
      </c>
      <c r="H1395" s="0" t="n">
        <f aca="false">C1395*D1395</f>
        <v>0.5525</v>
      </c>
      <c r="I1395" s="0" t="n">
        <f aca="false">C1395*C1395</f>
        <v>0.4225</v>
      </c>
      <c r="J1395" s="0" t="n">
        <f aca="false">D1395*D1395</f>
        <v>0.7225</v>
      </c>
      <c r="K1395" s="0" t="n">
        <f aca="false">SUMPRODUCT(E1395:J1395,_XtX!$B$53:$G$53)</f>
        <v>49.3597147988506</v>
      </c>
      <c r="L1395" s="0" t="n">
        <f aca="false">SUMPRODUCT(MMULT(E1395:J1395,_XtX!$B$44:$G$49),E1395:J1395)</f>
        <v>0.372089852729885</v>
      </c>
      <c r="M1395" s="0" t="n">
        <f aca="false">04_回帰ANOVA!$K$19*04_回帰ANOVA!$K$14*SQRT(1+L1395)</f>
        <v>1.58733228155404</v>
      </c>
      <c r="N1395" s="0" t="n">
        <f aca="false">K1395-M1395</f>
        <v>47.7723825172965</v>
      </c>
      <c r="O1395" s="0" t="n">
        <f aca="false">K1395+M1395</f>
        <v>50.9470470804046</v>
      </c>
      <c r="P1395" s="54" t="b">
        <f aca="false">AND(C1395&gt;=01_因子設定!$L$5-0.000000001,C1395&lt;=01_因子設定!$M$5+0.000000001,D1395&gt;=01_因子設定!$L$6-0.000000001,D1395&lt;=01_因子設定!$M$6+0.000000001,IF(01_因子設定!$B$20="Box-Behnken",C1395^2+D1395^2&lt;=2+0.000000001,TRUE()))</f>
        <v>1</v>
      </c>
      <c r="Q1395" s="55" t="n">
        <f aca="false">IF(P1395,IF(01_因子設定!$B$13="最大化",N1395-01_因子設定!$B$14,IF(01_因子設定!$B$13="最小化",01_因子設定!$B$15-O1395,MIN(N1395-01_因子設定!$B$14,01_因子設定!$B$15-O1395))),-1E+030)</f>
        <v>1.27238251729653</v>
      </c>
      <c r="R1395" s="55" t="n">
        <f aca="false">IF(P1395,IF(01_因子設定!$B$13="最大化",K1395,IF(01_因子設定!$B$13="最小化",-K1395,-ABS(K1395-01_因子設定!$B$16))),-1E+030)</f>
        <v>49.3597147988506</v>
      </c>
      <c r="S1395" s="55" t="n">
        <f aca="false">Q1395+ROW()*0.000000001</f>
        <v>1.27238391229653</v>
      </c>
      <c r="T1395" s="55" t="n">
        <f aca="false">R1395+ROW()*0.000000001</f>
        <v>49.3597161938506</v>
      </c>
    </row>
    <row r="1396" customFormat="false" ht="15" hidden="false" customHeight="false" outlineLevel="0" collapsed="false">
      <c r="A1396" s="0" t="n">
        <v>33</v>
      </c>
      <c r="B1396" s="0" t="n">
        <v>38</v>
      </c>
      <c r="C1396" s="0" t="n">
        <f aca="false">-1+A1396*0.05</f>
        <v>0.65</v>
      </c>
      <c r="D1396" s="0" t="n">
        <f aca="false">-1+B1396*0.05</f>
        <v>0.9</v>
      </c>
      <c r="E1396" s="0" t="n">
        <f aca="false">1</f>
        <v>1</v>
      </c>
      <c r="F1396" s="0" t="n">
        <f aca="false">C1396</f>
        <v>0.65</v>
      </c>
      <c r="G1396" s="0" t="n">
        <f aca="false">D1396</f>
        <v>0.9</v>
      </c>
      <c r="H1396" s="0" t="n">
        <f aca="false">C1396*D1396</f>
        <v>0.585</v>
      </c>
      <c r="I1396" s="0" t="n">
        <f aca="false">C1396*C1396</f>
        <v>0.4225</v>
      </c>
      <c r="J1396" s="0" t="n">
        <f aca="false">D1396*D1396</f>
        <v>0.81</v>
      </c>
      <c r="K1396" s="0" t="n">
        <f aca="false">SUMPRODUCT(E1396:J1396,_XtX!$B$53:$G$53)</f>
        <v>49.3542557471264</v>
      </c>
      <c r="L1396" s="0" t="n">
        <f aca="false">SUMPRODUCT(MMULT(E1396:J1396,_XtX!$B$44:$G$49),E1396:J1396)</f>
        <v>0.416164834770115</v>
      </c>
      <c r="M1396" s="0" t="n">
        <f aca="false">04_回帰ANOVA!$K$19*04_回帰ANOVA!$K$14*SQRT(1+L1396)</f>
        <v>1.61262532348959</v>
      </c>
      <c r="N1396" s="0" t="n">
        <f aca="false">K1396-M1396</f>
        <v>47.7416304236368</v>
      </c>
      <c r="O1396" s="0" t="n">
        <f aca="false">K1396+M1396</f>
        <v>50.966881070616</v>
      </c>
      <c r="P1396" s="54" t="b">
        <f aca="false">AND(C1396&gt;=01_因子設定!$L$5-0.000000001,C1396&lt;=01_因子設定!$M$5+0.000000001,D1396&gt;=01_因子設定!$L$6-0.000000001,D1396&lt;=01_因子設定!$M$6+0.000000001,IF(01_因子設定!$B$20="Box-Behnken",C1396^2+D1396^2&lt;=2+0.000000001,TRUE()))</f>
        <v>1</v>
      </c>
      <c r="Q1396" s="55" t="n">
        <f aca="false">IF(P1396,IF(01_因子設定!$B$13="最大化",N1396-01_因子設定!$B$14,IF(01_因子設定!$B$13="最小化",01_因子設定!$B$15-O1396,MIN(N1396-01_因子設定!$B$14,01_因子設定!$B$15-O1396))),-1E+030)</f>
        <v>1.24163042363683</v>
      </c>
      <c r="R1396" s="55" t="n">
        <f aca="false">IF(P1396,IF(01_因子設定!$B$13="最大化",K1396,IF(01_因子設定!$B$13="最小化",-K1396,-ABS(K1396-01_因子設定!$B$16))),-1E+030)</f>
        <v>49.3542557471264</v>
      </c>
      <c r="S1396" s="55" t="n">
        <f aca="false">Q1396+ROW()*0.000000001</f>
        <v>1.24163181963683</v>
      </c>
      <c r="T1396" s="55" t="n">
        <f aca="false">R1396+ROW()*0.000000001</f>
        <v>49.3542571431264</v>
      </c>
    </row>
    <row r="1397" customFormat="false" ht="15" hidden="false" customHeight="false" outlineLevel="0" collapsed="false">
      <c r="A1397" s="0" t="n">
        <v>33</v>
      </c>
      <c r="B1397" s="0" t="n">
        <v>39</v>
      </c>
      <c r="C1397" s="0" t="n">
        <f aca="false">-1+A1397*0.05</f>
        <v>0.65</v>
      </c>
      <c r="D1397" s="0" t="n">
        <f aca="false">-1+B1397*0.05</f>
        <v>0.95</v>
      </c>
      <c r="E1397" s="0" t="n">
        <f aca="false">1</f>
        <v>1</v>
      </c>
      <c r="F1397" s="0" t="n">
        <f aca="false">C1397</f>
        <v>0.65</v>
      </c>
      <c r="G1397" s="0" t="n">
        <f aca="false">D1397</f>
        <v>0.95</v>
      </c>
      <c r="H1397" s="0" t="n">
        <f aca="false">C1397*D1397</f>
        <v>0.6175</v>
      </c>
      <c r="I1397" s="0" t="n">
        <f aca="false">C1397*C1397</f>
        <v>0.4225</v>
      </c>
      <c r="J1397" s="0" t="n">
        <f aca="false">D1397*D1397</f>
        <v>0.9025</v>
      </c>
      <c r="K1397" s="0" t="n">
        <f aca="false">SUMPRODUCT(E1397:J1397,_XtX!$B$53:$G$53)</f>
        <v>49.3410811781609</v>
      </c>
      <c r="L1397" s="0" t="n">
        <f aca="false">SUMPRODUCT(MMULT(E1397:J1397,_XtX!$B$44:$G$49),E1397:J1397)</f>
        <v>0.468786835488506</v>
      </c>
      <c r="M1397" s="0" t="n">
        <f aca="false">04_回帰ANOVA!$K$19*04_回帰ANOVA!$K$14*SQRT(1+L1397)</f>
        <v>1.64231310350799</v>
      </c>
      <c r="N1397" s="0" t="n">
        <f aca="false">K1397-M1397</f>
        <v>47.6987680746529</v>
      </c>
      <c r="O1397" s="0" t="n">
        <f aca="false">K1397+M1397</f>
        <v>50.9833942816689</v>
      </c>
      <c r="P1397" s="54" t="b">
        <f aca="false">AND(C1397&gt;=01_因子設定!$L$5-0.000000001,C1397&lt;=01_因子設定!$M$5+0.000000001,D1397&gt;=01_因子設定!$L$6-0.000000001,D1397&lt;=01_因子設定!$M$6+0.000000001,IF(01_因子設定!$B$20="Box-Behnken",C1397^2+D1397^2&lt;=2+0.000000001,TRUE()))</f>
        <v>1</v>
      </c>
      <c r="Q1397" s="55" t="n">
        <f aca="false">IF(P1397,IF(01_因子設定!$B$13="最大化",N1397-01_因子設定!$B$14,IF(01_因子設定!$B$13="最小化",01_因子設定!$B$15-O1397,MIN(N1397-01_因子設定!$B$14,01_因子設定!$B$15-O1397))),-1E+030)</f>
        <v>1.19876807465292</v>
      </c>
      <c r="R1397" s="55" t="n">
        <f aca="false">IF(P1397,IF(01_因子設定!$B$13="最大化",K1397,IF(01_因子設定!$B$13="最小化",-K1397,-ABS(K1397-01_因子設定!$B$16))),-1E+030)</f>
        <v>49.3410811781609</v>
      </c>
      <c r="S1397" s="55" t="n">
        <f aca="false">Q1397+ROW()*0.000000001</f>
        <v>1.19876947165292</v>
      </c>
      <c r="T1397" s="55" t="n">
        <f aca="false">R1397+ROW()*0.000000001</f>
        <v>49.3410825751609</v>
      </c>
    </row>
    <row r="1398" customFormat="false" ht="15" hidden="false" customHeight="false" outlineLevel="0" collapsed="false">
      <c r="A1398" s="0" t="n">
        <v>33</v>
      </c>
      <c r="B1398" s="0" t="n">
        <v>40</v>
      </c>
      <c r="C1398" s="0" t="n">
        <f aca="false">-1+A1398*0.05</f>
        <v>0.65</v>
      </c>
      <c r="D1398" s="0" t="n">
        <f aca="false">-1+B1398*0.05</f>
        <v>1</v>
      </c>
      <c r="E1398" s="0" t="n">
        <f aca="false">1</f>
        <v>1</v>
      </c>
      <c r="F1398" s="0" t="n">
        <f aca="false">C1398</f>
        <v>0.65</v>
      </c>
      <c r="G1398" s="0" t="n">
        <f aca="false">D1398</f>
        <v>1</v>
      </c>
      <c r="H1398" s="0" t="n">
        <f aca="false">C1398*D1398</f>
        <v>0.65</v>
      </c>
      <c r="I1398" s="0" t="n">
        <f aca="false">C1398*C1398</f>
        <v>0.4225</v>
      </c>
      <c r="J1398" s="0" t="n">
        <f aca="false">D1398*D1398</f>
        <v>1</v>
      </c>
      <c r="K1398" s="0" t="n">
        <f aca="false">SUMPRODUCT(E1398:J1398,_XtX!$B$53:$G$53)</f>
        <v>49.320191091954</v>
      </c>
      <c r="L1398" s="0" t="n">
        <f aca="false">SUMPRODUCT(MMULT(E1398:J1398,_XtX!$B$44:$G$49),E1398:J1398)</f>
        <v>0.530960596264368</v>
      </c>
      <c r="M1398" s="0" t="n">
        <f aca="false">04_回帰ANOVA!$K$19*04_回帰ANOVA!$K$14*SQRT(1+L1398)</f>
        <v>1.6767124103567</v>
      </c>
      <c r="N1398" s="0" t="n">
        <f aca="false">K1398-M1398</f>
        <v>47.6434786815973</v>
      </c>
      <c r="O1398" s="0" t="n">
        <f aca="false">K1398+M1398</f>
        <v>50.9969035023107</v>
      </c>
      <c r="P1398" s="54" t="b">
        <f aca="false">AND(C1398&gt;=01_因子設定!$L$5-0.000000001,C1398&lt;=01_因子設定!$M$5+0.000000001,D1398&gt;=01_因子設定!$L$6-0.000000001,D1398&lt;=01_因子設定!$M$6+0.000000001,IF(01_因子設定!$B$20="Box-Behnken",C1398^2+D1398^2&lt;=2+0.000000001,TRUE()))</f>
        <v>1</v>
      </c>
      <c r="Q1398" s="55" t="n">
        <f aca="false">IF(P1398,IF(01_因子設定!$B$13="最大化",N1398-01_因子設定!$B$14,IF(01_因子設定!$B$13="最小化",01_因子設定!$B$15-O1398,MIN(N1398-01_因子設定!$B$14,01_因子設定!$B$15-O1398))),-1E+030)</f>
        <v>1.14347868159731</v>
      </c>
      <c r="R1398" s="55" t="n">
        <f aca="false">IF(P1398,IF(01_因子設定!$B$13="最大化",K1398,IF(01_因子設定!$B$13="最小化",-K1398,-ABS(K1398-01_因子設定!$B$16))),-1E+030)</f>
        <v>49.320191091954</v>
      </c>
      <c r="S1398" s="55" t="n">
        <f aca="false">Q1398+ROW()*0.000000001</f>
        <v>1.14348007959731</v>
      </c>
      <c r="T1398" s="55" t="n">
        <f aca="false">R1398+ROW()*0.000000001</f>
        <v>49.320192489954</v>
      </c>
    </row>
    <row r="1399" customFormat="false" ht="15" hidden="false" customHeight="false" outlineLevel="0" collapsed="false">
      <c r="A1399" s="0" t="n">
        <v>34</v>
      </c>
      <c r="B1399" s="0" t="n">
        <v>0</v>
      </c>
      <c r="C1399" s="0" t="n">
        <f aca="false">-1+A1399*0.05</f>
        <v>0.7</v>
      </c>
      <c r="D1399" s="0" t="n">
        <f aca="false">-1+B1399*0.05</f>
        <v>-1</v>
      </c>
      <c r="E1399" s="0" t="n">
        <f aca="false">1</f>
        <v>1</v>
      </c>
      <c r="F1399" s="0" t="n">
        <f aca="false">C1399</f>
        <v>0.7</v>
      </c>
      <c r="G1399" s="0" t="n">
        <f aca="false">D1399</f>
        <v>-1</v>
      </c>
      <c r="H1399" s="0" t="n">
        <f aca="false">C1399*D1399</f>
        <v>-0.7</v>
      </c>
      <c r="I1399" s="0" t="n">
        <f aca="false">C1399*C1399</f>
        <v>0.49</v>
      </c>
      <c r="J1399" s="0" t="n">
        <f aca="false">D1399*D1399</f>
        <v>1</v>
      </c>
      <c r="K1399" s="0" t="n">
        <f aca="false">SUMPRODUCT(E1399:J1399,_XtX!$B$53:$G$53)</f>
        <v>44.0321149425287</v>
      </c>
      <c r="L1399" s="0" t="n">
        <f aca="false">SUMPRODUCT(MMULT(E1399:J1399,_XtX!$B$44:$G$49),E1399:J1399)</f>
        <v>0.548800574712644</v>
      </c>
      <c r="M1399" s="0" t="n">
        <f aca="false">04_回帰ANOVA!$K$19*04_回帰ANOVA!$K$14*SQRT(1+L1399)</f>
        <v>1.68645331298059</v>
      </c>
      <c r="N1399" s="0" t="n">
        <f aca="false">K1399-M1399</f>
        <v>42.3456616295481</v>
      </c>
      <c r="O1399" s="0" t="n">
        <f aca="false">K1399+M1399</f>
        <v>45.7185682555093</v>
      </c>
      <c r="P1399" s="54" t="b">
        <f aca="false">AND(C1399&gt;=01_因子設定!$L$5-0.000000001,C1399&lt;=01_因子設定!$M$5+0.000000001,D1399&gt;=01_因子設定!$L$6-0.000000001,D1399&lt;=01_因子設定!$M$6+0.000000001,IF(01_因子設定!$B$20="Box-Behnken",C1399^2+D1399^2&lt;=2+0.000000001,TRUE()))</f>
        <v>1</v>
      </c>
      <c r="Q1399" s="55" t="n">
        <f aca="false">IF(P1399,IF(01_因子設定!$B$13="最大化",N1399-01_因子設定!$B$14,IF(01_因子設定!$B$13="最小化",01_因子設定!$B$15-O1399,MIN(N1399-01_因子設定!$B$14,01_因子設定!$B$15-O1399))),-1E+030)</f>
        <v>-4.15433837045186</v>
      </c>
      <c r="R1399" s="55" t="n">
        <f aca="false">IF(P1399,IF(01_因子設定!$B$13="最大化",K1399,IF(01_因子設定!$B$13="最小化",-K1399,-ABS(K1399-01_因子設定!$B$16))),-1E+030)</f>
        <v>44.0321149425287</v>
      </c>
      <c r="S1399" s="55" t="n">
        <f aca="false">Q1399+ROW()*0.000000001</f>
        <v>-4.15433697145186</v>
      </c>
      <c r="T1399" s="55" t="n">
        <f aca="false">R1399+ROW()*0.000000001</f>
        <v>44.0321163415287</v>
      </c>
    </row>
    <row r="1400" customFormat="false" ht="15" hidden="false" customHeight="false" outlineLevel="0" collapsed="false">
      <c r="A1400" s="0" t="n">
        <v>34</v>
      </c>
      <c r="B1400" s="0" t="n">
        <v>1</v>
      </c>
      <c r="C1400" s="0" t="n">
        <f aca="false">-1+A1400*0.05</f>
        <v>0.7</v>
      </c>
      <c r="D1400" s="0" t="n">
        <f aca="false">-1+B1400*0.05</f>
        <v>-0.95</v>
      </c>
      <c r="E1400" s="0" t="n">
        <f aca="false">1</f>
        <v>1</v>
      </c>
      <c r="F1400" s="0" t="n">
        <f aca="false">C1400</f>
        <v>0.7</v>
      </c>
      <c r="G1400" s="0" t="n">
        <f aca="false">D1400</f>
        <v>-0.95</v>
      </c>
      <c r="H1400" s="0" t="n">
        <f aca="false">C1400*D1400</f>
        <v>-0.665</v>
      </c>
      <c r="I1400" s="0" t="n">
        <f aca="false">C1400*C1400</f>
        <v>0.49</v>
      </c>
      <c r="J1400" s="0" t="n">
        <f aca="false">D1400*D1400</f>
        <v>0.9025</v>
      </c>
      <c r="K1400" s="0" t="n">
        <f aca="false">SUMPRODUCT(E1400:J1400,_XtX!$B$53:$G$53)</f>
        <v>44.3134425287356</v>
      </c>
      <c r="L1400" s="0" t="n">
        <f aca="false">SUMPRODUCT(MMULT(E1400:J1400,_XtX!$B$44:$G$49),E1400:J1400)</f>
        <v>0.486797018678161</v>
      </c>
      <c r="M1400" s="0" t="n">
        <f aca="false">04_回帰ANOVA!$K$19*04_回帰ANOVA!$K$14*SQRT(1+L1400)</f>
        <v>1.65235140136234</v>
      </c>
      <c r="N1400" s="0" t="n">
        <f aca="false">K1400-M1400</f>
        <v>42.6610911273733</v>
      </c>
      <c r="O1400" s="0" t="n">
        <f aca="false">K1400+M1400</f>
        <v>45.965793930098</v>
      </c>
      <c r="P1400" s="54" t="b">
        <f aca="false">AND(C1400&gt;=01_因子設定!$L$5-0.000000001,C1400&lt;=01_因子設定!$M$5+0.000000001,D1400&gt;=01_因子設定!$L$6-0.000000001,D1400&lt;=01_因子設定!$M$6+0.000000001,IF(01_因子設定!$B$20="Box-Behnken",C1400^2+D1400^2&lt;=2+0.000000001,TRUE()))</f>
        <v>1</v>
      </c>
      <c r="Q1400" s="55" t="n">
        <f aca="false">IF(P1400,IF(01_因子設定!$B$13="最大化",N1400-01_因子設定!$B$14,IF(01_因子設定!$B$13="最小化",01_因子設定!$B$15-O1400,MIN(N1400-01_因子設定!$B$14,01_因子設定!$B$15-O1400))),-1E+030)</f>
        <v>-3.83890887262671</v>
      </c>
      <c r="R1400" s="55" t="n">
        <f aca="false">IF(P1400,IF(01_因子設定!$B$13="最大化",K1400,IF(01_因子設定!$B$13="最小化",-K1400,-ABS(K1400-01_因子設定!$B$16))),-1E+030)</f>
        <v>44.3134425287356</v>
      </c>
      <c r="S1400" s="55" t="n">
        <f aca="false">Q1400+ROW()*0.000000001</f>
        <v>-3.83890747262671</v>
      </c>
      <c r="T1400" s="55" t="n">
        <f aca="false">R1400+ROW()*0.000000001</f>
        <v>44.3134439287356</v>
      </c>
    </row>
    <row r="1401" customFormat="false" ht="15" hidden="false" customHeight="false" outlineLevel="0" collapsed="false">
      <c r="A1401" s="0" t="n">
        <v>34</v>
      </c>
      <c r="B1401" s="0" t="n">
        <v>2</v>
      </c>
      <c r="C1401" s="0" t="n">
        <f aca="false">-1+A1401*0.05</f>
        <v>0.7</v>
      </c>
      <c r="D1401" s="0" t="n">
        <f aca="false">-1+B1401*0.05</f>
        <v>-0.9</v>
      </c>
      <c r="E1401" s="0" t="n">
        <f aca="false">1</f>
        <v>1</v>
      </c>
      <c r="F1401" s="0" t="n">
        <f aca="false">C1401</f>
        <v>0.7</v>
      </c>
      <c r="G1401" s="0" t="n">
        <f aca="false">D1401</f>
        <v>-0.9</v>
      </c>
      <c r="H1401" s="0" t="n">
        <f aca="false">C1401*D1401</f>
        <v>-0.63</v>
      </c>
      <c r="I1401" s="0" t="n">
        <f aca="false">C1401*C1401</f>
        <v>0.49</v>
      </c>
      <c r="J1401" s="0" t="n">
        <f aca="false">D1401*D1401</f>
        <v>0.81</v>
      </c>
      <c r="K1401" s="0" t="n">
        <f aca="false">SUMPRODUCT(E1401:J1401,_XtX!$B$53:$G$53)</f>
        <v>44.5870545977011</v>
      </c>
      <c r="L1401" s="0" t="n">
        <f aca="false">SUMPRODUCT(MMULT(E1401:J1401,_XtX!$B$44:$G$49),E1401:J1401)</f>
        <v>0.434336494252874</v>
      </c>
      <c r="M1401" s="0" t="n">
        <f aca="false">04_回帰ANOVA!$K$19*04_回帰ANOVA!$K$14*SQRT(1+L1401)</f>
        <v>1.62293862576512</v>
      </c>
      <c r="N1401" s="0" t="n">
        <f aca="false">K1401-M1401</f>
        <v>42.964115971936</v>
      </c>
      <c r="O1401" s="0" t="n">
        <f aca="false">K1401+M1401</f>
        <v>46.2099932234663</v>
      </c>
      <c r="P1401" s="54" t="b">
        <f aca="false">AND(C1401&gt;=01_因子設定!$L$5-0.000000001,C1401&lt;=01_因子設定!$M$5+0.000000001,D1401&gt;=01_因子設定!$L$6-0.000000001,D1401&lt;=01_因子設定!$M$6+0.000000001,IF(01_因子設定!$B$20="Box-Behnken",C1401^2+D1401^2&lt;=2+0.000000001,TRUE()))</f>
        <v>1</v>
      </c>
      <c r="Q1401" s="55" t="n">
        <f aca="false">IF(P1401,IF(01_因子設定!$B$13="最大化",N1401-01_因子設定!$B$14,IF(01_因子設定!$B$13="最小化",01_因子設定!$B$15-O1401,MIN(N1401-01_因子設定!$B$14,01_因子設定!$B$15-O1401))),-1E+030)</f>
        <v>-3.53588402806398</v>
      </c>
      <c r="R1401" s="55" t="n">
        <f aca="false">IF(P1401,IF(01_因子設定!$B$13="最大化",K1401,IF(01_因子設定!$B$13="最小化",-K1401,-ABS(K1401-01_因子設定!$B$16))),-1E+030)</f>
        <v>44.5870545977011</v>
      </c>
      <c r="S1401" s="55" t="n">
        <f aca="false">Q1401+ROW()*0.000000001</f>
        <v>-3.53588262706398</v>
      </c>
      <c r="T1401" s="55" t="n">
        <f aca="false">R1401+ROW()*0.000000001</f>
        <v>44.5870559987011</v>
      </c>
    </row>
    <row r="1402" customFormat="false" ht="15" hidden="false" customHeight="false" outlineLevel="0" collapsed="false">
      <c r="A1402" s="0" t="n">
        <v>34</v>
      </c>
      <c r="B1402" s="0" t="n">
        <v>3</v>
      </c>
      <c r="C1402" s="0" t="n">
        <f aca="false">-1+A1402*0.05</f>
        <v>0.7</v>
      </c>
      <c r="D1402" s="0" t="n">
        <f aca="false">-1+B1402*0.05</f>
        <v>-0.85</v>
      </c>
      <c r="E1402" s="0" t="n">
        <f aca="false">1</f>
        <v>1</v>
      </c>
      <c r="F1402" s="0" t="n">
        <f aca="false">C1402</f>
        <v>0.7</v>
      </c>
      <c r="G1402" s="0" t="n">
        <f aca="false">D1402</f>
        <v>-0.85</v>
      </c>
      <c r="H1402" s="0" t="n">
        <f aca="false">C1402*D1402</f>
        <v>-0.595</v>
      </c>
      <c r="I1402" s="0" t="n">
        <f aca="false">C1402*C1402</f>
        <v>0.49</v>
      </c>
      <c r="J1402" s="0" t="n">
        <f aca="false">D1402*D1402</f>
        <v>0.7225</v>
      </c>
      <c r="K1402" s="0" t="n">
        <f aca="false">SUMPRODUCT(E1402:J1402,_XtX!$B$53:$G$53)</f>
        <v>44.8529511494253</v>
      </c>
      <c r="L1402" s="0" t="n">
        <f aca="false">SUMPRODUCT(MMULT(E1402:J1402,_XtX!$B$44:$G$49),E1402:J1402)</f>
        <v>0.390414260057471</v>
      </c>
      <c r="M1402" s="0" t="n">
        <f aca="false">04_回帰ANOVA!$K$19*04_回帰ANOVA!$K$14*SQRT(1+L1402)</f>
        <v>1.59789662309984</v>
      </c>
      <c r="N1402" s="0" t="n">
        <f aca="false">K1402-M1402</f>
        <v>43.2550545263254</v>
      </c>
      <c r="O1402" s="0" t="n">
        <f aca="false">K1402+M1402</f>
        <v>46.4508477725251</v>
      </c>
      <c r="P1402" s="54" t="b">
        <f aca="false">AND(C1402&gt;=01_因子設定!$L$5-0.000000001,C1402&lt;=01_因子設定!$M$5+0.000000001,D1402&gt;=01_因子設定!$L$6-0.000000001,D1402&lt;=01_因子設定!$M$6+0.000000001,IF(01_因子設定!$B$20="Box-Behnken",C1402^2+D1402^2&lt;=2+0.000000001,TRUE()))</f>
        <v>1</v>
      </c>
      <c r="Q1402" s="55" t="n">
        <f aca="false">IF(P1402,IF(01_因子設定!$B$13="最大化",N1402-01_因子設定!$B$14,IF(01_因子設定!$B$13="最小化",01_因子設定!$B$15-O1402,MIN(N1402-01_因子設定!$B$14,01_因子設定!$B$15-O1402))),-1E+030)</f>
        <v>-3.24494547367456</v>
      </c>
      <c r="R1402" s="55" t="n">
        <f aca="false">IF(P1402,IF(01_因子設定!$B$13="最大化",K1402,IF(01_因子設定!$B$13="最小化",-K1402,-ABS(K1402-01_因子設定!$B$16))),-1E+030)</f>
        <v>44.8529511494253</v>
      </c>
      <c r="S1402" s="55" t="n">
        <f aca="false">Q1402+ROW()*0.000000001</f>
        <v>-3.24494407167456</v>
      </c>
      <c r="T1402" s="55" t="n">
        <f aca="false">R1402+ROW()*0.000000001</f>
        <v>44.8529525514253</v>
      </c>
    </row>
    <row r="1403" customFormat="false" ht="15" hidden="false" customHeight="false" outlineLevel="0" collapsed="false">
      <c r="A1403" s="0" t="n">
        <v>34</v>
      </c>
      <c r="B1403" s="0" t="n">
        <v>4</v>
      </c>
      <c r="C1403" s="0" t="n">
        <f aca="false">-1+A1403*0.05</f>
        <v>0.7</v>
      </c>
      <c r="D1403" s="0" t="n">
        <f aca="false">-1+B1403*0.05</f>
        <v>-0.8</v>
      </c>
      <c r="E1403" s="0" t="n">
        <f aca="false">1</f>
        <v>1</v>
      </c>
      <c r="F1403" s="0" t="n">
        <f aca="false">C1403</f>
        <v>0.7</v>
      </c>
      <c r="G1403" s="0" t="n">
        <f aca="false">D1403</f>
        <v>-0.8</v>
      </c>
      <c r="H1403" s="0" t="n">
        <f aca="false">C1403*D1403</f>
        <v>-0.56</v>
      </c>
      <c r="I1403" s="0" t="n">
        <f aca="false">C1403*C1403</f>
        <v>0.49</v>
      </c>
      <c r="J1403" s="0" t="n">
        <f aca="false">D1403*D1403</f>
        <v>0.64</v>
      </c>
      <c r="K1403" s="0" t="n">
        <f aca="false">SUMPRODUCT(E1403:J1403,_XtX!$B$53:$G$53)</f>
        <v>45.111132183908</v>
      </c>
      <c r="L1403" s="0" t="n">
        <f aca="false">SUMPRODUCT(MMULT(E1403:J1403,_XtX!$B$44:$G$49),E1403:J1403)</f>
        <v>0.354079885057471</v>
      </c>
      <c r="M1403" s="0" t="n">
        <f aca="false">04_回帰ANOVA!$K$19*04_回帰ANOVA!$K$14*SQRT(1+L1403)</f>
        <v>1.57688025677174</v>
      </c>
      <c r="N1403" s="0" t="n">
        <f aca="false">K1403-M1403</f>
        <v>43.5342519271363</v>
      </c>
      <c r="O1403" s="0" t="n">
        <f aca="false">K1403+M1403</f>
        <v>46.6880124406798</v>
      </c>
      <c r="P1403" s="54" t="b">
        <f aca="false">AND(C1403&gt;=01_因子設定!$L$5-0.000000001,C1403&lt;=01_因子設定!$M$5+0.000000001,D1403&gt;=01_因子設定!$L$6-0.000000001,D1403&lt;=01_因子設定!$M$6+0.000000001,IF(01_因子設定!$B$20="Box-Behnken",C1403^2+D1403^2&lt;=2+0.000000001,TRUE()))</f>
        <v>1</v>
      </c>
      <c r="Q1403" s="55" t="n">
        <f aca="false">IF(P1403,IF(01_因子設定!$B$13="最大化",N1403-01_因子設定!$B$14,IF(01_因子設定!$B$13="最小化",01_因子設定!$B$15-O1403,MIN(N1403-01_因子設定!$B$14,01_因子設定!$B$15-O1403))),-1E+030)</f>
        <v>-2.9657480728637</v>
      </c>
      <c r="R1403" s="55" t="n">
        <f aca="false">IF(P1403,IF(01_因子設定!$B$13="最大化",K1403,IF(01_因子設定!$B$13="最小化",-K1403,-ABS(K1403-01_因子設定!$B$16))),-1E+030)</f>
        <v>45.111132183908</v>
      </c>
      <c r="S1403" s="55" t="n">
        <f aca="false">Q1403+ROW()*0.000000001</f>
        <v>-2.9657466698637</v>
      </c>
      <c r="T1403" s="55" t="n">
        <f aca="false">R1403+ROW()*0.000000001</f>
        <v>45.111133586908</v>
      </c>
    </row>
    <row r="1404" customFormat="false" ht="15" hidden="false" customHeight="false" outlineLevel="0" collapsed="false">
      <c r="A1404" s="0" t="n">
        <v>34</v>
      </c>
      <c r="B1404" s="0" t="n">
        <v>5</v>
      </c>
      <c r="C1404" s="0" t="n">
        <f aca="false">-1+A1404*0.05</f>
        <v>0.7</v>
      </c>
      <c r="D1404" s="0" t="n">
        <f aca="false">-1+B1404*0.05</f>
        <v>-0.75</v>
      </c>
      <c r="E1404" s="0" t="n">
        <f aca="false">1</f>
        <v>1</v>
      </c>
      <c r="F1404" s="0" t="n">
        <f aca="false">C1404</f>
        <v>0.7</v>
      </c>
      <c r="G1404" s="0" t="n">
        <f aca="false">D1404</f>
        <v>-0.75</v>
      </c>
      <c r="H1404" s="0" t="n">
        <f aca="false">C1404*D1404</f>
        <v>-0.525</v>
      </c>
      <c r="I1404" s="0" t="n">
        <f aca="false">C1404*C1404</f>
        <v>0.49</v>
      </c>
      <c r="J1404" s="0" t="n">
        <f aca="false">D1404*D1404</f>
        <v>0.5625</v>
      </c>
      <c r="K1404" s="0" t="n">
        <f aca="false">SUMPRODUCT(E1404:J1404,_XtX!$B$53:$G$53)</f>
        <v>45.3615977011494</v>
      </c>
      <c r="L1404" s="0" t="n">
        <f aca="false">SUMPRODUCT(MMULT(E1404:J1404,_XtX!$B$44:$G$49),E1404:J1404)</f>
        <v>0.324437248563218</v>
      </c>
      <c r="M1404" s="0" t="n">
        <f aca="false">04_回帰ANOVA!$K$19*04_回帰ANOVA!$K$14*SQRT(1+L1404)</f>
        <v>1.55952472849596</v>
      </c>
      <c r="N1404" s="0" t="n">
        <f aca="false">K1404-M1404</f>
        <v>43.8020729726535</v>
      </c>
      <c r="O1404" s="0" t="n">
        <f aca="false">K1404+M1404</f>
        <v>46.9211224296454</v>
      </c>
      <c r="P1404" s="54" t="b">
        <f aca="false">AND(C1404&gt;=01_因子設定!$L$5-0.000000001,C1404&lt;=01_因子設定!$M$5+0.000000001,D1404&gt;=01_因子設定!$L$6-0.000000001,D1404&lt;=01_因子設定!$M$6+0.000000001,IF(01_因子設定!$B$20="Box-Behnken",C1404^2+D1404^2&lt;=2+0.000000001,TRUE()))</f>
        <v>1</v>
      </c>
      <c r="Q1404" s="55" t="n">
        <f aca="false">IF(P1404,IF(01_因子設定!$B$13="最大化",N1404-01_因子設定!$B$14,IF(01_因子設定!$B$13="最小化",01_因子設定!$B$15-O1404,MIN(N1404-01_因子設定!$B$14,01_因子設定!$B$15-O1404))),-1E+030)</f>
        <v>-2.69792702734654</v>
      </c>
      <c r="R1404" s="55" t="n">
        <f aca="false">IF(P1404,IF(01_因子設定!$B$13="最大化",K1404,IF(01_因子設定!$B$13="最小化",-K1404,-ABS(K1404-01_因子設定!$B$16))),-1E+030)</f>
        <v>45.3615977011494</v>
      </c>
      <c r="S1404" s="55" t="n">
        <f aca="false">Q1404+ROW()*0.000000001</f>
        <v>-2.69792562334654</v>
      </c>
      <c r="T1404" s="55" t="n">
        <f aca="false">R1404+ROW()*0.000000001</f>
        <v>45.3615991051494</v>
      </c>
    </row>
    <row r="1405" customFormat="false" ht="15" hidden="false" customHeight="false" outlineLevel="0" collapsed="false">
      <c r="A1405" s="0" t="n">
        <v>34</v>
      </c>
      <c r="B1405" s="0" t="n">
        <v>6</v>
      </c>
      <c r="C1405" s="0" t="n">
        <f aca="false">-1+A1405*0.05</f>
        <v>0.7</v>
      </c>
      <c r="D1405" s="0" t="n">
        <f aca="false">-1+B1405*0.05</f>
        <v>-0.7</v>
      </c>
      <c r="E1405" s="0" t="n">
        <f aca="false">1</f>
        <v>1</v>
      </c>
      <c r="F1405" s="0" t="n">
        <f aca="false">C1405</f>
        <v>0.7</v>
      </c>
      <c r="G1405" s="0" t="n">
        <f aca="false">D1405</f>
        <v>-0.7</v>
      </c>
      <c r="H1405" s="0" t="n">
        <f aca="false">C1405*D1405</f>
        <v>-0.49</v>
      </c>
      <c r="I1405" s="0" t="n">
        <f aca="false">C1405*C1405</f>
        <v>0.49</v>
      </c>
      <c r="J1405" s="0" t="n">
        <f aca="false">D1405*D1405</f>
        <v>0.49</v>
      </c>
      <c r="K1405" s="0" t="n">
        <f aca="false">SUMPRODUCT(E1405:J1405,_XtX!$B$53:$G$53)</f>
        <v>45.6043477011494</v>
      </c>
      <c r="L1405" s="0" t="n">
        <f aca="false">SUMPRODUCT(MMULT(E1405:J1405,_XtX!$B$44:$G$49),E1405:J1405)</f>
        <v>0.300644540229885</v>
      </c>
      <c r="M1405" s="0" t="n">
        <f aca="false">04_回帰ANOVA!$K$19*04_回帰ANOVA!$K$14*SQRT(1+L1405)</f>
        <v>1.54545329004401</v>
      </c>
      <c r="N1405" s="0" t="n">
        <f aca="false">K1405-M1405</f>
        <v>44.0588944111054</v>
      </c>
      <c r="O1405" s="0" t="n">
        <f aca="false">K1405+M1405</f>
        <v>47.1498009911934</v>
      </c>
      <c r="P1405" s="54" t="b">
        <f aca="false">AND(C1405&gt;=01_因子設定!$L$5-0.000000001,C1405&lt;=01_因子設定!$M$5+0.000000001,D1405&gt;=01_因子設定!$L$6-0.000000001,D1405&lt;=01_因子設定!$M$6+0.000000001,IF(01_因子設定!$B$20="Box-Behnken",C1405^2+D1405^2&lt;=2+0.000000001,TRUE()))</f>
        <v>1</v>
      </c>
      <c r="Q1405" s="55" t="n">
        <f aca="false">IF(P1405,IF(01_因子設定!$B$13="最大化",N1405-01_因子設定!$B$14,IF(01_因子設定!$B$13="最小化",01_因子設定!$B$15-O1405,MIN(N1405-01_因子設定!$B$14,01_因子設定!$B$15-O1405))),-1E+030)</f>
        <v>-2.44110558889459</v>
      </c>
      <c r="R1405" s="55" t="n">
        <f aca="false">IF(P1405,IF(01_因子設定!$B$13="最大化",K1405,IF(01_因子設定!$B$13="最小化",-K1405,-ABS(K1405-01_因子設定!$B$16))),-1E+030)</f>
        <v>45.6043477011494</v>
      </c>
      <c r="S1405" s="55" t="n">
        <f aca="false">Q1405+ROW()*0.000000001</f>
        <v>-2.44110418389459</v>
      </c>
      <c r="T1405" s="55" t="n">
        <f aca="false">R1405+ROW()*0.000000001</f>
        <v>45.6043491061494</v>
      </c>
    </row>
    <row r="1406" customFormat="false" ht="15" hidden="false" customHeight="false" outlineLevel="0" collapsed="false">
      <c r="A1406" s="0" t="n">
        <v>34</v>
      </c>
      <c r="B1406" s="0" t="n">
        <v>7</v>
      </c>
      <c r="C1406" s="0" t="n">
        <f aca="false">-1+A1406*0.05</f>
        <v>0.7</v>
      </c>
      <c r="D1406" s="0" t="n">
        <f aca="false">-1+B1406*0.05</f>
        <v>-0.65</v>
      </c>
      <c r="E1406" s="0" t="n">
        <f aca="false">1</f>
        <v>1</v>
      </c>
      <c r="F1406" s="0" t="n">
        <f aca="false">C1406</f>
        <v>0.7</v>
      </c>
      <c r="G1406" s="0" t="n">
        <f aca="false">D1406</f>
        <v>-0.65</v>
      </c>
      <c r="H1406" s="0" t="n">
        <f aca="false">C1406*D1406</f>
        <v>-0.455</v>
      </c>
      <c r="I1406" s="0" t="n">
        <f aca="false">C1406*C1406</f>
        <v>0.49</v>
      </c>
      <c r="J1406" s="0" t="n">
        <f aca="false">D1406*D1406</f>
        <v>0.4225</v>
      </c>
      <c r="K1406" s="0" t="n">
        <f aca="false">SUMPRODUCT(E1406:J1406,_XtX!$B$53:$G$53)</f>
        <v>45.839382183908</v>
      </c>
      <c r="L1406" s="0" t="n">
        <f aca="false">SUMPRODUCT(MMULT(E1406:J1406,_XtX!$B$44:$G$49),E1406:J1406)</f>
        <v>0.281914260057471</v>
      </c>
      <c r="M1406" s="0" t="n">
        <f aca="false">04_回帰ANOVA!$K$19*04_回帰ANOVA!$K$14*SQRT(1+L1406)</f>
        <v>1.53428507945275</v>
      </c>
      <c r="N1406" s="0" t="n">
        <f aca="false">K1406-M1406</f>
        <v>44.3050971044553</v>
      </c>
      <c r="O1406" s="0" t="n">
        <f aca="false">K1406+M1406</f>
        <v>47.3736672633608</v>
      </c>
      <c r="P1406" s="54" t="b">
        <f aca="false">AND(C1406&gt;=01_因子設定!$L$5-0.000000001,C1406&lt;=01_因子設定!$M$5+0.000000001,D1406&gt;=01_因子設定!$L$6-0.000000001,D1406&lt;=01_因子設定!$M$6+0.000000001,IF(01_因子設定!$B$20="Box-Behnken",C1406^2+D1406^2&lt;=2+0.000000001,TRUE()))</f>
        <v>1</v>
      </c>
      <c r="Q1406" s="55" t="n">
        <f aca="false">IF(P1406,IF(01_因子設定!$B$13="最大化",N1406-01_因子設定!$B$14,IF(01_因子設定!$B$13="最小化",01_因子設定!$B$15-O1406,MIN(N1406-01_因子設定!$B$14,01_因子設定!$B$15-O1406))),-1E+030)</f>
        <v>-2.19490289554471</v>
      </c>
      <c r="R1406" s="55" t="n">
        <f aca="false">IF(P1406,IF(01_因子設定!$B$13="最大化",K1406,IF(01_因子設定!$B$13="最小化",-K1406,-ABS(K1406-01_因子設定!$B$16))),-1E+030)</f>
        <v>45.839382183908</v>
      </c>
      <c r="S1406" s="55" t="n">
        <f aca="false">Q1406+ROW()*0.000000001</f>
        <v>-2.19490148954471</v>
      </c>
      <c r="T1406" s="55" t="n">
        <f aca="false">R1406+ROW()*0.000000001</f>
        <v>45.839383589908</v>
      </c>
    </row>
    <row r="1407" customFormat="false" ht="15" hidden="false" customHeight="false" outlineLevel="0" collapsed="false">
      <c r="A1407" s="0" t="n">
        <v>34</v>
      </c>
      <c r="B1407" s="0" t="n">
        <v>8</v>
      </c>
      <c r="C1407" s="0" t="n">
        <f aca="false">-1+A1407*0.05</f>
        <v>0.7</v>
      </c>
      <c r="D1407" s="0" t="n">
        <f aca="false">-1+B1407*0.05</f>
        <v>-0.6</v>
      </c>
      <c r="E1407" s="0" t="n">
        <f aca="false">1</f>
        <v>1</v>
      </c>
      <c r="F1407" s="0" t="n">
        <f aca="false">C1407</f>
        <v>0.7</v>
      </c>
      <c r="G1407" s="0" t="n">
        <f aca="false">D1407</f>
        <v>-0.6</v>
      </c>
      <c r="H1407" s="0" t="n">
        <f aca="false">C1407*D1407</f>
        <v>-0.42</v>
      </c>
      <c r="I1407" s="0" t="n">
        <f aca="false">C1407*C1407</f>
        <v>0.49</v>
      </c>
      <c r="J1407" s="0" t="n">
        <f aca="false">D1407*D1407</f>
        <v>0.36</v>
      </c>
      <c r="K1407" s="0" t="n">
        <f aca="false">SUMPRODUCT(E1407:J1407,_XtX!$B$53:$G$53)</f>
        <v>46.0667011494253</v>
      </c>
      <c r="L1407" s="0" t="n">
        <f aca="false">SUMPRODUCT(MMULT(E1407:J1407,_XtX!$B$44:$G$49),E1407:J1407)</f>
        <v>0.267513218390805</v>
      </c>
      <c r="M1407" s="0" t="n">
        <f aca="false">04_回帰ANOVA!$K$19*04_回帰ANOVA!$K$14*SQRT(1+L1407)</f>
        <v>1.52564264921817</v>
      </c>
      <c r="N1407" s="0" t="n">
        <f aca="false">K1407-M1407</f>
        <v>44.5410585002071</v>
      </c>
      <c r="O1407" s="0" t="n">
        <f aca="false">K1407+M1407</f>
        <v>47.5923437986435</v>
      </c>
      <c r="P1407" s="54" t="b">
        <f aca="false">AND(C1407&gt;=01_因子設定!$L$5-0.000000001,C1407&lt;=01_因子設定!$M$5+0.000000001,D1407&gt;=01_因子設定!$L$6-0.000000001,D1407&lt;=01_因子設定!$M$6+0.000000001,IF(01_因子設定!$B$20="Box-Behnken",C1407^2+D1407^2&lt;=2+0.000000001,TRUE()))</f>
        <v>1</v>
      </c>
      <c r="Q1407" s="55" t="n">
        <f aca="false">IF(P1407,IF(01_因子設定!$B$13="最大化",N1407-01_因子設定!$B$14,IF(01_因子設定!$B$13="最小化",01_因子設定!$B$15-O1407,MIN(N1407-01_因子設定!$B$14,01_因子設定!$B$15-O1407))),-1E+030)</f>
        <v>-1.9589414997929</v>
      </c>
      <c r="R1407" s="55" t="n">
        <f aca="false">IF(P1407,IF(01_因子設定!$B$13="最大化",K1407,IF(01_因子設定!$B$13="最小化",-K1407,-ABS(K1407-01_因子設定!$B$16))),-1E+030)</f>
        <v>46.0667011494253</v>
      </c>
      <c r="S1407" s="55" t="n">
        <f aca="false">Q1407+ROW()*0.000000001</f>
        <v>-1.9589400927929</v>
      </c>
      <c r="T1407" s="55" t="n">
        <f aca="false">R1407+ROW()*0.000000001</f>
        <v>46.0667025564253</v>
      </c>
    </row>
    <row r="1408" customFormat="false" ht="15" hidden="false" customHeight="false" outlineLevel="0" collapsed="false">
      <c r="A1408" s="0" t="n">
        <v>34</v>
      </c>
      <c r="B1408" s="0" t="n">
        <v>9</v>
      </c>
      <c r="C1408" s="0" t="n">
        <f aca="false">-1+A1408*0.05</f>
        <v>0.7</v>
      </c>
      <c r="D1408" s="0" t="n">
        <f aca="false">-1+B1408*0.05</f>
        <v>-0.55</v>
      </c>
      <c r="E1408" s="0" t="n">
        <f aca="false">1</f>
        <v>1</v>
      </c>
      <c r="F1408" s="0" t="n">
        <f aca="false">C1408</f>
        <v>0.7</v>
      </c>
      <c r="G1408" s="0" t="n">
        <f aca="false">D1408</f>
        <v>-0.55</v>
      </c>
      <c r="H1408" s="0" t="n">
        <f aca="false">C1408*D1408</f>
        <v>-0.385</v>
      </c>
      <c r="I1408" s="0" t="n">
        <f aca="false">C1408*C1408</f>
        <v>0.49</v>
      </c>
      <c r="J1408" s="0" t="n">
        <f aca="false">D1408*D1408</f>
        <v>0.3025</v>
      </c>
      <c r="K1408" s="0" t="n">
        <f aca="false">SUMPRODUCT(E1408:J1408,_XtX!$B$53:$G$53)</f>
        <v>46.2863045977011</v>
      </c>
      <c r="L1408" s="0" t="n">
        <f aca="false">SUMPRODUCT(MMULT(E1408:J1408,_XtX!$B$44:$G$49),E1408:J1408)</f>
        <v>0.25676253591954</v>
      </c>
      <c r="M1408" s="0" t="n">
        <f aca="false">04_回帰ANOVA!$K$19*04_回帰ANOVA!$K$14*SQRT(1+L1408)</f>
        <v>1.51915884046963</v>
      </c>
      <c r="N1408" s="0" t="n">
        <f aca="false">K1408-M1408</f>
        <v>44.7671457572315</v>
      </c>
      <c r="O1408" s="0" t="n">
        <f aca="false">K1408+M1408</f>
        <v>47.8054634381708</v>
      </c>
      <c r="P1408" s="54" t="b">
        <f aca="false">AND(C1408&gt;=01_因子設定!$L$5-0.000000001,C1408&lt;=01_因子設定!$M$5+0.000000001,D1408&gt;=01_因子設定!$L$6-0.000000001,D1408&lt;=01_因子設定!$M$6+0.000000001,IF(01_因子設定!$B$20="Box-Behnken",C1408^2+D1408^2&lt;=2+0.000000001,TRUE()))</f>
        <v>1</v>
      </c>
      <c r="Q1408" s="55" t="n">
        <f aca="false">IF(P1408,IF(01_因子設定!$B$13="最大化",N1408-01_因子設定!$B$14,IF(01_因子設定!$B$13="最小化",01_因子設定!$B$15-O1408,MIN(N1408-01_因子設定!$B$14,01_因子設定!$B$15-O1408))),-1E+030)</f>
        <v>-1.7328542427685</v>
      </c>
      <c r="R1408" s="55" t="n">
        <f aca="false">IF(P1408,IF(01_因子設定!$B$13="最大化",K1408,IF(01_因子設定!$B$13="最小化",-K1408,-ABS(K1408-01_因子設定!$B$16))),-1E+030)</f>
        <v>46.2863045977011</v>
      </c>
      <c r="S1408" s="55" t="n">
        <f aca="false">Q1408+ROW()*0.000000001</f>
        <v>-1.7328528347685</v>
      </c>
      <c r="T1408" s="55" t="n">
        <f aca="false">R1408+ROW()*0.000000001</f>
        <v>46.2863060057011</v>
      </c>
    </row>
    <row r="1409" customFormat="false" ht="15" hidden="false" customHeight="false" outlineLevel="0" collapsed="false">
      <c r="A1409" s="0" t="n">
        <v>34</v>
      </c>
      <c r="B1409" s="0" t="n">
        <v>10</v>
      </c>
      <c r="C1409" s="0" t="n">
        <f aca="false">-1+A1409*0.05</f>
        <v>0.7</v>
      </c>
      <c r="D1409" s="0" t="n">
        <f aca="false">-1+B1409*0.05</f>
        <v>-0.5</v>
      </c>
      <c r="E1409" s="0" t="n">
        <f aca="false">1</f>
        <v>1</v>
      </c>
      <c r="F1409" s="0" t="n">
        <f aca="false">C1409</f>
        <v>0.7</v>
      </c>
      <c r="G1409" s="0" t="n">
        <f aca="false">D1409</f>
        <v>-0.5</v>
      </c>
      <c r="H1409" s="0" t="n">
        <f aca="false">C1409*D1409</f>
        <v>-0.35</v>
      </c>
      <c r="I1409" s="0" t="n">
        <f aca="false">C1409*C1409</f>
        <v>0.49</v>
      </c>
      <c r="J1409" s="0" t="n">
        <f aca="false">D1409*D1409</f>
        <v>0.25</v>
      </c>
      <c r="K1409" s="0" t="n">
        <f aca="false">SUMPRODUCT(E1409:J1409,_XtX!$B$53:$G$53)</f>
        <v>46.4981925287356</v>
      </c>
      <c r="L1409" s="0" t="n">
        <f aca="false">SUMPRODUCT(MMULT(E1409:J1409,_XtX!$B$44:$G$49),E1409:J1409)</f>
        <v>0.249037643678161</v>
      </c>
      <c r="M1409" s="0" t="n">
        <f aca="false">04_回帰ANOVA!$K$19*04_回帰ANOVA!$K$14*SQRT(1+L1409)</f>
        <v>1.5144827672559</v>
      </c>
      <c r="N1409" s="0" t="n">
        <f aca="false">K1409-M1409</f>
        <v>44.9837097614797</v>
      </c>
      <c r="O1409" s="0" t="n">
        <f aca="false">K1409+M1409</f>
        <v>48.0126752959915</v>
      </c>
      <c r="P1409" s="54" t="b">
        <f aca="false">AND(C1409&gt;=01_因子設定!$L$5-0.000000001,C1409&lt;=01_因子設定!$M$5+0.000000001,D1409&gt;=01_因子設定!$L$6-0.000000001,D1409&lt;=01_因子設定!$M$6+0.000000001,IF(01_因子設定!$B$20="Box-Behnken",C1409^2+D1409^2&lt;=2+0.000000001,TRUE()))</f>
        <v>1</v>
      </c>
      <c r="Q1409" s="55" t="n">
        <f aca="false">IF(P1409,IF(01_因子設定!$B$13="最大化",N1409-01_因子設定!$B$14,IF(01_因子設定!$B$13="最小化",01_因子設定!$B$15-O1409,MIN(N1409-01_因子設定!$B$14,01_因子設定!$B$15-O1409))),-1E+030)</f>
        <v>-1.51629023852028</v>
      </c>
      <c r="R1409" s="55" t="n">
        <f aca="false">IF(P1409,IF(01_因子設定!$B$13="最大化",K1409,IF(01_因子設定!$B$13="最小化",-K1409,-ABS(K1409-01_因子設定!$B$16))),-1E+030)</f>
        <v>46.4981925287356</v>
      </c>
      <c r="S1409" s="55" t="n">
        <f aca="false">Q1409+ROW()*0.000000001</f>
        <v>-1.51628882952028</v>
      </c>
      <c r="T1409" s="55" t="n">
        <f aca="false">R1409+ROW()*0.000000001</f>
        <v>46.4981939377356</v>
      </c>
    </row>
    <row r="1410" customFormat="false" ht="15" hidden="false" customHeight="false" outlineLevel="0" collapsed="false">
      <c r="A1410" s="0" t="n">
        <v>34</v>
      </c>
      <c r="B1410" s="0" t="n">
        <v>11</v>
      </c>
      <c r="C1410" s="0" t="n">
        <f aca="false">-1+A1410*0.05</f>
        <v>0.7</v>
      </c>
      <c r="D1410" s="0" t="n">
        <f aca="false">-1+B1410*0.05</f>
        <v>-0.45</v>
      </c>
      <c r="E1410" s="0" t="n">
        <f aca="false">1</f>
        <v>1</v>
      </c>
      <c r="F1410" s="0" t="n">
        <f aca="false">C1410</f>
        <v>0.7</v>
      </c>
      <c r="G1410" s="0" t="n">
        <f aca="false">D1410</f>
        <v>-0.45</v>
      </c>
      <c r="H1410" s="0" t="n">
        <f aca="false">C1410*D1410</f>
        <v>-0.315</v>
      </c>
      <c r="I1410" s="0" t="n">
        <f aca="false">C1410*C1410</f>
        <v>0.49</v>
      </c>
      <c r="J1410" s="0" t="n">
        <f aca="false">D1410*D1410</f>
        <v>0.2025</v>
      </c>
      <c r="K1410" s="0" t="n">
        <f aca="false">SUMPRODUCT(E1410:J1410,_XtX!$B$53:$G$53)</f>
        <v>46.7023649425287</v>
      </c>
      <c r="L1410" s="0" t="n">
        <f aca="false">SUMPRODUCT(MMULT(E1410:J1410,_XtX!$B$44:$G$49),E1410:J1410)</f>
        <v>0.243768283045977</v>
      </c>
      <c r="M1410" s="0" t="n">
        <f aca="false">04_回帰ANOVA!$K$19*04_回帰ANOVA!$K$14*SQRT(1+L1410)</f>
        <v>1.51128478900926</v>
      </c>
      <c r="N1410" s="0" t="n">
        <f aca="false">K1410-M1410</f>
        <v>45.1910801535195</v>
      </c>
      <c r="O1410" s="0" t="n">
        <f aca="false">K1410+M1410</f>
        <v>48.213649731538</v>
      </c>
      <c r="P1410" s="54" t="b">
        <f aca="false">AND(C1410&gt;=01_因子設定!$L$5-0.000000001,C1410&lt;=01_因子設定!$M$5+0.000000001,D1410&gt;=01_因子設定!$L$6-0.000000001,D1410&lt;=01_因子設定!$M$6+0.000000001,IF(01_因子設定!$B$20="Box-Behnken",C1410^2+D1410^2&lt;=2+0.000000001,TRUE()))</f>
        <v>1</v>
      </c>
      <c r="Q1410" s="55" t="n">
        <f aca="false">IF(P1410,IF(01_因子設定!$B$13="最大化",N1410-01_因子設定!$B$14,IF(01_因子設定!$B$13="最小化",01_因子設定!$B$15-O1410,MIN(N1410-01_因子設定!$B$14,01_因子設定!$B$15-O1410))),-1E+030)</f>
        <v>-1.30891984648054</v>
      </c>
      <c r="R1410" s="55" t="n">
        <f aca="false">IF(P1410,IF(01_因子設定!$B$13="最大化",K1410,IF(01_因子設定!$B$13="最小化",-K1410,-ABS(K1410-01_因子設定!$B$16))),-1E+030)</f>
        <v>46.7023649425287</v>
      </c>
      <c r="S1410" s="55" t="n">
        <f aca="false">Q1410+ROW()*0.000000001</f>
        <v>-1.30891843648054</v>
      </c>
      <c r="T1410" s="55" t="n">
        <f aca="false">R1410+ROW()*0.000000001</f>
        <v>46.7023663525287</v>
      </c>
    </row>
    <row r="1411" customFormat="false" ht="15" hidden="false" customHeight="false" outlineLevel="0" collapsed="false">
      <c r="A1411" s="0" t="n">
        <v>34</v>
      </c>
      <c r="B1411" s="0" t="n">
        <v>12</v>
      </c>
      <c r="C1411" s="0" t="n">
        <f aca="false">-1+A1411*0.05</f>
        <v>0.7</v>
      </c>
      <c r="D1411" s="0" t="n">
        <f aca="false">-1+B1411*0.05</f>
        <v>-0.4</v>
      </c>
      <c r="E1411" s="0" t="n">
        <f aca="false">1</f>
        <v>1</v>
      </c>
      <c r="F1411" s="0" t="n">
        <f aca="false">C1411</f>
        <v>0.7</v>
      </c>
      <c r="G1411" s="0" t="n">
        <f aca="false">D1411</f>
        <v>-0.4</v>
      </c>
      <c r="H1411" s="0" t="n">
        <f aca="false">C1411*D1411</f>
        <v>-0.28</v>
      </c>
      <c r="I1411" s="0" t="n">
        <f aca="false">C1411*C1411</f>
        <v>0.49</v>
      </c>
      <c r="J1411" s="0" t="n">
        <f aca="false">D1411*D1411</f>
        <v>0.16</v>
      </c>
      <c r="K1411" s="0" t="n">
        <f aca="false">SUMPRODUCT(E1411:J1411,_XtX!$B$53:$G$53)</f>
        <v>46.8988218390805</v>
      </c>
      <c r="L1411" s="0" t="n">
        <f aca="false">SUMPRODUCT(MMULT(E1411:J1411,_XtX!$B$44:$G$49),E1411:J1411)</f>
        <v>0.240438505747127</v>
      </c>
      <c r="M1411" s="0" t="n">
        <f aca="false">04_回帰ANOVA!$K$19*04_回帰ANOVA!$K$14*SQRT(1+L1411)</f>
        <v>1.5092604511937</v>
      </c>
      <c r="N1411" s="0" t="n">
        <f aca="false">K1411-M1411</f>
        <v>45.3895613878867</v>
      </c>
      <c r="O1411" s="0" t="n">
        <f aca="false">K1411+M1411</f>
        <v>48.4080822902742</v>
      </c>
      <c r="P1411" s="54" t="b">
        <f aca="false">AND(C1411&gt;=01_因子設定!$L$5-0.000000001,C1411&lt;=01_因子設定!$M$5+0.000000001,D1411&gt;=01_因子設定!$L$6-0.000000001,D1411&lt;=01_因子設定!$M$6+0.000000001,IF(01_因子設定!$B$20="Box-Behnken",C1411^2+D1411^2&lt;=2+0.000000001,TRUE()))</f>
        <v>1</v>
      </c>
      <c r="Q1411" s="55" t="n">
        <f aca="false">IF(P1411,IF(01_因子設定!$B$13="最大化",N1411-01_因子設定!$B$14,IF(01_因子設定!$B$13="最小化",01_因子設定!$B$15-O1411,MIN(N1411-01_因子設定!$B$14,01_因子設定!$B$15-O1411))),-1E+030)</f>
        <v>-1.11043861211326</v>
      </c>
      <c r="R1411" s="55" t="n">
        <f aca="false">IF(P1411,IF(01_因子設定!$B$13="最大化",K1411,IF(01_因子設定!$B$13="最小化",-K1411,-ABS(K1411-01_因子設定!$B$16))),-1E+030)</f>
        <v>46.8988218390805</v>
      </c>
      <c r="S1411" s="55" t="n">
        <f aca="false">Q1411+ROW()*0.000000001</f>
        <v>-1.11043720111326</v>
      </c>
      <c r="T1411" s="55" t="n">
        <f aca="false">R1411+ROW()*0.000000001</f>
        <v>46.8988232500805</v>
      </c>
    </row>
    <row r="1412" customFormat="false" ht="15" hidden="false" customHeight="false" outlineLevel="0" collapsed="false">
      <c r="A1412" s="0" t="n">
        <v>34</v>
      </c>
      <c r="B1412" s="0" t="n">
        <v>13</v>
      </c>
      <c r="C1412" s="0" t="n">
        <f aca="false">-1+A1412*0.05</f>
        <v>0.7</v>
      </c>
      <c r="D1412" s="0" t="n">
        <f aca="false">-1+B1412*0.05</f>
        <v>-0.35</v>
      </c>
      <c r="E1412" s="0" t="n">
        <f aca="false">1</f>
        <v>1</v>
      </c>
      <c r="F1412" s="0" t="n">
        <f aca="false">C1412</f>
        <v>0.7</v>
      </c>
      <c r="G1412" s="0" t="n">
        <f aca="false">D1412</f>
        <v>-0.35</v>
      </c>
      <c r="H1412" s="0" t="n">
        <f aca="false">C1412*D1412</f>
        <v>-0.245</v>
      </c>
      <c r="I1412" s="0" t="n">
        <f aca="false">C1412*C1412</f>
        <v>0.49</v>
      </c>
      <c r="J1412" s="0" t="n">
        <f aca="false">D1412*D1412</f>
        <v>0.1225</v>
      </c>
      <c r="K1412" s="0" t="n">
        <f aca="false">SUMPRODUCT(E1412:J1412,_XtX!$B$53:$G$53)</f>
        <v>47.0875632183908</v>
      </c>
      <c r="L1412" s="0" t="n">
        <f aca="false">SUMPRODUCT(MMULT(E1412:J1412,_XtX!$B$44:$G$49),E1412:J1412)</f>
        <v>0.238586673850575</v>
      </c>
      <c r="M1412" s="0" t="n">
        <f aca="false">04_回帰ANOVA!$K$19*04_回帰ANOVA!$K$14*SQRT(1+L1412)</f>
        <v>1.50813345435958</v>
      </c>
      <c r="N1412" s="0" t="n">
        <f aca="false">K1412-M1412</f>
        <v>45.5794297640312</v>
      </c>
      <c r="O1412" s="0" t="n">
        <f aca="false">K1412+M1412</f>
        <v>48.5956966727504</v>
      </c>
      <c r="P1412" s="54" t="b">
        <f aca="false">AND(C1412&gt;=01_因子設定!$L$5-0.000000001,C1412&lt;=01_因子設定!$M$5+0.000000001,D1412&gt;=01_因子設定!$L$6-0.000000001,D1412&lt;=01_因子設定!$M$6+0.000000001,IF(01_因子設定!$B$20="Box-Behnken",C1412^2+D1412^2&lt;=2+0.000000001,TRUE()))</f>
        <v>1</v>
      </c>
      <c r="Q1412" s="55" t="n">
        <f aca="false">IF(P1412,IF(01_因子設定!$B$13="最大化",N1412-01_因子設定!$B$14,IF(01_因子設定!$B$13="最小化",01_因子設定!$B$15-O1412,MIN(N1412-01_因子設定!$B$14,01_因子設定!$B$15-O1412))),-1E+030)</f>
        <v>-0.920570235968775</v>
      </c>
      <c r="R1412" s="55" t="n">
        <f aca="false">IF(P1412,IF(01_因子設定!$B$13="最大化",K1412,IF(01_因子設定!$B$13="最小化",-K1412,-ABS(K1412-01_因子設定!$B$16))),-1E+030)</f>
        <v>47.0875632183908</v>
      </c>
      <c r="S1412" s="55" t="n">
        <f aca="false">Q1412+ROW()*0.000000001</f>
        <v>-0.920568823968775</v>
      </c>
      <c r="T1412" s="55" t="n">
        <f aca="false">R1412+ROW()*0.000000001</f>
        <v>47.0875646303908</v>
      </c>
    </row>
    <row r="1413" customFormat="false" ht="15" hidden="false" customHeight="false" outlineLevel="0" collapsed="false">
      <c r="A1413" s="0" t="n">
        <v>34</v>
      </c>
      <c r="B1413" s="0" t="n">
        <v>14</v>
      </c>
      <c r="C1413" s="0" t="n">
        <f aca="false">-1+A1413*0.05</f>
        <v>0.7</v>
      </c>
      <c r="D1413" s="0" t="n">
        <f aca="false">-1+B1413*0.05</f>
        <v>-0.3</v>
      </c>
      <c r="E1413" s="0" t="n">
        <f aca="false">1</f>
        <v>1</v>
      </c>
      <c r="F1413" s="0" t="n">
        <f aca="false">C1413</f>
        <v>0.7</v>
      </c>
      <c r="G1413" s="0" t="n">
        <f aca="false">D1413</f>
        <v>-0.3</v>
      </c>
      <c r="H1413" s="0" t="n">
        <f aca="false">C1413*D1413</f>
        <v>-0.21</v>
      </c>
      <c r="I1413" s="0" t="n">
        <f aca="false">C1413*C1413</f>
        <v>0.49</v>
      </c>
      <c r="J1413" s="0" t="n">
        <f aca="false">D1413*D1413</f>
        <v>0.09</v>
      </c>
      <c r="K1413" s="0" t="n">
        <f aca="false">SUMPRODUCT(E1413:J1413,_XtX!$B$53:$G$53)</f>
        <v>47.2685890804598</v>
      </c>
      <c r="L1413" s="0" t="n">
        <f aca="false">SUMPRODUCT(MMULT(E1413:J1413,_XtX!$B$44:$G$49),E1413:J1413)</f>
        <v>0.237805459770115</v>
      </c>
      <c r="M1413" s="0" t="n">
        <f aca="false">04_回帰ANOVA!$K$19*04_回帰ANOVA!$K$14*SQRT(1+L1413)</f>
        <v>1.50765776664594</v>
      </c>
      <c r="N1413" s="0" t="n">
        <f aca="false">K1413-M1413</f>
        <v>45.7609313138138</v>
      </c>
      <c r="O1413" s="0" t="n">
        <f aca="false">K1413+M1413</f>
        <v>48.7762468471057</v>
      </c>
      <c r="P1413" s="54" t="b">
        <f aca="false">AND(C1413&gt;=01_因子設定!$L$5-0.000000001,C1413&lt;=01_因子設定!$M$5+0.000000001,D1413&gt;=01_因子設定!$L$6-0.000000001,D1413&lt;=01_因子設定!$M$6+0.000000001,IF(01_因子設定!$B$20="Box-Behnken",C1413^2+D1413^2&lt;=2+0.000000001,TRUE()))</f>
        <v>1</v>
      </c>
      <c r="Q1413" s="55" t="n">
        <f aca="false">IF(P1413,IF(01_因子設定!$B$13="最大化",N1413-01_因子設定!$B$14,IF(01_因子設定!$B$13="最小化",01_因子設定!$B$15-O1413,MIN(N1413-01_因子設定!$B$14,01_因子設定!$B$15-O1413))),-1E+030)</f>
        <v>-0.73906868618618</v>
      </c>
      <c r="R1413" s="55" t="n">
        <f aca="false">IF(P1413,IF(01_因子設定!$B$13="最大化",K1413,IF(01_因子設定!$B$13="最小化",-K1413,-ABS(K1413-01_因子設定!$B$16))),-1E+030)</f>
        <v>47.2685890804598</v>
      </c>
      <c r="S1413" s="55" t="n">
        <f aca="false">Q1413+ROW()*0.000000001</f>
        <v>-0.73906727318618</v>
      </c>
      <c r="T1413" s="55" t="n">
        <f aca="false">R1413+ROW()*0.000000001</f>
        <v>47.2685904934598</v>
      </c>
    </row>
    <row r="1414" customFormat="false" ht="15" hidden="false" customHeight="false" outlineLevel="0" collapsed="false">
      <c r="A1414" s="0" t="n">
        <v>34</v>
      </c>
      <c r="B1414" s="0" t="n">
        <v>15</v>
      </c>
      <c r="C1414" s="0" t="n">
        <f aca="false">-1+A1414*0.05</f>
        <v>0.7</v>
      </c>
      <c r="D1414" s="0" t="n">
        <f aca="false">-1+B1414*0.05</f>
        <v>-0.25</v>
      </c>
      <c r="E1414" s="0" t="n">
        <f aca="false">1</f>
        <v>1</v>
      </c>
      <c r="F1414" s="0" t="n">
        <f aca="false">C1414</f>
        <v>0.7</v>
      </c>
      <c r="G1414" s="0" t="n">
        <f aca="false">D1414</f>
        <v>-0.25</v>
      </c>
      <c r="H1414" s="0" t="n">
        <f aca="false">C1414*D1414</f>
        <v>-0.175</v>
      </c>
      <c r="I1414" s="0" t="n">
        <f aca="false">C1414*C1414</f>
        <v>0.49</v>
      </c>
      <c r="J1414" s="0" t="n">
        <f aca="false">D1414*D1414</f>
        <v>0.0625</v>
      </c>
      <c r="K1414" s="0" t="n">
        <f aca="false">SUMPRODUCT(E1414:J1414,_XtX!$B$53:$G$53)</f>
        <v>47.4418994252873</v>
      </c>
      <c r="L1414" s="0" t="n">
        <f aca="false">SUMPRODUCT(MMULT(E1414:J1414,_XtX!$B$44:$G$49),E1414:J1414)</f>
        <v>0.237741846264368</v>
      </c>
      <c r="M1414" s="0" t="n">
        <f aca="false">04_回帰ANOVA!$K$19*04_回帰ANOVA!$K$14*SQRT(1+L1414)</f>
        <v>1.50761902524781</v>
      </c>
      <c r="N1414" s="0" t="n">
        <f aca="false">K1414-M1414</f>
        <v>45.9342804000395</v>
      </c>
      <c r="O1414" s="0" t="n">
        <f aca="false">K1414+M1414</f>
        <v>48.9495184505352</v>
      </c>
      <c r="P1414" s="54" t="b">
        <f aca="false">AND(C1414&gt;=01_因子設定!$L$5-0.000000001,C1414&lt;=01_因子設定!$M$5+0.000000001,D1414&gt;=01_因子設定!$L$6-0.000000001,D1414&lt;=01_因子設定!$M$6+0.000000001,IF(01_因子設定!$B$20="Box-Behnken",C1414^2+D1414^2&lt;=2+0.000000001,TRUE()))</f>
        <v>1</v>
      </c>
      <c r="Q1414" s="55" t="n">
        <f aca="false">IF(P1414,IF(01_因子設定!$B$13="最大化",N1414-01_因子設定!$B$14,IF(01_因子設定!$B$13="最小化",01_因子設定!$B$15-O1414,MIN(N1414-01_因子設定!$B$14,01_因子設定!$B$15-O1414))),-1E+030)</f>
        <v>-0.565719599960467</v>
      </c>
      <c r="R1414" s="55" t="n">
        <f aca="false">IF(P1414,IF(01_因子設定!$B$13="最大化",K1414,IF(01_因子設定!$B$13="最小化",-K1414,-ABS(K1414-01_因子設定!$B$16))),-1E+030)</f>
        <v>47.4418994252873</v>
      </c>
      <c r="S1414" s="55" t="n">
        <f aca="false">Q1414+ROW()*0.000000001</f>
        <v>-0.565718185960467</v>
      </c>
      <c r="T1414" s="55" t="n">
        <f aca="false">R1414+ROW()*0.000000001</f>
        <v>47.4419008392874</v>
      </c>
    </row>
    <row r="1415" customFormat="false" ht="15" hidden="false" customHeight="false" outlineLevel="0" collapsed="false">
      <c r="A1415" s="0" t="n">
        <v>34</v>
      </c>
      <c r="B1415" s="0" t="n">
        <v>16</v>
      </c>
      <c r="C1415" s="0" t="n">
        <f aca="false">-1+A1415*0.05</f>
        <v>0.7</v>
      </c>
      <c r="D1415" s="0" t="n">
        <f aca="false">-1+B1415*0.05</f>
        <v>-0.2</v>
      </c>
      <c r="E1415" s="0" t="n">
        <f aca="false">1</f>
        <v>1</v>
      </c>
      <c r="F1415" s="0" t="n">
        <f aca="false">C1415</f>
        <v>0.7</v>
      </c>
      <c r="G1415" s="0" t="n">
        <f aca="false">D1415</f>
        <v>-0.2</v>
      </c>
      <c r="H1415" s="0" t="n">
        <f aca="false">C1415*D1415</f>
        <v>-0.14</v>
      </c>
      <c r="I1415" s="0" t="n">
        <f aca="false">C1415*C1415</f>
        <v>0.49</v>
      </c>
      <c r="J1415" s="0" t="n">
        <f aca="false">D1415*D1415</f>
        <v>0.04</v>
      </c>
      <c r="K1415" s="0" t="n">
        <f aca="false">SUMPRODUCT(E1415:J1415,_XtX!$B$53:$G$53)</f>
        <v>47.6074942528736</v>
      </c>
      <c r="L1415" s="0" t="n">
        <f aca="false">SUMPRODUCT(MMULT(E1415:J1415,_XtX!$B$44:$G$49),E1415:J1415)</f>
        <v>0.238097126436782</v>
      </c>
      <c r="M1415" s="0" t="n">
        <f aca="false">04_回帰ANOVA!$K$19*04_回帰ANOVA!$K$14*SQRT(1+L1415)</f>
        <v>1.50783538244616</v>
      </c>
      <c r="N1415" s="0" t="n">
        <f aca="false">K1415-M1415</f>
        <v>46.0996588704274</v>
      </c>
      <c r="O1415" s="0" t="n">
        <f aca="false">K1415+M1415</f>
        <v>49.1153296353197</v>
      </c>
      <c r="P1415" s="54" t="b">
        <f aca="false">AND(C1415&gt;=01_因子設定!$L$5-0.000000001,C1415&lt;=01_因子設定!$M$5+0.000000001,D1415&gt;=01_因子設定!$L$6-0.000000001,D1415&lt;=01_因子設定!$M$6+0.000000001,IF(01_因子設定!$B$20="Box-Behnken",C1415^2+D1415^2&lt;=2+0.000000001,TRUE()))</f>
        <v>1</v>
      </c>
      <c r="Q1415" s="55" t="n">
        <f aca="false">IF(P1415,IF(01_因子設定!$B$13="最大化",N1415-01_因子設定!$B$14,IF(01_因子設定!$B$13="最小化",01_因子設定!$B$15-O1415,MIN(N1415-01_因子設定!$B$14,01_因子設定!$B$15-O1415))),-1E+030)</f>
        <v>-0.40034112957261</v>
      </c>
      <c r="R1415" s="55" t="n">
        <f aca="false">IF(P1415,IF(01_因子設定!$B$13="最大化",K1415,IF(01_因子設定!$B$13="最小化",-K1415,-ABS(K1415-01_因子設定!$B$16))),-1E+030)</f>
        <v>47.6074942528736</v>
      </c>
      <c r="S1415" s="55" t="n">
        <f aca="false">Q1415+ROW()*0.000000001</f>
        <v>-0.40033971457261</v>
      </c>
      <c r="T1415" s="55" t="n">
        <f aca="false">R1415+ROW()*0.000000001</f>
        <v>47.6074956678736</v>
      </c>
    </row>
    <row r="1416" customFormat="false" ht="15" hidden="false" customHeight="false" outlineLevel="0" collapsed="false">
      <c r="A1416" s="0" t="n">
        <v>34</v>
      </c>
      <c r="B1416" s="0" t="n">
        <v>17</v>
      </c>
      <c r="C1416" s="0" t="n">
        <f aca="false">-1+A1416*0.05</f>
        <v>0.7</v>
      </c>
      <c r="D1416" s="0" t="n">
        <f aca="false">-1+B1416*0.05</f>
        <v>-0.15</v>
      </c>
      <c r="E1416" s="0" t="n">
        <f aca="false">1</f>
        <v>1</v>
      </c>
      <c r="F1416" s="0" t="n">
        <f aca="false">C1416</f>
        <v>0.7</v>
      </c>
      <c r="G1416" s="0" t="n">
        <f aca="false">D1416</f>
        <v>-0.15</v>
      </c>
      <c r="H1416" s="0" t="n">
        <f aca="false">C1416*D1416</f>
        <v>-0.105</v>
      </c>
      <c r="I1416" s="0" t="n">
        <f aca="false">C1416*C1416</f>
        <v>0.49</v>
      </c>
      <c r="J1416" s="0" t="n">
        <f aca="false">D1416*D1416</f>
        <v>0.0225</v>
      </c>
      <c r="K1416" s="0" t="n">
        <f aca="false">SUMPRODUCT(E1416:J1416,_XtX!$B$53:$G$53)</f>
        <v>47.7653735632184</v>
      </c>
      <c r="L1416" s="0" t="n">
        <f aca="false">SUMPRODUCT(MMULT(E1416:J1416,_XtX!$B$44:$G$49),E1416:J1416)</f>
        <v>0.238626903735632</v>
      </c>
      <c r="M1416" s="0" t="n">
        <f aca="false">04_回帰ANOVA!$K$19*04_回帰ANOVA!$K$14*SQRT(1+L1416)</f>
        <v>1.50815794660713</v>
      </c>
      <c r="N1416" s="0" t="n">
        <f aca="false">K1416-M1416</f>
        <v>46.2572156166113</v>
      </c>
      <c r="O1416" s="0" t="n">
        <f aca="false">K1416+M1416</f>
        <v>49.2735315098255</v>
      </c>
      <c r="P1416" s="54" t="b">
        <f aca="false">AND(C1416&gt;=01_因子設定!$L$5-0.000000001,C1416&lt;=01_因子設定!$M$5+0.000000001,D1416&gt;=01_因子設定!$L$6-0.000000001,D1416&lt;=01_因子設定!$M$6+0.000000001,IF(01_因子設定!$B$20="Box-Behnken",C1416^2+D1416^2&lt;=2+0.000000001,TRUE()))</f>
        <v>1</v>
      </c>
      <c r="Q1416" s="55" t="n">
        <f aca="false">IF(P1416,IF(01_因子設定!$B$13="最大化",N1416-01_因子設定!$B$14,IF(01_因子設定!$B$13="最小化",01_因子設定!$B$15-O1416,MIN(N1416-01_因子設定!$B$14,01_因子設定!$B$15-O1416))),-1E+030)</f>
        <v>-0.242784383388745</v>
      </c>
      <c r="R1416" s="55" t="n">
        <f aca="false">IF(P1416,IF(01_因子設定!$B$13="最大化",K1416,IF(01_因子設定!$B$13="最小化",-K1416,-ABS(K1416-01_因子設定!$B$16))),-1E+030)</f>
        <v>47.7653735632184</v>
      </c>
      <c r="S1416" s="55" t="n">
        <f aca="false">Q1416+ROW()*0.000000001</f>
        <v>-0.242782967388745</v>
      </c>
      <c r="T1416" s="55" t="n">
        <f aca="false">R1416+ROW()*0.000000001</f>
        <v>47.7653749792184</v>
      </c>
    </row>
    <row r="1417" customFormat="false" ht="15" hidden="false" customHeight="false" outlineLevel="0" collapsed="false">
      <c r="A1417" s="0" t="n">
        <v>34</v>
      </c>
      <c r="B1417" s="0" t="n">
        <v>18</v>
      </c>
      <c r="C1417" s="0" t="n">
        <f aca="false">-1+A1417*0.05</f>
        <v>0.7</v>
      </c>
      <c r="D1417" s="0" t="n">
        <f aca="false">-1+B1417*0.05</f>
        <v>-0.1</v>
      </c>
      <c r="E1417" s="0" t="n">
        <f aca="false">1</f>
        <v>1</v>
      </c>
      <c r="F1417" s="0" t="n">
        <f aca="false">C1417</f>
        <v>0.7</v>
      </c>
      <c r="G1417" s="0" t="n">
        <f aca="false">D1417</f>
        <v>-0.1</v>
      </c>
      <c r="H1417" s="0" t="n">
        <f aca="false">C1417*D1417</f>
        <v>-0.07</v>
      </c>
      <c r="I1417" s="0" t="n">
        <f aca="false">C1417*C1417</f>
        <v>0.49</v>
      </c>
      <c r="J1417" s="0" t="n">
        <f aca="false">D1417*D1417</f>
        <v>0.01</v>
      </c>
      <c r="K1417" s="0" t="n">
        <f aca="false">SUMPRODUCT(E1417:J1417,_XtX!$B$53:$G$53)</f>
        <v>47.9155373563218</v>
      </c>
      <c r="L1417" s="0" t="n">
        <f aca="false">SUMPRODUCT(MMULT(E1417:J1417,_XtX!$B$44:$G$49),E1417:J1417)</f>
        <v>0.239141091954023</v>
      </c>
      <c r="M1417" s="0" t="n">
        <f aca="false">04_回帰ANOVA!$K$19*04_回帰ANOVA!$K$14*SQRT(1+L1417)</f>
        <v>1.50847095312325</v>
      </c>
      <c r="N1417" s="0" t="n">
        <f aca="false">K1417-M1417</f>
        <v>46.4070664031986</v>
      </c>
      <c r="O1417" s="0" t="n">
        <f aca="false">K1417+M1417</f>
        <v>49.4240083094451</v>
      </c>
      <c r="P1417" s="54" t="b">
        <f aca="false">AND(C1417&gt;=01_因子設定!$L$5-0.000000001,C1417&lt;=01_因子設定!$M$5+0.000000001,D1417&gt;=01_因子設定!$L$6-0.000000001,D1417&lt;=01_因子設定!$M$6+0.000000001,IF(01_因子設定!$B$20="Box-Behnken",C1417^2+D1417^2&lt;=2+0.000000001,TRUE()))</f>
        <v>1</v>
      </c>
      <c r="Q1417" s="55" t="n">
        <f aca="false">IF(P1417,IF(01_因子設定!$B$13="最大化",N1417-01_因子設定!$B$14,IF(01_因子設定!$B$13="最小化",01_因子設定!$B$15-O1417,MIN(N1417-01_因子設定!$B$14,01_因子設定!$B$15-O1417))),-1E+030)</f>
        <v>-0.09293359680143</v>
      </c>
      <c r="R1417" s="55" t="n">
        <f aca="false">IF(P1417,IF(01_因子設定!$B$13="最大化",K1417,IF(01_因子設定!$B$13="最小化",-K1417,-ABS(K1417-01_因子設定!$B$16))),-1E+030)</f>
        <v>47.9155373563218</v>
      </c>
      <c r="S1417" s="55" t="n">
        <f aca="false">Q1417+ROW()*0.000000001</f>
        <v>-0.09293217980143</v>
      </c>
      <c r="T1417" s="55" t="n">
        <f aca="false">R1417+ROW()*0.000000001</f>
        <v>47.9155387733218</v>
      </c>
    </row>
    <row r="1418" customFormat="false" ht="15" hidden="false" customHeight="false" outlineLevel="0" collapsed="false">
      <c r="A1418" s="0" t="n">
        <v>34</v>
      </c>
      <c r="B1418" s="0" t="n">
        <v>19</v>
      </c>
      <c r="C1418" s="0" t="n">
        <f aca="false">-1+A1418*0.05</f>
        <v>0.7</v>
      </c>
      <c r="D1418" s="0" t="n">
        <f aca="false">-1+B1418*0.05</f>
        <v>-0.0499999999999999</v>
      </c>
      <c r="E1418" s="0" t="n">
        <f aca="false">1</f>
        <v>1</v>
      </c>
      <c r="F1418" s="0" t="n">
        <f aca="false">C1418</f>
        <v>0.7</v>
      </c>
      <c r="G1418" s="0" t="n">
        <f aca="false">D1418</f>
        <v>-0.0499999999999999</v>
      </c>
      <c r="H1418" s="0" t="n">
        <f aca="false">C1418*D1418</f>
        <v>-0.035</v>
      </c>
      <c r="I1418" s="0" t="n">
        <f aca="false">C1418*C1418</f>
        <v>0.49</v>
      </c>
      <c r="J1418" s="0" t="n">
        <f aca="false">D1418*D1418</f>
        <v>0.00249999999999999</v>
      </c>
      <c r="K1418" s="0" t="n">
        <f aca="false">SUMPRODUCT(E1418:J1418,_XtX!$B$53:$G$53)</f>
        <v>48.0579856321839</v>
      </c>
      <c r="L1418" s="0" t="n">
        <f aca="false">SUMPRODUCT(MMULT(E1418:J1418,_XtX!$B$44:$G$49),E1418:J1418)</f>
        <v>0.239503915229885</v>
      </c>
      <c r="M1418" s="0" t="n">
        <f aca="false">04_回帰ANOVA!$K$19*04_回帰ANOVA!$K$14*SQRT(1+L1418)</f>
        <v>1.50869177878988</v>
      </c>
      <c r="N1418" s="0" t="n">
        <f aca="false">K1418-M1418</f>
        <v>46.549293853394</v>
      </c>
      <c r="O1418" s="0" t="n">
        <f aca="false">K1418+M1418</f>
        <v>49.5666774109738</v>
      </c>
      <c r="P1418" s="54" t="b">
        <f aca="false">AND(C1418&gt;=01_因子設定!$L$5-0.000000001,C1418&lt;=01_因子設定!$M$5+0.000000001,D1418&gt;=01_因子設定!$L$6-0.000000001,D1418&lt;=01_因子設定!$M$6+0.000000001,IF(01_因子設定!$B$20="Box-Behnken",C1418^2+D1418^2&lt;=2+0.000000001,TRUE()))</f>
        <v>1</v>
      </c>
      <c r="Q1418" s="55" t="n">
        <f aca="false">IF(P1418,IF(01_因子設定!$B$13="最大化",N1418-01_因子設定!$B$14,IF(01_因子設定!$B$13="最小化",01_因子設定!$B$15-O1418,MIN(N1418-01_因子設定!$B$14,01_因子設定!$B$15-O1418))),-1E+030)</f>
        <v>0.0492938533940261</v>
      </c>
      <c r="R1418" s="55" t="n">
        <f aca="false">IF(P1418,IF(01_因子設定!$B$13="最大化",K1418,IF(01_因子設定!$B$13="最小化",-K1418,-ABS(K1418-01_因子設定!$B$16))),-1E+030)</f>
        <v>48.0579856321839</v>
      </c>
      <c r="S1418" s="55" t="n">
        <f aca="false">Q1418+ROW()*0.000000001</f>
        <v>0.0492952713940262</v>
      </c>
      <c r="T1418" s="55" t="n">
        <f aca="false">R1418+ROW()*0.000000001</f>
        <v>48.0579870501839</v>
      </c>
    </row>
    <row r="1419" customFormat="false" ht="15" hidden="false" customHeight="false" outlineLevel="0" collapsed="false">
      <c r="A1419" s="0" t="n">
        <v>34</v>
      </c>
      <c r="B1419" s="0" t="n">
        <v>20</v>
      </c>
      <c r="C1419" s="0" t="n">
        <f aca="false">-1+A1419*0.05</f>
        <v>0.7</v>
      </c>
      <c r="D1419" s="0" t="n">
        <f aca="false">-1+B1419*0.05</f>
        <v>0</v>
      </c>
      <c r="E1419" s="0" t="n">
        <f aca="false">1</f>
        <v>1</v>
      </c>
      <c r="F1419" s="0" t="n">
        <f aca="false">C1419</f>
        <v>0.7</v>
      </c>
      <c r="G1419" s="0" t="n">
        <f aca="false">D1419</f>
        <v>0</v>
      </c>
      <c r="H1419" s="0" t="n">
        <f aca="false">C1419*D1419</f>
        <v>0</v>
      </c>
      <c r="I1419" s="0" t="n">
        <f aca="false">C1419*C1419</f>
        <v>0.49</v>
      </c>
      <c r="J1419" s="0" t="n">
        <f aca="false">D1419*D1419</f>
        <v>0</v>
      </c>
      <c r="K1419" s="0" t="n">
        <f aca="false">SUMPRODUCT(E1419:J1419,_XtX!$B$53:$G$53)</f>
        <v>48.1927183908046</v>
      </c>
      <c r="L1419" s="0" t="n">
        <f aca="false">SUMPRODUCT(MMULT(E1419:J1419,_XtX!$B$44:$G$49),E1419:J1419)</f>
        <v>0.239633908045977</v>
      </c>
      <c r="M1419" s="0" t="n">
        <f aca="false">04_回帰ANOVA!$K$19*04_回帰ANOVA!$K$14*SQRT(1+L1419)</f>
        <v>1.50877088864536</v>
      </c>
      <c r="N1419" s="0" t="n">
        <f aca="false">K1419-M1419</f>
        <v>46.6839475021592</v>
      </c>
      <c r="O1419" s="0" t="n">
        <f aca="false">K1419+M1419</f>
        <v>49.70148927945</v>
      </c>
      <c r="P1419" s="54" t="b">
        <f aca="false">AND(C1419&gt;=01_因子設定!$L$5-0.000000001,C1419&lt;=01_因子設定!$M$5+0.000000001,D1419&gt;=01_因子設定!$L$6-0.000000001,D1419&lt;=01_因子設定!$M$6+0.000000001,IF(01_因子設定!$B$20="Box-Behnken",C1419^2+D1419^2&lt;=2+0.000000001,TRUE()))</f>
        <v>1</v>
      </c>
      <c r="Q1419" s="55" t="n">
        <f aca="false">IF(P1419,IF(01_因子設定!$B$13="最大化",N1419-01_因子設定!$B$14,IF(01_因子設定!$B$13="最小化",01_因子設定!$B$15-O1419,MIN(N1419-01_因子設定!$B$14,01_因子設定!$B$15-O1419))),-1E+030)</f>
        <v>0.183947502159221</v>
      </c>
      <c r="R1419" s="55" t="n">
        <f aca="false">IF(P1419,IF(01_因子設定!$B$13="最大化",K1419,IF(01_因子設定!$B$13="最小化",-K1419,-ABS(K1419-01_因子設定!$B$16))),-1E+030)</f>
        <v>48.1927183908046</v>
      </c>
      <c r="S1419" s="55" t="n">
        <f aca="false">Q1419+ROW()*0.000000001</f>
        <v>0.183948921159221</v>
      </c>
      <c r="T1419" s="55" t="n">
        <f aca="false">R1419+ROW()*0.000000001</f>
        <v>48.1927198098046</v>
      </c>
    </row>
    <row r="1420" customFormat="false" ht="15" hidden="false" customHeight="false" outlineLevel="0" collapsed="false">
      <c r="A1420" s="0" t="n">
        <v>34</v>
      </c>
      <c r="B1420" s="0" t="n">
        <v>21</v>
      </c>
      <c r="C1420" s="0" t="n">
        <f aca="false">-1+A1420*0.05</f>
        <v>0.7</v>
      </c>
      <c r="D1420" s="0" t="n">
        <f aca="false">-1+B1420*0.05</f>
        <v>0.05</v>
      </c>
      <c r="E1420" s="0" t="n">
        <f aca="false">1</f>
        <v>1</v>
      </c>
      <c r="F1420" s="0" t="n">
        <f aca="false">C1420</f>
        <v>0.7</v>
      </c>
      <c r="G1420" s="0" t="n">
        <f aca="false">D1420</f>
        <v>0.05</v>
      </c>
      <c r="H1420" s="0" t="n">
        <f aca="false">C1420*D1420</f>
        <v>0.035</v>
      </c>
      <c r="I1420" s="0" t="n">
        <f aca="false">C1420*C1420</f>
        <v>0.49</v>
      </c>
      <c r="J1420" s="0" t="n">
        <f aca="false">D1420*D1420</f>
        <v>0.0025</v>
      </c>
      <c r="K1420" s="0" t="n">
        <f aca="false">SUMPRODUCT(E1420:J1420,_XtX!$B$53:$G$53)</f>
        <v>48.3197356321839</v>
      </c>
      <c r="L1420" s="0" t="n">
        <f aca="false">SUMPRODUCT(MMULT(E1420:J1420,_XtX!$B$44:$G$49),E1420:J1420)</f>
        <v>0.239503915229885</v>
      </c>
      <c r="M1420" s="0" t="n">
        <f aca="false">04_回帰ANOVA!$K$19*04_回帰ANOVA!$K$14*SQRT(1+L1420)</f>
        <v>1.50869177878988</v>
      </c>
      <c r="N1420" s="0" t="n">
        <f aca="false">K1420-M1420</f>
        <v>46.811043853394</v>
      </c>
      <c r="O1420" s="0" t="n">
        <f aca="false">K1420+M1420</f>
        <v>49.8284274109738</v>
      </c>
      <c r="P1420" s="54" t="b">
        <f aca="false">AND(C1420&gt;=01_因子設定!$L$5-0.000000001,C1420&lt;=01_因子設定!$M$5+0.000000001,D1420&gt;=01_因子設定!$L$6-0.000000001,D1420&lt;=01_因子設定!$M$6+0.000000001,IF(01_因子設定!$B$20="Box-Behnken",C1420^2+D1420^2&lt;=2+0.000000001,TRUE()))</f>
        <v>1</v>
      </c>
      <c r="Q1420" s="55" t="n">
        <f aca="false">IF(P1420,IF(01_因子設定!$B$13="最大化",N1420-01_因子設定!$B$14,IF(01_因子設定!$B$13="最小化",01_因子設定!$B$15-O1420,MIN(N1420-01_因子設定!$B$14,01_因子設定!$B$15-O1420))),-1E+030)</f>
        <v>0.311043853394025</v>
      </c>
      <c r="R1420" s="55" t="n">
        <f aca="false">IF(P1420,IF(01_因子設定!$B$13="最大化",K1420,IF(01_因子設定!$B$13="最小化",-K1420,-ABS(K1420-01_因子設定!$B$16))),-1E+030)</f>
        <v>48.3197356321839</v>
      </c>
      <c r="S1420" s="55" t="n">
        <f aca="false">Q1420+ROW()*0.000000001</f>
        <v>0.311045273394025</v>
      </c>
      <c r="T1420" s="55" t="n">
        <f aca="false">R1420+ROW()*0.000000001</f>
        <v>48.3197370521839</v>
      </c>
    </row>
    <row r="1421" customFormat="false" ht="15" hidden="false" customHeight="false" outlineLevel="0" collapsed="false">
      <c r="A1421" s="0" t="n">
        <v>34</v>
      </c>
      <c r="B1421" s="0" t="n">
        <v>22</v>
      </c>
      <c r="C1421" s="0" t="n">
        <f aca="false">-1+A1421*0.05</f>
        <v>0.7</v>
      </c>
      <c r="D1421" s="0" t="n">
        <f aca="false">-1+B1421*0.05</f>
        <v>0.1</v>
      </c>
      <c r="E1421" s="0" t="n">
        <f aca="false">1</f>
        <v>1</v>
      </c>
      <c r="F1421" s="0" t="n">
        <f aca="false">C1421</f>
        <v>0.7</v>
      </c>
      <c r="G1421" s="0" t="n">
        <f aca="false">D1421</f>
        <v>0.1</v>
      </c>
      <c r="H1421" s="0" t="n">
        <f aca="false">C1421*D1421</f>
        <v>0.0700000000000001</v>
      </c>
      <c r="I1421" s="0" t="n">
        <f aca="false">C1421*C1421</f>
        <v>0.49</v>
      </c>
      <c r="J1421" s="0" t="n">
        <f aca="false">D1421*D1421</f>
        <v>0.01</v>
      </c>
      <c r="K1421" s="0" t="n">
        <f aca="false">SUMPRODUCT(E1421:J1421,_XtX!$B$53:$G$53)</f>
        <v>48.4390373563218</v>
      </c>
      <c r="L1421" s="0" t="n">
        <f aca="false">SUMPRODUCT(MMULT(E1421:J1421,_XtX!$B$44:$G$49),E1421:J1421)</f>
        <v>0.239141091954023</v>
      </c>
      <c r="M1421" s="0" t="n">
        <f aca="false">04_回帰ANOVA!$K$19*04_回帰ANOVA!$K$14*SQRT(1+L1421)</f>
        <v>1.50847095312325</v>
      </c>
      <c r="N1421" s="0" t="n">
        <f aca="false">K1421-M1421</f>
        <v>46.9305664031986</v>
      </c>
      <c r="O1421" s="0" t="n">
        <f aca="false">K1421+M1421</f>
        <v>49.9475083094451</v>
      </c>
      <c r="P1421" s="54" t="b">
        <f aca="false">AND(C1421&gt;=01_因子設定!$L$5-0.000000001,C1421&lt;=01_因子設定!$M$5+0.000000001,D1421&gt;=01_因子設定!$L$6-0.000000001,D1421&lt;=01_因子設定!$M$6+0.000000001,IF(01_因子設定!$B$20="Box-Behnken",C1421^2+D1421^2&lt;=2+0.000000001,TRUE()))</f>
        <v>1</v>
      </c>
      <c r="Q1421" s="55" t="n">
        <f aca="false">IF(P1421,IF(01_因子設定!$B$13="最大化",N1421-01_因子設定!$B$14,IF(01_因子設定!$B$13="最小化",01_因子設定!$B$15-O1421,MIN(N1421-01_因子設定!$B$14,01_因子設定!$B$15-O1421))),-1E+030)</f>
        <v>0.430566403198569</v>
      </c>
      <c r="R1421" s="55" t="n">
        <f aca="false">IF(P1421,IF(01_因子設定!$B$13="最大化",K1421,IF(01_因子設定!$B$13="最小化",-K1421,-ABS(K1421-01_因子設定!$B$16))),-1E+030)</f>
        <v>48.4390373563218</v>
      </c>
      <c r="S1421" s="55" t="n">
        <f aca="false">Q1421+ROW()*0.000000001</f>
        <v>0.430567824198569</v>
      </c>
      <c r="T1421" s="55" t="n">
        <f aca="false">R1421+ROW()*0.000000001</f>
        <v>48.4390387773218</v>
      </c>
    </row>
    <row r="1422" customFormat="false" ht="15" hidden="false" customHeight="false" outlineLevel="0" collapsed="false">
      <c r="A1422" s="0" t="n">
        <v>34</v>
      </c>
      <c r="B1422" s="0" t="n">
        <v>23</v>
      </c>
      <c r="C1422" s="0" t="n">
        <f aca="false">-1+A1422*0.05</f>
        <v>0.7</v>
      </c>
      <c r="D1422" s="0" t="n">
        <f aca="false">-1+B1422*0.05</f>
        <v>0.15</v>
      </c>
      <c r="E1422" s="0" t="n">
        <f aca="false">1</f>
        <v>1</v>
      </c>
      <c r="F1422" s="0" t="n">
        <f aca="false">C1422</f>
        <v>0.7</v>
      </c>
      <c r="G1422" s="0" t="n">
        <f aca="false">D1422</f>
        <v>0.15</v>
      </c>
      <c r="H1422" s="0" t="n">
        <f aca="false">C1422*D1422</f>
        <v>0.105</v>
      </c>
      <c r="I1422" s="0" t="n">
        <f aca="false">C1422*C1422</f>
        <v>0.49</v>
      </c>
      <c r="J1422" s="0" t="n">
        <f aca="false">D1422*D1422</f>
        <v>0.0225</v>
      </c>
      <c r="K1422" s="0" t="n">
        <f aca="false">SUMPRODUCT(E1422:J1422,_XtX!$B$53:$G$53)</f>
        <v>48.5506235632184</v>
      </c>
      <c r="L1422" s="0" t="n">
        <f aca="false">SUMPRODUCT(MMULT(E1422:J1422,_XtX!$B$44:$G$49),E1422:J1422)</f>
        <v>0.238626903735632</v>
      </c>
      <c r="M1422" s="0" t="n">
        <f aca="false">04_回帰ANOVA!$K$19*04_回帰ANOVA!$K$14*SQRT(1+L1422)</f>
        <v>1.50815794660713</v>
      </c>
      <c r="N1422" s="0" t="n">
        <f aca="false">K1422-M1422</f>
        <v>47.0424656166113</v>
      </c>
      <c r="O1422" s="0" t="n">
        <f aca="false">K1422+M1422</f>
        <v>50.0587815098255</v>
      </c>
      <c r="P1422" s="54" t="b">
        <f aca="false">AND(C1422&gt;=01_因子設定!$L$5-0.000000001,C1422&lt;=01_因子設定!$M$5+0.000000001,D1422&gt;=01_因子設定!$L$6-0.000000001,D1422&lt;=01_因子設定!$M$6+0.000000001,IF(01_因子設定!$B$20="Box-Behnken",C1422^2+D1422^2&lt;=2+0.000000001,TRUE()))</f>
        <v>1</v>
      </c>
      <c r="Q1422" s="55" t="n">
        <f aca="false">IF(P1422,IF(01_因子設定!$B$13="最大化",N1422-01_因子設定!$B$14,IF(01_因子設定!$B$13="最小化",01_因子設定!$B$15-O1422,MIN(N1422-01_因子設定!$B$14,01_因子設定!$B$15-O1422))),-1E+030)</f>
        <v>0.542465616611253</v>
      </c>
      <c r="R1422" s="55" t="n">
        <f aca="false">IF(P1422,IF(01_因子設定!$B$13="最大化",K1422,IF(01_因子設定!$B$13="最小化",-K1422,-ABS(K1422-01_因子設定!$B$16))),-1E+030)</f>
        <v>48.5506235632184</v>
      </c>
      <c r="S1422" s="55" t="n">
        <f aca="false">Q1422+ROW()*0.000000001</f>
        <v>0.542467038611253</v>
      </c>
      <c r="T1422" s="55" t="n">
        <f aca="false">R1422+ROW()*0.000000001</f>
        <v>48.5506249852184</v>
      </c>
    </row>
    <row r="1423" customFormat="false" ht="15" hidden="false" customHeight="false" outlineLevel="0" collapsed="false">
      <c r="A1423" s="0" t="n">
        <v>34</v>
      </c>
      <c r="B1423" s="0" t="n">
        <v>24</v>
      </c>
      <c r="C1423" s="0" t="n">
        <f aca="false">-1+A1423*0.05</f>
        <v>0.7</v>
      </c>
      <c r="D1423" s="0" t="n">
        <f aca="false">-1+B1423*0.05</f>
        <v>0.2</v>
      </c>
      <c r="E1423" s="0" t="n">
        <f aca="false">1</f>
        <v>1</v>
      </c>
      <c r="F1423" s="0" t="n">
        <f aca="false">C1423</f>
        <v>0.7</v>
      </c>
      <c r="G1423" s="0" t="n">
        <f aca="false">D1423</f>
        <v>0.2</v>
      </c>
      <c r="H1423" s="0" t="n">
        <f aca="false">C1423*D1423</f>
        <v>0.14</v>
      </c>
      <c r="I1423" s="0" t="n">
        <f aca="false">C1423*C1423</f>
        <v>0.49</v>
      </c>
      <c r="J1423" s="0" t="n">
        <f aca="false">D1423*D1423</f>
        <v>0.0400000000000001</v>
      </c>
      <c r="K1423" s="0" t="n">
        <f aca="false">SUMPRODUCT(E1423:J1423,_XtX!$B$53:$G$53)</f>
        <v>48.6544942528736</v>
      </c>
      <c r="L1423" s="0" t="n">
        <f aca="false">SUMPRODUCT(MMULT(E1423:J1423,_XtX!$B$44:$G$49),E1423:J1423)</f>
        <v>0.238097126436782</v>
      </c>
      <c r="M1423" s="0" t="n">
        <f aca="false">04_回帰ANOVA!$K$19*04_回帰ANOVA!$K$14*SQRT(1+L1423)</f>
        <v>1.50783538244616</v>
      </c>
      <c r="N1423" s="0" t="n">
        <f aca="false">K1423-M1423</f>
        <v>47.1466588704274</v>
      </c>
      <c r="O1423" s="0" t="n">
        <f aca="false">K1423+M1423</f>
        <v>50.1623296353197</v>
      </c>
      <c r="P1423" s="54" t="b">
        <f aca="false">AND(C1423&gt;=01_因子設定!$L$5-0.000000001,C1423&lt;=01_因子設定!$M$5+0.000000001,D1423&gt;=01_因子設定!$L$6-0.000000001,D1423&lt;=01_因子設定!$M$6+0.000000001,IF(01_因子設定!$B$20="Box-Behnken",C1423^2+D1423^2&lt;=2+0.000000001,TRUE()))</f>
        <v>1</v>
      </c>
      <c r="Q1423" s="55" t="n">
        <f aca="false">IF(P1423,IF(01_因子設定!$B$13="最大化",N1423-01_因子設定!$B$14,IF(01_因子設定!$B$13="最小化",01_因子設定!$B$15-O1423,MIN(N1423-01_因子設定!$B$14,01_因子設定!$B$15-O1423))),-1E+030)</f>
        <v>0.646658870427395</v>
      </c>
      <c r="R1423" s="55" t="n">
        <f aca="false">IF(P1423,IF(01_因子設定!$B$13="最大化",K1423,IF(01_因子設定!$B$13="最小化",-K1423,-ABS(K1423-01_因子設定!$B$16))),-1E+030)</f>
        <v>48.6544942528736</v>
      </c>
      <c r="S1423" s="55" t="n">
        <f aca="false">Q1423+ROW()*0.000000001</f>
        <v>0.646660293427395</v>
      </c>
      <c r="T1423" s="55" t="n">
        <f aca="false">R1423+ROW()*0.000000001</f>
        <v>48.6544956758736</v>
      </c>
    </row>
    <row r="1424" customFormat="false" ht="15" hidden="false" customHeight="false" outlineLevel="0" collapsed="false">
      <c r="A1424" s="0" t="n">
        <v>34</v>
      </c>
      <c r="B1424" s="0" t="n">
        <v>25</v>
      </c>
      <c r="C1424" s="0" t="n">
        <f aca="false">-1+A1424*0.05</f>
        <v>0.7</v>
      </c>
      <c r="D1424" s="0" t="n">
        <f aca="false">-1+B1424*0.05</f>
        <v>0.25</v>
      </c>
      <c r="E1424" s="0" t="n">
        <f aca="false">1</f>
        <v>1</v>
      </c>
      <c r="F1424" s="0" t="n">
        <f aca="false">C1424</f>
        <v>0.7</v>
      </c>
      <c r="G1424" s="0" t="n">
        <f aca="false">D1424</f>
        <v>0.25</v>
      </c>
      <c r="H1424" s="0" t="n">
        <f aca="false">C1424*D1424</f>
        <v>0.175</v>
      </c>
      <c r="I1424" s="0" t="n">
        <f aca="false">C1424*C1424</f>
        <v>0.49</v>
      </c>
      <c r="J1424" s="0" t="n">
        <f aca="false">D1424*D1424</f>
        <v>0.0625</v>
      </c>
      <c r="K1424" s="0" t="n">
        <f aca="false">SUMPRODUCT(E1424:J1424,_XtX!$B$53:$G$53)</f>
        <v>48.7506494252873</v>
      </c>
      <c r="L1424" s="0" t="n">
        <f aca="false">SUMPRODUCT(MMULT(E1424:J1424,_XtX!$B$44:$G$49),E1424:J1424)</f>
        <v>0.237741846264368</v>
      </c>
      <c r="M1424" s="0" t="n">
        <f aca="false">04_回帰ANOVA!$K$19*04_回帰ANOVA!$K$14*SQRT(1+L1424)</f>
        <v>1.50761902524781</v>
      </c>
      <c r="N1424" s="0" t="n">
        <f aca="false">K1424-M1424</f>
        <v>47.2430304000395</v>
      </c>
      <c r="O1424" s="0" t="n">
        <f aca="false">K1424+M1424</f>
        <v>50.2582684505352</v>
      </c>
      <c r="P1424" s="54" t="b">
        <f aca="false">AND(C1424&gt;=01_因子設定!$L$5-0.000000001,C1424&lt;=01_因子設定!$M$5+0.000000001,D1424&gt;=01_因子設定!$L$6-0.000000001,D1424&lt;=01_因子設定!$M$6+0.000000001,IF(01_因子設定!$B$20="Box-Behnken",C1424^2+D1424^2&lt;=2+0.000000001,TRUE()))</f>
        <v>1</v>
      </c>
      <c r="Q1424" s="55" t="n">
        <f aca="false">IF(P1424,IF(01_因子設定!$B$13="最大化",N1424-01_因子設定!$B$14,IF(01_因子設定!$B$13="最小化",01_因子設定!$B$15-O1424,MIN(N1424-01_因子設定!$B$14,01_因子設定!$B$15-O1424))),-1E+030)</f>
        <v>0.74303040003953</v>
      </c>
      <c r="R1424" s="55" t="n">
        <f aca="false">IF(P1424,IF(01_因子設定!$B$13="最大化",K1424,IF(01_因子設定!$B$13="最小化",-K1424,-ABS(K1424-01_因子設定!$B$16))),-1E+030)</f>
        <v>48.7506494252873</v>
      </c>
      <c r="S1424" s="55" t="n">
        <f aca="false">Q1424+ROW()*0.000000001</f>
        <v>0.74303182403953</v>
      </c>
      <c r="T1424" s="55" t="n">
        <f aca="false">R1424+ROW()*0.000000001</f>
        <v>48.7506508492873</v>
      </c>
    </row>
    <row r="1425" customFormat="false" ht="15" hidden="false" customHeight="false" outlineLevel="0" collapsed="false">
      <c r="A1425" s="0" t="n">
        <v>34</v>
      </c>
      <c r="B1425" s="0" t="n">
        <v>26</v>
      </c>
      <c r="C1425" s="0" t="n">
        <f aca="false">-1+A1425*0.05</f>
        <v>0.7</v>
      </c>
      <c r="D1425" s="0" t="n">
        <f aca="false">-1+B1425*0.05</f>
        <v>0.3</v>
      </c>
      <c r="E1425" s="0" t="n">
        <f aca="false">1</f>
        <v>1</v>
      </c>
      <c r="F1425" s="0" t="n">
        <f aca="false">C1425</f>
        <v>0.7</v>
      </c>
      <c r="G1425" s="0" t="n">
        <f aca="false">D1425</f>
        <v>0.3</v>
      </c>
      <c r="H1425" s="0" t="n">
        <f aca="false">C1425*D1425</f>
        <v>0.21</v>
      </c>
      <c r="I1425" s="0" t="n">
        <f aca="false">C1425*C1425</f>
        <v>0.49</v>
      </c>
      <c r="J1425" s="0" t="n">
        <f aca="false">D1425*D1425</f>
        <v>0.09</v>
      </c>
      <c r="K1425" s="0" t="n">
        <f aca="false">SUMPRODUCT(E1425:J1425,_XtX!$B$53:$G$53)</f>
        <v>48.8390890804598</v>
      </c>
      <c r="L1425" s="0" t="n">
        <f aca="false">SUMPRODUCT(MMULT(E1425:J1425,_XtX!$B$44:$G$49),E1425:J1425)</f>
        <v>0.237805459770115</v>
      </c>
      <c r="M1425" s="0" t="n">
        <f aca="false">04_回帰ANOVA!$K$19*04_回帰ANOVA!$K$14*SQRT(1+L1425)</f>
        <v>1.50765776664594</v>
      </c>
      <c r="N1425" s="0" t="n">
        <f aca="false">K1425-M1425</f>
        <v>47.3314313138138</v>
      </c>
      <c r="O1425" s="0" t="n">
        <f aca="false">K1425+M1425</f>
        <v>50.3467468471057</v>
      </c>
      <c r="P1425" s="54" t="b">
        <f aca="false">AND(C1425&gt;=01_因子設定!$L$5-0.000000001,C1425&lt;=01_因子設定!$M$5+0.000000001,D1425&gt;=01_因子設定!$L$6-0.000000001,D1425&lt;=01_因子設定!$M$6+0.000000001,IF(01_因子設定!$B$20="Box-Behnken",C1425^2+D1425^2&lt;=2+0.000000001,TRUE()))</f>
        <v>1</v>
      </c>
      <c r="Q1425" s="55" t="n">
        <f aca="false">IF(P1425,IF(01_因子設定!$B$13="最大化",N1425-01_因子設定!$B$14,IF(01_因子設定!$B$13="最小化",01_因子設定!$B$15-O1425,MIN(N1425-01_因子設定!$B$14,01_因子設定!$B$15-O1425))),-1E+030)</f>
        <v>0.831431313813816</v>
      </c>
      <c r="R1425" s="55" t="n">
        <f aca="false">IF(P1425,IF(01_因子設定!$B$13="最大化",K1425,IF(01_因子設定!$B$13="最小化",-K1425,-ABS(K1425-01_因子設定!$B$16))),-1E+030)</f>
        <v>48.8390890804598</v>
      </c>
      <c r="S1425" s="55" t="n">
        <f aca="false">Q1425+ROW()*0.000000001</f>
        <v>0.831432738813816</v>
      </c>
      <c r="T1425" s="55" t="n">
        <f aca="false">R1425+ROW()*0.000000001</f>
        <v>48.8390905054598</v>
      </c>
    </row>
    <row r="1426" customFormat="false" ht="15" hidden="false" customHeight="false" outlineLevel="0" collapsed="false">
      <c r="A1426" s="0" t="n">
        <v>34</v>
      </c>
      <c r="B1426" s="0" t="n">
        <v>27</v>
      </c>
      <c r="C1426" s="0" t="n">
        <f aca="false">-1+A1426*0.05</f>
        <v>0.7</v>
      </c>
      <c r="D1426" s="0" t="n">
        <f aca="false">-1+B1426*0.05</f>
        <v>0.35</v>
      </c>
      <c r="E1426" s="0" t="n">
        <f aca="false">1</f>
        <v>1</v>
      </c>
      <c r="F1426" s="0" t="n">
        <f aca="false">C1426</f>
        <v>0.7</v>
      </c>
      <c r="G1426" s="0" t="n">
        <f aca="false">D1426</f>
        <v>0.35</v>
      </c>
      <c r="H1426" s="0" t="n">
        <f aca="false">C1426*D1426</f>
        <v>0.245</v>
      </c>
      <c r="I1426" s="0" t="n">
        <f aca="false">C1426*C1426</f>
        <v>0.49</v>
      </c>
      <c r="J1426" s="0" t="n">
        <f aca="false">D1426*D1426</f>
        <v>0.1225</v>
      </c>
      <c r="K1426" s="0" t="n">
        <f aca="false">SUMPRODUCT(E1426:J1426,_XtX!$B$53:$G$53)</f>
        <v>48.9198132183908</v>
      </c>
      <c r="L1426" s="0" t="n">
        <f aca="false">SUMPRODUCT(MMULT(E1426:J1426,_XtX!$B$44:$G$49),E1426:J1426)</f>
        <v>0.238586673850575</v>
      </c>
      <c r="M1426" s="0" t="n">
        <f aca="false">04_回帰ANOVA!$K$19*04_回帰ANOVA!$K$14*SQRT(1+L1426)</f>
        <v>1.50813345435958</v>
      </c>
      <c r="N1426" s="0" t="n">
        <f aca="false">K1426-M1426</f>
        <v>47.4116797640312</v>
      </c>
      <c r="O1426" s="0" t="n">
        <f aca="false">K1426+M1426</f>
        <v>50.4279466727504</v>
      </c>
      <c r="P1426" s="54" t="b">
        <f aca="false">AND(C1426&gt;=01_因子設定!$L$5-0.000000001,C1426&lt;=01_因子設定!$M$5+0.000000001,D1426&gt;=01_因子設定!$L$6-0.000000001,D1426&lt;=01_因子設定!$M$6+0.000000001,IF(01_因子設定!$B$20="Box-Behnken",C1426^2+D1426^2&lt;=2+0.000000001,TRUE()))</f>
        <v>1</v>
      </c>
      <c r="Q1426" s="55" t="n">
        <f aca="false">IF(P1426,IF(01_因子設定!$B$13="最大化",N1426-01_因子設定!$B$14,IF(01_因子設定!$B$13="最小化",01_因子設定!$B$15-O1426,MIN(N1426-01_因子設定!$B$14,01_因子設定!$B$15-O1426))),-1E+030)</f>
        <v>0.91167976403122</v>
      </c>
      <c r="R1426" s="55" t="n">
        <f aca="false">IF(P1426,IF(01_因子設定!$B$13="最大化",K1426,IF(01_因子設定!$B$13="最小化",-K1426,-ABS(K1426-01_因子設定!$B$16))),-1E+030)</f>
        <v>48.9198132183908</v>
      </c>
      <c r="S1426" s="55" t="n">
        <f aca="false">Q1426+ROW()*0.000000001</f>
        <v>0.91168119003122</v>
      </c>
      <c r="T1426" s="55" t="n">
        <f aca="false">R1426+ROW()*0.000000001</f>
        <v>48.9198146443908</v>
      </c>
    </row>
    <row r="1427" customFormat="false" ht="15" hidden="false" customHeight="false" outlineLevel="0" collapsed="false">
      <c r="A1427" s="0" t="n">
        <v>34</v>
      </c>
      <c r="B1427" s="0" t="n">
        <v>28</v>
      </c>
      <c r="C1427" s="0" t="n">
        <f aca="false">-1+A1427*0.05</f>
        <v>0.7</v>
      </c>
      <c r="D1427" s="0" t="n">
        <f aca="false">-1+B1427*0.05</f>
        <v>0.4</v>
      </c>
      <c r="E1427" s="0" t="n">
        <f aca="false">1</f>
        <v>1</v>
      </c>
      <c r="F1427" s="0" t="n">
        <f aca="false">C1427</f>
        <v>0.7</v>
      </c>
      <c r="G1427" s="0" t="n">
        <f aca="false">D1427</f>
        <v>0.4</v>
      </c>
      <c r="H1427" s="0" t="n">
        <f aca="false">C1427*D1427</f>
        <v>0.28</v>
      </c>
      <c r="I1427" s="0" t="n">
        <f aca="false">C1427*C1427</f>
        <v>0.49</v>
      </c>
      <c r="J1427" s="0" t="n">
        <f aca="false">D1427*D1427</f>
        <v>0.16</v>
      </c>
      <c r="K1427" s="0" t="n">
        <f aca="false">SUMPRODUCT(E1427:J1427,_XtX!$B$53:$G$53)</f>
        <v>48.9928218390805</v>
      </c>
      <c r="L1427" s="0" t="n">
        <f aca="false">SUMPRODUCT(MMULT(E1427:J1427,_XtX!$B$44:$G$49),E1427:J1427)</f>
        <v>0.240438505747127</v>
      </c>
      <c r="M1427" s="0" t="n">
        <f aca="false">04_回帰ANOVA!$K$19*04_回帰ANOVA!$K$14*SQRT(1+L1427)</f>
        <v>1.5092604511937</v>
      </c>
      <c r="N1427" s="0" t="n">
        <f aca="false">K1427-M1427</f>
        <v>47.4835613878867</v>
      </c>
      <c r="O1427" s="0" t="n">
        <f aca="false">K1427+M1427</f>
        <v>50.5020822902742</v>
      </c>
      <c r="P1427" s="54" t="b">
        <f aca="false">AND(C1427&gt;=01_因子設定!$L$5-0.000000001,C1427&lt;=01_因子設定!$M$5+0.000000001,D1427&gt;=01_因子設定!$L$6-0.000000001,D1427&lt;=01_因子設定!$M$6+0.000000001,IF(01_因子設定!$B$20="Box-Behnken",C1427^2+D1427^2&lt;=2+0.000000001,TRUE()))</f>
        <v>1</v>
      </c>
      <c r="Q1427" s="55" t="n">
        <f aca="false">IF(P1427,IF(01_因子設定!$B$13="最大化",N1427-01_因子設定!$B$14,IF(01_因子設定!$B$13="最小化",01_因子設定!$B$15-O1427,MIN(N1427-01_因子設定!$B$14,01_因子設定!$B$15-O1427))),-1E+030)</f>
        <v>0.983561387886745</v>
      </c>
      <c r="R1427" s="55" t="n">
        <f aca="false">IF(P1427,IF(01_因子設定!$B$13="最大化",K1427,IF(01_因子設定!$B$13="最小化",-K1427,-ABS(K1427-01_因子設定!$B$16))),-1E+030)</f>
        <v>48.9928218390805</v>
      </c>
      <c r="S1427" s="55" t="n">
        <f aca="false">Q1427+ROW()*0.000000001</f>
        <v>0.983562814886745</v>
      </c>
      <c r="T1427" s="55" t="n">
        <f aca="false">R1427+ROW()*0.000000001</f>
        <v>48.9928232660805</v>
      </c>
    </row>
    <row r="1428" customFormat="false" ht="15" hidden="false" customHeight="false" outlineLevel="0" collapsed="false">
      <c r="A1428" s="0" t="n">
        <v>34</v>
      </c>
      <c r="B1428" s="0" t="n">
        <v>29</v>
      </c>
      <c r="C1428" s="0" t="n">
        <f aca="false">-1+A1428*0.05</f>
        <v>0.7</v>
      </c>
      <c r="D1428" s="0" t="n">
        <f aca="false">-1+B1428*0.05</f>
        <v>0.45</v>
      </c>
      <c r="E1428" s="0" t="n">
        <f aca="false">1</f>
        <v>1</v>
      </c>
      <c r="F1428" s="0" t="n">
        <f aca="false">C1428</f>
        <v>0.7</v>
      </c>
      <c r="G1428" s="0" t="n">
        <f aca="false">D1428</f>
        <v>0.45</v>
      </c>
      <c r="H1428" s="0" t="n">
        <f aca="false">C1428*D1428</f>
        <v>0.315</v>
      </c>
      <c r="I1428" s="0" t="n">
        <f aca="false">C1428*C1428</f>
        <v>0.49</v>
      </c>
      <c r="J1428" s="0" t="n">
        <f aca="false">D1428*D1428</f>
        <v>0.2025</v>
      </c>
      <c r="K1428" s="0" t="n">
        <f aca="false">SUMPRODUCT(E1428:J1428,_XtX!$B$53:$G$53)</f>
        <v>49.0581149425287</v>
      </c>
      <c r="L1428" s="0" t="n">
        <f aca="false">SUMPRODUCT(MMULT(E1428:J1428,_XtX!$B$44:$G$49),E1428:J1428)</f>
        <v>0.243768283045977</v>
      </c>
      <c r="M1428" s="0" t="n">
        <f aca="false">04_回帰ANOVA!$K$19*04_回帰ANOVA!$K$14*SQRT(1+L1428)</f>
        <v>1.51128478900926</v>
      </c>
      <c r="N1428" s="0" t="n">
        <f aca="false">K1428-M1428</f>
        <v>47.5468301535195</v>
      </c>
      <c r="O1428" s="0" t="n">
        <f aca="false">K1428+M1428</f>
        <v>50.569399731538</v>
      </c>
      <c r="P1428" s="54" t="b">
        <f aca="false">AND(C1428&gt;=01_因子設定!$L$5-0.000000001,C1428&lt;=01_因子設定!$M$5+0.000000001,D1428&gt;=01_因子設定!$L$6-0.000000001,D1428&lt;=01_因子設定!$M$6+0.000000001,IF(01_因子設定!$B$20="Box-Behnken",C1428^2+D1428^2&lt;=2+0.000000001,TRUE()))</f>
        <v>1</v>
      </c>
      <c r="Q1428" s="55" t="n">
        <f aca="false">IF(P1428,IF(01_因子設定!$B$13="最大化",N1428-01_因子設定!$B$14,IF(01_因子設定!$B$13="最小化",01_因子設定!$B$15-O1428,MIN(N1428-01_因子設定!$B$14,01_因子設定!$B$15-O1428))),-1E+030)</f>
        <v>1.04683015351946</v>
      </c>
      <c r="R1428" s="55" t="n">
        <f aca="false">IF(P1428,IF(01_因子設定!$B$13="最大化",K1428,IF(01_因子設定!$B$13="最小化",-K1428,-ABS(K1428-01_因子設定!$B$16))),-1E+030)</f>
        <v>49.0581149425287</v>
      </c>
      <c r="S1428" s="55" t="n">
        <f aca="false">Q1428+ROW()*0.000000001</f>
        <v>1.04683158151946</v>
      </c>
      <c r="T1428" s="55" t="n">
        <f aca="false">R1428+ROW()*0.000000001</f>
        <v>49.0581163705287</v>
      </c>
    </row>
    <row r="1429" customFormat="false" ht="15" hidden="false" customHeight="false" outlineLevel="0" collapsed="false">
      <c r="A1429" s="0" t="n">
        <v>34</v>
      </c>
      <c r="B1429" s="0" t="n">
        <v>30</v>
      </c>
      <c r="C1429" s="0" t="n">
        <f aca="false">-1+A1429*0.05</f>
        <v>0.7</v>
      </c>
      <c r="D1429" s="0" t="n">
        <f aca="false">-1+B1429*0.05</f>
        <v>0.5</v>
      </c>
      <c r="E1429" s="0" t="n">
        <f aca="false">1</f>
        <v>1</v>
      </c>
      <c r="F1429" s="0" t="n">
        <f aca="false">C1429</f>
        <v>0.7</v>
      </c>
      <c r="G1429" s="0" t="n">
        <f aca="false">D1429</f>
        <v>0.5</v>
      </c>
      <c r="H1429" s="0" t="n">
        <f aca="false">C1429*D1429</f>
        <v>0.35</v>
      </c>
      <c r="I1429" s="0" t="n">
        <f aca="false">C1429*C1429</f>
        <v>0.49</v>
      </c>
      <c r="J1429" s="0" t="n">
        <f aca="false">D1429*D1429</f>
        <v>0.25</v>
      </c>
      <c r="K1429" s="0" t="n">
        <f aca="false">SUMPRODUCT(E1429:J1429,_XtX!$B$53:$G$53)</f>
        <v>49.1156925287356</v>
      </c>
      <c r="L1429" s="0" t="n">
        <f aca="false">SUMPRODUCT(MMULT(E1429:J1429,_XtX!$B$44:$G$49),E1429:J1429)</f>
        <v>0.249037643678161</v>
      </c>
      <c r="M1429" s="0" t="n">
        <f aca="false">04_回帰ANOVA!$K$19*04_回帰ANOVA!$K$14*SQRT(1+L1429)</f>
        <v>1.5144827672559</v>
      </c>
      <c r="N1429" s="0" t="n">
        <f aca="false">K1429-M1429</f>
        <v>47.6012097614797</v>
      </c>
      <c r="O1429" s="0" t="n">
        <f aca="false">K1429+M1429</f>
        <v>50.6301752959915</v>
      </c>
      <c r="P1429" s="54" t="b">
        <f aca="false">AND(C1429&gt;=01_因子設定!$L$5-0.000000001,C1429&lt;=01_因子設定!$M$5+0.000000001,D1429&gt;=01_因子設定!$L$6-0.000000001,D1429&lt;=01_因子設定!$M$6+0.000000001,IF(01_因子設定!$B$20="Box-Behnken",C1429^2+D1429^2&lt;=2+0.000000001,TRUE()))</f>
        <v>1</v>
      </c>
      <c r="Q1429" s="55" t="n">
        <f aca="false">IF(P1429,IF(01_因子設定!$B$13="最大化",N1429-01_因子設定!$B$14,IF(01_因子設定!$B$13="最小化",01_因子設定!$B$15-O1429,MIN(N1429-01_因子設定!$B$14,01_因子設定!$B$15-O1429))),-1E+030)</f>
        <v>1.10120976147972</v>
      </c>
      <c r="R1429" s="55" t="n">
        <f aca="false">IF(P1429,IF(01_因子設定!$B$13="最大化",K1429,IF(01_因子設定!$B$13="最小化",-K1429,-ABS(K1429-01_因子設定!$B$16))),-1E+030)</f>
        <v>49.1156925287356</v>
      </c>
      <c r="S1429" s="55" t="n">
        <f aca="false">Q1429+ROW()*0.000000001</f>
        <v>1.10121119047972</v>
      </c>
      <c r="T1429" s="55" t="n">
        <f aca="false">R1429+ROW()*0.000000001</f>
        <v>49.1156939577356</v>
      </c>
    </row>
    <row r="1430" customFormat="false" ht="15" hidden="false" customHeight="false" outlineLevel="0" collapsed="false">
      <c r="A1430" s="0" t="n">
        <v>34</v>
      </c>
      <c r="B1430" s="0" t="n">
        <v>31</v>
      </c>
      <c r="C1430" s="0" t="n">
        <f aca="false">-1+A1430*0.05</f>
        <v>0.7</v>
      </c>
      <c r="D1430" s="0" t="n">
        <f aca="false">-1+B1430*0.05</f>
        <v>0.55</v>
      </c>
      <c r="E1430" s="0" t="n">
        <f aca="false">1</f>
        <v>1</v>
      </c>
      <c r="F1430" s="0" t="n">
        <f aca="false">C1430</f>
        <v>0.7</v>
      </c>
      <c r="G1430" s="0" t="n">
        <f aca="false">D1430</f>
        <v>0.55</v>
      </c>
      <c r="H1430" s="0" t="n">
        <f aca="false">C1430*D1430</f>
        <v>0.385</v>
      </c>
      <c r="I1430" s="0" t="n">
        <f aca="false">C1430*C1430</f>
        <v>0.49</v>
      </c>
      <c r="J1430" s="0" t="n">
        <f aca="false">D1430*D1430</f>
        <v>0.3025</v>
      </c>
      <c r="K1430" s="0" t="n">
        <f aca="false">SUMPRODUCT(E1430:J1430,_XtX!$B$53:$G$53)</f>
        <v>49.1655545977011</v>
      </c>
      <c r="L1430" s="0" t="n">
        <f aca="false">SUMPRODUCT(MMULT(E1430:J1430,_XtX!$B$44:$G$49),E1430:J1430)</f>
        <v>0.25676253591954</v>
      </c>
      <c r="M1430" s="0" t="n">
        <f aca="false">04_回帰ANOVA!$K$19*04_回帰ANOVA!$K$14*SQRT(1+L1430)</f>
        <v>1.51915884046963</v>
      </c>
      <c r="N1430" s="0" t="n">
        <f aca="false">K1430-M1430</f>
        <v>47.6463957572315</v>
      </c>
      <c r="O1430" s="0" t="n">
        <f aca="false">K1430+M1430</f>
        <v>50.6847134381708</v>
      </c>
      <c r="P1430" s="54" t="b">
        <f aca="false">AND(C1430&gt;=01_因子設定!$L$5-0.000000001,C1430&lt;=01_因子設定!$M$5+0.000000001,D1430&gt;=01_因子設定!$L$6-0.000000001,D1430&lt;=01_因子設定!$M$6+0.000000001,IF(01_因子設定!$B$20="Box-Behnken",C1430^2+D1430^2&lt;=2+0.000000001,TRUE()))</f>
        <v>1</v>
      </c>
      <c r="Q1430" s="55" t="n">
        <f aca="false">IF(P1430,IF(01_因子設定!$B$13="最大化",N1430-01_因子設定!$B$14,IF(01_因子設定!$B$13="最小化",01_因子設定!$B$15-O1430,MIN(N1430-01_因子設定!$B$14,01_因子設定!$B$15-O1430))),-1E+030)</f>
        <v>1.1463957572315</v>
      </c>
      <c r="R1430" s="55" t="n">
        <f aca="false">IF(P1430,IF(01_因子設定!$B$13="最大化",K1430,IF(01_因子設定!$B$13="最小化",-K1430,-ABS(K1430-01_因子設定!$B$16))),-1E+030)</f>
        <v>49.1655545977011</v>
      </c>
      <c r="S1430" s="55" t="n">
        <f aca="false">Q1430+ROW()*0.000000001</f>
        <v>1.1463971872315</v>
      </c>
      <c r="T1430" s="55" t="n">
        <f aca="false">R1430+ROW()*0.000000001</f>
        <v>49.1655560277011</v>
      </c>
    </row>
    <row r="1431" customFormat="false" ht="15" hidden="false" customHeight="false" outlineLevel="0" collapsed="false">
      <c r="A1431" s="0" t="n">
        <v>34</v>
      </c>
      <c r="B1431" s="0" t="n">
        <v>32</v>
      </c>
      <c r="C1431" s="0" t="n">
        <f aca="false">-1+A1431*0.05</f>
        <v>0.7</v>
      </c>
      <c r="D1431" s="0" t="n">
        <f aca="false">-1+B1431*0.05</f>
        <v>0.6</v>
      </c>
      <c r="E1431" s="0" t="n">
        <f aca="false">1</f>
        <v>1</v>
      </c>
      <c r="F1431" s="0" t="n">
        <f aca="false">C1431</f>
        <v>0.7</v>
      </c>
      <c r="G1431" s="0" t="n">
        <f aca="false">D1431</f>
        <v>0.6</v>
      </c>
      <c r="H1431" s="0" t="n">
        <f aca="false">C1431*D1431</f>
        <v>0.42</v>
      </c>
      <c r="I1431" s="0" t="n">
        <f aca="false">C1431*C1431</f>
        <v>0.49</v>
      </c>
      <c r="J1431" s="0" t="n">
        <f aca="false">D1431*D1431</f>
        <v>0.36</v>
      </c>
      <c r="K1431" s="0" t="n">
        <f aca="false">SUMPRODUCT(E1431:J1431,_XtX!$B$53:$G$53)</f>
        <v>49.2077011494253</v>
      </c>
      <c r="L1431" s="0" t="n">
        <f aca="false">SUMPRODUCT(MMULT(E1431:J1431,_XtX!$B$44:$G$49),E1431:J1431)</f>
        <v>0.267513218390805</v>
      </c>
      <c r="M1431" s="0" t="n">
        <f aca="false">04_回帰ANOVA!$K$19*04_回帰ANOVA!$K$14*SQRT(1+L1431)</f>
        <v>1.52564264921817</v>
      </c>
      <c r="N1431" s="0" t="n">
        <f aca="false">K1431-M1431</f>
        <v>47.6820585002071</v>
      </c>
      <c r="O1431" s="0" t="n">
        <f aca="false">K1431+M1431</f>
        <v>50.7333437986435</v>
      </c>
      <c r="P1431" s="54" t="b">
        <f aca="false">AND(C1431&gt;=01_因子設定!$L$5-0.000000001,C1431&lt;=01_因子設定!$M$5+0.000000001,D1431&gt;=01_因子設定!$L$6-0.000000001,D1431&lt;=01_因子設定!$M$6+0.000000001,IF(01_因子設定!$B$20="Box-Behnken",C1431^2+D1431^2&lt;=2+0.000000001,TRUE()))</f>
        <v>1</v>
      </c>
      <c r="Q1431" s="55" t="n">
        <f aca="false">IF(P1431,IF(01_因子設定!$B$13="最大化",N1431-01_因子設定!$B$14,IF(01_因子設定!$B$13="最小化",01_因子設定!$B$15-O1431,MIN(N1431-01_因子設定!$B$14,01_因子設定!$B$15-O1431))),-1E+030)</f>
        <v>1.1820585002071</v>
      </c>
      <c r="R1431" s="55" t="n">
        <f aca="false">IF(P1431,IF(01_因子設定!$B$13="最大化",K1431,IF(01_因子設定!$B$13="最小化",-K1431,-ABS(K1431-01_因子設定!$B$16))),-1E+030)</f>
        <v>49.2077011494253</v>
      </c>
      <c r="S1431" s="55" t="n">
        <f aca="false">Q1431+ROW()*0.000000001</f>
        <v>1.1820599312071</v>
      </c>
      <c r="T1431" s="55" t="n">
        <f aca="false">R1431+ROW()*0.000000001</f>
        <v>49.2077025804253</v>
      </c>
    </row>
    <row r="1432" customFormat="false" ht="15" hidden="false" customHeight="false" outlineLevel="0" collapsed="false">
      <c r="A1432" s="0" t="n">
        <v>34</v>
      </c>
      <c r="B1432" s="0" t="n">
        <v>33</v>
      </c>
      <c r="C1432" s="0" t="n">
        <f aca="false">-1+A1432*0.05</f>
        <v>0.7</v>
      </c>
      <c r="D1432" s="0" t="n">
        <f aca="false">-1+B1432*0.05</f>
        <v>0.65</v>
      </c>
      <c r="E1432" s="0" t="n">
        <f aca="false">1</f>
        <v>1</v>
      </c>
      <c r="F1432" s="0" t="n">
        <f aca="false">C1432</f>
        <v>0.7</v>
      </c>
      <c r="G1432" s="0" t="n">
        <f aca="false">D1432</f>
        <v>0.65</v>
      </c>
      <c r="H1432" s="0" t="n">
        <f aca="false">C1432*D1432</f>
        <v>0.455</v>
      </c>
      <c r="I1432" s="0" t="n">
        <f aca="false">C1432*C1432</f>
        <v>0.49</v>
      </c>
      <c r="J1432" s="0" t="n">
        <f aca="false">D1432*D1432</f>
        <v>0.4225</v>
      </c>
      <c r="K1432" s="0" t="n">
        <f aca="false">SUMPRODUCT(E1432:J1432,_XtX!$B$53:$G$53)</f>
        <v>49.242132183908</v>
      </c>
      <c r="L1432" s="0" t="n">
        <f aca="false">SUMPRODUCT(MMULT(E1432:J1432,_XtX!$B$44:$G$49),E1432:J1432)</f>
        <v>0.281914260057471</v>
      </c>
      <c r="M1432" s="0" t="n">
        <f aca="false">04_回帰ANOVA!$K$19*04_回帰ANOVA!$K$14*SQRT(1+L1432)</f>
        <v>1.53428507945275</v>
      </c>
      <c r="N1432" s="0" t="n">
        <f aca="false">K1432-M1432</f>
        <v>47.7078471044553</v>
      </c>
      <c r="O1432" s="0" t="n">
        <f aca="false">K1432+M1432</f>
        <v>50.7764172633608</v>
      </c>
      <c r="P1432" s="54" t="b">
        <f aca="false">AND(C1432&gt;=01_因子設定!$L$5-0.000000001,C1432&lt;=01_因子設定!$M$5+0.000000001,D1432&gt;=01_因子設定!$L$6-0.000000001,D1432&lt;=01_因子設定!$M$6+0.000000001,IF(01_因子設定!$B$20="Box-Behnken",C1432^2+D1432^2&lt;=2+0.000000001,TRUE()))</f>
        <v>1</v>
      </c>
      <c r="Q1432" s="55" t="n">
        <f aca="false">IF(P1432,IF(01_因子設定!$B$13="最大化",N1432-01_因子設定!$B$14,IF(01_因子設定!$B$13="最小化",01_因子設定!$B$15-O1432,MIN(N1432-01_因子設定!$B$14,01_因子設定!$B$15-O1432))),-1E+030)</f>
        <v>1.20784710445528</v>
      </c>
      <c r="R1432" s="55" t="n">
        <f aca="false">IF(P1432,IF(01_因子設定!$B$13="最大化",K1432,IF(01_因子設定!$B$13="最小化",-K1432,-ABS(K1432-01_因子設定!$B$16))),-1E+030)</f>
        <v>49.242132183908</v>
      </c>
      <c r="S1432" s="55" t="n">
        <f aca="false">Q1432+ROW()*0.000000001</f>
        <v>1.20784853645528</v>
      </c>
      <c r="T1432" s="55" t="n">
        <f aca="false">R1432+ROW()*0.000000001</f>
        <v>49.242133615908</v>
      </c>
    </row>
    <row r="1433" customFormat="false" ht="15" hidden="false" customHeight="false" outlineLevel="0" collapsed="false">
      <c r="A1433" s="0" t="n">
        <v>34</v>
      </c>
      <c r="B1433" s="0" t="n">
        <v>34</v>
      </c>
      <c r="C1433" s="0" t="n">
        <f aca="false">-1+A1433*0.05</f>
        <v>0.7</v>
      </c>
      <c r="D1433" s="0" t="n">
        <f aca="false">-1+B1433*0.05</f>
        <v>0.7</v>
      </c>
      <c r="E1433" s="0" t="n">
        <f aca="false">1</f>
        <v>1</v>
      </c>
      <c r="F1433" s="0" t="n">
        <f aca="false">C1433</f>
        <v>0.7</v>
      </c>
      <c r="G1433" s="0" t="n">
        <f aca="false">D1433</f>
        <v>0.7</v>
      </c>
      <c r="H1433" s="0" t="n">
        <f aca="false">C1433*D1433</f>
        <v>0.49</v>
      </c>
      <c r="I1433" s="0" t="n">
        <f aca="false">C1433*C1433</f>
        <v>0.49</v>
      </c>
      <c r="J1433" s="0" t="n">
        <f aca="false">D1433*D1433</f>
        <v>0.49</v>
      </c>
      <c r="K1433" s="0" t="n">
        <f aca="false">SUMPRODUCT(E1433:J1433,_XtX!$B$53:$G$53)</f>
        <v>49.2688477011494</v>
      </c>
      <c r="L1433" s="0" t="n">
        <f aca="false">SUMPRODUCT(MMULT(E1433:J1433,_XtX!$B$44:$G$49),E1433:J1433)</f>
        <v>0.300644540229885</v>
      </c>
      <c r="M1433" s="0" t="n">
        <f aca="false">04_回帰ANOVA!$K$19*04_回帰ANOVA!$K$14*SQRT(1+L1433)</f>
        <v>1.54545329004401</v>
      </c>
      <c r="N1433" s="0" t="n">
        <f aca="false">K1433-M1433</f>
        <v>47.7233944111054</v>
      </c>
      <c r="O1433" s="0" t="n">
        <f aca="false">K1433+M1433</f>
        <v>50.8143009911934</v>
      </c>
      <c r="P1433" s="54" t="b">
        <f aca="false">AND(C1433&gt;=01_因子設定!$L$5-0.000000001,C1433&lt;=01_因子設定!$M$5+0.000000001,D1433&gt;=01_因子設定!$L$6-0.000000001,D1433&lt;=01_因子設定!$M$6+0.000000001,IF(01_因子設定!$B$20="Box-Behnken",C1433^2+D1433^2&lt;=2+0.000000001,TRUE()))</f>
        <v>1</v>
      </c>
      <c r="Q1433" s="55" t="n">
        <f aca="false">IF(P1433,IF(01_因子設定!$B$13="最大化",N1433-01_因子設定!$B$14,IF(01_因子設定!$B$13="最小化",01_因子設定!$B$15-O1433,MIN(N1433-01_因子設定!$B$14,01_因子設定!$B$15-O1433))),-1E+030)</f>
        <v>1.2233944111054</v>
      </c>
      <c r="R1433" s="55" t="n">
        <f aca="false">IF(P1433,IF(01_因子設定!$B$13="最大化",K1433,IF(01_因子設定!$B$13="最小化",-K1433,-ABS(K1433-01_因子設定!$B$16))),-1E+030)</f>
        <v>49.2688477011494</v>
      </c>
      <c r="S1433" s="55" t="n">
        <f aca="false">Q1433+ROW()*0.000000001</f>
        <v>1.2233958441054</v>
      </c>
      <c r="T1433" s="55" t="n">
        <f aca="false">R1433+ROW()*0.000000001</f>
        <v>49.2688491341494</v>
      </c>
    </row>
    <row r="1434" customFormat="false" ht="15" hidden="false" customHeight="false" outlineLevel="0" collapsed="false">
      <c r="A1434" s="0" t="n">
        <v>34</v>
      </c>
      <c r="B1434" s="0" t="n">
        <v>35</v>
      </c>
      <c r="C1434" s="0" t="n">
        <f aca="false">-1+A1434*0.05</f>
        <v>0.7</v>
      </c>
      <c r="D1434" s="0" t="n">
        <f aca="false">-1+B1434*0.05</f>
        <v>0.75</v>
      </c>
      <c r="E1434" s="0" t="n">
        <f aca="false">1</f>
        <v>1</v>
      </c>
      <c r="F1434" s="0" t="n">
        <f aca="false">C1434</f>
        <v>0.7</v>
      </c>
      <c r="G1434" s="0" t="n">
        <f aca="false">D1434</f>
        <v>0.75</v>
      </c>
      <c r="H1434" s="0" t="n">
        <f aca="false">C1434*D1434</f>
        <v>0.525</v>
      </c>
      <c r="I1434" s="0" t="n">
        <f aca="false">C1434*C1434</f>
        <v>0.49</v>
      </c>
      <c r="J1434" s="0" t="n">
        <f aca="false">D1434*D1434</f>
        <v>0.5625</v>
      </c>
      <c r="K1434" s="0" t="n">
        <f aca="false">SUMPRODUCT(E1434:J1434,_XtX!$B$53:$G$53)</f>
        <v>49.2878477011494</v>
      </c>
      <c r="L1434" s="0" t="n">
        <f aca="false">SUMPRODUCT(MMULT(E1434:J1434,_XtX!$B$44:$G$49),E1434:J1434)</f>
        <v>0.324437248563218</v>
      </c>
      <c r="M1434" s="0" t="n">
        <f aca="false">04_回帰ANOVA!$K$19*04_回帰ANOVA!$K$14*SQRT(1+L1434)</f>
        <v>1.55952472849596</v>
      </c>
      <c r="N1434" s="0" t="n">
        <f aca="false">K1434-M1434</f>
        <v>47.7283229726535</v>
      </c>
      <c r="O1434" s="0" t="n">
        <f aca="false">K1434+M1434</f>
        <v>50.8473724296454</v>
      </c>
      <c r="P1434" s="54" t="b">
        <f aca="false">AND(C1434&gt;=01_因子設定!$L$5-0.000000001,C1434&lt;=01_因子設定!$M$5+0.000000001,D1434&gt;=01_因子設定!$L$6-0.000000001,D1434&lt;=01_因子設定!$M$6+0.000000001,IF(01_因子設定!$B$20="Box-Behnken",C1434^2+D1434^2&lt;=2+0.000000001,TRUE()))</f>
        <v>1</v>
      </c>
      <c r="Q1434" s="55" t="n">
        <f aca="false">IF(P1434,IF(01_因子設定!$B$13="最大化",N1434-01_因子設定!$B$14,IF(01_因子設定!$B$13="最小化",01_因子設定!$B$15-O1434,MIN(N1434-01_因子設定!$B$14,01_因子設定!$B$15-O1434))),-1E+030)</f>
        <v>1.22832297265345</v>
      </c>
      <c r="R1434" s="55" t="n">
        <f aca="false">IF(P1434,IF(01_因子設定!$B$13="最大化",K1434,IF(01_因子設定!$B$13="最小化",-K1434,-ABS(K1434-01_因子設定!$B$16))),-1E+030)</f>
        <v>49.2878477011494</v>
      </c>
      <c r="S1434" s="55" t="n">
        <f aca="false">Q1434+ROW()*0.000000001</f>
        <v>1.22832440665345</v>
      </c>
      <c r="T1434" s="55" t="n">
        <f aca="false">R1434+ROW()*0.000000001</f>
        <v>49.2878491351494</v>
      </c>
    </row>
    <row r="1435" customFormat="false" ht="15" hidden="false" customHeight="false" outlineLevel="0" collapsed="false">
      <c r="A1435" s="0" t="n">
        <v>34</v>
      </c>
      <c r="B1435" s="0" t="n">
        <v>36</v>
      </c>
      <c r="C1435" s="0" t="n">
        <f aca="false">-1+A1435*0.05</f>
        <v>0.7</v>
      </c>
      <c r="D1435" s="0" t="n">
        <f aca="false">-1+B1435*0.05</f>
        <v>0.8</v>
      </c>
      <c r="E1435" s="0" t="n">
        <f aca="false">1</f>
        <v>1</v>
      </c>
      <c r="F1435" s="0" t="n">
        <f aca="false">C1435</f>
        <v>0.7</v>
      </c>
      <c r="G1435" s="0" t="n">
        <f aca="false">D1435</f>
        <v>0.8</v>
      </c>
      <c r="H1435" s="0" t="n">
        <f aca="false">C1435*D1435</f>
        <v>0.56</v>
      </c>
      <c r="I1435" s="0" t="n">
        <f aca="false">C1435*C1435</f>
        <v>0.49</v>
      </c>
      <c r="J1435" s="0" t="n">
        <f aca="false">D1435*D1435</f>
        <v>0.64</v>
      </c>
      <c r="K1435" s="0" t="n">
        <f aca="false">SUMPRODUCT(E1435:J1435,_XtX!$B$53:$G$53)</f>
        <v>49.299132183908</v>
      </c>
      <c r="L1435" s="0" t="n">
        <f aca="false">SUMPRODUCT(MMULT(E1435:J1435,_XtX!$B$44:$G$49),E1435:J1435)</f>
        <v>0.354079885057471</v>
      </c>
      <c r="M1435" s="0" t="n">
        <f aca="false">04_回帰ANOVA!$K$19*04_回帰ANOVA!$K$14*SQRT(1+L1435)</f>
        <v>1.57688025677174</v>
      </c>
      <c r="N1435" s="0" t="n">
        <f aca="false">K1435-M1435</f>
        <v>47.7222519271363</v>
      </c>
      <c r="O1435" s="0" t="n">
        <f aca="false">K1435+M1435</f>
        <v>50.8760124406798</v>
      </c>
      <c r="P1435" s="54" t="b">
        <f aca="false">AND(C1435&gt;=01_因子設定!$L$5-0.000000001,C1435&lt;=01_因子設定!$M$5+0.000000001,D1435&gt;=01_因子設定!$L$6-0.000000001,D1435&lt;=01_因子設定!$M$6+0.000000001,IF(01_因子設定!$B$20="Box-Behnken",C1435^2+D1435^2&lt;=2+0.000000001,TRUE()))</f>
        <v>1</v>
      </c>
      <c r="Q1435" s="55" t="n">
        <f aca="false">IF(P1435,IF(01_因子設定!$B$13="最大化",N1435-01_因子設定!$B$14,IF(01_因子設定!$B$13="最小化",01_因子設定!$B$15-O1435,MIN(N1435-01_因子設定!$B$14,01_因子設定!$B$15-O1435))),-1E+030)</f>
        <v>1.2222519271363</v>
      </c>
      <c r="R1435" s="55" t="n">
        <f aca="false">IF(P1435,IF(01_因子設定!$B$13="最大化",K1435,IF(01_因子設定!$B$13="最小化",-K1435,-ABS(K1435-01_因子設定!$B$16))),-1E+030)</f>
        <v>49.299132183908</v>
      </c>
      <c r="S1435" s="55" t="n">
        <f aca="false">Q1435+ROW()*0.000000001</f>
        <v>1.2222533621363</v>
      </c>
      <c r="T1435" s="55" t="n">
        <f aca="false">R1435+ROW()*0.000000001</f>
        <v>49.299133618908</v>
      </c>
    </row>
    <row r="1436" customFormat="false" ht="15" hidden="false" customHeight="false" outlineLevel="0" collapsed="false">
      <c r="A1436" s="0" t="n">
        <v>34</v>
      </c>
      <c r="B1436" s="0" t="n">
        <v>37</v>
      </c>
      <c r="C1436" s="0" t="n">
        <f aca="false">-1+A1436*0.05</f>
        <v>0.7</v>
      </c>
      <c r="D1436" s="0" t="n">
        <f aca="false">-1+B1436*0.05</f>
        <v>0.85</v>
      </c>
      <c r="E1436" s="0" t="n">
        <f aca="false">1</f>
        <v>1</v>
      </c>
      <c r="F1436" s="0" t="n">
        <f aca="false">C1436</f>
        <v>0.7</v>
      </c>
      <c r="G1436" s="0" t="n">
        <f aca="false">D1436</f>
        <v>0.85</v>
      </c>
      <c r="H1436" s="0" t="n">
        <f aca="false">C1436*D1436</f>
        <v>0.595</v>
      </c>
      <c r="I1436" s="0" t="n">
        <f aca="false">C1436*C1436</f>
        <v>0.49</v>
      </c>
      <c r="J1436" s="0" t="n">
        <f aca="false">D1436*D1436</f>
        <v>0.7225</v>
      </c>
      <c r="K1436" s="0" t="n">
        <f aca="false">SUMPRODUCT(E1436:J1436,_XtX!$B$53:$G$53)</f>
        <v>49.3027011494253</v>
      </c>
      <c r="L1436" s="0" t="n">
        <f aca="false">SUMPRODUCT(MMULT(E1436:J1436,_XtX!$B$44:$G$49),E1436:J1436)</f>
        <v>0.390414260057471</v>
      </c>
      <c r="M1436" s="0" t="n">
        <f aca="false">04_回帰ANOVA!$K$19*04_回帰ANOVA!$K$14*SQRT(1+L1436)</f>
        <v>1.59789662309984</v>
      </c>
      <c r="N1436" s="0" t="n">
        <f aca="false">K1436-M1436</f>
        <v>47.7048045263254</v>
      </c>
      <c r="O1436" s="0" t="n">
        <f aca="false">K1436+M1436</f>
        <v>50.9005977725251</v>
      </c>
      <c r="P1436" s="54" t="b">
        <f aca="false">AND(C1436&gt;=01_因子設定!$L$5-0.000000001,C1436&lt;=01_因子設定!$M$5+0.000000001,D1436&gt;=01_因子設定!$L$6-0.000000001,D1436&lt;=01_因子設定!$M$6+0.000000001,IF(01_因子設定!$B$20="Box-Behnken",C1436^2+D1436^2&lt;=2+0.000000001,TRUE()))</f>
        <v>1</v>
      </c>
      <c r="Q1436" s="55" t="n">
        <f aca="false">IF(P1436,IF(01_因子設定!$B$13="最大化",N1436-01_因子設定!$B$14,IF(01_因子設定!$B$13="最小化",01_因子設定!$B$15-O1436,MIN(N1436-01_因子設定!$B$14,01_因子設定!$B$15-O1436))),-1E+030)</f>
        <v>1.20480452632544</v>
      </c>
      <c r="R1436" s="55" t="n">
        <f aca="false">IF(P1436,IF(01_因子設定!$B$13="最大化",K1436,IF(01_因子設定!$B$13="最小化",-K1436,-ABS(K1436-01_因子設定!$B$16))),-1E+030)</f>
        <v>49.3027011494253</v>
      </c>
      <c r="S1436" s="55" t="n">
        <f aca="false">Q1436+ROW()*0.000000001</f>
        <v>1.20480596232544</v>
      </c>
      <c r="T1436" s="55" t="n">
        <f aca="false">R1436+ROW()*0.000000001</f>
        <v>49.3027025854253</v>
      </c>
    </row>
    <row r="1437" customFormat="false" ht="15" hidden="false" customHeight="false" outlineLevel="0" collapsed="false">
      <c r="A1437" s="0" t="n">
        <v>34</v>
      </c>
      <c r="B1437" s="0" t="n">
        <v>38</v>
      </c>
      <c r="C1437" s="0" t="n">
        <f aca="false">-1+A1437*0.05</f>
        <v>0.7</v>
      </c>
      <c r="D1437" s="0" t="n">
        <f aca="false">-1+B1437*0.05</f>
        <v>0.9</v>
      </c>
      <c r="E1437" s="0" t="n">
        <f aca="false">1</f>
        <v>1</v>
      </c>
      <c r="F1437" s="0" t="n">
        <f aca="false">C1437</f>
        <v>0.7</v>
      </c>
      <c r="G1437" s="0" t="n">
        <f aca="false">D1437</f>
        <v>0.9</v>
      </c>
      <c r="H1437" s="0" t="n">
        <f aca="false">C1437*D1437</f>
        <v>0.63</v>
      </c>
      <c r="I1437" s="0" t="n">
        <f aca="false">C1437*C1437</f>
        <v>0.49</v>
      </c>
      <c r="J1437" s="0" t="n">
        <f aca="false">D1437*D1437</f>
        <v>0.81</v>
      </c>
      <c r="K1437" s="0" t="n">
        <f aca="false">SUMPRODUCT(E1437:J1437,_XtX!$B$53:$G$53)</f>
        <v>49.2985545977011</v>
      </c>
      <c r="L1437" s="0" t="n">
        <f aca="false">SUMPRODUCT(MMULT(E1437:J1437,_XtX!$B$44:$G$49),E1437:J1437)</f>
        <v>0.434336494252874</v>
      </c>
      <c r="M1437" s="0" t="n">
        <f aca="false">04_回帰ANOVA!$K$19*04_回帰ANOVA!$K$14*SQRT(1+L1437)</f>
        <v>1.62293862576512</v>
      </c>
      <c r="N1437" s="0" t="n">
        <f aca="false">K1437-M1437</f>
        <v>47.675615971936</v>
      </c>
      <c r="O1437" s="0" t="n">
        <f aca="false">K1437+M1437</f>
        <v>50.9214932234663</v>
      </c>
      <c r="P1437" s="54" t="b">
        <f aca="false">AND(C1437&gt;=01_因子設定!$L$5-0.000000001,C1437&lt;=01_因子設定!$M$5+0.000000001,D1437&gt;=01_因子設定!$L$6-0.000000001,D1437&lt;=01_因子設定!$M$6+0.000000001,IF(01_因子設定!$B$20="Box-Behnken",C1437^2+D1437^2&lt;=2+0.000000001,TRUE()))</f>
        <v>1</v>
      </c>
      <c r="Q1437" s="55" t="n">
        <f aca="false">IF(P1437,IF(01_因子設定!$B$13="最大化",N1437-01_因子設定!$B$14,IF(01_因子設定!$B$13="最小化",01_因子設定!$B$15-O1437,MIN(N1437-01_因子設定!$B$14,01_因子設定!$B$15-O1437))),-1E+030)</f>
        <v>1.17561597193603</v>
      </c>
      <c r="R1437" s="55" t="n">
        <f aca="false">IF(P1437,IF(01_因子設定!$B$13="最大化",K1437,IF(01_因子設定!$B$13="最小化",-K1437,-ABS(K1437-01_因子設定!$B$16))),-1E+030)</f>
        <v>49.2985545977011</v>
      </c>
      <c r="S1437" s="55" t="n">
        <f aca="false">Q1437+ROW()*0.000000001</f>
        <v>1.17561740893603</v>
      </c>
      <c r="T1437" s="55" t="n">
        <f aca="false">R1437+ROW()*0.000000001</f>
        <v>49.2985560347011</v>
      </c>
    </row>
    <row r="1438" customFormat="false" ht="15" hidden="false" customHeight="false" outlineLevel="0" collapsed="false">
      <c r="A1438" s="0" t="n">
        <v>34</v>
      </c>
      <c r="B1438" s="0" t="n">
        <v>39</v>
      </c>
      <c r="C1438" s="0" t="n">
        <f aca="false">-1+A1438*0.05</f>
        <v>0.7</v>
      </c>
      <c r="D1438" s="0" t="n">
        <f aca="false">-1+B1438*0.05</f>
        <v>0.95</v>
      </c>
      <c r="E1438" s="0" t="n">
        <f aca="false">1</f>
        <v>1</v>
      </c>
      <c r="F1438" s="0" t="n">
        <f aca="false">C1438</f>
        <v>0.7</v>
      </c>
      <c r="G1438" s="0" t="n">
        <f aca="false">D1438</f>
        <v>0.95</v>
      </c>
      <c r="H1438" s="0" t="n">
        <f aca="false">C1438*D1438</f>
        <v>0.665</v>
      </c>
      <c r="I1438" s="0" t="n">
        <f aca="false">C1438*C1438</f>
        <v>0.49</v>
      </c>
      <c r="J1438" s="0" t="n">
        <f aca="false">D1438*D1438</f>
        <v>0.9025</v>
      </c>
      <c r="K1438" s="0" t="n">
        <f aca="false">SUMPRODUCT(E1438:J1438,_XtX!$B$53:$G$53)</f>
        <v>49.2866925287356</v>
      </c>
      <c r="L1438" s="0" t="n">
        <f aca="false">SUMPRODUCT(MMULT(E1438:J1438,_XtX!$B$44:$G$49),E1438:J1438)</f>
        <v>0.486797018678161</v>
      </c>
      <c r="M1438" s="0" t="n">
        <f aca="false">04_回帰ANOVA!$K$19*04_回帰ANOVA!$K$14*SQRT(1+L1438)</f>
        <v>1.65235140136234</v>
      </c>
      <c r="N1438" s="0" t="n">
        <f aca="false">K1438-M1438</f>
        <v>47.6343411273733</v>
      </c>
      <c r="O1438" s="0" t="n">
        <f aca="false">K1438+M1438</f>
        <v>50.939043930098</v>
      </c>
      <c r="P1438" s="54" t="b">
        <f aca="false">AND(C1438&gt;=01_因子設定!$L$5-0.000000001,C1438&lt;=01_因子設定!$M$5+0.000000001,D1438&gt;=01_因子設定!$L$6-0.000000001,D1438&lt;=01_因子設定!$M$6+0.000000001,IF(01_因子設定!$B$20="Box-Behnken",C1438^2+D1438^2&lt;=2+0.000000001,TRUE()))</f>
        <v>1</v>
      </c>
      <c r="Q1438" s="55" t="n">
        <f aca="false">IF(P1438,IF(01_因子設定!$B$13="最大化",N1438-01_因子設定!$B$14,IF(01_因子設定!$B$13="最小化",01_因子設定!$B$15-O1438,MIN(N1438-01_因子設定!$B$14,01_因子設定!$B$15-O1438))),-1E+030)</f>
        <v>1.13434112737328</v>
      </c>
      <c r="R1438" s="55" t="n">
        <f aca="false">IF(P1438,IF(01_因子設定!$B$13="最大化",K1438,IF(01_因子設定!$B$13="最小化",-K1438,-ABS(K1438-01_因子設定!$B$16))),-1E+030)</f>
        <v>49.2866925287356</v>
      </c>
      <c r="S1438" s="55" t="n">
        <f aca="false">Q1438+ROW()*0.000000001</f>
        <v>1.13434256537328</v>
      </c>
      <c r="T1438" s="55" t="n">
        <f aca="false">R1438+ROW()*0.000000001</f>
        <v>49.2866939667356</v>
      </c>
    </row>
    <row r="1439" customFormat="false" ht="15" hidden="false" customHeight="false" outlineLevel="0" collapsed="false">
      <c r="A1439" s="0" t="n">
        <v>34</v>
      </c>
      <c r="B1439" s="0" t="n">
        <v>40</v>
      </c>
      <c r="C1439" s="0" t="n">
        <f aca="false">-1+A1439*0.05</f>
        <v>0.7</v>
      </c>
      <c r="D1439" s="0" t="n">
        <f aca="false">-1+B1439*0.05</f>
        <v>1</v>
      </c>
      <c r="E1439" s="0" t="n">
        <f aca="false">1</f>
        <v>1</v>
      </c>
      <c r="F1439" s="0" t="n">
        <f aca="false">C1439</f>
        <v>0.7</v>
      </c>
      <c r="G1439" s="0" t="n">
        <f aca="false">D1439</f>
        <v>1</v>
      </c>
      <c r="H1439" s="0" t="n">
        <f aca="false">C1439*D1439</f>
        <v>0.7</v>
      </c>
      <c r="I1439" s="0" t="n">
        <f aca="false">C1439*C1439</f>
        <v>0.49</v>
      </c>
      <c r="J1439" s="0" t="n">
        <f aca="false">D1439*D1439</f>
        <v>1</v>
      </c>
      <c r="K1439" s="0" t="n">
        <f aca="false">SUMPRODUCT(E1439:J1439,_XtX!$B$53:$G$53)</f>
        <v>49.2671149425287</v>
      </c>
      <c r="L1439" s="0" t="n">
        <f aca="false">SUMPRODUCT(MMULT(E1439:J1439,_XtX!$B$44:$G$49),E1439:J1439)</f>
        <v>0.548800574712644</v>
      </c>
      <c r="M1439" s="0" t="n">
        <f aca="false">04_回帰ANOVA!$K$19*04_回帰ANOVA!$K$14*SQRT(1+L1439)</f>
        <v>1.68645331298059</v>
      </c>
      <c r="N1439" s="0" t="n">
        <f aca="false">K1439-M1439</f>
        <v>47.5806616295481</v>
      </c>
      <c r="O1439" s="0" t="n">
        <f aca="false">K1439+M1439</f>
        <v>50.9535682555093</v>
      </c>
      <c r="P1439" s="54" t="b">
        <f aca="false">AND(C1439&gt;=01_因子設定!$L$5-0.000000001,C1439&lt;=01_因子設定!$M$5+0.000000001,D1439&gt;=01_因子設定!$L$6-0.000000001,D1439&lt;=01_因子設定!$M$6+0.000000001,IF(01_因子設定!$B$20="Box-Behnken",C1439^2+D1439^2&lt;=2+0.000000001,TRUE()))</f>
        <v>1</v>
      </c>
      <c r="Q1439" s="55" t="n">
        <f aca="false">IF(P1439,IF(01_因子設定!$B$13="最大化",N1439-01_因子設定!$B$14,IF(01_因子設定!$B$13="最小化",01_因子設定!$B$15-O1439,MIN(N1439-01_因子設定!$B$14,01_因子設定!$B$15-O1439))),-1E+030)</f>
        <v>1.08066162954814</v>
      </c>
      <c r="R1439" s="55" t="n">
        <f aca="false">IF(P1439,IF(01_因子設定!$B$13="最大化",K1439,IF(01_因子設定!$B$13="最小化",-K1439,-ABS(K1439-01_因子設定!$B$16))),-1E+030)</f>
        <v>49.2671149425287</v>
      </c>
      <c r="S1439" s="55" t="n">
        <f aca="false">Q1439+ROW()*0.000000001</f>
        <v>1.08066306854814</v>
      </c>
      <c r="T1439" s="55" t="n">
        <f aca="false">R1439+ROW()*0.000000001</f>
        <v>49.2671163815287</v>
      </c>
    </row>
    <row r="1440" customFormat="false" ht="15" hidden="false" customHeight="false" outlineLevel="0" collapsed="false">
      <c r="A1440" s="0" t="n">
        <v>35</v>
      </c>
      <c r="B1440" s="0" t="n">
        <v>0</v>
      </c>
      <c r="C1440" s="0" t="n">
        <f aca="false">-1+A1440*0.05</f>
        <v>0.75</v>
      </c>
      <c r="D1440" s="0" t="n">
        <f aca="false">-1+B1440*0.05</f>
        <v>-1</v>
      </c>
      <c r="E1440" s="0" t="n">
        <f aca="false">1</f>
        <v>1</v>
      </c>
      <c r="F1440" s="0" t="n">
        <f aca="false">C1440</f>
        <v>0.75</v>
      </c>
      <c r="G1440" s="0" t="n">
        <f aca="false">D1440</f>
        <v>-1</v>
      </c>
      <c r="H1440" s="0" t="n">
        <f aca="false">C1440*D1440</f>
        <v>-0.75</v>
      </c>
      <c r="I1440" s="0" t="n">
        <f aca="false">C1440*C1440</f>
        <v>0.5625</v>
      </c>
      <c r="J1440" s="0" t="n">
        <f aca="false">D1440*D1440</f>
        <v>1</v>
      </c>
      <c r="K1440" s="0" t="n">
        <f aca="false">SUMPRODUCT(E1440:J1440,_XtX!$B$53:$G$53)</f>
        <v>43.9128232758621</v>
      </c>
      <c r="L1440" s="0" t="n">
        <f aca="false">SUMPRODUCT(MMULT(E1440:J1440,_XtX!$B$44:$G$49),E1440:J1440)</f>
        <v>0.571637033045977</v>
      </c>
      <c r="M1440" s="0" t="n">
        <f aca="false">04_回帰ANOVA!$K$19*04_回帰ANOVA!$K$14*SQRT(1+L1440)</f>
        <v>1.69884086471256</v>
      </c>
      <c r="N1440" s="0" t="n">
        <f aca="false">K1440-M1440</f>
        <v>42.2139824111495</v>
      </c>
      <c r="O1440" s="0" t="n">
        <f aca="false">K1440+M1440</f>
        <v>45.6116641405746</v>
      </c>
      <c r="P1440" s="54" t="b">
        <f aca="false">AND(C1440&gt;=01_因子設定!$L$5-0.000000001,C1440&lt;=01_因子設定!$M$5+0.000000001,D1440&gt;=01_因子設定!$L$6-0.000000001,D1440&lt;=01_因子設定!$M$6+0.000000001,IF(01_因子設定!$B$20="Box-Behnken",C1440^2+D1440^2&lt;=2+0.000000001,TRUE()))</f>
        <v>1</v>
      </c>
      <c r="Q1440" s="55" t="n">
        <f aca="false">IF(P1440,IF(01_因子設定!$B$13="最大化",N1440-01_因子設定!$B$14,IF(01_因子設定!$B$13="最小化",01_因子設定!$B$15-O1440,MIN(N1440-01_因子設定!$B$14,01_因子設定!$B$15-O1440))),-1E+030)</f>
        <v>-4.2860175888505</v>
      </c>
      <c r="R1440" s="55" t="n">
        <f aca="false">IF(P1440,IF(01_因子設定!$B$13="最大化",K1440,IF(01_因子設定!$B$13="最小化",-K1440,-ABS(K1440-01_因子設定!$B$16))),-1E+030)</f>
        <v>43.9128232758621</v>
      </c>
      <c r="S1440" s="55" t="n">
        <f aca="false">Q1440+ROW()*0.000000001</f>
        <v>-4.2860161488505</v>
      </c>
      <c r="T1440" s="55" t="n">
        <f aca="false">R1440+ROW()*0.000000001</f>
        <v>43.9128247158621</v>
      </c>
    </row>
    <row r="1441" customFormat="false" ht="15" hidden="false" customHeight="false" outlineLevel="0" collapsed="false">
      <c r="A1441" s="0" t="n">
        <v>35</v>
      </c>
      <c r="B1441" s="0" t="n">
        <v>1</v>
      </c>
      <c r="C1441" s="0" t="n">
        <f aca="false">-1+A1441*0.05</f>
        <v>0.75</v>
      </c>
      <c r="D1441" s="0" t="n">
        <f aca="false">-1+B1441*0.05</f>
        <v>-0.95</v>
      </c>
      <c r="E1441" s="0" t="n">
        <f aca="false">1</f>
        <v>1</v>
      </c>
      <c r="F1441" s="0" t="n">
        <f aca="false">C1441</f>
        <v>0.75</v>
      </c>
      <c r="G1441" s="0" t="n">
        <f aca="false">D1441</f>
        <v>-0.95</v>
      </c>
      <c r="H1441" s="0" t="n">
        <f aca="false">C1441*D1441</f>
        <v>-0.7125</v>
      </c>
      <c r="I1441" s="0" t="n">
        <f aca="false">C1441*C1441</f>
        <v>0.5625</v>
      </c>
      <c r="J1441" s="0" t="n">
        <f aca="false">D1441*D1441</f>
        <v>0.9025</v>
      </c>
      <c r="K1441" s="0" t="n">
        <f aca="false">SUMPRODUCT(E1441:J1441,_XtX!$B$53:$G$53)</f>
        <v>44.195463362069</v>
      </c>
      <c r="L1441" s="0" t="n">
        <f aca="false">SUMPRODUCT(MMULT(E1441:J1441,_XtX!$B$44:$G$49),E1441:J1441)</f>
        <v>0.509816289511494</v>
      </c>
      <c r="M1441" s="0" t="n">
        <f aca="false">04_回帰ANOVA!$K$19*04_回帰ANOVA!$K$14*SQRT(1+L1441)</f>
        <v>1.66509350076304</v>
      </c>
      <c r="N1441" s="0" t="n">
        <f aca="false">K1441-M1441</f>
        <v>42.5303698613059</v>
      </c>
      <c r="O1441" s="0" t="n">
        <f aca="false">K1441+M1441</f>
        <v>45.860556862832</v>
      </c>
      <c r="P1441" s="54" t="b">
        <f aca="false">AND(C1441&gt;=01_因子設定!$L$5-0.000000001,C1441&lt;=01_因子設定!$M$5+0.000000001,D1441&gt;=01_因子設定!$L$6-0.000000001,D1441&lt;=01_因子設定!$M$6+0.000000001,IF(01_因子設定!$B$20="Box-Behnken",C1441^2+D1441^2&lt;=2+0.000000001,TRUE()))</f>
        <v>1</v>
      </c>
      <c r="Q1441" s="55" t="n">
        <f aca="false">IF(P1441,IF(01_因子設定!$B$13="最大化",N1441-01_因子設定!$B$14,IF(01_因子設定!$B$13="最小化",01_因子設定!$B$15-O1441,MIN(N1441-01_因子設定!$B$14,01_因子設定!$B$15-O1441))),-1E+030)</f>
        <v>-3.96963013869409</v>
      </c>
      <c r="R1441" s="55" t="n">
        <f aca="false">IF(P1441,IF(01_因子設定!$B$13="最大化",K1441,IF(01_因子設定!$B$13="最小化",-K1441,-ABS(K1441-01_因子設定!$B$16))),-1E+030)</f>
        <v>44.195463362069</v>
      </c>
      <c r="S1441" s="55" t="n">
        <f aca="false">Q1441+ROW()*0.000000001</f>
        <v>-3.96962869769409</v>
      </c>
      <c r="T1441" s="55" t="n">
        <f aca="false">R1441+ROW()*0.000000001</f>
        <v>44.195464803069</v>
      </c>
    </row>
    <row r="1442" customFormat="false" ht="15" hidden="false" customHeight="false" outlineLevel="0" collapsed="false">
      <c r="A1442" s="0" t="n">
        <v>35</v>
      </c>
      <c r="B1442" s="0" t="n">
        <v>2</v>
      </c>
      <c r="C1442" s="0" t="n">
        <f aca="false">-1+A1442*0.05</f>
        <v>0.75</v>
      </c>
      <c r="D1442" s="0" t="n">
        <f aca="false">-1+B1442*0.05</f>
        <v>-0.9</v>
      </c>
      <c r="E1442" s="0" t="n">
        <f aca="false">1</f>
        <v>1</v>
      </c>
      <c r="F1442" s="0" t="n">
        <f aca="false">C1442</f>
        <v>0.75</v>
      </c>
      <c r="G1442" s="0" t="n">
        <f aca="false">D1442</f>
        <v>-0.9</v>
      </c>
      <c r="H1442" s="0" t="n">
        <f aca="false">C1442*D1442</f>
        <v>-0.675</v>
      </c>
      <c r="I1442" s="0" t="n">
        <f aca="false">C1442*C1442</f>
        <v>0.5625</v>
      </c>
      <c r="J1442" s="0" t="n">
        <f aca="false">D1442*D1442</f>
        <v>0.81</v>
      </c>
      <c r="K1442" s="0" t="n">
        <f aca="false">SUMPRODUCT(E1442:J1442,_XtX!$B$53:$G$53)</f>
        <v>44.4703879310345</v>
      </c>
      <c r="L1442" s="0" t="n">
        <f aca="false">SUMPRODUCT(MMULT(E1442:J1442,_XtX!$B$44:$G$49),E1442:J1442)</f>
        <v>0.457529202586207</v>
      </c>
      <c r="M1442" s="0" t="n">
        <f aca="false">04_回帰ANOVA!$K$19*04_回帰ANOVA!$K$14*SQRT(1+L1442)</f>
        <v>1.63600717784344</v>
      </c>
      <c r="N1442" s="0" t="n">
        <f aca="false">K1442-M1442</f>
        <v>42.834380753191</v>
      </c>
      <c r="O1442" s="0" t="n">
        <f aca="false">K1442+M1442</f>
        <v>46.1063951088779</v>
      </c>
      <c r="P1442" s="54" t="b">
        <f aca="false">AND(C1442&gt;=01_因子設定!$L$5-0.000000001,C1442&lt;=01_因子設定!$M$5+0.000000001,D1442&gt;=01_因子設定!$L$6-0.000000001,D1442&lt;=01_因子設定!$M$6+0.000000001,IF(01_因子設定!$B$20="Box-Behnken",C1442^2+D1442^2&lt;=2+0.000000001,TRUE()))</f>
        <v>1</v>
      </c>
      <c r="Q1442" s="55" t="n">
        <f aca="false">IF(P1442,IF(01_因子設定!$B$13="最大化",N1442-01_因子設定!$B$14,IF(01_因子設定!$B$13="最小化",01_因子設定!$B$15-O1442,MIN(N1442-01_因子設定!$B$14,01_因子設定!$B$15-O1442))),-1E+030)</f>
        <v>-3.66561924680897</v>
      </c>
      <c r="R1442" s="55" t="n">
        <f aca="false">IF(P1442,IF(01_因子設定!$B$13="最大化",K1442,IF(01_因子設定!$B$13="最小化",-K1442,-ABS(K1442-01_因子設定!$B$16))),-1E+030)</f>
        <v>44.4703879310345</v>
      </c>
      <c r="S1442" s="55" t="n">
        <f aca="false">Q1442+ROW()*0.000000001</f>
        <v>-3.66561780480897</v>
      </c>
      <c r="T1442" s="55" t="n">
        <f aca="false">R1442+ROW()*0.000000001</f>
        <v>44.4703893730345</v>
      </c>
    </row>
    <row r="1443" customFormat="false" ht="15" hidden="false" customHeight="false" outlineLevel="0" collapsed="false">
      <c r="A1443" s="0" t="n">
        <v>35</v>
      </c>
      <c r="B1443" s="0" t="n">
        <v>3</v>
      </c>
      <c r="C1443" s="0" t="n">
        <f aca="false">-1+A1443*0.05</f>
        <v>0.75</v>
      </c>
      <c r="D1443" s="0" t="n">
        <f aca="false">-1+B1443*0.05</f>
        <v>-0.85</v>
      </c>
      <c r="E1443" s="0" t="n">
        <f aca="false">1</f>
        <v>1</v>
      </c>
      <c r="F1443" s="0" t="n">
        <f aca="false">C1443</f>
        <v>0.75</v>
      </c>
      <c r="G1443" s="0" t="n">
        <f aca="false">D1443</f>
        <v>-0.85</v>
      </c>
      <c r="H1443" s="0" t="n">
        <f aca="false">C1443*D1443</f>
        <v>-0.6375</v>
      </c>
      <c r="I1443" s="0" t="n">
        <f aca="false">C1443*C1443</f>
        <v>0.5625</v>
      </c>
      <c r="J1443" s="0" t="n">
        <f aca="false">D1443*D1443</f>
        <v>0.7225</v>
      </c>
      <c r="K1443" s="0" t="n">
        <f aca="false">SUMPRODUCT(E1443:J1443,_XtX!$B$53:$G$53)</f>
        <v>44.7375969827586</v>
      </c>
      <c r="L1443" s="0" t="n">
        <f aca="false">SUMPRODUCT(MMULT(E1443:J1443,_XtX!$B$44:$G$49),E1443:J1443)</f>
        <v>0.413771030890805</v>
      </c>
      <c r="M1443" s="0" t="n">
        <f aca="false">04_回帰ANOVA!$K$19*04_回帰ANOVA!$K$14*SQRT(1+L1443)</f>
        <v>1.61126180232603</v>
      </c>
      <c r="N1443" s="0" t="n">
        <f aca="false">K1443-M1443</f>
        <v>43.1263351804326</v>
      </c>
      <c r="O1443" s="0" t="n">
        <f aca="false">K1443+M1443</f>
        <v>46.3488587850846</v>
      </c>
      <c r="P1443" s="54" t="b">
        <f aca="false">AND(C1443&gt;=01_因子設定!$L$5-0.000000001,C1443&lt;=01_因子設定!$M$5+0.000000001,D1443&gt;=01_因子設定!$L$6-0.000000001,D1443&lt;=01_因子設定!$M$6+0.000000001,IF(01_因子設定!$B$20="Box-Behnken",C1443^2+D1443^2&lt;=2+0.000000001,TRUE()))</f>
        <v>1</v>
      </c>
      <c r="Q1443" s="55" t="n">
        <f aca="false">IF(P1443,IF(01_因子設定!$B$13="最大化",N1443-01_因子設定!$B$14,IF(01_因子設定!$B$13="最小化",01_因子設定!$B$15-O1443,MIN(N1443-01_因子設定!$B$14,01_因子設定!$B$15-O1443))),-1E+030)</f>
        <v>-3.37366481956742</v>
      </c>
      <c r="R1443" s="55" t="n">
        <f aca="false">IF(P1443,IF(01_因子設定!$B$13="最大化",K1443,IF(01_因子設定!$B$13="最小化",-K1443,-ABS(K1443-01_因子設定!$B$16))),-1E+030)</f>
        <v>44.7375969827586</v>
      </c>
      <c r="S1443" s="55" t="n">
        <f aca="false">Q1443+ROW()*0.000000001</f>
        <v>-3.37366337656742</v>
      </c>
      <c r="T1443" s="55" t="n">
        <f aca="false">R1443+ROW()*0.000000001</f>
        <v>44.7375984257586</v>
      </c>
    </row>
    <row r="1444" customFormat="false" ht="15" hidden="false" customHeight="false" outlineLevel="0" collapsed="false">
      <c r="A1444" s="0" t="n">
        <v>35</v>
      </c>
      <c r="B1444" s="0" t="n">
        <v>4</v>
      </c>
      <c r="C1444" s="0" t="n">
        <f aca="false">-1+A1444*0.05</f>
        <v>0.75</v>
      </c>
      <c r="D1444" s="0" t="n">
        <f aca="false">-1+B1444*0.05</f>
        <v>-0.8</v>
      </c>
      <c r="E1444" s="0" t="n">
        <f aca="false">1</f>
        <v>1</v>
      </c>
      <c r="F1444" s="0" t="n">
        <f aca="false">C1444</f>
        <v>0.75</v>
      </c>
      <c r="G1444" s="0" t="n">
        <f aca="false">D1444</f>
        <v>-0.8</v>
      </c>
      <c r="H1444" s="0" t="n">
        <f aca="false">C1444*D1444</f>
        <v>-0.6</v>
      </c>
      <c r="I1444" s="0" t="n">
        <f aca="false">C1444*C1444</f>
        <v>0.5625</v>
      </c>
      <c r="J1444" s="0" t="n">
        <f aca="false">D1444*D1444</f>
        <v>0.64</v>
      </c>
      <c r="K1444" s="0" t="n">
        <f aca="false">SUMPRODUCT(E1444:J1444,_XtX!$B$53:$G$53)</f>
        <v>44.9970905172414</v>
      </c>
      <c r="L1444" s="0" t="n">
        <f aca="false">SUMPRODUCT(MMULT(E1444:J1444,_XtX!$B$44:$G$49),E1444:J1444)</f>
        <v>0.377591343390805</v>
      </c>
      <c r="M1444" s="0" t="n">
        <f aca="false">04_回帰ANOVA!$K$19*04_回帰ANOVA!$K$14*SQRT(1+L1444)</f>
        <v>1.59051135820975</v>
      </c>
      <c r="N1444" s="0" t="n">
        <f aca="false">K1444-M1444</f>
        <v>43.4065791590316</v>
      </c>
      <c r="O1444" s="0" t="n">
        <f aca="false">K1444+M1444</f>
        <v>46.5876018754511</v>
      </c>
      <c r="P1444" s="54" t="b">
        <f aca="false">AND(C1444&gt;=01_因子設定!$L$5-0.000000001,C1444&lt;=01_因子設定!$M$5+0.000000001,D1444&gt;=01_因子設定!$L$6-0.000000001,D1444&lt;=01_因子設定!$M$6+0.000000001,IF(01_因子設定!$B$20="Box-Behnken",C1444^2+D1444^2&lt;=2+0.000000001,TRUE()))</f>
        <v>1</v>
      </c>
      <c r="Q1444" s="55" t="n">
        <f aca="false">IF(P1444,IF(01_因子設定!$B$13="最大化",N1444-01_因子設定!$B$14,IF(01_因子設定!$B$13="最小化",01_因子設定!$B$15-O1444,MIN(N1444-01_因子設定!$B$14,01_因子設定!$B$15-O1444))),-1E+030)</f>
        <v>-3.09342084096838</v>
      </c>
      <c r="R1444" s="55" t="n">
        <f aca="false">IF(P1444,IF(01_因子設定!$B$13="最大化",K1444,IF(01_因子設定!$B$13="最小化",-K1444,-ABS(K1444-01_因子設定!$B$16))),-1E+030)</f>
        <v>44.9970905172414</v>
      </c>
      <c r="S1444" s="55" t="n">
        <f aca="false">Q1444+ROW()*0.000000001</f>
        <v>-3.09341939696838</v>
      </c>
      <c r="T1444" s="55" t="n">
        <f aca="false">R1444+ROW()*0.000000001</f>
        <v>44.9970919612414</v>
      </c>
    </row>
    <row r="1445" customFormat="false" ht="15" hidden="false" customHeight="false" outlineLevel="0" collapsed="false">
      <c r="A1445" s="0" t="n">
        <v>35</v>
      </c>
      <c r="B1445" s="0" t="n">
        <v>5</v>
      </c>
      <c r="C1445" s="0" t="n">
        <f aca="false">-1+A1445*0.05</f>
        <v>0.75</v>
      </c>
      <c r="D1445" s="0" t="n">
        <f aca="false">-1+B1445*0.05</f>
        <v>-0.75</v>
      </c>
      <c r="E1445" s="0" t="n">
        <f aca="false">1</f>
        <v>1</v>
      </c>
      <c r="F1445" s="0" t="n">
        <f aca="false">C1445</f>
        <v>0.75</v>
      </c>
      <c r="G1445" s="0" t="n">
        <f aca="false">D1445</f>
        <v>-0.75</v>
      </c>
      <c r="H1445" s="0" t="n">
        <f aca="false">C1445*D1445</f>
        <v>-0.5625</v>
      </c>
      <c r="I1445" s="0" t="n">
        <f aca="false">C1445*C1445</f>
        <v>0.5625</v>
      </c>
      <c r="J1445" s="0" t="n">
        <f aca="false">D1445*D1445</f>
        <v>0.5625</v>
      </c>
      <c r="K1445" s="0" t="n">
        <f aca="false">SUMPRODUCT(E1445:J1445,_XtX!$B$53:$G$53)</f>
        <v>45.2488685344828</v>
      </c>
      <c r="L1445" s="0" t="n">
        <f aca="false">SUMPRODUCT(MMULT(E1445:J1445,_XtX!$B$44:$G$49),E1445:J1445)</f>
        <v>0.348094019396552</v>
      </c>
      <c r="M1445" s="0" t="n">
        <f aca="false">04_回帰ANOVA!$K$19*04_回帰ANOVA!$K$14*SQRT(1+L1445)</f>
        <v>1.57339100619499</v>
      </c>
      <c r="N1445" s="0" t="n">
        <f aca="false">K1445-M1445</f>
        <v>43.6754775282878</v>
      </c>
      <c r="O1445" s="0" t="n">
        <f aca="false">K1445+M1445</f>
        <v>46.8222595406777</v>
      </c>
      <c r="P1445" s="54" t="b">
        <f aca="false">AND(C1445&gt;=01_因子設定!$L$5-0.000000001,C1445&lt;=01_因子設定!$M$5+0.000000001,D1445&gt;=01_因子設定!$L$6-0.000000001,D1445&lt;=01_因子設定!$M$6+0.000000001,IF(01_因子設定!$B$20="Box-Behnken",C1445^2+D1445^2&lt;=2+0.000000001,TRUE()))</f>
        <v>1</v>
      </c>
      <c r="Q1445" s="55" t="n">
        <f aca="false">IF(P1445,IF(01_因子設定!$B$13="最大化",N1445-01_因子設定!$B$14,IF(01_因子設定!$B$13="最小化",01_因子設定!$B$15-O1445,MIN(N1445-01_因子設定!$B$14,01_因子設定!$B$15-O1445))),-1E+030)</f>
        <v>-2.82452247171224</v>
      </c>
      <c r="R1445" s="55" t="n">
        <f aca="false">IF(P1445,IF(01_因子設定!$B$13="最大化",K1445,IF(01_因子設定!$B$13="最小化",-K1445,-ABS(K1445-01_因子設定!$B$16))),-1E+030)</f>
        <v>45.2488685344828</v>
      </c>
      <c r="S1445" s="55" t="n">
        <f aca="false">Q1445+ROW()*0.000000001</f>
        <v>-2.82452102671224</v>
      </c>
      <c r="T1445" s="55" t="n">
        <f aca="false">R1445+ROW()*0.000000001</f>
        <v>45.2488699794828</v>
      </c>
    </row>
    <row r="1446" customFormat="false" ht="15" hidden="false" customHeight="false" outlineLevel="0" collapsed="false">
      <c r="A1446" s="0" t="n">
        <v>35</v>
      </c>
      <c r="B1446" s="0" t="n">
        <v>6</v>
      </c>
      <c r="C1446" s="0" t="n">
        <f aca="false">-1+A1446*0.05</f>
        <v>0.75</v>
      </c>
      <c r="D1446" s="0" t="n">
        <f aca="false">-1+B1446*0.05</f>
        <v>-0.7</v>
      </c>
      <c r="E1446" s="0" t="n">
        <f aca="false">1</f>
        <v>1</v>
      </c>
      <c r="F1446" s="0" t="n">
        <f aca="false">C1446</f>
        <v>0.75</v>
      </c>
      <c r="G1446" s="0" t="n">
        <f aca="false">D1446</f>
        <v>-0.7</v>
      </c>
      <c r="H1446" s="0" t="n">
        <f aca="false">C1446*D1446</f>
        <v>-0.525</v>
      </c>
      <c r="I1446" s="0" t="n">
        <f aca="false">C1446*C1446</f>
        <v>0.5625</v>
      </c>
      <c r="J1446" s="0" t="n">
        <f aca="false">D1446*D1446</f>
        <v>0.49</v>
      </c>
      <c r="K1446" s="0" t="n">
        <f aca="false">SUMPRODUCT(E1446:J1446,_XtX!$B$53:$G$53)</f>
        <v>45.4929310344828</v>
      </c>
      <c r="L1446" s="0" t="n">
        <f aca="false">SUMPRODUCT(MMULT(E1446:J1446,_XtX!$B$44:$G$49),E1446:J1446)</f>
        <v>0.324437248563218</v>
      </c>
      <c r="M1446" s="0" t="n">
        <f aca="false">04_回帰ANOVA!$K$19*04_回帰ANOVA!$K$14*SQRT(1+L1446)</f>
        <v>1.55952472849596</v>
      </c>
      <c r="N1446" s="0" t="n">
        <f aca="false">K1446-M1446</f>
        <v>43.9334063059868</v>
      </c>
      <c r="O1446" s="0" t="n">
        <f aca="false">K1446+M1446</f>
        <v>47.0524557629787</v>
      </c>
      <c r="P1446" s="54" t="b">
        <f aca="false">AND(C1446&gt;=01_因子設定!$L$5-0.000000001,C1446&lt;=01_因子設定!$M$5+0.000000001,D1446&gt;=01_因子設定!$L$6-0.000000001,D1446&lt;=01_因子設定!$M$6+0.000000001,IF(01_因子設定!$B$20="Box-Behnken",C1446^2+D1446^2&lt;=2+0.000000001,TRUE()))</f>
        <v>1</v>
      </c>
      <c r="Q1446" s="55" t="n">
        <f aca="false">IF(P1446,IF(01_因子設定!$B$13="最大化",N1446-01_因子設定!$B$14,IF(01_因子設定!$B$13="最小化",01_因子設定!$B$15-O1446,MIN(N1446-01_因子設定!$B$14,01_因子設定!$B$15-O1446))),-1E+030)</f>
        <v>-2.56659369401321</v>
      </c>
      <c r="R1446" s="55" t="n">
        <f aca="false">IF(P1446,IF(01_因子設定!$B$13="最大化",K1446,IF(01_因子設定!$B$13="最小化",-K1446,-ABS(K1446-01_因子設定!$B$16))),-1E+030)</f>
        <v>45.4929310344828</v>
      </c>
      <c r="S1446" s="55" t="n">
        <f aca="false">Q1446+ROW()*0.000000001</f>
        <v>-2.56659224801321</v>
      </c>
      <c r="T1446" s="55" t="n">
        <f aca="false">R1446+ROW()*0.000000001</f>
        <v>45.4929324804828</v>
      </c>
    </row>
    <row r="1447" customFormat="false" ht="15" hidden="false" customHeight="false" outlineLevel="0" collapsed="false">
      <c r="A1447" s="0" t="n">
        <v>35</v>
      </c>
      <c r="B1447" s="0" t="n">
        <v>7</v>
      </c>
      <c r="C1447" s="0" t="n">
        <f aca="false">-1+A1447*0.05</f>
        <v>0.75</v>
      </c>
      <c r="D1447" s="0" t="n">
        <f aca="false">-1+B1447*0.05</f>
        <v>-0.65</v>
      </c>
      <c r="E1447" s="0" t="n">
        <f aca="false">1</f>
        <v>1</v>
      </c>
      <c r="F1447" s="0" t="n">
        <f aca="false">C1447</f>
        <v>0.75</v>
      </c>
      <c r="G1447" s="0" t="n">
        <f aca="false">D1447</f>
        <v>-0.65</v>
      </c>
      <c r="H1447" s="0" t="n">
        <f aca="false">C1447*D1447</f>
        <v>-0.4875</v>
      </c>
      <c r="I1447" s="0" t="n">
        <f aca="false">C1447*C1447</f>
        <v>0.5625</v>
      </c>
      <c r="J1447" s="0" t="n">
        <f aca="false">D1447*D1447</f>
        <v>0.4225</v>
      </c>
      <c r="K1447" s="0" t="n">
        <f aca="false">SUMPRODUCT(E1447:J1447,_XtX!$B$53:$G$53)</f>
        <v>45.7292780172414</v>
      </c>
      <c r="L1447" s="0" t="n">
        <f aca="false">SUMPRODUCT(MMULT(E1447:J1447,_XtX!$B$44:$G$49),E1447:J1447)</f>
        <v>0.305833530890805</v>
      </c>
      <c r="M1447" s="0" t="n">
        <f aca="false">04_回帰ANOVA!$K$19*04_回帰ANOVA!$K$14*SQRT(1+L1447)</f>
        <v>1.54853305548253</v>
      </c>
      <c r="N1447" s="0" t="n">
        <f aca="false">K1447-M1447</f>
        <v>44.1807449617588</v>
      </c>
      <c r="O1447" s="0" t="n">
        <f aca="false">K1447+M1447</f>
        <v>47.2778110727239</v>
      </c>
      <c r="P1447" s="54" t="b">
        <f aca="false">AND(C1447&gt;=01_因子設定!$L$5-0.000000001,C1447&lt;=01_因子設定!$M$5+0.000000001,D1447&gt;=01_因子設定!$L$6-0.000000001,D1447&lt;=01_因子設定!$M$6+0.000000001,IF(01_因子設定!$B$20="Box-Behnken",C1447^2+D1447^2&lt;=2+0.000000001,TRUE()))</f>
        <v>1</v>
      </c>
      <c r="Q1447" s="55" t="n">
        <f aca="false">IF(P1447,IF(01_因子設定!$B$13="最大化",N1447-01_因子設定!$B$14,IF(01_因子設定!$B$13="最小化",01_因子設定!$B$15-O1447,MIN(N1447-01_因子設定!$B$14,01_因子設定!$B$15-O1447))),-1E+030)</f>
        <v>-2.31925503824116</v>
      </c>
      <c r="R1447" s="55" t="n">
        <f aca="false">IF(P1447,IF(01_因子設定!$B$13="最大化",K1447,IF(01_因子設定!$B$13="最小化",-K1447,-ABS(K1447-01_因子設定!$B$16))),-1E+030)</f>
        <v>45.7292780172414</v>
      </c>
      <c r="S1447" s="55" t="n">
        <f aca="false">Q1447+ROW()*0.000000001</f>
        <v>-2.31925359124116</v>
      </c>
      <c r="T1447" s="55" t="n">
        <f aca="false">R1447+ROW()*0.000000001</f>
        <v>45.7292794642414</v>
      </c>
    </row>
    <row r="1448" customFormat="false" ht="15" hidden="false" customHeight="false" outlineLevel="0" collapsed="false">
      <c r="A1448" s="0" t="n">
        <v>35</v>
      </c>
      <c r="B1448" s="0" t="n">
        <v>8</v>
      </c>
      <c r="C1448" s="0" t="n">
        <f aca="false">-1+A1448*0.05</f>
        <v>0.75</v>
      </c>
      <c r="D1448" s="0" t="n">
        <f aca="false">-1+B1448*0.05</f>
        <v>-0.6</v>
      </c>
      <c r="E1448" s="0" t="n">
        <f aca="false">1</f>
        <v>1</v>
      </c>
      <c r="F1448" s="0" t="n">
        <f aca="false">C1448</f>
        <v>0.75</v>
      </c>
      <c r="G1448" s="0" t="n">
        <f aca="false">D1448</f>
        <v>-0.6</v>
      </c>
      <c r="H1448" s="0" t="n">
        <f aca="false">C1448*D1448</f>
        <v>-0.45</v>
      </c>
      <c r="I1448" s="0" t="n">
        <f aca="false">C1448*C1448</f>
        <v>0.5625</v>
      </c>
      <c r="J1448" s="0" t="n">
        <f aca="false">D1448*D1448</f>
        <v>0.36</v>
      </c>
      <c r="K1448" s="0" t="n">
        <f aca="false">SUMPRODUCT(E1448:J1448,_XtX!$B$53:$G$53)</f>
        <v>45.9579094827586</v>
      </c>
      <c r="L1448" s="0" t="n">
        <f aca="false">SUMPRODUCT(MMULT(E1448:J1448,_XtX!$B$44:$G$49),E1448:J1448)</f>
        <v>0.291549676724138</v>
      </c>
      <c r="M1448" s="0" t="n">
        <f aca="false">04_回帰ANOVA!$K$19*04_回帰ANOVA!$K$14*SQRT(1+L1448)</f>
        <v>1.54004045665134</v>
      </c>
      <c r="N1448" s="0" t="n">
        <f aca="false">K1448-M1448</f>
        <v>44.4178690261073</v>
      </c>
      <c r="O1448" s="0" t="n">
        <f aca="false">K1448+M1448</f>
        <v>47.4979499394099</v>
      </c>
      <c r="P1448" s="54" t="b">
        <f aca="false">AND(C1448&gt;=01_因子設定!$L$5-0.000000001,C1448&lt;=01_因子設定!$M$5+0.000000001,D1448&gt;=01_因子設定!$L$6-0.000000001,D1448&lt;=01_因子設定!$M$6+0.000000001,IF(01_因子設定!$B$20="Box-Behnken",C1448^2+D1448^2&lt;=2+0.000000001,TRUE()))</f>
        <v>1</v>
      </c>
      <c r="Q1448" s="55" t="n">
        <f aca="false">IF(P1448,IF(01_因子設定!$B$13="最大化",N1448-01_因子設定!$B$14,IF(01_因子設定!$B$13="最小化",01_因子設定!$B$15-O1448,MIN(N1448-01_因子設定!$B$14,01_因子設定!$B$15-O1448))),-1E+030)</f>
        <v>-2.08213097389272</v>
      </c>
      <c r="R1448" s="55" t="n">
        <f aca="false">IF(P1448,IF(01_因子設定!$B$13="最大化",K1448,IF(01_因子設定!$B$13="最小化",-K1448,-ABS(K1448-01_因子設定!$B$16))),-1E+030)</f>
        <v>45.9579094827586</v>
      </c>
      <c r="S1448" s="55" t="n">
        <f aca="false">Q1448+ROW()*0.000000001</f>
        <v>-2.08212952589272</v>
      </c>
      <c r="T1448" s="55" t="n">
        <f aca="false">R1448+ROW()*0.000000001</f>
        <v>45.9579109307586</v>
      </c>
    </row>
    <row r="1449" customFormat="false" ht="15" hidden="false" customHeight="false" outlineLevel="0" collapsed="false">
      <c r="A1449" s="0" t="n">
        <v>35</v>
      </c>
      <c r="B1449" s="0" t="n">
        <v>9</v>
      </c>
      <c r="C1449" s="0" t="n">
        <f aca="false">-1+A1449*0.05</f>
        <v>0.75</v>
      </c>
      <c r="D1449" s="0" t="n">
        <f aca="false">-1+B1449*0.05</f>
        <v>-0.55</v>
      </c>
      <c r="E1449" s="0" t="n">
        <f aca="false">1</f>
        <v>1</v>
      </c>
      <c r="F1449" s="0" t="n">
        <f aca="false">C1449</f>
        <v>0.75</v>
      </c>
      <c r="G1449" s="0" t="n">
        <f aca="false">D1449</f>
        <v>-0.55</v>
      </c>
      <c r="H1449" s="0" t="n">
        <f aca="false">C1449*D1449</f>
        <v>-0.4125</v>
      </c>
      <c r="I1449" s="0" t="n">
        <f aca="false">C1449*C1449</f>
        <v>0.5625</v>
      </c>
      <c r="J1449" s="0" t="n">
        <f aca="false">D1449*D1449</f>
        <v>0.3025</v>
      </c>
      <c r="K1449" s="0" t="n">
        <f aca="false">SUMPRODUCT(E1449:J1449,_XtX!$B$53:$G$53)</f>
        <v>46.1788254310345</v>
      </c>
      <c r="L1449" s="0" t="n">
        <f aca="false">SUMPRODUCT(MMULT(E1449:J1449,_XtX!$B$44:$G$49),E1449:J1449)</f>
        <v>0.280906806752874</v>
      </c>
      <c r="M1449" s="0" t="n">
        <f aca="false">04_回帰ANOVA!$K$19*04_回帰ANOVA!$K$14*SQRT(1+L1449)</f>
        <v>1.53368206549325</v>
      </c>
      <c r="N1449" s="0" t="n">
        <f aca="false">K1449-M1449</f>
        <v>44.6451433655412</v>
      </c>
      <c r="O1449" s="0" t="n">
        <f aca="false">K1449+M1449</f>
        <v>47.7125074965277</v>
      </c>
      <c r="P1449" s="54" t="b">
        <f aca="false">AND(C1449&gt;=01_因子設定!$L$5-0.000000001,C1449&lt;=01_因子設定!$M$5+0.000000001,D1449&gt;=01_因子設定!$L$6-0.000000001,D1449&lt;=01_因子設定!$M$6+0.000000001,IF(01_因子設定!$B$20="Box-Behnken",C1449^2+D1449^2&lt;=2+0.000000001,TRUE()))</f>
        <v>1</v>
      </c>
      <c r="Q1449" s="55" t="n">
        <f aca="false">IF(P1449,IF(01_因子設定!$B$13="最大化",N1449-01_因子設定!$B$14,IF(01_因子設定!$B$13="最小化",01_因子設定!$B$15-O1449,MIN(N1449-01_因子設定!$B$14,01_因子設定!$B$15-O1449))),-1E+030)</f>
        <v>-1.85485663445877</v>
      </c>
      <c r="R1449" s="55" t="n">
        <f aca="false">IF(P1449,IF(01_因子設定!$B$13="最大化",K1449,IF(01_因子設定!$B$13="最小化",-K1449,-ABS(K1449-01_因子設定!$B$16))),-1E+030)</f>
        <v>46.1788254310345</v>
      </c>
      <c r="S1449" s="55" t="n">
        <f aca="false">Q1449+ROW()*0.000000001</f>
        <v>-1.85485518545877</v>
      </c>
      <c r="T1449" s="55" t="n">
        <f aca="false">R1449+ROW()*0.000000001</f>
        <v>46.1788268800345</v>
      </c>
    </row>
    <row r="1450" customFormat="false" ht="15" hidden="false" customHeight="false" outlineLevel="0" collapsed="false">
      <c r="A1450" s="0" t="n">
        <v>35</v>
      </c>
      <c r="B1450" s="0" t="n">
        <v>10</v>
      </c>
      <c r="C1450" s="0" t="n">
        <f aca="false">-1+A1450*0.05</f>
        <v>0.75</v>
      </c>
      <c r="D1450" s="0" t="n">
        <f aca="false">-1+B1450*0.05</f>
        <v>-0.5</v>
      </c>
      <c r="E1450" s="0" t="n">
        <f aca="false">1</f>
        <v>1</v>
      </c>
      <c r="F1450" s="0" t="n">
        <f aca="false">C1450</f>
        <v>0.75</v>
      </c>
      <c r="G1450" s="0" t="n">
        <f aca="false">D1450</f>
        <v>-0.5</v>
      </c>
      <c r="H1450" s="0" t="n">
        <f aca="false">C1450*D1450</f>
        <v>-0.375</v>
      </c>
      <c r="I1450" s="0" t="n">
        <f aca="false">C1450*C1450</f>
        <v>0.5625</v>
      </c>
      <c r="J1450" s="0" t="n">
        <f aca="false">D1450*D1450</f>
        <v>0.25</v>
      </c>
      <c r="K1450" s="0" t="n">
        <f aca="false">SUMPRODUCT(E1450:J1450,_XtX!$B$53:$G$53)</f>
        <v>46.392025862069</v>
      </c>
      <c r="L1450" s="0" t="n">
        <f aca="false">SUMPRODUCT(MMULT(E1450:J1450,_XtX!$B$44:$G$49),E1450:J1450)</f>
        <v>0.273280352011494</v>
      </c>
      <c r="M1450" s="0" t="n">
        <f aca="false">04_回帰ANOVA!$K$19*04_回帰ANOVA!$K$14*SQRT(1+L1450)</f>
        <v>1.52910951618691</v>
      </c>
      <c r="N1450" s="0" t="n">
        <f aca="false">K1450-M1450</f>
        <v>44.862916345882</v>
      </c>
      <c r="O1450" s="0" t="n">
        <f aca="false">K1450+M1450</f>
        <v>47.9211353782559</v>
      </c>
      <c r="P1450" s="54" t="b">
        <f aca="false">AND(C1450&gt;=01_因子設定!$L$5-0.000000001,C1450&lt;=01_因子設定!$M$5+0.000000001,D1450&gt;=01_因子設定!$L$6-0.000000001,D1450&lt;=01_因子設定!$M$6+0.000000001,IF(01_因子設定!$B$20="Box-Behnken",C1450^2+D1450^2&lt;=2+0.000000001,TRUE()))</f>
        <v>1</v>
      </c>
      <c r="Q1450" s="55" t="n">
        <f aca="false">IF(P1450,IF(01_因子設定!$B$13="最大化",N1450-01_因子設定!$B$14,IF(01_因子設定!$B$13="最小化",01_因子設定!$B$15-O1450,MIN(N1450-01_因子設定!$B$14,01_因子設定!$B$15-O1450))),-1E+030)</f>
        <v>-1.63708365411796</v>
      </c>
      <c r="R1450" s="55" t="n">
        <f aca="false">IF(P1450,IF(01_因子設定!$B$13="最大化",K1450,IF(01_因子設定!$B$13="最小化",-K1450,-ABS(K1450-01_因子設定!$B$16))),-1E+030)</f>
        <v>46.392025862069</v>
      </c>
      <c r="S1450" s="55" t="n">
        <f aca="false">Q1450+ROW()*0.000000001</f>
        <v>-1.63708220411796</v>
      </c>
      <c r="T1450" s="55" t="n">
        <f aca="false">R1450+ROW()*0.000000001</f>
        <v>46.392027312069</v>
      </c>
    </row>
    <row r="1451" customFormat="false" ht="15" hidden="false" customHeight="false" outlineLevel="0" collapsed="false">
      <c r="A1451" s="0" t="n">
        <v>35</v>
      </c>
      <c r="B1451" s="0" t="n">
        <v>11</v>
      </c>
      <c r="C1451" s="0" t="n">
        <f aca="false">-1+A1451*0.05</f>
        <v>0.75</v>
      </c>
      <c r="D1451" s="0" t="n">
        <f aca="false">-1+B1451*0.05</f>
        <v>-0.45</v>
      </c>
      <c r="E1451" s="0" t="n">
        <f aca="false">1</f>
        <v>1</v>
      </c>
      <c r="F1451" s="0" t="n">
        <f aca="false">C1451</f>
        <v>0.75</v>
      </c>
      <c r="G1451" s="0" t="n">
        <f aca="false">D1451</f>
        <v>-0.45</v>
      </c>
      <c r="H1451" s="0" t="n">
        <f aca="false">C1451*D1451</f>
        <v>-0.3375</v>
      </c>
      <c r="I1451" s="0" t="n">
        <f aca="false">C1451*C1451</f>
        <v>0.5625</v>
      </c>
      <c r="J1451" s="0" t="n">
        <f aca="false">D1451*D1451</f>
        <v>0.2025</v>
      </c>
      <c r="K1451" s="0" t="n">
        <f aca="false">SUMPRODUCT(E1451:J1451,_XtX!$B$53:$G$53)</f>
        <v>46.5975107758621</v>
      </c>
      <c r="L1451" s="0" t="n">
        <f aca="false">SUMPRODUCT(MMULT(E1451:J1451,_XtX!$B$44:$G$49),E1451:J1451)</f>
        <v>0.26810005387931</v>
      </c>
      <c r="M1451" s="0" t="n">
        <f aca="false">04_回帰ANOVA!$K$19*04_回帰ANOVA!$K$14*SQRT(1+L1451)</f>
        <v>1.52599578070166</v>
      </c>
      <c r="N1451" s="0" t="n">
        <f aca="false">K1451-M1451</f>
        <v>45.0715149951604</v>
      </c>
      <c r="O1451" s="0" t="n">
        <f aca="false">K1451+M1451</f>
        <v>48.1235065565637</v>
      </c>
      <c r="P1451" s="54" t="b">
        <f aca="false">AND(C1451&gt;=01_因子設定!$L$5-0.000000001,C1451&lt;=01_因子設定!$M$5+0.000000001,D1451&gt;=01_因子設定!$L$6-0.000000001,D1451&lt;=01_因子設定!$M$6+0.000000001,IF(01_因子設定!$B$20="Box-Behnken",C1451^2+D1451^2&lt;=2+0.000000001,TRUE()))</f>
        <v>1</v>
      </c>
      <c r="Q1451" s="55" t="n">
        <f aca="false">IF(P1451,IF(01_因子設定!$B$13="最大化",N1451-01_因子設定!$B$14,IF(01_因子設定!$B$13="最小化",01_因子設定!$B$15-O1451,MIN(N1451-01_因子設定!$B$14,01_因子設定!$B$15-O1451))),-1E+030)</f>
        <v>-1.4284850048396</v>
      </c>
      <c r="R1451" s="55" t="n">
        <f aca="false">IF(P1451,IF(01_因子設定!$B$13="最大化",K1451,IF(01_因子設定!$B$13="最小化",-K1451,-ABS(K1451-01_因子設定!$B$16))),-1E+030)</f>
        <v>46.5975107758621</v>
      </c>
      <c r="S1451" s="55" t="n">
        <f aca="false">Q1451+ROW()*0.000000001</f>
        <v>-1.4284835538396</v>
      </c>
      <c r="T1451" s="55" t="n">
        <f aca="false">R1451+ROW()*0.000000001</f>
        <v>46.5975122268621</v>
      </c>
    </row>
    <row r="1452" customFormat="false" ht="15" hidden="false" customHeight="false" outlineLevel="0" collapsed="false">
      <c r="A1452" s="0" t="n">
        <v>35</v>
      </c>
      <c r="B1452" s="0" t="n">
        <v>12</v>
      </c>
      <c r="C1452" s="0" t="n">
        <f aca="false">-1+A1452*0.05</f>
        <v>0.75</v>
      </c>
      <c r="D1452" s="0" t="n">
        <f aca="false">-1+B1452*0.05</f>
        <v>-0.4</v>
      </c>
      <c r="E1452" s="0" t="n">
        <f aca="false">1</f>
        <v>1</v>
      </c>
      <c r="F1452" s="0" t="n">
        <f aca="false">C1452</f>
        <v>0.75</v>
      </c>
      <c r="G1452" s="0" t="n">
        <f aca="false">D1452</f>
        <v>-0.4</v>
      </c>
      <c r="H1452" s="0" t="n">
        <f aca="false">C1452*D1452</f>
        <v>-0.3</v>
      </c>
      <c r="I1452" s="0" t="n">
        <f aca="false">C1452*C1452</f>
        <v>0.5625</v>
      </c>
      <c r="J1452" s="0" t="n">
        <f aca="false">D1452*D1452</f>
        <v>0.16</v>
      </c>
      <c r="K1452" s="0" t="n">
        <f aca="false">SUMPRODUCT(E1452:J1452,_XtX!$B$53:$G$53)</f>
        <v>46.7952801724138</v>
      </c>
      <c r="L1452" s="0" t="n">
        <f aca="false">SUMPRODUCT(MMULT(E1452:J1452,_XtX!$B$44:$G$49),E1452:J1452)</f>
        <v>0.26484996408046</v>
      </c>
      <c r="M1452" s="0" t="n">
        <f aca="false">04_回帰ANOVA!$K$19*04_回帰ANOVA!$K$14*SQRT(1+L1452)</f>
        <v>1.52403899298102</v>
      </c>
      <c r="N1452" s="0" t="n">
        <f aca="false">K1452-M1452</f>
        <v>45.2712411794328</v>
      </c>
      <c r="O1452" s="0" t="n">
        <f aca="false">K1452+M1452</f>
        <v>48.3193191653948</v>
      </c>
      <c r="P1452" s="54" t="b">
        <f aca="false">AND(C1452&gt;=01_因子設定!$L$5-0.000000001,C1452&lt;=01_因子設定!$M$5+0.000000001,D1452&gt;=01_因子設定!$L$6-0.000000001,D1452&lt;=01_因子設定!$M$6+0.000000001,IF(01_因子設定!$B$20="Box-Behnken",C1452^2+D1452^2&lt;=2+0.000000001,TRUE()))</f>
        <v>1</v>
      </c>
      <c r="Q1452" s="55" t="n">
        <f aca="false">IF(P1452,IF(01_因子設定!$B$13="最大化",N1452-01_因子設定!$B$14,IF(01_因子設定!$B$13="最小化",01_因子設定!$B$15-O1452,MIN(N1452-01_因子設定!$B$14,01_因子設定!$B$15-O1452))),-1E+030)</f>
        <v>-1.22875882056724</v>
      </c>
      <c r="R1452" s="55" t="n">
        <f aca="false">IF(P1452,IF(01_因子設定!$B$13="最大化",K1452,IF(01_因子設定!$B$13="最小化",-K1452,-ABS(K1452-01_因子設定!$B$16))),-1E+030)</f>
        <v>46.7952801724138</v>
      </c>
      <c r="S1452" s="55" t="n">
        <f aca="false">Q1452+ROW()*0.000000001</f>
        <v>-1.22875736856724</v>
      </c>
      <c r="T1452" s="55" t="n">
        <f aca="false">R1452+ROW()*0.000000001</f>
        <v>46.7952816244138</v>
      </c>
    </row>
    <row r="1453" customFormat="false" ht="15" hidden="false" customHeight="false" outlineLevel="0" collapsed="false">
      <c r="A1453" s="0" t="n">
        <v>35</v>
      </c>
      <c r="B1453" s="0" t="n">
        <v>13</v>
      </c>
      <c r="C1453" s="0" t="n">
        <f aca="false">-1+A1453*0.05</f>
        <v>0.75</v>
      </c>
      <c r="D1453" s="0" t="n">
        <f aca="false">-1+B1453*0.05</f>
        <v>-0.35</v>
      </c>
      <c r="E1453" s="0" t="n">
        <f aca="false">1</f>
        <v>1</v>
      </c>
      <c r="F1453" s="0" t="n">
        <f aca="false">C1453</f>
        <v>0.75</v>
      </c>
      <c r="G1453" s="0" t="n">
        <f aca="false">D1453</f>
        <v>-0.35</v>
      </c>
      <c r="H1453" s="0" t="n">
        <f aca="false">C1453*D1453</f>
        <v>-0.2625</v>
      </c>
      <c r="I1453" s="0" t="n">
        <f aca="false">C1453*C1453</f>
        <v>0.5625</v>
      </c>
      <c r="J1453" s="0" t="n">
        <f aca="false">D1453*D1453</f>
        <v>0.1225</v>
      </c>
      <c r="K1453" s="0" t="n">
        <f aca="false">SUMPRODUCT(E1453:J1453,_XtX!$B$53:$G$53)</f>
        <v>46.9853340517241</v>
      </c>
      <c r="L1453" s="0" t="n">
        <f aca="false">SUMPRODUCT(MMULT(E1453:J1453,_XtX!$B$44:$G$49),E1453:J1453)</f>
        <v>0.263068444683908</v>
      </c>
      <c r="M1453" s="0" t="n">
        <f aca="false">04_回帰ANOVA!$K$19*04_回帰ANOVA!$K$14*SQRT(1+L1453)</f>
        <v>1.52296532344599</v>
      </c>
      <c r="N1453" s="0" t="n">
        <f aca="false">K1453-M1453</f>
        <v>45.4623687282781</v>
      </c>
      <c r="O1453" s="0" t="n">
        <f aca="false">K1453+M1453</f>
        <v>48.5082993751701</v>
      </c>
      <c r="P1453" s="54" t="b">
        <f aca="false">AND(C1453&gt;=01_因子設定!$L$5-0.000000001,C1453&lt;=01_因子設定!$M$5+0.000000001,D1453&gt;=01_因子設定!$L$6-0.000000001,D1453&lt;=01_因子設定!$M$6+0.000000001,IF(01_因子設定!$B$20="Box-Behnken",C1453^2+D1453^2&lt;=2+0.000000001,TRUE()))</f>
        <v>1</v>
      </c>
      <c r="Q1453" s="55" t="n">
        <f aca="false">IF(P1453,IF(01_因子設定!$B$13="最大化",N1453-01_因子設定!$B$14,IF(01_因子設定!$B$13="最小化",01_因子設定!$B$15-O1453,MIN(N1453-01_因子設定!$B$14,01_因子設定!$B$15-O1453))),-1E+030)</f>
        <v>-1.03763127172186</v>
      </c>
      <c r="R1453" s="55" t="n">
        <f aca="false">IF(P1453,IF(01_因子設定!$B$13="最大化",K1453,IF(01_因子設定!$B$13="最小化",-K1453,-ABS(K1453-01_因子設定!$B$16))),-1E+030)</f>
        <v>46.9853340517241</v>
      </c>
      <c r="S1453" s="55" t="n">
        <f aca="false">Q1453+ROW()*0.000000001</f>
        <v>-1.03762981872186</v>
      </c>
      <c r="T1453" s="55" t="n">
        <f aca="false">R1453+ROW()*0.000000001</f>
        <v>46.9853355047241</v>
      </c>
    </row>
    <row r="1454" customFormat="false" ht="15" hidden="false" customHeight="false" outlineLevel="0" collapsed="false">
      <c r="A1454" s="0" t="n">
        <v>35</v>
      </c>
      <c r="B1454" s="0" t="n">
        <v>14</v>
      </c>
      <c r="C1454" s="0" t="n">
        <f aca="false">-1+A1454*0.05</f>
        <v>0.75</v>
      </c>
      <c r="D1454" s="0" t="n">
        <f aca="false">-1+B1454*0.05</f>
        <v>-0.3</v>
      </c>
      <c r="E1454" s="0" t="n">
        <f aca="false">1</f>
        <v>1</v>
      </c>
      <c r="F1454" s="0" t="n">
        <f aca="false">C1454</f>
        <v>0.75</v>
      </c>
      <c r="G1454" s="0" t="n">
        <f aca="false">D1454</f>
        <v>-0.3</v>
      </c>
      <c r="H1454" s="0" t="n">
        <f aca="false">C1454*D1454</f>
        <v>-0.225</v>
      </c>
      <c r="I1454" s="0" t="n">
        <f aca="false">C1454*C1454</f>
        <v>0.5625</v>
      </c>
      <c r="J1454" s="0" t="n">
        <f aca="false">D1454*D1454</f>
        <v>0.09</v>
      </c>
      <c r="K1454" s="0" t="n">
        <f aca="false">SUMPRODUCT(E1454:J1454,_XtX!$B$53:$G$53)</f>
        <v>47.1676724137931</v>
      </c>
      <c r="L1454" s="0" t="n">
        <f aca="false">SUMPRODUCT(MMULT(E1454:J1454,_XtX!$B$44:$G$49),E1454:J1454)</f>
        <v>0.262348168103448</v>
      </c>
      <c r="M1454" s="0" t="n">
        <f aca="false">04_回帰ANOVA!$K$19*04_回帰ANOVA!$K$14*SQRT(1+L1454)</f>
        <v>1.52253101891881</v>
      </c>
      <c r="N1454" s="0" t="n">
        <f aca="false">K1454-M1454</f>
        <v>45.6451413948743</v>
      </c>
      <c r="O1454" s="0" t="n">
        <f aca="false">K1454+M1454</f>
        <v>48.6902034327119</v>
      </c>
      <c r="P1454" s="54" t="b">
        <f aca="false">AND(C1454&gt;=01_因子設定!$L$5-0.000000001,C1454&lt;=01_因子設定!$M$5+0.000000001,D1454&gt;=01_因子設定!$L$6-0.000000001,D1454&lt;=01_因子設定!$M$6+0.000000001,IF(01_因子設定!$B$20="Box-Behnken",C1454^2+D1454^2&lt;=2+0.000000001,TRUE()))</f>
        <v>1</v>
      </c>
      <c r="Q1454" s="55" t="n">
        <f aca="false">IF(P1454,IF(01_因子設定!$B$13="最大化",N1454-01_因子設定!$B$14,IF(01_因子設定!$B$13="最小化",01_因子設定!$B$15-O1454,MIN(N1454-01_因子設定!$B$14,01_因子設定!$B$15-O1454))),-1E+030)</f>
        <v>-0.854858605125713</v>
      </c>
      <c r="R1454" s="55" t="n">
        <f aca="false">IF(P1454,IF(01_因子設定!$B$13="最大化",K1454,IF(01_因子設定!$B$13="最小化",-K1454,-ABS(K1454-01_因子設定!$B$16))),-1E+030)</f>
        <v>47.1676724137931</v>
      </c>
      <c r="S1454" s="55" t="n">
        <f aca="false">Q1454+ROW()*0.000000001</f>
        <v>-0.854857151125713</v>
      </c>
      <c r="T1454" s="55" t="n">
        <f aca="false">R1454+ROW()*0.000000001</f>
        <v>47.1676738677931</v>
      </c>
    </row>
    <row r="1455" customFormat="false" ht="15" hidden="false" customHeight="false" outlineLevel="0" collapsed="false">
      <c r="A1455" s="0" t="n">
        <v>35</v>
      </c>
      <c r="B1455" s="0" t="n">
        <v>15</v>
      </c>
      <c r="C1455" s="0" t="n">
        <f aca="false">-1+A1455*0.05</f>
        <v>0.75</v>
      </c>
      <c r="D1455" s="0" t="n">
        <f aca="false">-1+B1455*0.05</f>
        <v>-0.25</v>
      </c>
      <c r="E1455" s="0" t="n">
        <f aca="false">1</f>
        <v>1</v>
      </c>
      <c r="F1455" s="0" t="n">
        <f aca="false">C1455</f>
        <v>0.75</v>
      </c>
      <c r="G1455" s="0" t="n">
        <f aca="false">D1455</f>
        <v>-0.25</v>
      </c>
      <c r="H1455" s="0" t="n">
        <f aca="false">C1455*D1455</f>
        <v>-0.1875</v>
      </c>
      <c r="I1455" s="0" t="n">
        <f aca="false">C1455*C1455</f>
        <v>0.5625</v>
      </c>
      <c r="J1455" s="0" t="n">
        <f aca="false">D1455*D1455</f>
        <v>0.0625</v>
      </c>
      <c r="K1455" s="0" t="n">
        <f aca="false">SUMPRODUCT(E1455:J1455,_XtX!$B$53:$G$53)</f>
        <v>47.3422952586207</v>
      </c>
      <c r="L1455" s="0" t="n">
        <f aca="false">SUMPRODUCT(MMULT(E1455:J1455,_XtX!$B$44:$G$49),E1455:J1455)</f>
        <v>0.262336117097701</v>
      </c>
      <c r="M1455" s="0" t="n">
        <f aca="false">04_回帰ANOVA!$K$19*04_回帰ANOVA!$K$14*SQRT(1+L1455)</f>
        <v>1.5225237514809</v>
      </c>
      <c r="N1455" s="0" t="n">
        <f aca="false">K1455-M1455</f>
        <v>45.8197715071398</v>
      </c>
      <c r="O1455" s="0" t="n">
        <f aca="false">K1455+M1455</f>
        <v>48.8648190101016</v>
      </c>
      <c r="P1455" s="54" t="b">
        <f aca="false">AND(C1455&gt;=01_因子設定!$L$5-0.000000001,C1455&lt;=01_因子設定!$M$5+0.000000001,D1455&gt;=01_因子設定!$L$6-0.000000001,D1455&lt;=01_因子設定!$M$6+0.000000001,IF(01_因子設定!$B$20="Box-Behnken",C1455^2+D1455^2&lt;=2+0.000000001,TRUE()))</f>
        <v>1</v>
      </c>
      <c r="Q1455" s="55" t="n">
        <f aca="false">IF(P1455,IF(01_因子設定!$B$13="最大化",N1455-01_因子設定!$B$14,IF(01_因子設定!$B$13="最小化",01_因子設定!$B$15-O1455,MIN(N1455-01_因子設定!$B$14,01_因子設定!$B$15-O1455))),-1E+030)</f>
        <v>-0.680228492860223</v>
      </c>
      <c r="R1455" s="55" t="n">
        <f aca="false">IF(P1455,IF(01_因子設定!$B$13="最大化",K1455,IF(01_因子設定!$B$13="最小化",-K1455,-ABS(K1455-01_因子設定!$B$16))),-1E+030)</f>
        <v>47.3422952586207</v>
      </c>
      <c r="S1455" s="55" t="n">
        <f aca="false">Q1455+ROW()*0.000000001</f>
        <v>-0.680227037860223</v>
      </c>
      <c r="T1455" s="55" t="n">
        <f aca="false">R1455+ROW()*0.000000001</f>
        <v>47.3422967136207</v>
      </c>
    </row>
    <row r="1456" customFormat="false" ht="15" hidden="false" customHeight="false" outlineLevel="0" collapsed="false">
      <c r="A1456" s="0" t="n">
        <v>35</v>
      </c>
      <c r="B1456" s="0" t="n">
        <v>16</v>
      </c>
      <c r="C1456" s="0" t="n">
        <f aca="false">-1+A1456*0.05</f>
        <v>0.75</v>
      </c>
      <c r="D1456" s="0" t="n">
        <f aca="false">-1+B1456*0.05</f>
        <v>-0.2</v>
      </c>
      <c r="E1456" s="0" t="n">
        <f aca="false">1</f>
        <v>1</v>
      </c>
      <c r="F1456" s="0" t="n">
        <f aca="false">C1456</f>
        <v>0.75</v>
      </c>
      <c r="G1456" s="0" t="n">
        <f aca="false">D1456</f>
        <v>-0.2</v>
      </c>
      <c r="H1456" s="0" t="n">
        <f aca="false">C1456*D1456</f>
        <v>-0.15</v>
      </c>
      <c r="I1456" s="0" t="n">
        <f aca="false">C1456*C1456</f>
        <v>0.5625</v>
      </c>
      <c r="J1456" s="0" t="n">
        <f aca="false">D1456*D1456</f>
        <v>0.04</v>
      </c>
      <c r="K1456" s="0" t="n">
        <f aca="false">SUMPRODUCT(E1456:J1456,_XtX!$B$53:$G$53)</f>
        <v>47.5092025862069</v>
      </c>
      <c r="L1456" s="0" t="n">
        <f aca="false">SUMPRODUCT(MMULT(E1456:J1456,_XtX!$B$44:$G$49),E1456:J1456)</f>
        <v>0.262733584770115</v>
      </c>
      <c r="M1456" s="0" t="n">
        <f aca="false">04_回帰ANOVA!$K$19*04_回帰ANOVA!$K$14*SQRT(1+L1456)</f>
        <v>1.5227634286696</v>
      </c>
      <c r="N1456" s="0" t="n">
        <f aca="false">K1456-M1456</f>
        <v>45.9864391575373</v>
      </c>
      <c r="O1456" s="0" t="n">
        <f aca="false">K1456+M1456</f>
        <v>49.0319660148765</v>
      </c>
      <c r="P1456" s="54" t="b">
        <f aca="false">AND(C1456&gt;=01_因子設定!$L$5-0.000000001,C1456&lt;=01_因子設定!$M$5+0.000000001,D1456&gt;=01_因子設定!$L$6-0.000000001,D1456&lt;=01_因子設定!$M$6+0.000000001,IF(01_因子設定!$B$20="Box-Behnken",C1456^2+D1456^2&lt;=2+0.000000001,TRUE()))</f>
        <v>1</v>
      </c>
      <c r="Q1456" s="55" t="n">
        <f aca="false">IF(P1456,IF(01_因子設定!$B$13="最大化",N1456-01_因子設定!$B$14,IF(01_因子設定!$B$13="最小化",01_因子設定!$B$15-O1456,MIN(N1456-01_因子設定!$B$14,01_因子設定!$B$15-O1456))),-1E+030)</f>
        <v>-0.513560842462717</v>
      </c>
      <c r="R1456" s="55" t="n">
        <f aca="false">IF(P1456,IF(01_因子設定!$B$13="最大化",K1456,IF(01_因子設定!$B$13="最小化",-K1456,-ABS(K1456-01_因子設定!$B$16))),-1E+030)</f>
        <v>47.5092025862069</v>
      </c>
      <c r="S1456" s="55" t="n">
        <f aca="false">Q1456+ROW()*0.000000001</f>
        <v>-0.513559386462717</v>
      </c>
      <c r="T1456" s="55" t="n">
        <f aca="false">R1456+ROW()*0.000000001</f>
        <v>47.5092040422069</v>
      </c>
    </row>
    <row r="1457" customFormat="false" ht="15" hidden="false" customHeight="false" outlineLevel="0" collapsed="false">
      <c r="A1457" s="0" t="n">
        <v>35</v>
      </c>
      <c r="B1457" s="0" t="n">
        <v>17</v>
      </c>
      <c r="C1457" s="0" t="n">
        <f aca="false">-1+A1457*0.05</f>
        <v>0.75</v>
      </c>
      <c r="D1457" s="0" t="n">
        <f aca="false">-1+B1457*0.05</f>
        <v>-0.15</v>
      </c>
      <c r="E1457" s="0" t="n">
        <f aca="false">1</f>
        <v>1</v>
      </c>
      <c r="F1457" s="0" t="n">
        <f aca="false">C1457</f>
        <v>0.75</v>
      </c>
      <c r="G1457" s="0" t="n">
        <f aca="false">D1457</f>
        <v>-0.15</v>
      </c>
      <c r="H1457" s="0" t="n">
        <f aca="false">C1457*D1457</f>
        <v>-0.1125</v>
      </c>
      <c r="I1457" s="0" t="n">
        <f aca="false">C1457*C1457</f>
        <v>0.5625</v>
      </c>
      <c r="J1457" s="0" t="n">
        <f aca="false">D1457*D1457</f>
        <v>0.0225</v>
      </c>
      <c r="K1457" s="0" t="n">
        <f aca="false">SUMPRODUCT(E1457:J1457,_XtX!$B$53:$G$53)</f>
        <v>47.6683943965517</v>
      </c>
      <c r="L1457" s="0" t="n">
        <f aca="false">SUMPRODUCT(MMULT(E1457:J1457,_XtX!$B$44:$G$49),E1457:J1457)</f>
        <v>0.263296174568966</v>
      </c>
      <c r="M1457" s="0" t="n">
        <f aca="false">04_回帰ANOVA!$K$19*04_回帰ANOVA!$K$14*SQRT(1+L1457)</f>
        <v>1.52310261176472</v>
      </c>
      <c r="N1457" s="0" t="n">
        <f aca="false">K1457-M1457</f>
        <v>46.145291784787</v>
      </c>
      <c r="O1457" s="0" t="n">
        <f aca="false">K1457+M1457</f>
        <v>49.1914970083164</v>
      </c>
      <c r="P1457" s="54" t="b">
        <f aca="false">AND(C1457&gt;=01_因子設定!$L$5-0.000000001,C1457&lt;=01_因子設定!$M$5+0.000000001,D1457&gt;=01_因子設定!$L$6-0.000000001,D1457&lt;=01_因子設定!$M$6+0.000000001,IF(01_因子設定!$B$20="Box-Behnken",C1457^2+D1457^2&lt;=2+0.000000001,TRUE()))</f>
        <v>1</v>
      </c>
      <c r="Q1457" s="55" t="n">
        <f aca="false">IF(P1457,IF(01_因子設定!$B$13="最大化",N1457-01_因子設定!$B$14,IF(01_因子設定!$B$13="最小化",01_因子設定!$B$15-O1457,MIN(N1457-01_因子設定!$B$14,01_因子設定!$B$15-O1457))),-1E+030)</f>
        <v>-0.354708215213009</v>
      </c>
      <c r="R1457" s="55" t="n">
        <f aca="false">IF(P1457,IF(01_因子設定!$B$13="最大化",K1457,IF(01_因子設定!$B$13="最小化",-K1457,-ABS(K1457-01_因子設定!$B$16))),-1E+030)</f>
        <v>47.6683943965517</v>
      </c>
      <c r="S1457" s="55" t="n">
        <f aca="false">Q1457+ROW()*0.000000001</f>
        <v>-0.354706758213009</v>
      </c>
      <c r="T1457" s="55" t="n">
        <f aca="false">R1457+ROW()*0.000000001</f>
        <v>47.6683958535517</v>
      </c>
    </row>
    <row r="1458" customFormat="false" ht="15" hidden="false" customHeight="false" outlineLevel="0" collapsed="false">
      <c r="A1458" s="0" t="n">
        <v>35</v>
      </c>
      <c r="B1458" s="0" t="n">
        <v>18</v>
      </c>
      <c r="C1458" s="0" t="n">
        <f aca="false">-1+A1458*0.05</f>
        <v>0.75</v>
      </c>
      <c r="D1458" s="0" t="n">
        <f aca="false">-1+B1458*0.05</f>
        <v>-0.1</v>
      </c>
      <c r="E1458" s="0" t="n">
        <f aca="false">1</f>
        <v>1</v>
      </c>
      <c r="F1458" s="0" t="n">
        <f aca="false">C1458</f>
        <v>0.75</v>
      </c>
      <c r="G1458" s="0" t="n">
        <f aca="false">D1458</f>
        <v>-0.1</v>
      </c>
      <c r="H1458" s="0" t="n">
        <f aca="false">C1458*D1458</f>
        <v>-0.075</v>
      </c>
      <c r="I1458" s="0" t="n">
        <f aca="false">C1458*C1458</f>
        <v>0.5625</v>
      </c>
      <c r="J1458" s="0" t="n">
        <f aca="false">D1458*D1458</f>
        <v>0.01</v>
      </c>
      <c r="K1458" s="0" t="n">
        <f aca="false">SUMPRODUCT(E1458:J1458,_XtX!$B$53:$G$53)</f>
        <v>47.8198706896552</v>
      </c>
      <c r="L1458" s="0" t="n">
        <f aca="false">SUMPRODUCT(MMULT(E1458:J1458,_XtX!$B$44:$G$49),E1458:J1458)</f>
        <v>0.263833800287356</v>
      </c>
      <c r="M1458" s="0" t="n">
        <f aca="false">04_回帰ANOVA!$K$19*04_回帰ANOVA!$K$14*SQRT(1+L1458)</f>
        <v>1.52342667355229</v>
      </c>
      <c r="N1458" s="0" t="n">
        <f aca="false">K1458-M1458</f>
        <v>46.2964440161029</v>
      </c>
      <c r="O1458" s="0" t="n">
        <f aca="false">K1458+M1458</f>
        <v>49.3432973632075</v>
      </c>
      <c r="P1458" s="54" t="b">
        <f aca="false">AND(C1458&gt;=01_因子設定!$L$5-0.000000001,C1458&lt;=01_因子設定!$M$5+0.000000001,D1458&gt;=01_因子設定!$L$6-0.000000001,D1458&lt;=01_因子設定!$M$6+0.000000001,IF(01_因子設定!$B$20="Box-Behnken",C1458^2+D1458^2&lt;=2+0.000000001,TRUE()))</f>
        <v>1</v>
      </c>
      <c r="Q1458" s="55" t="n">
        <f aca="false">IF(P1458,IF(01_因子設定!$B$13="最大化",N1458-01_因子設定!$B$14,IF(01_因子設定!$B$13="最小化",01_因子設定!$B$15-O1458,MIN(N1458-01_因子設定!$B$14,01_因子設定!$B$15-O1458))),-1E+030)</f>
        <v>-0.203555983897125</v>
      </c>
      <c r="R1458" s="55" t="n">
        <f aca="false">IF(P1458,IF(01_因子設定!$B$13="最大化",K1458,IF(01_因子設定!$B$13="最小化",-K1458,-ABS(K1458-01_因子設定!$B$16))),-1E+030)</f>
        <v>47.8198706896552</v>
      </c>
      <c r="S1458" s="55" t="n">
        <f aca="false">Q1458+ROW()*0.000000001</f>
        <v>-0.203554525897125</v>
      </c>
      <c r="T1458" s="55" t="n">
        <f aca="false">R1458+ROW()*0.000000001</f>
        <v>47.8198721476552</v>
      </c>
    </row>
    <row r="1459" customFormat="false" ht="15" hidden="false" customHeight="false" outlineLevel="0" collapsed="false">
      <c r="A1459" s="0" t="n">
        <v>35</v>
      </c>
      <c r="B1459" s="0" t="n">
        <v>19</v>
      </c>
      <c r="C1459" s="0" t="n">
        <f aca="false">-1+A1459*0.05</f>
        <v>0.75</v>
      </c>
      <c r="D1459" s="0" t="n">
        <f aca="false">-1+B1459*0.05</f>
        <v>-0.0499999999999999</v>
      </c>
      <c r="E1459" s="0" t="n">
        <f aca="false">1</f>
        <v>1</v>
      </c>
      <c r="F1459" s="0" t="n">
        <f aca="false">C1459</f>
        <v>0.75</v>
      </c>
      <c r="G1459" s="0" t="n">
        <f aca="false">D1459</f>
        <v>-0.0499999999999999</v>
      </c>
      <c r="H1459" s="0" t="n">
        <f aca="false">C1459*D1459</f>
        <v>-0.0375</v>
      </c>
      <c r="I1459" s="0" t="n">
        <f aca="false">C1459*C1459</f>
        <v>0.5625</v>
      </c>
      <c r="J1459" s="0" t="n">
        <f aca="false">D1459*D1459</f>
        <v>0.00249999999999999</v>
      </c>
      <c r="K1459" s="0" t="n">
        <f aca="false">SUMPRODUCT(E1459:J1459,_XtX!$B$53:$G$53)</f>
        <v>47.9636314655172</v>
      </c>
      <c r="L1459" s="0" t="n">
        <f aca="false">SUMPRODUCT(MMULT(E1459:J1459,_XtX!$B$44:$G$49),E1459:J1459)</f>
        <v>0.264210686063218</v>
      </c>
      <c r="M1459" s="0" t="n">
        <f aca="false">04_回帰ANOVA!$K$19*04_回帰ANOVA!$K$14*SQRT(1+L1459)</f>
        <v>1.52365380588781</v>
      </c>
      <c r="N1459" s="0" t="n">
        <f aca="false">K1459-M1459</f>
        <v>46.4399776596294</v>
      </c>
      <c r="O1459" s="0" t="n">
        <f aca="false">K1459+M1459</f>
        <v>49.487285271405</v>
      </c>
      <c r="P1459" s="54" t="b">
        <f aca="false">AND(C1459&gt;=01_因子設定!$L$5-0.000000001,C1459&lt;=01_因子設定!$M$5+0.000000001,D1459&gt;=01_因子設定!$L$6-0.000000001,D1459&lt;=01_因子設定!$M$6+0.000000001,IF(01_因子設定!$B$20="Box-Behnken",C1459^2+D1459^2&lt;=2+0.000000001,TRUE()))</f>
        <v>1</v>
      </c>
      <c r="Q1459" s="55" t="n">
        <f aca="false">IF(P1459,IF(01_因子設定!$B$13="最大化",N1459-01_因子設定!$B$14,IF(01_因子設定!$B$13="最小化",01_因子設定!$B$15-O1459,MIN(N1459-01_因子設定!$B$14,01_因子設定!$B$15-O1459))),-1E+030)</f>
        <v>-0.0600223403705797</v>
      </c>
      <c r="R1459" s="55" t="n">
        <f aca="false">IF(P1459,IF(01_因子設定!$B$13="最大化",K1459,IF(01_因子設定!$B$13="最小化",-K1459,-ABS(K1459-01_因子設定!$B$16))),-1E+030)</f>
        <v>47.9636314655172</v>
      </c>
      <c r="S1459" s="55" t="n">
        <f aca="false">Q1459+ROW()*0.000000001</f>
        <v>-0.0600208813705797</v>
      </c>
      <c r="T1459" s="55" t="n">
        <f aca="false">R1459+ROW()*0.000000001</f>
        <v>47.9636329245172</v>
      </c>
    </row>
    <row r="1460" customFormat="false" ht="15" hidden="false" customHeight="false" outlineLevel="0" collapsed="false">
      <c r="A1460" s="0" t="n">
        <v>35</v>
      </c>
      <c r="B1460" s="0" t="n">
        <v>20</v>
      </c>
      <c r="C1460" s="0" t="n">
        <f aca="false">-1+A1460*0.05</f>
        <v>0.75</v>
      </c>
      <c r="D1460" s="0" t="n">
        <f aca="false">-1+B1460*0.05</f>
        <v>0</v>
      </c>
      <c r="E1460" s="0" t="n">
        <f aca="false">1</f>
        <v>1</v>
      </c>
      <c r="F1460" s="0" t="n">
        <f aca="false">C1460</f>
        <v>0.75</v>
      </c>
      <c r="G1460" s="0" t="n">
        <f aca="false">D1460</f>
        <v>0</v>
      </c>
      <c r="H1460" s="0" t="n">
        <f aca="false">C1460*D1460</f>
        <v>0</v>
      </c>
      <c r="I1460" s="0" t="n">
        <f aca="false">C1460*C1460</f>
        <v>0.5625</v>
      </c>
      <c r="J1460" s="0" t="n">
        <f aca="false">D1460*D1460</f>
        <v>0</v>
      </c>
      <c r="K1460" s="0" t="n">
        <f aca="false">SUMPRODUCT(E1460:J1460,_XtX!$B$53:$G$53)</f>
        <v>48.0996767241379</v>
      </c>
      <c r="L1460" s="0" t="n">
        <f aca="false">SUMPRODUCT(MMULT(E1460:J1460,_XtX!$B$44:$G$49),E1460:J1460)</f>
        <v>0.26434536637931</v>
      </c>
      <c r="M1460" s="0" t="n">
        <f aca="false">04_回帰ANOVA!$K$19*04_回帰ANOVA!$K$14*SQRT(1+L1460)</f>
        <v>1.52373496352769</v>
      </c>
      <c r="N1460" s="0" t="n">
        <f aca="false">K1460-M1460</f>
        <v>46.5759417606102</v>
      </c>
      <c r="O1460" s="0" t="n">
        <f aca="false">K1460+M1460</f>
        <v>49.6234116876656</v>
      </c>
      <c r="P1460" s="54" t="b">
        <f aca="false">AND(C1460&gt;=01_因子設定!$L$5-0.000000001,C1460&lt;=01_因子設定!$M$5+0.000000001,D1460&gt;=01_因子設定!$L$6-0.000000001,D1460&lt;=01_因子設定!$M$6+0.000000001,IF(01_因子設定!$B$20="Box-Behnken",C1460^2+D1460^2&lt;=2+0.000000001,TRUE()))</f>
        <v>1</v>
      </c>
      <c r="Q1460" s="55" t="n">
        <f aca="false">IF(P1460,IF(01_因子設定!$B$13="最大化",N1460-01_因子設定!$B$14,IF(01_因子設定!$B$13="最小化",01_因子設定!$B$15-O1460,MIN(N1460-01_因子設定!$B$14,01_因子設定!$B$15-O1460))),-1E+030)</f>
        <v>0.0759417606102346</v>
      </c>
      <c r="R1460" s="55" t="n">
        <f aca="false">IF(P1460,IF(01_因子設定!$B$13="最大化",K1460,IF(01_因子設定!$B$13="最小化",-K1460,-ABS(K1460-01_因子設定!$B$16))),-1E+030)</f>
        <v>48.0996767241379</v>
      </c>
      <c r="S1460" s="55" t="n">
        <f aca="false">Q1460+ROW()*0.000000001</f>
        <v>0.0759432206102346</v>
      </c>
      <c r="T1460" s="55" t="n">
        <f aca="false">R1460+ROW()*0.000000001</f>
        <v>48.0996781841379</v>
      </c>
    </row>
    <row r="1461" customFormat="false" ht="15" hidden="false" customHeight="false" outlineLevel="0" collapsed="false">
      <c r="A1461" s="0" t="n">
        <v>35</v>
      </c>
      <c r="B1461" s="0" t="n">
        <v>21</v>
      </c>
      <c r="C1461" s="0" t="n">
        <f aca="false">-1+A1461*0.05</f>
        <v>0.75</v>
      </c>
      <c r="D1461" s="0" t="n">
        <f aca="false">-1+B1461*0.05</f>
        <v>0.05</v>
      </c>
      <c r="E1461" s="0" t="n">
        <f aca="false">1</f>
        <v>1</v>
      </c>
      <c r="F1461" s="0" t="n">
        <f aca="false">C1461</f>
        <v>0.75</v>
      </c>
      <c r="G1461" s="0" t="n">
        <f aca="false">D1461</f>
        <v>0.05</v>
      </c>
      <c r="H1461" s="0" t="n">
        <f aca="false">C1461*D1461</f>
        <v>0.0375</v>
      </c>
      <c r="I1461" s="0" t="n">
        <f aca="false">C1461*C1461</f>
        <v>0.5625</v>
      </c>
      <c r="J1461" s="0" t="n">
        <f aca="false">D1461*D1461</f>
        <v>0.0025</v>
      </c>
      <c r="K1461" s="0" t="n">
        <f aca="false">SUMPRODUCT(E1461:J1461,_XtX!$B$53:$G$53)</f>
        <v>48.2280064655172</v>
      </c>
      <c r="L1461" s="0" t="n">
        <f aca="false">SUMPRODUCT(MMULT(E1461:J1461,_XtX!$B$44:$G$49),E1461:J1461)</f>
        <v>0.264210686063218</v>
      </c>
      <c r="M1461" s="0" t="n">
        <f aca="false">04_回帰ANOVA!$K$19*04_回帰ANOVA!$K$14*SQRT(1+L1461)</f>
        <v>1.52365380588781</v>
      </c>
      <c r="N1461" s="0" t="n">
        <f aca="false">K1461-M1461</f>
        <v>46.7043526596294</v>
      </c>
      <c r="O1461" s="0" t="n">
        <f aca="false">K1461+M1461</f>
        <v>49.751660271405</v>
      </c>
      <c r="P1461" s="54" t="b">
        <f aca="false">AND(C1461&gt;=01_因子設定!$L$5-0.000000001,C1461&lt;=01_因子設定!$M$5+0.000000001,D1461&gt;=01_因子設定!$L$6-0.000000001,D1461&lt;=01_因子設定!$M$6+0.000000001,IF(01_因子設定!$B$20="Box-Behnken",C1461^2+D1461^2&lt;=2+0.000000001,TRUE()))</f>
        <v>1</v>
      </c>
      <c r="Q1461" s="55" t="n">
        <f aca="false">IF(P1461,IF(01_因子設定!$B$13="最大化",N1461-01_因子設定!$B$14,IF(01_因子設定!$B$13="最小化",01_因子設定!$B$15-O1461,MIN(N1461-01_因子設定!$B$14,01_因子設定!$B$15-O1461))),-1E+030)</f>
        <v>0.204352659629421</v>
      </c>
      <c r="R1461" s="55" t="n">
        <f aca="false">IF(P1461,IF(01_因子設定!$B$13="最大化",K1461,IF(01_因子設定!$B$13="最小化",-K1461,-ABS(K1461-01_因子設定!$B$16))),-1E+030)</f>
        <v>48.2280064655172</v>
      </c>
      <c r="S1461" s="55" t="n">
        <f aca="false">Q1461+ROW()*0.000000001</f>
        <v>0.204354120629421</v>
      </c>
      <c r="T1461" s="55" t="n">
        <f aca="false">R1461+ROW()*0.000000001</f>
        <v>48.2280079265172</v>
      </c>
    </row>
    <row r="1462" customFormat="false" ht="15" hidden="false" customHeight="false" outlineLevel="0" collapsed="false">
      <c r="A1462" s="0" t="n">
        <v>35</v>
      </c>
      <c r="B1462" s="0" t="n">
        <v>22</v>
      </c>
      <c r="C1462" s="0" t="n">
        <f aca="false">-1+A1462*0.05</f>
        <v>0.75</v>
      </c>
      <c r="D1462" s="0" t="n">
        <f aca="false">-1+B1462*0.05</f>
        <v>0.1</v>
      </c>
      <c r="E1462" s="0" t="n">
        <f aca="false">1</f>
        <v>1</v>
      </c>
      <c r="F1462" s="0" t="n">
        <f aca="false">C1462</f>
        <v>0.75</v>
      </c>
      <c r="G1462" s="0" t="n">
        <f aca="false">D1462</f>
        <v>0.1</v>
      </c>
      <c r="H1462" s="0" t="n">
        <f aca="false">C1462*D1462</f>
        <v>0.0750000000000001</v>
      </c>
      <c r="I1462" s="0" t="n">
        <f aca="false">C1462*C1462</f>
        <v>0.5625</v>
      </c>
      <c r="J1462" s="0" t="n">
        <f aca="false">D1462*D1462</f>
        <v>0.01</v>
      </c>
      <c r="K1462" s="0" t="n">
        <f aca="false">SUMPRODUCT(E1462:J1462,_XtX!$B$53:$G$53)</f>
        <v>48.3486206896552</v>
      </c>
      <c r="L1462" s="0" t="n">
        <f aca="false">SUMPRODUCT(MMULT(E1462:J1462,_XtX!$B$44:$G$49),E1462:J1462)</f>
        <v>0.263833800287356</v>
      </c>
      <c r="M1462" s="0" t="n">
        <f aca="false">04_回帰ANOVA!$K$19*04_回帰ANOVA!$K$14*SQRT(1+L1462)</f>
        <v>1.52342667355229</v>
      </c>
      <c r="N1462" s="0" t="n">
        <f aca="false">K1462-M1462</f>
        <v>46.8251940161029</v>
      </c>
      <c r="O1462" s="0" t="n">
        <f aca="false">K1462+M1462</f>
        <v>49.8720473632074</v>
      </c>
      <c r="P1462" s="54" t="b">
        <f aca="false">AND(C1462&gt;=01_因子設定!$L$5-0.000000001,C1462&lt;=01_因子設定!$M$5+0.000000001,D1462&gt;=01_因子設定!$L$6-0.000000001,D1462&lt;=01_因子設定!$M$6+0.000000001,IF(01_因子設定!$B$20="Box-Behnken",C1462^2+D1462^2&lt;=2+0.000000001,TRUE()))</f>
        <v>1</v>
      </c>
      <c r="Q1462" s="55" t="n">
        <f aca="false">IF(P1462,IF(01_因子設定!$B$13="最大化",N1462-01_因子設定!$B$14,IF(01_因子設定!$B$13="最小化",01_因子設定!$B$15-O1462,MIN(N1462-01_因子設定!$B$14,01_因子設定!$B$15-O1462))),-1E+030)</f>
        <v>0.32519401610287</v>
      </c>
      <c r="R1462" s="55" t="n">
        <f aca="false">IF(P1462,IF(01_因子設定!$B$13="最大化",K1462,IF(01_因子設定!$B$13="最小化",-K1462,-ABS(K1462-01_因子設定!$B$16))),-1E+030)</f>
        <v>48.3486206896552</v>
      </c>
      <c r="S1462" s="55" t="n">
        <f aca="false">Q1462+ROW()*0.000000001</f>
        <v>0.32519547810287</v>
      </c>
      <c r="T1462" s="55" t="n">
        <f aca="false">R1462+ROW()*0.000000001</f>
        <v>48.3486221516552</v>
      </c>
    </row>
    <row r="1463" customFormat="false" ht="15" hidden="false" customHeight="false" outlineLevel="0" collapsed="false">
      <c r="A1463" s="0" t="n">
        <v>35</v>
      </c>
      <c r="B1463" s="0" t="n">
        <v>23</v>
      </c>
      <c r="C1463" s="0" t="n">
        <f aca="false">-1+A1463*0.05</f>
        <v>0.75</v>
      </c>
      <c r="D1463" s="0" t="n">
        <f aca="false">-1+B1463*0.05</f>
        <v>0.15</v>
      </c>
      <c r="E1463" s="0" t="n">
        <f aca="false">1</f>
        <v>1</v>
      </c>
      <c r="F1463" s="0" t="n">
        <f aca="false">C1463</f>
        <v>0.75</v>
      </c>
      <c r="G1463" s="0" t="n">
        <f aca="false">D1463</f>
        <v>0.15</v>
      </c>
      <c r="H1463" s="0" t="n">
        <f aca="false">C1463*D1463</f>
        <v>0.1125</v>
      </c>
      <c r="I1463" s="0" t="n">
        <f aca="false">C1463*C1463</f>
        <v>0.5625</v>
      </c>
      <c r="J1463" s="0" t="n">
        <f aca="false">D1463*D1463</f>
        <v>0.0225</v>
      </c>
      <c r="K1463" s="0" t="n">
        <f aca="false">SUMPRODUCT(E1463:J1463,_XtX!$B$53:$G$53)</f>
        <v>48.4615193965517</v>
      </c>
      <c r="L1463" s="0" t="n">
        <f aca="false">SUMPRODUCT(MMULT(E1463:J1463,_XtX!$B$44:$G$49),E1463:J1463)</f>
        <v>0.263296174568966</v>
      </c>
      <c r="M1463" s="0" t="n">
        <f aca="false">04_回帰ANOVA!$K$19*04_回帰ANOVA!$K$14*SQRT(1+L1463)</f>
        <v>1.52310261176472</v>
      </c>
      <c r="N1463" s="0" t="n">
        <f aca="false">K1463-M1463</f>
        <v>46.938416784787</v>
      </c>
      <c r="O1463" s="0" t="n">
        <f aca="false">K1463+M1463</f>
        <v>49.9846220083164</v>
      </c>
      <c r="P1463" s="54" t="b">
        <f aca="false">AND(C1463&gt;=01_因子設定!$L$5-0.000000001,C1463&lt;=01_因子設定!$M$5+0.000000001,D1463&gt;=01_因子設定!$L$6-0.000000001,D1463&lt;=01_因子設定!$M$6+0.000000001,IF(01_因子設定!$B$20="Box-Behnken",C1463^2+D1463^2&lt;=2+0.000000001,TRUE()))</f>
        <v>1</v>
      </c>
      <c r="Q1463" s="55" t="n">
        <f aca="false">IF(P1463,IF(01_因子設定!$B$13="最大化",N1463-01_因子設定!$B$14,IF(01_因子設定!$B$13="最小化",01_因子設定!$B$15-O1463,MIN(N1463-01_因子設定!$B$14,01_因子設定!$B$15-O1463))),-1E+030)</f>
        <v>0.438416784786995</v>
      </c>
      <c r="R1463" s="55" t="n">
        <f aca="false">IF(P1463,IF(01_因子設定!$B$13="最大化",K1463,IF(01_因子設定!$B$13="最小化",-K1463,-ABS(K1463-01_因子設定!$B$16))),-1E+030)</f>
        <v>48.4615193965517</v>
      </c>
      <c r="S1463" s="55" t="n">
        <f aca="false">Q1463+ROW()*0.000000001</f>
        <v>0.438418247786995</v>
      </c>
      <c r="T1463" s="55" t="n">
        <f aca="false">R1463+ROW()*0.000000001</f>
        <v>48.4615208595517</v>
      </c>
    </row>
    <row r="1464" customFormat="false" ht="15" hidden="false" customHeight="false" outlineLevel="0" collapsed="false">
      <c r="A1464" s="0" t="n">
        <v>35</v>
      </c>
      <c r="B1464" s="0" t="n">
        <v>24</v>
      </c>
      <c r="C1464" s="0" t="n">
        <f aca="false">-1+A1464*0.05</f>
        <v>0.75</v>
      </c>
      <c r="D1464" s="0" t="n">
        <f aca="false">-1+B1464*0.05</f>
        <v>0.2</v>
      </c>
      <c r="E1464" s="0" t="n">
        <f aca="false">1</f>
        <v>1</v>
      </c>
      <c r="F1464" s="0" t="n">
        <f aca="false">C1464</f>
        <v>0.75</v>
      </c>
      <c r="G1464" s="0" t="n">
        <f aca="false">D1464</f>
        <v>0.2</v>
      </c>
      <c r="H1464" s="0" t="n">
        <f aca="false">C1464*D1464</f>
        <v>0.15</v>
      </c>
      <c r="I1464" s="0" t="n">
        <f aca="false">C1464*C1464</f>
        <v>0.5625</v>
      </c>
      <c r="J1464" s="0" t="n">
        <f aca="false">D1464*D1464</f>
        <v>0.0400000000000001</v>
      </c>
      <c r="K1464" s="0" t="n">
        <f aca="false">SUMPRODUCT(E1464:J1464,_XtX!$B$53:$G$53)</f>
        <v>48.5667025862069</v>
      </c>
      <c r="L1464" s="0" t="n">
        <f aca="false">SUMPRODUCT(MMULT(E1464:J1464,_XtX!$B$44:$G$49),E1464:J1464)</f>
        <v>0.262733584770115</v>
      </c>
      <c r="M1464" s="0" t="n">
        <f aca="false">04_回帰ANOVA!$K$19*04_回帰ANOVA!$K$14*SQRT(1+L1464)</f>
        <v>1.5227634286696</v>
      </c>
      <c r="N1464" s="0" t="n">
        <f aca="false">K1464-M1464</f>
        <v>47.0439391575373</v>
      </c>
      <c r="O1464" s="0" t="n">
        <f aca="false">K1464+M1464</f>
        <v>50.0894660148765</v>
      </c>
      <c r="P1464" s="54" t="b">
        <f aca="false">AND(C1464&gt;=01_因子設定!$L$5-0.000000001,C1464&lt;=01_因子設定!$M$5+0.000000001,D1464&gt;=01_因子設定!$L$6-0.000000001,D1464&lt;=01_因子設定!$M$6+0.000000001,IF(01_因子設定!$B$20="Box-Behnken",C1464^2+D1464^2&lt;=2+0.000000001,TRUE()))</f>
        <v>1</v>
      </c>
      <c r="Q1464" s="55" t="n">
        <f aca="false">IF(P1464,IF(01_因子設定!$B$13="最大化",N1464-01_因子設定!$B$14,IF(01_因子設定!$B$13="最小化",01_因子設定!$B$15-O1464,MIN(N1464-01_因子設定!$B$14,01_因子設定!$B$15-O1464))),-1E+030)</f>
        <v>0.543939157537288</v>
      </c>
      <c r="R1464" s="55" t="n">
        <f aca="false">IF(P1464,IF(01_因子設定!$B$13="最大化",K1464,IF(01_因子設定!$B$13="最小化",-K1464,-ABS(K1464-01_因子設定!$B$16))),-1E+030)</f>
        <v>48.5667025862069</v>
      </c>
      <c r="S1464" s="55" t="n">
        <f aca="false">Q1464+ROW()*0.000000001</f>
        <v>0.543940621537288</v>
      </c>
      <c r="T1464" s="55" t="n">
        <f aca="false">R1464+ROW()*0.000000001</f>
        <v>48.5667040502069</v>
      </c>
    </row>
    <row r="1465" customFormat="false" ht="15" hidden="false" customHeight="false" outlineLevel="0" collapsed="false">
      <c r="A1465" s="0" t="n">
        <v>35</v>
      </c>
      <c r="B1465" s="0" t="n">
        <v>25</v>
      </c>
      <c r="C1465" s="0" t="n">
        <f aca="false">-1+A1465*0.05</f>
        <v>0.75</v>
      </c>
      <c r="D1465" s="0" t="n">
        <f aca="false">-1+B1465*0.05</f>
        <v>0.25</v>
      </c>
      <c r="E1465" s="0" t="n">
        <f aca="false">1</f>
        <v>1</v>
      </c>
      <c r="F1465" s="0" t="n">
        <f aca="false">C1465</f>
        <v>0.75</v>
      </c>
      <c r="G1465" s="0" t="n">
        <f aca="false">D1465</f>
        <v>0.25</v>
      </c>
      <c r="H1465" s="0" t="n">
        <f aca="false">C1465*D1465</f>
        <v>0.1875</v>
      </c>
      <c r="I1465" s="0" t="n">
        <f aca="false">C1465*C1465</f>
        <v>0.5625</v>
      </c>
      <c r="J1465" s="0" t="n">
        <f aca="false">D1465*D1465</f>
        <v>0.0625</v>
      </c>
      <c r="K1465" s="0" t="n">
        <f aca="false">SUMPRODUCT(E1465:J1465,_XtX!$B$53:$G$53)</f>
        <v>48.6641702586207</v>
      </c>
      <c r="L1465" s="0" t="n">
        <f aca="false">SUMPRODUCT(MMULT(E1465:J1465,_XtX!$B$44:$G$49),E1465:J1465)</f>
        <v>0.262336117097701</v>
      </c>
      <c r="M1465" s="0" t="n">
        <f aca="false">04_回帰ANOVA!$K$19*04_回帰ANOVA!$K$14*SQRT(1+L1465)</f>
        <v>1.5225237514809</v>
      </c>
      <c r="N1465" s="0" t="n">
        <f aca="false">K1465-M1465</f>
        <v>47.1416465071398</v>
      </c>
      <c r="O1465" s="0" t="n">
        <f aca="false">K1465+M1465</f>
        <v>50.1866940101016</v>
      </c>
      <c r="P1465" s="54" t="b">
        <f aca="false">AND(C1465&gt;=01_因子設定!$L$5-0.000000001,C1465&lt;=01_因子設定!$M$5+0.000000001,D1465&gt;=01_因子設定!$L$6-0.000000001,D1465&lt;=01_因子設定!$M$6+0.000000001,IF(01_因子設定!$B$20="Box-Behnken",C1465^2+D1465^2&lt;=2+0.000000001,TRUE()))</f>
        <v>1</v>
      </c>
      <c r="Q1465" s="55" t="n">
        <f aca="false">IF(P1465,IF(01_因子設定!$B$13="最大化",N1465-01_因子設定!$B$14,IF(01_因子設定!$B$13="最小化",01_因子設定!$B$15-O1465,MIN(N1465-01_因子設定!$B$14,01_因子設定!$B$15-O1465))),-1E+030)</f>
        <v>0.641646507139775</v>
      </c>
      <c r="R1465" s="55" t="n">
        <f aca="false">IF(P1465,IF(01_因子設定!$B$13="最大化",K1465,IF(01_因子設定!$B$13="最小化",-K1465,-ABS(K1465-01_因子設定!$B$16))),-1E+030)</f>
        <v>48.6641702586207</v>
      </c>
      <c r="S1465" s="55" t="n">
        <f aca="false">Q1465+ROW()*0.000000001</f>
        <v>0.641647972139775</v>
      </c>
      <c r="T1465" s="55" t="n">
        <f aca="false">R1465+ROW()*0.000000001</f>
        <v>48.6641717236207</v>
      </c>
    </row>
    <row r="1466" customFormat="false" ht="15" hidden="false" customHeight="false" outlineLevel="0" collapsed="false">
      <c r="A1466" s="0" t="n">
        <v>35</v>
      </c>
      <c r="B1466" s="0" t="n">
        <v>26</v>
      </c>
      <c r="C1466" s="0" t="n">
        <f aca="false">-1+A1466*0.05</f>
        <v>0.75</v>
      </c>
      <c r="D1466" s="0" t="n">
        <f aca="false">-1+B1466*0.05</f>
        <v>0.3</v>
      </c>
      <c r="E1466" s="0" t="n">
        <f aca="false">1</f>
        <v>1</v>
      </c>
      <c r="F1466" s="0" t="n">
        <f aca="false">C1466</f>
        <v>0.75</v>
      </c>
      <c r="G1466" s="0" t="n">
        <f aca="false">D1466</f>
        <v>0.3</v>
      </c>
      <c r="H1466" s="0" t="n">
        <f aca="false">C1466*D1466</f>
        <v>0.225</v>
      </c>
      <c r="I1466" s="0" t="n">
        <f aca="false">C1466*C1466</f>
        <v>0.5625</v>
      </c>
      <c r="J1466" s="0" t="n">
        <f aca="false">D1466*D1466</f>
        <v>0.09</v>
      </c>
      <c r="K1466" s="0" t="n">
        <f aca="false">SUMPRODUCT(E1466:J1466,_XtX!$B$53:$G$53)</f>
        <v>48.7539224137931</v>
      </c>
      <c r="L1466" s="0" t="n">
        <f aca="false">SUMPRODUCT(MMULT(E1466:J1466,_XtX!$B$44:$G$49),E1466:J1466)</f>
        <v>0.262348168103448</v>
      </c>
      <c r="M1466" s="0" t="n">
        <f aca="false">04_回帰ANOVA!$K$19*04_回帰ANOVA!$K$14*SQRT(1+L1466)</f>
        <v>1.52253101891881</v>
      </c>
      <c r="N1466" s="0" t="n">
        <f aca="false">K1466-M1466</f>
        <v>47.2313913948743</v>
      </c>
      <c r="O1466" s="0" t="n">
        <f aca="false">K1466+M1466</f>
        <v>50.2764534327119</v>
      </c>
      <c r="P1466" s="54" t="b">
        <f aca="false">AND(C1466&gt;=01_因子設定!$L$5-0.000000001,C1466&lt;=01_因子設定!$M$5+0.000000001,D1466&gt;=01_因子設定!$L$6-0.000000001,D1466&lt;=01_因子設定!$M$6+0.000000001,IF(01_因子設定!$B$20="Box-Behnken",C1466^2+D1466^2&lt;=2+0.000000001,TRUE()))</f>
        <v>1</v>
      </c>
      <c r="Q1466" s="55" t="n">
        <f aca="false">IF(P1466,IF(01_因子設定!$B$13="最大化",N1466-01_因子設定!$B$14,IF(01_因子設定!$B$13="最小化",01_因子設定!$B$15-O1466,MIN(N1466-01_因子設定!$B$14,01_因子設定!$B$15-O1466))),-1E+030)</f>
        <v>0.731391394874287</v>
      </c>
      <c r="R1466" s="55" t="n">
        <f aca="false">IF(P1466,IF(01_因子設定!$B$13="最大化",K1466,IF(01_因子設定!$B$13="最小化",-K1466,-ABS(K1466-01_因子設定!$B$16))),-1E+030)</f>
        <v>48.7539224137931</v>
      </c>
      <c r="S1466" s="55" t="n">
        <f aca="false">Q1466+ROW()*0.000000001</f>
        <v>0.731392860874287</v>
      </c>
      <c r="T1466" s="55" t="n">
        <f aca="false">R1466+ROW()*0.000000001</f>
        <v>48.7539238797931</v>
      </c>
    </row>
    <row r="1467" customFormat="false" ht="15" hidden="false" customHeight="false" outlineLevel="0" collapsed="false">
      <c r="A1467" s="0" t="n">
        <v>35</v>
      </c>
      <c r="B1467" s="0" t="n">
        <v>27</v>
      </c>
      <c r="C1467" s="0" t="n">
        <f aca="false">-1+A1467*0.05</f>
        <v>0.75</v>
      </c>
      <c r="D1467" s="0" t="n">
        <f aca="false">-1+B1467*0.05</f>
        <v>0.35</v>
      </c>
      <c r="E1467" s="0" t="n">
        <f aca="false">1</f>
        <v>1</v>
      </c>
      <c r="F1467" s="0" t="n">
        <f aca="false">C1467</f>
        <v>0.75</v>
      </c>
      <c r="G1467" s="0" t="n">
        <f aca="false">D1467</f>
        <v>0.35</v>
      </c>
      <c r="H1467" s="0" t="n">
        <f aca="false">C1467*D1467</f>
        <v>0.2625</v>
      </c>
      <c r="I1467" s="0" t="n">
        <f aca="false">C1467*C1467</f>
        <v>0.5625</v>
      </c>
      <c r="J1467" s="0" t="n">
        <f aca="false">D1467*D1467</f>
        <v>0.1225</v>
      </c>
      <c r="K1467" s="0" t="n">
        <f aca="false">SUMPRODUCT(E1467:J1467,_XtX!$B$53:$G$53)</f>
        <v>48.8359590517241</v>
      </c>
      <c r="L1467" s="0" t="n">
        <f aca="false">SUMPRODUCT(MMULT(E1467:J1467,_XtX!$B$44:$G$49),E1467:J1467)</f>
        <v>0.263068444683908</v>
      </c>
      <c r="M1467" s="0" t="n">
        <f aca="false">04_回帰ANOVA!$K$19*04_回帰ANOVA!$K$14*SQRT(1+L1467)</f>
        <v>1.52296532344599</v>
      </c>
      <c r="N1467" s="0" t="n">
        <f aca="false">K1467-M1467</f>
        <v>47.3129937282781</v>
      </c>
      <c r="O1467" s="0" t="n">
        <f aca="false">K1467+M1467</f>
        <v>50.3589243751701</v>
      </c>
      <c r="P1467" s="54" t="b">
        <f aca="false">AND(C1467&gt;=01_因子設定!$L$5-0.000000001,C1467&lt;=01_因子設定!$M$5+0.000000001,D1467&gt;=01_因子設定!$L$6-0.000000001,D1467&lt;=01_因子設定!$M$6+0.000000001,IF(01_因子設定!$B$20="Box-Behnken",C1467^2+D1467^2&lt;=2+0.000000001,TRUE()))</f>
        <v>1</v>
      </c>
      <c r="Q1467" s="55" t="n">
        <f aca="false">IF(P1467,IF(01_因子設定!$B$13="最大化",N1467-01_因子設定!$B$14,IF(01_因子設定!$B$13="最小化",01_因子設定!$B$15-O1467,MIN(N1467-01_因子設定!$B$14,01_因子設定!$B$15-O1467))),-1E+030)</f>
        <v>0.812993728278137</v>
      </c>
      <c r="R1467" s="55" t="n">
        <f aca="false">IF(P1467,IF(01_因子設定!$B$13="最大化",K1467,IF(01_因子設定!$B$13="最小化",-K1467,-ABS(K1467-01_因子設定!$B$16))),-1E+030)</f>
        <v>48.8359590517241</v>
      </c>
      <c r="S1467" s="55" t="n">
        <f aca="false">Q1467+ROW()*0.000000001</f>
        <v>0.812995195278137</v>
      </c>
      <c r="T1467" s="55" t="n">
        <f aca="false">R1467+ROW()*0.000000001</f>
        <v>48.8359605187241</v>
      </c>
    </row>
    <row r="1468" customFormat="false" ht="15" hidden="false" customHeight="false" outlineLevel="0" collapsed="false">
      <c r="A1468" s="0" t="n">
        <v>35</v>
      </c>
      <c r="B1468" s="0" t="n">
        <v>28</v>
      </c>
      <c r="C1468" s="0" t="n">
        <f aca="false">-1+A1468*0.05</f>
        <v>0.75</v>
      </c>
      <c r="D1468" s="0" t="n">
        <f aca="false">-1+B1468*0.05</f>
        <v>0.4</v>
      </c>
      <c r="E1468" s="0" t="n">
        <f aca="false">1</f>
        <v>1</v>
      </c>
      <c r="F1468" s="0" t="n">
        <f aca="false">C1468</f>
        <v>0.75</v>
      </c>
      <c r="G1468" s="0" t="n">
        <f aca="false">D1468</f>
        <v>0.4</v>
      </c>
      <c r="H1468" s="0" t="n">
        <f aca="false">C1468*D1468</f>
        <v>0.3</v>
      </c>
      <c r="I1468" s="0" t="n">
        <f aca="false">C1468*C1468</f>
        <v>0.5625</v>
      </c>
      <c r="J1468" s="0" t="n">
        <f aca="false">D1468*D1468</f>
        <v>0.16</v>
      </c>
      <c r="K1468" s="0" t="n">
        <f aca="false">SUMPRODUCT(E1468:J1468,_XtX!$B$53:$G$53)</f>
        <v>48.9102801724138</v>
      </c>
      <c r="L1468" s="0" t="n">
        <f aca="false">SUMPRODUCT(MMULT(E1468:J1468,_XtX!$B$44:$G$49),E1468:J1468)</f>
        <v>0.26484996408046</v>
      </c>
      <c r="M1468" s="0" t="n">
        <f aca="false">04_回帰ANOVA!$K$19*04_回帰ANOVA!$K$14*SQRT(1+L1468)</f>
        <v>1.52403899298102</v>
      </c>
      <c r="N1468" s="0" t="n">
        <f aca="false">K1468-M1468</f>
        <v>47.3862411794328</v>
      </c>
      <c r="O1468" s="0" t="n">
        <f aca="false">K1468+M1468</f>
        <v>50.4343191653948</v>
      </c>
      <c r="P1468" s="54" t="b">
        <f aca="false">AND(C1468&gt;=01_因子設定!$L$5-0.000000001,C1468&lt;=01_因子設定!$M$5+0.000000001,D1468&gt;=01_因子設定!$L$6-0.000000001,D1468&lt;=01_因子設定!$M$6+0.000000001,IF(01_因子設定!$B$20="Box-Behnken",C1468^2+D1468^2&lt;=2+0.000000001,TRUE()))</f>
        <v>1</v>
      </c>
      <c r="Q1468" s="55" t="n">
        <f aca="false">IF(P1468,IF(01_因子設定!$B$13="最大化",N1468-01_因子設定!$B$14,IF(01_因子設定!$B$13="最小化",01_因子設定!$B$15-O1468,MIN(N1468-01_因子設定!$B$14,01_因子設定!$B$15-O1468))),-1E+030)</f>
        <v>0.886241179432759</v>
      </c>
      <c r="R1468" s="55" t="n">
        <f aca="false">IF(P1468,IF(01_因子設定!$B$13="最大化",K1468,IF(01_因子設定!$B$13="最小化",-K1468,-ABS(K1468-01_因子設定!$B$16))),-1E+030)</f>
        <v>48.9102801724138</v>
      </c>
      <c r="S1468" s="55" t="n">
        <f aca="false">Q1468+ROW()*0.000000001</f>
        <v>0.886242647432759</v>
      </c>
      <c r="T1468" s="55" t="n">
        <f aca="false">R1468+ROW()*0.000000001</f>
        <v>48.9102816404138</v>
      </c>
    </row>
    <row r="1469" customFormat="false" ht="15" hidden="false" customHeight="false" outlineLevel="0" collapsed="false">
      <c r="A1469" s="0" t="n">
        <v>35</v>
      </c>
      <c r="B1469" s="0" t="n">
        <v>29</v>
      </c>
      <c r="C1469" s="0" t="n">
        <f aca="false">-1+A1469*0.05</f>
        <v>0.75</v>
      </c>
      <c r="D1469" s="0" t="n">
        <f aca="false">-1+B1469*0.05</f>
        <v>0.45</v>
      </c>
      <c r="E1469" s="0" t="n">
        <f aca="false">1</f>
        <v>1</v>
      </c>
      <c r="F1469" s="0" t="n">
        <f aca="false">C1469</f>
        <v>0.75</v>
      </c>
      <c r="G1469" s="0" t="n">
        <f aca="false">D1469</f>
        <v>0.45</v>
      </c>
      <c r="H1469" s="0" t="n">
        <f aca="false">C1469*D1469</f>
        <v>0.3375</v>
      </c>
      <c r="I1469" s="0" t="n">
        <f aca="false">C1469*C1469</f>
        <v>0.5625</v>
      </c>
      <c r="J1469" s="0" t="n">
        <f aca="false">D1469*D1469</f>
        <v>0.2025</v>
      </c>
      <c r="K1469" s="0" t="n">
        <f aca="false">SUMPRODUCT(E1469:J1469,_XtX!$B$53:$G$53)</f>
        <v>48.9768857758621</v>
      </c>
      <c r="L1469" s="0" t="n">
        <f aca="false">SUMPRODUCT(MMULT(E1469:J1469,_XtX!$B$44:$G$49),E1469:J1469)</f>
        <v>0.26810005387931</v>
      </c>
      <c r="M1469" s="0" t="n">
        <f aca="false">04_回帰ANOVA!$K$19*04_回帰ANOVA!$K$14*SQRT(1+L1469)</f>
        <v>1.52599578070166</v>
      </c>
      <c r="N1469" s="0" t="n">
        <f aca="false">K1469-M1469</f>
        <v>47.4508899951604</v>
      </c>
      <c r="O1469" s="0" t="n">
        <f aca="false">K1469+M1469</f>
        <v>50.5028815565637</v>
      </c>
      <c r="P1469" s="54" t="b">
        <f aca="false">AND(C1469&gt;=01_因子設定!$L$5-0.000000001,C1469&lt;=01_因子設定!$M$5+0.000000001,D1469&gt;=01_因子設定!$L$6-0.000000001,D1469&lt;=01_因子設定!$M$6+0.000000001,IF(01_因子設定!$B$20="Box-Behnken",C1469^2+D1469^2&lt;=2+0.000000001,TRUE()))</f>
        <v>1</v>
      </c>
      <c r="Q1469" s="55" t="n">
        <f aca="false">IF(P1469,IF(01_因子設定!$B$13="最大化",N1469-01_因子設定!$B$14,IF(01_因子設定!$B$13="最小化",01_因子設定!$B$15-O1469,MIN(N1469-01_因子設定!$B$14,01_因子設定!$B$15-O1469))),-1E+030)</f>
        <v>0.950889995160402</v>
      </c>
      <c r="R1469" s="55" t="n">
        <f aca="false">IF(P1469,IF(01_因子設定!$B$13="最大化",K1469,IF(01_因子設定!$B$13="最小化",-K1469,-ABS(K1469-01_因子設定!$B$16))),-1E+030)</f>
        <v>48.9768857758621</v>
      </c>
      <c r="S1469" s="55" t="n">
        <f aca="false">Q1469+ROW()*0.000000001</f>
        <v>0.950891464160402</v>
      </c>
      <c r="T1469" s="55" t="n">
        <f aca="false">R1469+ROW()*0.000000001</f>
        <v>48.9768872448621</v>
      </c>
    </row>
    <row r="1470" customFormat="false" ht="15" hidden="false" customHeight="false" outlineLevel="0" collapsed="false">
      <c r="A1470" s="0" t="n">
        <v>35</v>
      </c>
      <c r="B1470" s="0" t="n">
        <v>30</v>
      </c>
      <c r="C1470" s="0" t="n">
        <f aca="false">-1+A1470*0.05</f>
        <v>0.75</v>
      </c>
      <c r="D1470" s="0" t="n">
        <f aca="false">-1+B1470*0.05</f>
        <v>0.5</v>
      </c>
      <c r="E1470" s="0" t="n">
        <f aca="false">1</f>
        <v>1</v>
      </c>
      <c r="F1470" s="0" t="n">
        <f aca="false">C1470</f>
        <v>0.75</v>
      </c>
      <c r="G1470" s="0" t="n">
        <f aca="false">D1470</f>
        <v>0.5</v>
      </c>
      <c r="H1470" s="0" t="n">
        <f aca="false">C1470*D1470</f>
        <v>0.375</v>
      </c>
      <c r="I1470" s="0" t="n">
        <f aca="false">C1470*C1470</f>
        <v>0.5625</v>
      </c>
      <c r="J1470" s="0" t="n">
        <f aca="false">D1470*D1470</f>
        <v>0.25</v>
      </c>
      <c r="K1470" s="0" t="n">
        <f aca="false">SUMPRODUCT(E1470:J1470,_XtX!$B$53:$G$53)</f>
        <v>49.035775862069</v>
      </c>
      <c r="L1470" s="0" t="n">
        <f aca="false">SUMPRODUCT(MMULT(E1470:J1470,_XtX!$B$44:$G$49),E1470:J1470)</f>
        <v>0.273280352011494</v>
      </c>
      <c r="M1470" s="0" t="n">
        <f aca="false">04_回帰ANOVA!$K$19*04_回帰ANOVA!$K$14*SQRT(1+L1470)</f>
        <v>1.52910951618691</v>
      </c>
      <c r="N1470" s="0" t="n">
        <f aca="false">K1470-M1470</f>
        <v>47.506666345882</v>
      </c>
      <c r="O1470" s="0" t="n">
        <f aca="false">K1470+M1470</f>
        <v>50.5648853782559</v>
      </c>
      <c r="P1470" s="54" t="b">
        <f aca="false">AND(C1470&gt;=01_因子設定!$L$5-0.000000001,C1470&lt;=01_因子設定!$M$5+0.000000001,D1470&gt;=01_因子設定!$L$6-0.000000001,D1470&lt;=01_因子設定!$M$6+0.000000001,IF(01_因子設定!$B$20="Box-Behnken",C1470^2+D1470^2&lt;=2+0.000000001,TRUE()))</f>
        <v>1</v>
      </c>
      <c r="Q1470" s="55" t="n">
        <f aca="false">IF(P1470,IF(01_因子設定!$B$13="最大化",N1470-01_因子設定!$B$14,IF(01_因子設定!$B$13="最小化",01_因子設定!$B$15-O1470,MIN(N1470-01_因子設定!$B$14,01_因子設定!$B$15-O1470))),-1E+030)</f>
        <v>1.00666634588204</v>
      </c>
      <c r="R1470" s="55" t="n">
        <f aca="false">IF(P1470,IF(01_因子設定!$B$13="最大化",K1470,IF(01_因子設定!$B$13="最小化",-K1470,-ABS(K1470-01_因子設定!$B$16))),-1E+030)</f>
        <v>49.035775862069</v>
      </c>
      <c r="S1470" s="55" t="n">
        <f aca="false">Q1470+ROW()*0.000000001</f>
        <v>1.00666781588204</v>
      </c>
      <c r="T1470" s="55" t="n">
        <f aca="false">R1470+ROW()*0.000000001</f>
        <v>49.035777332069</v>
      </c>
    </row>
    <row r="1471" customFormat="false" ht="15" hidden="false" customHeight="false" outlineLevel="0" collapsed="false">
      <c r="A1471" s="0" t="n">
        <v>35</v>
      </c>
      <c r="B1471" s="0" t="n">
        <v>31</v>
      </c>
      <c r="C1471" s="0" t="n">
        <f aca="false">-1+A1471*0.05</f>
        <v>0.75</v>
      </c>
      <c r="D1471" s="0" t="n">
        <f aca="false">-1+B1471*0.05</f>
        <v>0.55</v>
      </c>
      <c r="E1471" s="0" t="n">
        <f aca="false">1</f>
        <v>1</v>
      </c>
      <c r="F1471" s="0" t="n">
        <f aca="false">C1471</f>
        <v>0.75</v>
      </c>
      <c r="G1471" s="0" t="n">
        <f aca="false">D1471</f>
        <v>0.55</v>
      </c>
      <c r="H1471" s="0" t="n">
        <f aca="false">C1471*D1471</f>
        <v>0.4125</v>
      </c>
      <c r="I1471" s="0" t="n">
        <f aca="false">C1471*C1471</f>
        <v>0.5625</v>
      </c>
      <c r="J1471" s="0" t="n">
        <f aca="false">D1471*D1471</f>
        <v>0.3025</v>
      </c>
      <c r="K1471" s="0" t="n">
        <f aca="false">SUMPRODUCT(E1471:J1471,_XtX!$B$53:$G$53)</f>
        <v>49.0869504310345</v>
      </c>
      <c r="L1471" s="0" t="n">
        <f aca="false">SUMPRODUCT(MMULT(E1471:J1471,_XtX!$B$44:$G$49),E1471:J1471)</f>
        <v>0.280906806752874</v>
      </c>
      <c r="M1471" s="0" t="n">
        <f aca="false">04_回帰ANOVA!$K$19*04_回帰ANOVA!$K$14*SQRT(1+L1471)</f>
        <v>1.53368206549325</v>
      </c>
      <c r="N1471" s="0" t="n">
        <f aca="false">K1471-M1471</f>
        <v>47.5532683655412</v>
      </c>
      <c r="O1471" s="0" t="n">
        <f aca="false">K1471+M1471</f>
        <v>50.6206324965277</v>
      </c>
      <c r="P1471" s="54" t="b">
        <f aca="false">AND(C1471&gt;=01_因子設定!$L$5-0.000000001,C1471&lt;=01_因子設定!$M$5+0.000000001,D1471&gt;=01_因子設定!$L$6-0.000000001,D1471&lt;=01_因子設定!$M$6+0.000000001,IF(01_因子設定!$B$20="Box-Behnken",C1471^2+D1471^2&lt;=2+0.000000001,TRUE()))</f>
        <v>1</v>
      </c>
      <c r="Q1471" s="55" t="n">
        <f aca="false">IF(P1471,IF(01_因子設定!$B$13="最大化",N1471-01_因子設定!$B$14,IF(01_因子設定!$B$13="最小化",01_因子設定!$B$15-O1471,MIN(N1471-01_因子設定!$B$14,01_因子設定!$B$15-O1471))),-1E+030)</f>
        <v>1.05326836554123</v>
      </c>
      <c r="R1471" s="55" t="n">
        <f aca="false">IF(P1471,IF(01_因子設定!$B$13="最大化",K1471,IF(01_因子設定!$B$13="最小化",-K1471,-ABS(K1471-01_因子設定!$B$16))),-1E+030)</f>
        <v>49.0869504310345</v>
      </c>
      <c r="S1471" s="55" t="n">
        <f aca="false">Q1471+ROW()*0.000000001</f>
        <v>1.05326983654123</v>
      </c>
      <c r="T1471" s="55" t="n">
        <f aca="false">R1471+ROW()*0.000000001</f>
        <v>49.0869519020345</v>
      </c>
    </row>
    <row r="1472" customFormat="false" ht="15" hidden="false" customHeight="false" outlineLevel="0" collapsed="false">
      <c r="A1472" s="0" t="n">
        <v>35</v>
      </c>
      <c r="B1472" s="0" t="n">
        <v>32</v>
      </c>
      <c r="C1472" s="0" t="n">
        <f aca="false">-1+A1472*0.05</f>
        <v>0.75</v>
      </c>
      <c r="D1472" s="0" t="n">
        <f aca="false">-1+B1472*0.05</f>
        <v>0.6</v>
      </c>
      <c r="E1472" s="0" t="n">
        <f aca="false">1</f>
        <v>1</v>
      </c>
      <c r="F1472" s="0" t="n">
        <f aca="false">C1472</f>
        <v>0.75</v>
      </c>
      <c r="G1472" s="0" t="n">
        <f aca="false">D1472</f>
        <v>0.6</v>
      </c>
      <c r="H1472" s="0" t="n">
        <f aca="false">C1472*D1472</f>
        <v>0.45</v>
      </c>
      <c r="I1472" s="0" t="n">
        <f aca="false">C1472*C1472</f>
        <v>0.5625</v>
      </c>
      <c r="J1472" s="0" t="n">
        <f aca="false">D1472*D1472</f>
        <v>0.36</v>
      </c>
      <c r="K1472" s="0" t="n">
        <f aca="false">SUMPRODUCT(E1472:J1472,_XtX!$B$53:$G$53)</f>
        <v>49.1304094827586</v>
      </c>
      <c r="L1472" s="0" t="n">
        <f aca="false">SUMPRODUCT(MMULT(E1472:J1472,_XtX!$B$44:$G$49),E1472:J1472)</f>
        <v>0.291549676724138</v>
      </c>
      <c r="M1472" s="0" t="n">
        <f aca="false">04_回帰ANOVA!$K$19*04_回帰ANOVA!$K$14*SQRT(1+L1472)</f>
        <v>1.54004045665134</v>
      </c>
      <c r="N1472" s="0" t="n">
        <f aca="false">K1472-M1472</f>
        <v>47.5903690261073</v>
      </c>
      <c r="O1472" s="0" t="n">
        <f aca="false">K1472+M1472</f>
        <v>50.6704499394099</v>
      </c>
      <c r="P1472" s="54" t="b">
        <f aca="false">AND(C1472&gt;=01_因子設定!$L$5-0.000000001,C1472&lt;=01_因子設定!$M$5+0.000000001,D1472&gt;=01_因子設定!$L$6-0.000000001,D1472&lt;=01_因子設定!$M$6+0.000000001,IF(01_因子設定!$B$20="Box-Behnken",C1472^2+D1472^2&lt;=2+0.000000001,TRUE()))</f>
        <v>1</v>
      </c>
      <c r="Q1472" s="55" t="n">
        <f aca="false">IF(P1472,IF(01_因子設定!$B$13="最大化",N1472-01_因子設定!$B$14,IF(01_因子設定!$B$13="最小化",01_因子設定!$B$15-O1472,MIN(N1472-01_因子設定!$B$14,01_因子設定!$B$15-O1472))),-1E+030)</f>
        <v>1.09036902610728</v>
      </c>
      <c r="R1472" s="55" t="n">
        <f aca="false">IF(P1472,IF(01_因子設定!$B$13="最大化",K1472,IF(01_因子設定!$B$13="最小化",-K1472,-ABS(K1472-01_因子設定!$B$16))),-1E+030)</f>
        <v>49.1304094827586</v>
      </c>
      <c r="S1472" s="55" t="n">
        <f aca="false">Q1472+ROW()*0.000000001</f>
        <v>1.09037049810728</v>
      </c>
      <c r="T1472" s="55" t="n">
        <f aca="false">R1472+ROW()*0.000000001</f>
        <v>49.1304109547586</v>
      </c>
    </row>
    <row r="1473" customFormat="false" ht="15" hidden="false" customHeight="false" outlineLevel="0" collapsed="false">
      <c r="A1473" s="0" t="n">
        <v>35</v>
      </c>
      <c r="B1473" s="0" t="n">
        <v>33</v>
      </c>
      <c r="C1473" s="0" t="n">
        <f aca="false">-1+A1473*0.05</f>
        <v>0.75</v>
      </c>
      <c r="D1473" s="0" t="n">
        <f aca="false">-1+B1473*0.05</f>
        <v>0.65</v>
      </c>
      <c r="E1473" s="0" t="n">
        <f aca="false">1</f>
        <v>1</v>
      </c>
      <c r="F1473" s="0" t="n">
        <f aca="false">C1473</f>
        <v>0.75</v>
      </c>
      <c r="G1473" s="0" t="n">
        <f aca="false">D1473</f>
        <v>0.65</v>
      </c>
      <c r="H1473" s="0" t="n">
        <f aca="false">C1473*D1473</f>
        <v>0.4875</v>
      </c>
      <c r="I1473" s="0" t="n">
        <f aca="false">C1473*C1473</f>
        <v>0.5625</v>
      </c>
      <c r="J1473" s="0" t="n">
        <f aca="false">D1473*D1473</f>
        <v>0.4225</v>
      </c>
      <c r="K1473" s="0" t="n">
        <f aca="false">SUMPRODUCT(E1473:J1473,_XtX!$B$53:$G$53)</f>
        <v>49.1661530172414</v>
      </c>
      <c r="L1473" s="0" t="n">
        <f aca="false">SUMPRODUCT(MMULT(E1473:J1473,_XtX!$B$44:$G$49),E1473:J1473)</f>
        <v>0.305833530890805</v>
      </c>
      <c r="M1473" s="0" t="n">
        <f aca="false">04_回帰ANOVA!$K$19*04_回帰ANOVA!$K$14*SQRT(1+L1473)</f>
        <v>1.54853305548253</v>
      </c>
      <c r="N1473" s="0" t="n">
        <f aca="false">K1473-M1473</f>
        <v>47.6176199617588</v>
      </c>
      <c r="O1473" s="0" t="n">
        <f aca="false">K1473+M1473</f>
        <v>50.7146860727239</v>
      </c>
      <c r="P1473" s="54" t="b">
        <f aca="false">AND(C1473&gt;=01_因子設定!$L$5-0.000000001,C1473&lt;=01_因子設定!$M$5+0.000000001,D1473&gt;=01_因子設定!$L$6-0.000000001,D1473&lt;=01_因子設定!$M$6+0.000000001,IF(01_因子設定!$B$20="Box-Behnken",C1473^2+D1473^2&lt;=2+0.000000001,TRUE()))</f>
        <v>1</v>
      </c>
      <c r="Q1473" s="55" t="n">
        <f aca="false">IF(P1473,IF(01_因子設定!$B$13="最大化",N1473-01_因子設定!$B$14,IF(01_因子設定!$B$13="最小化",01_因子設定!$B$15-O1473,MIN(N1473-01_因子設定!$B$14,01_因子設定!$B$15-O1473))),-1E+030)</f>
        <v>1.11761996175884</v>
      </c>
      <c r="R1473" s="55" t="n">
        <f aca="false">IF(P1473,IF(01_因子設定!$B$13="最大化",K1473,IF(01_因子設定!$B$13="最小化",-K1473,-ABS(K1473-01_因子設定!$B$16))),-1E+030)</f>
        <v>49.1661530172414</v>
      </c>
      <c r="S1473" s="55" t="n">
        <f aca="false">Q1473+ROW()*0.000000001</f>
        <v>1.11762143475884</v>
      </c>
      <c r="T1473" s="55" t="n">
        <f aca="false">R1473+ROW()*0.000000001</f>
        <v>49.1661544902414</v>
      </c>
    </row>
    <row r="1474" customFormat="false" ht="15" hidden="false" customHeight="false" outlineLevel="0" collapsed="false">
      <c r="A1474" s="0" t="n">
        <v>35</v>
      </c>
      <c r="B1474" s="0" t="n">
        <v>34</v>
      </c>
      <c r="C1474" s="0" t="n">
        <f aca="false">-1+A1474*0.05</f>
        <v>0.75</v>
      </c>
      <c r="D1474" s="0" t="n">
        <f aca="false">-1+B1474*0.05</f>
        <v>0.7</v>
      </c>
      <c r="E1474" s="0" t="n">
        <f aca="false">1</f>
        <v>1</v>
      </c>
      <c r="F1474" s="0" t="n">
        <f aca="false">C1474</f>
        <v>0.75</v>
      </c>
      <c r="G1474" s="0" t="n">
        <f aca="false">D1474</f>
        <v>0.7</v>
      </c>
      <c r="H1474" s="0" t="n">
        <f aca="false">C1474*D1474</f>
        <v>0.525</v>
      </c>
      <c r="I1474" s="0" t="n">
        <f aca="false">C1474*C1474</f>
        <v>0.5625</v>
      </c>
      <c r="J1474" s="0" t="n">
        <f aca="false">D1474*D1474</f>
        <v>0.49</v>
      </c>
      <c r="K1474" s="0" t="n">
        <f aca="false">SUMPRODUCT(E1474:J1474,_XtX!$B$53:$G$53)</f>
        <v>49.1941810344827</v>
      </c>
      <c r="L1474" s="0" t="n">
        <f aca="false">SUMPRODUCT(MMULT(E1474:J1474,_XtX!$B$44:$G$49),E1474:J1474)</f>
        <v>0.324437248563218</v>
      </c>
      <c r="M1474" s="0" t="n">
        <f aca="false">04_回帰ANOVA!$K$19*04_回帰ANOVA!$K$14*SQRT(1+L1474)</f>
        <v>1.55952472849596</v>
      </c>
      <c r="N1474" s="0" t="n">
        <f aca="false">K1474-M1474</f>
        <v>47.6346563059868</v>
      </c>
      <c r="O1474" s="0" t="n">
        <f aca="false">K1474+M1474</f>
        <v>50.7537057629787</v>
      </c>
      <c r="P1474" s="54" t="b">
        <f aca="false">AND(C1474&gt;=01_因子設定!$L$5-0.000000001,C1474&lt;=01_因子設定!$M$5+0.000000001,D1474&gt;=01_因子設定!$L$6-0.000000001,D1474&lt;=01_因子設定!$M$6+0.000000001,IF(01_因子設定!$B$20="Box-Behnken",C1474^2+D1474^2&lt;=2+0.000000001,TRUE()))</f>
        <v>1</v>
      </c>
      <c r="Q1474" s="55" t="n">
        <f aca="false">IF(P1474,IF(01_因子設定!$B$13="最大化",N1474-01_因子設定!$B$14,IF(01_因子設定!$B$13="最小化",01_因子設定!$B$15-O1474,MIN(N1474-01_因子設定!$B$14,01_因子設定!$B$15-O1474))),-1E+030)</f>
        <v>1.13465630598678</v>
      </c>
      <c r="R1474" s="55" t="n">
        <f aca="false">IF(P1474,IF(01_因子設定!$B$13="最大化",K1474,IF(01_因子設定!$B$13="最小化",-K1474,-ABS(K1474-01_因子設定!$B$16))),-1E+030)</f>
        <v>49.1941810344827</v>
      </c>
      <c r="S1474" s="55" t="n">
        <f aca="false">Q1474+ROW()*0.000000001</f>
        <v>1.13465777998678</v>
      </c>
      <c r="T1474" s="55" t="n">
        <f aca="false">R1474+ROW()*0.000000001</f>
        <v>49.1941825084828</v>
      </c>
    </row>
    <row r="1475" customFormat="false" ht="15" hidden="false" customHeight="false" outlineLevel="0" collapsed="false">
      <c r="A1475" s="0" t="n">
        <v>35</v>
      </c>
      <c r="B1475" s="0" t="n">
        <v>35</v>
      </c>
      <c r="C1475" s="0" t="n">
        <f aca="false">-1+A1475*0.05</f>
        <v>0.75</v>
      </c>
      <c r="D1475" s="0" t="n">
        <f aca="false">-1+B1475*0.05</f>
        <v>0.75</v>
      </c>
      <c r="E1475" s="0" t="n">
        <f aca="false">1</f>
        <v>1</v>
      </c>
      <c r="F1475" s="0" t="n">
        <f aca="false">C1475</f>
        <v>0.75</v>
      </c>
      <c r="G1475" s="0" t="n">
        <f aca="false">D1475</f>
        <v>0.75</v>
      </c>
      <c r="H1475" s="0" t="n">
        <f aca="false">C1475*D1475</f>
        <v>0.5625</v>
      </c>
      <c r="I1475" s="0" t="n">
        <f aca="false">C1475*C1475</f>
        <v>0.5625</v>
      </c>
      <c r="J1475" s="0" t="n">
        <f aca="false">D1475*D1475</f>
        <v>0.5625</v>
      </c>
      <c r="K1475" s="0" t="n">
        <f aca="false">SUMPRODUCT(E1475:J1475,_XtX!$B$53:$G$53)</f>
        <v>49.2144935344828</v>
      </c>
      <c r="L1475" s="0" t="n">
        <f aca="false">SUMPRODUCT(MMULT(E1475:J1475,_XtX!$B$44:$G$49),E1475:J1475)</f>
        <v>0.348094019396552</v>
      </c>
      <c r="M1475" s="0" t="n">
        <f aca="false">04_回帰ANOVA!$K$19*04_回帰ANOVA!$K$14*SQRT(1+L1475)</f>
        <v>1.57339100619499</v>
      </c>
      <c r="N1475" s="0" t="n">
        <f aca="false">K1475-M1475</f>
        <v>47.6411025282878</v>
      </c>
      <c r="O1475" s="0" t="n">
        <f aca="false">K1475+M1475</f>
        <v>50.7878845406777</v>
      </c>
      <c r="P1475" s="54" t="b">
        <f aca="false">AND(C1475&gt;=01_因子設定!$L$5-0.000000001,C1475&lt;=01_因子設定!$M$5+0.000000001,D1475&gt;=01_因子設定!$L$6-0.000000001,D1475&lt;=01_因子設定!$M$6+0.000000001,IF(01_因子設定!$B$20="Box-Behnken",C1475^2+D1475^2&lt;=2+0.000000001,TRUE()))</f>
        <v>1</v>
      </c>
      <c r="Q1475" s="55" t="n">
        <f aca="false">IF(P1475,IF(01_因子設定!$B$13="最大化",N1475-01_因子設定!$B$14,IF(01_因子設定!$B$13="最小化",01_因子設定!$B$15-O1475,MIN(N1475-01_因子設定!$B$14,01_因子設定!$B$15-O1475))),-1E+030)</f>
        <v>1.14110252828776</v>
      </c>
      <c r="R1475" s="55" t="n">
        <f aca="false">IF(P1475,IF(01_因子設定!$B$13="最大化",K1475,IF(01_因子設定!$B$13="最小化",-K1475,-ABS(K1475-01_因子設定!$B$16))),-1E+030)</f>
        <v>49.2144935344828</v>
      </c>
      <c r="S1475" s="55" t="n">
        <f aca="false">Q1475+ROW()*0.000000001</f>
        <v>1.14110400328776</v>
      </c>
      <c r="T1475" s="55" t="n">
        <f aca="false">R1475+ROW()*0.000000001</f>
        <v>49.2144950094828</v>
      </c>
    </row>
    <row r="1476" customFormat="false" ht="15" hidden="false" customHeight="false" outlineLevel="0" collapsed="false">
      <c r="A1476" s="0" t="n">
        <v>35</v>
      </c>
      <c r="B1476" s="0" t="n">
        <v>36</v>
      </c>
      <c r="C1476" s="0" t="n">
        <f aca="false">-1+A1476*0.05</f>
        <v>0.75</v>
      </c>
      <c r="D1476" s="0" t="n">
        <f aca="false">-1+B1476*0.05</f>
        <v>0.8</v>
      </c>
      <c r="E1476" s="0" t="n">
        <f aca="false">1</f>
        <v>1</v>
      </c>
      <c r="F1476" s="0" t="n">
        <f aca="false">C1476</f>
        <v>0.75</v>
      </c>
      <c r="G1476" s="0" t="n">
        <f aca="false">D1476</f>
        <v>0.8</v>
      </c>
      <c r="H1476" s="0" t="n">
        <f aca="false">C1476*D1476</f>
        <v>0.6</v>
      </c>
      <c r="I1476" s="0" t="n">
        <f aca="false">C1476*C1476</f>
        <v>0.5625</v>
      </c>
      <c r="J1476" s="0" t="n">
        <f aca="false">D1476*D1476</f>
        <v>0.64</v>
      </c>
      <c r="K1476" s="0" t="n">
        <f aca="false">SUMPRODUCT(E1476:J1476,_XtX!$B$53:$G$53)</f>
        <v>49.2270905172414</v>
      </c>
      <c r="L1476" s="0" t="n">
        <f aca="false">SUMPRODUCT(MMULT(E1476:J1476,_XtX!$B$44:$G$49),E1476:J1476)</f>
        <v>0.377591343390805</v>
      </c>
      <c r="M1476" s="0" t="n">
        <f aca="false">04_回帰ANOVA!$K$19*04_回帰ANOVA!$K$14*SQRT(1+L1476)</f>
        <v>1.59051135820975</v>
      </c>
      <c r="N1476" s="0" t="n">
        <f aca="false">K1476-M1476</f>
        <v>47.6365791590316</v>
      </c>
      <c r="O1476" s="0" t="n">
        <f aca="false">K1476+M1476</f>
        <v>50.8176018754511</v>
      </c>
      <c r="P1476" s="54" t="b">
        <f aca="false">AND(C1476&gt;=01_因子設定!$L$5-0.000000001,C1476&lt;=01_因子設定!$M$5+0.000000001,D1476&gt;=01_因子設定!$L$6-0.000000001,D1476&lt;=01_因子設定!$M$6+0.000000001,IF(01_因子設定!$B$20="Box-Behnken",C1476^2+D1476^2&lt;=2+0.000000001,TRUE()))</f>
        <v>1</v>
      </c>
      <c r="Q1476" s="55" t="n">
        <f aca="false">IF(P1476,IF(01_因子設定!$B$13="最大化",N1476-01_因子設定!$B$14,IF(01_因子設定!$B$13="最小化",01_因子設定!$B$15-O1476,MIN(N1476-01_因子設定!$B$14,01_因子設定!$B$15-O1476))),-1E+030)</f>
        <v>1.13657915903161</v>
      </c>
      <c r="R1476" s="55" t="n">
        <f aca="false">IF(P1476,IF(01_因子設定!$B$13="最大化",K1476,IF(01_因子設定!$B$13="最小化",-K1476,-ABS(K1476-01_因子設定!$B$16))),-1E+030)</f>
        <v>49.2270905172414</v>
      </c>
      <c r="S1476" s="55" t="n">
        <f aca="false">Q1476+ROW()*0.000000001</f>
        <v>1.13658063503161</v>
      </c>
      <c r="T1476" s="55" t="n">
        <f aca="false">R1476+ROW()*0.000000001</f>
        <v>49.2270919932414</v>
      </c>
    </row>
    <row r="1477" customFormat="false" ht="15" hidden="false" customHeight="false" outlineLevel="0" collapsed="false">
      <c r="A1477" s="0" t="n">
        <v>35</v>
      </c>
      <c r="B1477" s="0" t="n">
        <v>37</v>
      </c>
      <c r="C1477" s="0" t="n">
        <f aca="false">-1+A1477*0.05</f>
        <v>0.75</v>
      </c>
      <c r="D1477" s="0" t="n">
        <f aca="false">-1+B1477*0.05</f>
        <v>0.85</v>
      </c>
      <c r="E1477" s="0" t="n">
        <f aca="false">1</f>
        <v>1</v>
      </c>
      <c r="F1477" s="0" t="n">
        <f aca="false">C1477</f>
        <v>0.75</v>
      </c>
      <c r="G1477" s="0" t="n">
        <f aca="false">D1477</f>
        <v>0.85</v>
      </c>
      <c r="H1477" s="0" t="n">
        <f aca="false">C1477*D1477</f>
        <v>0.6375</v>
      </c>
      <c r="I1477" s="0" t="n">
        <f aca="false">C1477*C1477</f>
        <v>0.5625</v>
      </c>
      <c r="J1477" s="0" t="n">
        <f aca="false">D1477*D1477</f>
        <v>0.7225</v>
      </c>
      <c r="K1477" s="0" t="n">
        <f aca="false">SUMPRODUCT(E1477:J1477,_XtX!$B$53:$G$53)</f>
        <v>49.2319719827586</v>
      </c>
      <c r="L1477" s="0" t="n">
        <f aca="false">SUMPRODUCT(MMULT(E1477:J1477,_XtX!$B$44:$G$49),E1477:J1477)</f>
        <v>0.413771030890805</v>
      </c>
      <c r="M1477" s="0" t="n">
        <f aca="false">04_回帰ANOVA!$K$19*04_回帰ANOVA!$K$14*SQRT(1+L1477)</f>
        <v>1.61126180232603</v>
      </c>
      <c r="N1477" s="0" t="n">
        <f aca="false">K1477-M1477</f>
        <v>47.6207101804326</v>
      </c>
      <c r="O1477" s="0" t="n">
        <f aca="false">K1477+M1477</f>
        <v>50.8432337850846</v>
      </c>
      <c r="P1477" s="54" t="b">
        <f aca="false">AND(C1477&gt;=01_因子設定!$L$5-0.000000001,C1477&lt;=01_因子設定!$M$5+0.000000001,D1477&gt;=01_因子設定!$L$6-0.000000001,D1477&lt;=01_因子設定!$M$6+0.000000001,IF(01_因子設定!$B$20="Box-Behnken",C1477^2+D1477^2&lt;=2+0.000000001,TRUE()))</f>
        <v>1</v>
      </c>
      <c r="Q1477" s="55" t="n">
        <f aca="false">IF(P1477,IF(01_因子設定!$B$13="最大化",N1477-01_因子設定!$B$14,IF(01_因子設定!$B$13="最小化",01_因子設定!$B$15-O1477,MIN(N1477-01_因子設定!$B$14,01_因子設定!$B$15-O1477))),-1E+030)</f>
        <v>1.12071018043258</v>
      </c>
      <c r="R1477" s="55" t="n">
        <f aca="false">IF(P1477,IF(01_因子設定!$B$13="最大化",K1477,IF(01_因子設定!$B$13="最小化",-K1477,-ABS(K1477-01_因子設定!$B$16))),-1E+030)</f>
        <v>49.2319719827586</v>
      </c>
      <c r="S1477" s="55" t="n">
        <f aca="false">Q1477+ROW()*0.000000001</f>
        <v>1.12071165743258</v>
      </c>
      <c r="T1477" s="55" t="n">
        <f aca="false">R1477+ROW()*0.000000001</f>
        <v>49.2319734597586</v>
      </c>
    </row>
    <row r="1478" customFormat="false" ht="15" hidden="false" customHeight="false" outlineLevel="0" collapsed="false">
      <c r="A1478" s="0" t="n">
        <v>35</v>
      </c>
      <c r="B1478" s="0" t="n">
        <v>38</v>
      </c>
      <c r="C1478" s="0" t="n">
        <f aca="false">-1+A1478*0.05</f>
        <v>0.75</v>
      </c>
      <c r="D1478" s="0" t="n">
        <f aca="false">-1+B1478*0.05</f>
        <v>0.9</v>
      </c>
      <c r="E1478" s="0" t="n">
        <f aca="false">1</f>
        <v>1</v>
      </c>
      <c r="F1478" s="0" t="n">
        <f aca="false">C1478</f>
        <v>0.75</v>
      </c>
      <c r="G1478" s="0" t="n">
        <f aca="false">D1478</f>
        <v>0.9</v>
      </c>
      <c r="H1478" s="0" t="n">
        <f aca="false">C1478*D1478</f>
        <v>0.675</v>
      </c>
      <c r="I1478" s="0" t="n">
        <f aca="false">C1478*C1478</f>
        <v>0.5625</v>
      </c>
      <c r="J1478" s="0" t="n">
        <f aca="false">D1478*D1478</f>
        <v>0.81</v>
      </c>
      <c r="K1478" s="0" t="n">
        <f aca="false">SUMPRODUCT(E1478:J1478,_XtX!$B$53:$G$53)</f>
        <v>49.2291379310345</v>
      </c>
      <c r="L1478" s="0" t="n">
        <f aca="false">SUMPRODUCT(MMULT(E1478:J1478,_XtX!$B$44:$G$49),E1478:J1478)</f>
        <v>0.457529202586207</v>
      </c>
      <c r="M1478" s="0" t="n">
        <f aca="false">04_回帰ANOVA!$K$19*04_回帰ANOVA!$K$14*SQRT(1+L1478)</f>
        <v>1.63600717784344</v>
      </c>
      <c r="N1478" s="0" t="n">
        <f aca="false">K1478-M1478</f>
        <v>47.593130753191</v>
      </c>
      <c r="O1478" s="0" t="n">
        <f aca="false">K1478+M1478</f>
        <v>50.8651451088779</v>
      </c>
      <c r="P1478" s="54" t="b">
        <f aca="false">AND(C1478&gt;=01_因子設定!$L$5-0.000000001,C1478&lt;=01_因子設定!$M$5+0.000000001,D1478&gt;=01_因子設定!$L$6-0.000000001,D1478&lt;=01_因子設定!$M$6+0.000000001,IF(01_因子設定!$B$20="Box-Behnken",C1478^2+D1478^2&lt;=2+0.000000001,TRUE()))</f>
        <v>1</v>
      </c>
      <c r="Q1478" s="55" t="n">
        <f aca="false">IF(P1478,IF(01_因子設定!$B$13="最大化",N1478-01_因子設定!$B$14,IF(01_因子設定!$B$13="最小化",01_因子設定!$B$15-O1478,MIN(N1478-01_因子設定!$B$14,01_因子設定!$B$15-O1478))),-1E+030)</f>
        <v>1.09313075319103</v>
      </c>
      <c r="R1478" s="55" t="n">
        <f aca="false">IF(P1478,IF(01_因子設定!$B$13="最大化",K1478,IF(01_因子設定!$B$13="最小化",-K1478,-ABS(K1478-01_因子設定!$B$16))),-1E+030)</f>
        <v>49.2291379310345</v>
      </c>
      <c r="S1478" s="55" t="n">
        <f aca="false">Q1478+ROW()*0.000000001</f>
        <v>1.09313223119103</v>
      </c>
      <c r="T1478" s="55" t="n">
        <f aca="false">R1478+ROW()*0.000000001</f>
        <v>49.2291394090345</v>
      </c>
    </row>
    <row r="1479" customFormat="false" ht="15" hidden="false" customHeight="false" outlineLevel="0" collapsed="false">
      <c r="A1479" s="0" t="n">
        <v>35</v>
      </c>
      <c r="B1479" s="0" t="n">
        <v>39</v>
      </c>
      <c r="C1479" s="0" t="n">
        <f aca="false">-1+A1479*0.05</f>
        <v>0.75</v>
      </c>
      <c r="D1479" s="0" t="n">
        <f aca="false">-1+B1479*0.05</f>
        <v>0.95</v>
      </c>
      <c r="E1479" s="0" t="n">
        <f aca="false">1</f>
        <v>1</v>
      </c>
      <c r="F1479" s="0" t="n">
        <f aca="false">C1479</f>
        <v>0.75</v>
      </c>
      <c r="G1479" s="0" t="n">
        <f aca="false">D1479</f>
        <v>0.95</v>
      </c>
      <c r="H1479" s="0" t="n">
        <f aca="false">C1479*D1479</f>
        <v>0.7125</v>
      </c>
      <c r="I1479" s="0" t="n">
        <f aca="false">C1479*C1479</f>
        <v>0.5625</v>
      </c>
      <c r="J1479" s="0" t="n">
        <f aca="false">D1479*D1479</f>
        <v>0.9025</v>
      </c>
      <c r="K1479" s="0" t="n">
        <f aca="false">SUMPRODUCT(E1479:J1479,_XtX!$B$53:$G$53)</f>
        <v>49.218588362069</v>
      </c>
      <c r="L1479" s="0" t="n">
        <f aca="false">SUMPRODUCT(MMULT(E1479:J1479,_XtX!$B$44:$G$49),E1479:J1479)</f>
        <v>0.509816289511494</v>
      </c>
      <c r="M1479" s="0" t="n">
        <f aca="false">04_回帰ANOVA!$K$19*04_回帰ANOVA!$K$14*SQRT(1+L1479)</f>
        <v>1.66509350076304</v>
      </c>
      <c r="N1479" s="0" t="n">
        <f aca="false">K1479-M1479</f>
        <v>47.5534948613059</v>
      </c>
      <c r="O1479" s="0" t="n">
        <f aca="false">K1479+M1479</f>
        <v>50.883681862832</v>
      </c>
      <c r="P1479" s="54" t="b">
        <f aca="false">AND(C1479&gt;=01_因子設定!$L$5-0.000000001,C1479&lt;=01_因子設定!$M$5+0.000000001,D1479&gt;=01_因子設定!$L$6-0.000000001,D1479&lt;=01_因子設定!$M$6+0.000000001,IF(01_因子設定!$B$20="Box-Behnken",C1479^2+D1479^2&lt;=2+0.000000001,TRUE()))</f>
        <v>1</v>
      </c>
      <c r="Q1479" s="55" t="n">
        <f aca="false">IF(P1479,IF(01_因子設定!$B$13="最大化",N1479-01_因子設定!$B$14,IF(01_因子設定!$B$13="最小化",01_因子設定!$B$15-O1479,MIN(N1479-01_因子設定!$B$14,01_因子設定!$B$15-O1479))),-1E+030)</f>
        <v>1.05349486130591</v>
      </c>
      <c r="R1479" s="55" t="n">
        <f aca="false">IF(P1479,IF(01_因子設定!$B$13="最大化",K1479,IF(01_因子設定!$B$13="最小化",-K1479,-ABS(K1479-01_因子設定!$B$16))),-1E+030)</f>
        <v>49.218588362069</v>
      </c>
      <c r="S1479" s="55" t="n">
        <f aca="false">Q1479+ROW()*0.000000001</f>
        <v>1.05349634030591</v>
      </c>
      <c r="T1479" s="55" t="n">
        <f aca="false">R1479+ROW()*0.000000001</f>
        <v>49.218589841069</v>
      </c>
    </row>
    <row r="1480" customFormat="false" ht="15" hidden="false" customHeight="false" outlineLevel="0" collapsed="false">
      <c r="A1480" s="0" t="n">
        <v>35</v>
      </c>
      <c r="B1480" s="0" t="n">
        <v>40</v>
      </c>
      <c r="C1480" s="0" t="n">
        <f aca="false">-1+A1480*0.05</f>
        <v>0.75</v>
      </c>
      <c r="D1480" s="0" t="n">
        <f aca="false">-1+B1480*0.05</f>
        <v>1</v>
      </c>
      <c r="E1480" s="0" t="n">
        <f aca="false">1</f>
        <v>1</v>
      </c>
      <c r="F1480" s="0" t="n">
        <f aca="false">C1480</f>
        <v>0.75</v>
      </c>
      <c r="G1480" s="0" t="n">
        <f aca="false">D1480</f>
        <v>1</v>
      </c>
      <c r="H1480" s="0" t="n">
        <f aca="false">C1480*D1480</f>
        <v>0.75</v>
      </c>
      <c r="I1480" s="0" t="n">
        <f aca="false">C1480*C1480</f>
        <v>0.5625</v>
      </c>
      <c r="J1480" s="0" t="n">
        <f aca="false">D1480*D1480</f>
        <v>1</v>
      </c>
      <c r="K1480" s="0" t="n">
        <f aca="false">SUMPRODUCT(E1480:J1480,_XtX!$B$53:$G$53)</f>
        <v>49.2003232758621</v>
      </c>
      <c r="L1480" s="0" t="n">
        <f aca="false">SUMPRODUCT(MMULT(E1480:J1480,_XtX!$B$44:$G$49),E1480:J1480)</f>
        <v>0.571637033045977</v>
      </c>
      <c r="M1480" s="0" t="n">
        <f aca="false">04_回帰ANOVA!$K$19*04_回帰ANOVA!$K$14*SQRT(1+L1480)</f>
        <v>1.69884086471256</v>
      </c>
      <c r="N1480" s="0" t="n">
        <f aca="false">K1480-M1480</f>
        <v>47.5014824111495</v>
      </c>
      <c r="O1480" s="0" t="n">
        <f aca="false">K1480+M1480</f>
        <v>50.8991641405746</v>
      </c>
      <c r="P1480" s="54" t="b">
        <f aca="false">AND(C1480&gt;=01_因子設定!$L$5-0.000000001,C1480&lt;=01_因子設定!$M$5+0.000000001,D1480&gt;=01_因子設定!$L$6-0.000000001,D1480&lt;=01_因子設定!$M$6+0.000000001,IF(01_因子設定!$B$20="Box-Behnken",C1480^2+D1480^2&lt;=2+0.000000001,TRUE()))</f>
        <v>1</v>
      </c>
      <c r="Q1480" s="55" t="n">
        <f aca="false">IF(P1480,IF(01_因子設定!$B$13="最大化",N1480-01_因子設定!$B$14,IF(01_因子設定!$B$13="最小化",01_因子設定!$B$15-O1480,MIN(N1480-01_因子設定!$B$14,01_因子設定!$B$15-O1480))),-1E+030)</f>
        <v>1.0014824111495</v>
      </c>
      <c r="R1480" s="55" t="n">
        <f aca="false">IF(P1480,IF(01_因子設定!$B$13="最大化",K1480,IF(01_因子設定!$B$13="最小化",-K1480,-ABS(K1480-01_因子設定!$B$16))),-1E+030)</f>
        <v>49.2003232758621</v>
      </c>
      <c r="S1480" s="55" t="n">
        <f aca="false">Q1480+ROW()*0.000000001</f>
        <v>1.0014838911495</v>
      </c>
      <c r="T1480" s="55" t="n">
        <f aca="false">R1480+ROW()*0.000000001</f>
        <v>49.2003247558621</v>
      </c>
    </row>
    <row r="1481" customFormat="false" ht="15" hidden="false" customHeight="false" outlineLevel="0" collapsed="false">
      <c r="A1481" s="0" t="n">
        <v>36</v>
      </c>
      <c r="B1481" s="0" t="n">
        <v>0</v>
      </c>
      <c r="C1481" s="0" t="n">
        <f aca="false">-1+A1481*0.05</f>
        <v>0.8</v>
      </c>
      <c r="D1481" s="0" t="n">
        <f aca="false">-1+B1481*0.05</f>
        <v>-1</v>
      </c>
      <c r="E1481" s="0" t="n">
        <f aca="false">1</f>
        <v>1</v>
      </c>
      <c r="F1481" s="0" t="n">
        <f aca="false">C1481</f>
        <v>0.8</v>
      </c>
      <c r="G1481" s="0" t="n">
        <f aca="false">D1481</f>
        <v>-1</v>
      </c>
      <c r="H1481" s="0" t="n">
        <f aca="false">C1481*D1481</f>
        <v>-0.8</v>
      </c>
      <c r="I1481" s="0" t="n">
        <f aca="false">C1481*C1481</f>
        <v>0.64</v>
      </c>
      <c r="J1481" s="0" t="n">
        <f aca="false">D1481*D1481</f>
        <v>1</v>
      </c>
      <c r="K1481" s="0" t="n">
        <f aca="false">SUMPRODUCT(E1481:J1481,_XtX!$B$53:$G$53)</f>
        <v>43.779816091954</v>
      </c>
      <c r="L1481" s="0" t="n">
        <f aca="false">SUMPRODUCT(MMULT(E1481:J1481,_XtX!$B$44:$G$49),E1481:J1481)</f>
        <v>0.600257471264368</v>
      </c>
      <c r="M1481" s="0" t="n">
        <f aca="false">04_回帰ANOVA!$K$19*04_回帰ANOVA!$K$14*SQRT(1+L1481)</f>
        <v>1.71423952387759</v>
      </c>
      <c r="N1481" s="0" t="n">
        <f aca="false">K1481-M1481</f>
        <v>42.0655765680764</v>
      </c>
      <c r="O1481" s="0" t="n">
        <f aca="false">K1481+M1481</f>
        <v>45.4940556158316</v>
      </c>
      <c r="P1481" s="54" t="b">
        <f aca="false">AND(C1481&gt;=01_因子設定!$L$5-0.000000001,C1481&lt;=01_因子設定!$M$5+0.000000001,D1481&gt;=01_因子設定!$L$6-0.000000001,D1481&lt;=01_因子設定!$M$6+0.000000001,IF(01_因子設定!$B$20="Box-Behnken",C1481^2+D1481^2&lt;=2+0.000000001,TRUE()))</f>
        <v>1</v>
      </c>
      <c r="Q1481" s="55" t="n">
        <f aca="false">IF(P1481,IF(01_因子設定!$B$13="最大化",N1481-01_因子設定!$B$14,IF(01_因子設定!$B$13="最小化",01_因子設定!$B$15-O1481,MIN(N1481-01_因子設定!$B$14,01_因子設定!$B$15-O1481))),-1E+030)</f>
        <v>-4.43442343192357</v>
      </c>
      <c r="R1481" s="55" t="n">
        <f aca="false">IF(P1481,IF(01_因子設定!$B$13="最大化",K1481,IF(01_因子設定!$B$13="最小化",-K1481,-ABS(K1481-01_因子設定!$B$16))),-1E+030)</f>
        <v>43.779816091954</v>
      </c>
      <c r="S1481" s="55" t="n">
        <f aca="false">Q1481+ROW()*0.000000001</f>
        <v>-4.43442195092357</v>
      </c>
      <c r="T1481" s="55" t="n">
        <f aca="false">R1481+ROW()*0.000000001</f>
        <v>43.779817572954</v>
      </c>
    </row>
    <row r="1482" customFormat="false" ht="15" hidden="false" customHeight="false" outlineLevel="0" collapsed="false">
      <c r="A1482" s="0" t="n">
        <v>36</v>
      </c>
      <c r="B1482" s="0" t="n">
        <v>1</v>
      </c>
      <c r="C1482" s="0" t="n">
        <f aca="false">-1+A1482*0.05</f>
        <v>0.8</v>
      </c>
      <c r="D1482" s="0" t="n">
        <f aca="false">-1+B1482*0.05</f>
        <v>-0.95</v>
      </c>
      <c r="E1482" s="0" t="n">
        <f aca="false">1</f>
        <v>1</v>
      </c>
      <c r="F1482" s="0" t="n">
        <f aca="false">C1482</f>
        <v>0.8</v>
      </c>
      <c r="G1482" s="0" t="n">
        <f aca="false">D1482</f>
        <v>-0.95</v>
      </c>
      <c r="H1482" s="0" t="n">
        <f aca="false">C1482*D1482</f>
        <v>-0.76</v>
      </c>
      <c r="I1482" s="0" t="n">
        <f aca="false">C1482*C1482</f>
        <v>0.64</v>
      </c>
      <c r="J1482" s="0" t="n">
        <f aca="false">D1482*D1482</f>
        <v>0.9025</v>
      </c>
      <c r="K1482" s="0" t="n">
        <f aca="false">SUMPRODUCT(E1482:J1482,_XtX!$B$53:$G$53)</f>
        <v>44.0637686781609</v>
      </c>
      <c r="L1482" s="0" t="n">
        <f aca="false">SUMPRODUCT(MMULT(E1482:J1482,_XtX!$B$44:$G$49),E1482:J1482)</f>
        <v>0.538632147988506</v>
      </c>
      <c r="M1482" s="0" t="n">
        <f aca="false">04_回帰ANOVA!$K$19*04_回帰ANOVA!$K$14*SQRT(1+L1482)</f>
        <v>1.68090811348192</v>
      </c>
      <c r="N1482" s="0" t="n">
        <f aca="false">K1482-M1482</f>
        <v>42.382860564679</v>
      </c>
      <c r="O1482" s="0" t="n">
        <f aca="false">K1482+M1482</f>
        <v>45.7446767916428</v>
      </c>
      <c r="P1482" s="54" t="b">
        <f aca="false">AND(C1482&gt;=01_因子設定!$L$5-0.000000001,C1482&lt;=01_因子設定!$M$5+0.000000001,D1482&gt;=01_因子設定!$L$6-0.000000001,D1482&lt;=01_因子設定!$M$6+0.000000001,IF(01_因子設定!$B$20="Box-Behnken",C1482^2+D1482^2&lt;=2+0.000000001,TRUE()))</f>
        <v>1</v>
      </c>
      <c r="Q1482" s="55" t="n">
        <f aca="false">IF(P1482,IF(01_因子設定!$B$13="最大化",N1482-01_因子設定!$B$14,IF(01_因子設定!$B$13="最小化",01_因子設定!$B$15-O1482,MIN(N1482-01_因子設定!$B$14,01_因子設定!$B$15-O1482))),-1E+030)</f>
        <v>-4.11713943532101</v>
      </c>
      <c r="R1482" s="55" t="n">
        <f aca="false">IF(P1482,IF(01_因子設定!$B$13="最大化",K1482,IF(01_因子設定!$B$13="最小化",-K1482,-ABS(K1482-01_因子設定!$B$16))),-1E+030)</f>
        <v>44.0637686781609</v>
      </c>
      <c r="S1482" s="55" t="n">
        <f aca="false">Q1482+ROW()*0.000000001</f>
        <v>-4.11713795332101</v>
      </c>
      <c r="T1482" s="55" t="n">
        <f aca="false">R1482+ROW()*0.000000001</f>
        <v>44.0637701601609</v>
      </c>
    </row>
    <row r="1483" customFormat="false" ht="15" hidden="false" customHeight="false" outlineLevel="0" collapsed="false">
      <c r="A1483" s="0" t="n">
        <v>36</v>
      </c>
      <c r="B1483" s="0" t="n">
        <v>2</v>
      </c>
      <c r="C1483" s="0" t="n">
        <f aca="false">-1+A1483*0.05</f>
        <v>0.8</v>
      </c>
      <c r="D1483" s="0" t="n">
        <f aca="false">-1+B1483*0.05</f>
        <v>-0.9</v>
      </c>
      <c r="E1483" s="0" t="n">
        <f aca="false">1</f>
        <v>1</v>
      </c>
      <c r="F1483" s="0" t="n">
        <f aca="false">C1483</f>
        <v>0.8</v>
      </c>
      <c r="G1483" s="0" t="n">
        <f aca="false">D1483</f>
        <v>-0.9</v>
      </c>
      <c r="H1483" s="0" t="n">
        <f aca="false">C1483*D1483</f>
        <v>-0.72</v>
      </c>
      <c r="I1483" s="0" t="n">
        <f aca="false">C1483*C1483</f>
        <v>0.64</v>
      </c>
      <c r="J1483" s="0" t="n">
        <f aca="false">D1483*D1483</f>
        <v>0.81</v>
      </c>
      <c r="K1483" s="0" t="n">
        <f aca="false">SUMPRODUCT(E1483:J1483,_XtX!$B$53:$G$53)</f>
        <v>44.3400057471264</v>
      </c>
      <c r="L1483" s="0" t="n">
        <f aca="false">SUMPRODUCT(MMULT(E1483:J1483,_XtX!$B$44:$G$49),E1483:J1483)</f>
        <v>0.486530459770115</v>
      </c>
      <c r="M1483" s="0" t="n">
        <f aca="false">04_回帰ANOVA!$K$19*04_回帰ANOVA!$K$14*SQRT(1+L1483)</f>
        <v>1.65220327464334</v>
      </c>
      <c r="N1483" s="0" t="n">
        <f aca="false">K1483-M1483</f>
        <v>42.6878024724831</v>
      </c>
      <c r="O1483" s="0" t="n">
        <f aca="false">K1483+M1483</f>
        <v>45.9922090217698</v>
      </c>
      <c r="P1483" s="54" t="b">
        <f aca="false">AND(C1483&gt;=01_因子設定!$L$5-0.000000001,C1483&lt;=01_因子設定!$M$5+0.000000001,D1483&gt;=01_因子設定!$L$6-0.000000001,D1483&lt;=01_因子設定!$M$6+0.000000001,IF(01_因子設定!$B$20="Box-Behnken",C1483^2+D1483^2&lt;=2+0.000000001,TRUE()))</f>
        <v>1</v>
      </c>
      <c r="Q1483" s="55" t="n">
        <f aca="false">IF(P1483,IF(01_因子設定!$B$13="最大化",N1483-01_因子設定!$B$14,IF(01_因子設定!$B$13="最小化",01_因子設定!$B$15-O1483,MIN(N1483-01_因子設定!$B$14,01_因子設定!$B$15-O1483))),-1E+030)</f>
        <v>-3.81219752751691</v>
      </c>
      <c r="R1483" s="55" t="n">
        <f aca="false">IF(P1483,IF(01_因子設定!$B$13="最大化",K1483,IF(01_因子設定!$B$13="最小化",-K1483,-ABS(K1483-01_因子設定!$B$16))),-1E+030)</f>
        <v>44.3400057471264</v>
      </c>
      <c r="S1483" s="55" t="n">
        <f aca="false">Q1483+ROW()*0.000000001</f>
        <v>-3.81219604451691</v>
      </c>
      <c r="T1483" s="55" t="n">
        <f aca="false">R1483+ROW()*0.000000001</f>
        <v>44.3400072301264</v>
      </c>
    </row>
    <row r="1484" customFormat="false" ht="15" hidden="false" customHeight="false" outlineLevel="0" collapsed="false">
      <c r="A1484" s="0" t="n">
        <v>36</v>
      </c>
      <c r="B1484" s="0" t="n">
        <v>3</v>
      </c>
      <c r="C1484" s="0" t="n">
        <f aca="false">-1+A1484*0.05</f>
        <v>0.8</v>
      </c>
      <c r="D1484" s="0" t="n">
        <f aca="false">-1+B1484*0.05</f>
        <v>-0.85</v>
      </c>
      <c r="E1484" s="0" t="n">
        <f aca="false">1</f>
        <v>1</v>
      </c>
      <c r="F1484" s="0" t="n">
        <f aca="false">C1484</f>
        <v>0.8</v>
      </c>
      <c r="G1484" s="0" t="n">
        <f aca="false">D1484</f>
        <v>-0.85</v>
      </c>
      <c r="H1484" s="0" t="n">
        <f aca="false">C1484*D1484</f>
        <v>-0.68</v>
      </c>
      <c r="I1484" s="0" t="n">
        <f aca="false">C1484*C1484</f>
        <v>0.64</v>
      </c>
      <c r="J1484" s="0" t="n">
        <f aca="false">D1484*D1484</f>
        <v>0.7225</v>
      </c>
      <c r="K1484" s="0" t="n">
        <f aca="false">SUMPRODUCT(E1484:J1484,_XtX!$B$53:$G$53)</f>
        <v>44.6085272988506</v>
      </c>
      <c r="L1484" s="0" t="n">
        <f aca="false">SUMPRODUCT(MMULT(E1484:J1484,_XtX!$B$44:$G$49),E1484:J1484)</f>
        <v>0.442947665229885</v>
      </c>
      <c r="M1484" s="0" t="n">
        <f aca="false">04_回帰ANOVA!$K$19*04_回帰ANOVA!$K$14*SQRT(1+L1484)</f>
        <v>1.62780306626577</v>
      </c>
      <c r="N1484" s="0" t="n">
        <f aca="false">K1484-M1484</f>
        <v>42.9807242325848</v>
      </c>
      <c r="O1484" s="0" t="n">
        <f aca="false">K1484+M1484</f>
        <v>46.2363303651163</v>
      </c>
      <c r="P1484" s="54" t="b">
        <f aca="false">AND(C1484&gt;=01_因子設定!$L$5-0.000000001,C1484&lt;=01_因子設定!$M$5+0.000000001,D1484&gt;=01_因子設定!$L$6-0.000000001,D1484&lt;=01_因子設定!$M$6+0.000000001,IF(01_因子設定!$B$20="Box-Behnken",C1484^2+D1484^2&lt;=2+0.000000001,TRUE()))</f>
        <v>1</v>
      </c>
      <c r="Q1484" s="55" t="n">
        <f aca="false">IF(P1484,IF(01_因子設定!$B$13="最大化",N1484-01_因子設定!$B$14,IF(01_因子設定!$B$13="最小化",01_因子設定!$B$15-O1484,MIN(N1484-01_因子設定!$B$14,01_因子設定!$B$15-O1484))),-1E+030)</f>
        <v>-3.51927576741521</v>
      </c>
      <c r="R1484" s="55" t="n">
        <f aca="false">IF(P1484,IF(01_因子設定!$B$13="最大化",K1484,IF(01_因子設定!$B$13="最小化",-K1484,-ABS(K1484-01_因子設定!$B$16))),-1E+030)</f>
        <v>44.6085272988506</v>
      </c>
      <c r="S1484" s="55" t="n">
        <f aca="false">Q1484+ROW()*0.000000001</f>
        <v>-3.51927428341521</v>
      </c>
      <c r="T1484" s="55" t="n">
        <f aca="false">R1484+ROW()*0.000000001</f>
        <v>44.6085287828506</v>
      </c>
    </row>
    <row r="1485" customFormat="false" ht="15" hidden="false" customHeight="false" outlineLevel="0" collapsed="false">
      <c r="A1485" s="0" t="n">
        <v>36</v>
      </c>
      <c r="B1485" s="0" t="n">
        <v>4</v>
      </c>
      <c r="C1485" s="0" t="n">
        <f aca="false">-1+A1485*0.05</f>
        <v>0.8</v>
      </c>
      <c r="D1485" s="0" t="n">
        <f aca="false">-1+B1485*0.05</f>
        <v>-0.8</v>
      </c>
      <c r="E1485" s="0" t="n">
        <f aca="false">1</f>
        <v>1</v>
      </c>
      <c r="F1485" s="0" t="n">
        <f aca="false">C1485</f>
        <v>0.8</v>
      </c>
      <c r="G1485" s="0" t="n">
        <f aca="false">D1485</f>
        <v>-0.8</v>
      </c>
      <c r="H1485" s="0" t="n">
        <f aca="false">C1485*D1485</f>
        <v>-0.64</v>
      </c>
      <c r="I1485" s="0" t="n">
        <f aca="false">C1485*C1485</f>
        <v>0.64</v>
      </c>
      <c r="J1485" s="0" t="n">
        <f aca="false">D1485*D1485</f>
        <v>0.64</v>
      </c>
      <c r="K1485" s="0" t="n">
        <f aca="false">SUMPRODUCT(E1485:J1485,_XtX!$B$53:$G$53)</f>
        <v>44.8693333333333</v>
      </c>
      <c r="L1485" s="0" t="n">
        <f aca="false">SUMPRODUCT(MMULT(E1485:J1485,_XtX!$B$44:$G$49),E1485:J1485)</f>
        <v>0.406933333333333</v>
      </c>
      <c r="M1485" s="0" t="n">
        <f aca="false">04_回帰ANOVA!$K$19*04_回帰ANOVA!$K$14*SQRT(1+L1485)</f>
        <v>1.60736064921584</v>
      </c>
      <c r="N1485" s="0" t="n">
        <f aca="false">K1485-M1485</f>
        <v>43.2619726841175</v>
      </c>
      <c r="O1485" s="0" t="n">
        <f aca="false">K1485+M1485</f>
        <v>46.4766939825492</v>
      </c>
      <c r="P1485" s="54" t="b">
        <f aca="false">AND(C1485&gt;=01_因子設定!$L$5-0.000000001,C1485&lt;=01_因子設定!$M$5+0.000000001,D1485&gt;=01_因子設定!$L$6-0.000000001,D1485&lt;=01_因子設定!$M$6+0.000000001,IF(01_因子設定!$B$20="Box-Behnken",C1485^2+D1485^2&lt;=2+0.000000001,TRUE()))</f>
        <v>1</v>
      </c>
      <c r="Q1485" s="55" t="n">
        <f aca="false">IF(P1485,IF(01_因子設定!$B$13="最大化",N1485-01_因子設定!$B$14,IF(01_因子設定!$B$13="最小化",01_因子設定!$B$15-O1485,MIN(N1485-01_因子設定!$B$14,01_因子設定!$B$15-O1485))),-1E+030)</f>
        <v>-3.23802731588252</v>
      </c>
      <c r="R1485" s="55" t="n">
        <f aca="false">IF(P1485,IF(01_因子設定!$B$13="最大化",K1485,IF(01_因子設定!$B$13="最小化",-K1485,-ABS(K1485-01_因子設定!$B$16))),-1E+030)</f>
        <v>44.8693333333333</v>
      </c>
      <c r="S1485" s="55" t="n">
        <f aca="false">Q1485+ROW()*0.000000001</f>
        <v>-3.23802583088252</v>
      </c>
      <c r="T1485" s="55" t="n">
        <f aca="false">R1485+ROW()*0.000000001</f>
        <v>44.8693348183333</v>
      </c>
    </row>
    <row r="1486" customFormat="false" ht="15" hidden="false" customHeight="false" outlineLevel="0" collapsed="false">
      <c r="A1486" s="0" t="n">
        <v>36</v>
      </c>
      <c r="B1486" s="0" t="n">
        <v>5</v>
      </c>
      <c r="C1486" s="0" t="n">
        <f aca="false">-1+A1486*0.05</f>
        <v>0.8</v>
      </c>
      <c r="D1486" s="0" t="n">
        <f aca="false">-1+B1486*0.05</f>
        <v>-0.75</v>
      </c>
      <c r="E1486" s="0" t="n">
        <f aca="false">1</f>
        <v>1</v>
      </c>
      <c r="F1486" s="0" t="n">
        <f aca="false">C1486</f>
        <v>0.8</v>
      </c>
      <c r="G1486" s="0" t="n">
        <f aca="false">D1486</f>
        <v>-0.75</v>
      </c>
      <c r="H1486" s="0" t="n">
        <f aca="false">C1486*D1486</f>
        <v>-0.6</v>
      </c>
      <c r="I1486" s="0" t="n">
        <f aca="false">C1486*C1486</f>
        <v>0.64</v>
      </c>
      <c r="J1486" s="0" t="n">
        <f aca="false">D1486*D1486</f>
        <v>0.5625</v>
      </c>
      <c r="K1486" s="0" t="n">
        <f aca="false">SUMPRODUCT(E1486:J1486,_XtX!$B$53:$G$53)</f>
        <v>45.1224238505747</v>
      </c>
      <c r="L1486" s="0" t="n">
        <f aca="false">SUMPRODUCT(MMULT(E1486:J1486,_XtX!$B$44:$G$49),E1486:J1486)</f>
        <v>0.377591343390805</v>
      </c>
      <c r="M1486" s="0" t="n">
        <f aca="false">04_回帰ANOVA!$K$19*04_回帰ANOVA!$K$14*SQRT(1+L1486)</f>
        <v>1.59051135820975</v>
      </c>
      <c r="N1486" s="0" t="n">
        <f aca="false">K1486-M1486</f>
        <v>43.531912492365</v>
      </c>
      <c r="O1486" s="0" t="n">
        <f aca="false">K1486+M1486</f>
        <v>46.7129352087845</v>
      </c>
      <c r="P1486" s="54" t="b">
        <f aca="false">AND(C1486&gt;=01_因子設定!$L$5-0.000000001,C1486&lt;=01_因子設定!$M$5+0.000000001,D1486&gt;=01_因子設定!$L$6-0.000000001,D1486&lt;=01_因子設定!$M$6+0.000000001,IF(01_因子設定!$B$20="Box-Behnken",C1486^2+D1486^2&lt;=2+0.000000001,TRUE()))</f>
        <v>1</v>
      </c>
      <c r="Q1486" s="55" t="n">
        <f aca="false">IF(P1486,IF(01_因子設定!$B$13="最大化",N1486-01_因子設定!$B$14,IF(01_因子設定!$B$13="最小化",01_因子設定!$B$15-O1486,MIN(N1486-01_因子設定!$B$14,01_因子設定!$B$15-O1486))),-1E+030)</f>
        <v>-2.96808750763505</v>
      </c>
      <c r="R1486" s="55" t="n">
        <f aca="false">IF(P1486,IF(01_因子設定!$B$13="最大化",K1486,IF(01_因子設定!$B$13="最小化",-K1486,-ABS(K1486-01_因子設定!$B$16))),-1E+030)</f>
        <v>45.1224238505747</v>
      </c>
      <c r="S1486" s="55" t="n">
        <f aca="false">Q1486+ROW()*0.000000001</f>
        <v>-2.96808602163505</v>
      </c>
      <c r="T1486" s="55" t="n">
        <f aca="false">R1486+ROW()*0.000000001</f>
        <v>45.1224253365747</v>
      </c>
    </row>
    <row r="1487" customFormat="false" ht="15" hidden="false" customHeight="false" outlineLevel="0" collapsed="false">
      <c r="A1487" s="0" t="n">
        <v>36</v>
      </c>
      <c r="B1487" s="0" t="n">
        <v>6</v>
      </c>
      <c r="C1487" s="0" t="n">
        <f aca="false">-1+A1487*0.05</f>
        <v>0.8</v>
      </c>
      <c r="D1487" s="0" t="n">
        <f aca="false">-1+B1487*0.05</f>
        <v>-0.7</v>
      </c>
      <c r="E1487" s="0" t="n">
        <f aca="false">1</f>
        <v>1</v>
      </c>
      <c r="F1487" s="0" t="n">
        <f aca="false">C1487</f>
        <v>0.8</v>
      </c>
      <c r="G1487" s="0" t="n">
        <f aca="false">D1487</f>
        <v>-0.7</v>
      </c>
      <c r="H1487" s="0" t="n">
        <f aca="false">C1487*D1487</f>
        <v>-0.56</v>
      </c>
      <c r="I1487" s="0" t="n">
        <f aca="false">C1487*C1487</f>
        <v>0.64</v>
      </c>
      <c r="J1487" s="0" t="n">
        <f aca="false">D1487*D1487</f>
        <v>0.49</v>
      </c>
      <c r="K1487" s="0" t="n">
        <f aca="false">SUMPRODUCT(E1487:J1487,_XtX!$B$53:$G$53)</f>
        <v>45.3677988505747</v>
      </c>
      <c r="L1487" s="0" t="n">
        <f aca="false">SUMPRODUCT(MMULT(E1487:J1487,_XtX!$B$44:$G$49),E1487:J1487)</f>
        <v>0.354079885057471</v>
      </c>
      <c r="M1487" s="0" t="n">
        <f aca="false">04_回帰ANOVA!$K$19*04_回帰ANOVA!$K$14*SQRT(1+L1487)</f>
        <v>1.57688025677174</v>
      </c>
      <c r="N1487" s="0" t="n">
        <f aca="false">K1487-M1487</f>
        <v>43.790918593803</v>
      </c>
      <c r="O1487" s="0" t="n">
        <f aca="false">K1487+M1487</f>
        <v>46.9446791073464</v>
      </c>
      <c r="P1487" s="54" t="b">
        <f aca="false">AND(C1487&gt;=01_因子設定!$L$5-0.000000001,C1487&lt;=01_因子設定!$M$5+0.000000001,D1487&gt;=01_因子設定!$L$6-0.000000001,D1487&lt;=01_因子設定!$M$6+0.000000001,IF(01_因子設定!$B$20="Box-Behnken",C1487^2+D1487^2&lt;=2+0.000000001,TRUE()))</f>
        <v>1</v>
      </c>
      <c r="Q1487" s="55" t="n">
        <f aca="false">IF(P1487,IF(01_因子設定!$B$13="最大化",N1487-01_因子設定!$B$14,IF(01_因子設定!$B$13="最小化",01_因子設定!$B$15-O1487,MIN(N1487-01_因子設定!$B$14,01_因子設定!$B$15-O1487))),-1E+030)</f>
        <v>-2.70908140619704</v>
      </c>
      <c r="R1487" s="55" t="n">
        <f aca="false">IF(P1487,IF(01_因子設定!$B$13="最大化",K1487,IF(01_因子設定!$B$13="最小化",-K1487,-ABS(K1487-01_因子設定!$B$16))),-1E+030)</f>
        <v>45.3677988505747</v>
      </c>
      <c r="S1487" s="55" t="n">
        <f aca="false">Q1487+ROW()*0.000000001</f>
        <v>-2.70907991919704</v>
      </c>
      <c r="T1487" s="55" t="n">
        <f aca="false">R1487+ROW()*0.000000001</f>
        <v>45.3678003375747</v>
      </c>
    </row>
    <row r="1488" customFormat="false" ht="15" hidden="false" customHeight="false" outlineLevel="0" collapsed="false">
      <c r="A1488" s="0" t="n">
        <v>36</v>
      </c>
      <c r="B1488" s="0" t="n">
        <v>7</v>
      </c>
      <c r="C1488" s="0" t="n">
        <f aca="false">-1+A1488*0.05</f>
        <v>0.8</v>
      </c>
      <c r="D1488" s="0" t="n">
        <f aca="false">-1+B1488*0.05</f>
        <v>-0.65</v>
      </c>
      <c r="E1488" s="0" t="n">
        <f aca="false">1</f>
        <v>1</v>
      </c>
      <c r="F1488" s="0" t="n">
        <f aca="false">C1488</f>
        <v>0.8</v>
      </c>
      <c r="G1488" s="0" t="n">
        <f aca="false">D1488</f>
        <v>-0.65</v>
      </c>
      <c r="H1488" s="0" t="n">
        <f aca="false">C1488*D1488</f>
        <v>-0.52</v>
      </c>
      <c r="I1488" s="0" t="n">
        <f aca="false">C1488*C1488</f>
        <v>0.64</v>
      </c>
      <c r="J1488" s="0" t="n">
        <f aca="false">D1488*D1488</f>
        <v>0.4225</v>
      </c>
      <c r="K1488" s="0" t="n">
        <f aca="false">SUMPRODUCT(E1488:J1488,_XtX!$B$53:$G$53)</f>
        <v>45.6054583333333</v>
      </c>
      <c r="L1488" s="0" t="n">
        <f aca="false">SUMPRODUCT(MMULT(E1488:J1488,_XtX!$B$44:$G$49),E1488:J1488)</f>
        <v>0.335611458333333</v>
      </c>
      <c r="M1488" s="0" t="n">
        <f aca="false">04_回帰ANOVA!$K$19*04_回帰ANOVA!$K$14*SQRT(1+L1488)</f>
        <v>1.56608972588958</v>
      </c>
      <c r="N1488" s="0" t="n">
        <f aca="false">K1488-M1488</f>
        <v>44.0393686074438</v>
      </c>
      <c r="O1488" s="0" t="n">
        <f aca="false">K1488+M1488</f>
        <v>47.1715480592229</v>
      </c>
      <c r="P1488" s="54" t="b">
        <f aca="false">AND(C1488&gt;=01_因子設定!$L$5-0.000000001,C1488&lt;=01_因子設定!$M$5+0.000000001,D1488&gt;=01_因子設定!$L$6-0.000000001,D1488&lt;=01_因子設定!$M$6+0.000000001,IF(01_因子設定!$B$20="Box-Behnken",C1488^2+D1488^2&lt;=2+0.000000001,TRUE()))</f>
        <v>1</v>
      </c>
      <c r="Q1488" s="55" t="n">
        <f aca="false">IF(P1488,IF(01_因子設定!$B$13="最大化",N1488-01_因子設定!$B$14,IF(01_因子設定!$B$13="最小化",01_因子設定!$B$15-O1488,MIN(N1488-01_因子設定!$B$14,01_因子設定!$B$15-O1488))),-1E+030)</f>
        <v>-2.46063139255625</v>
      </c>
      <c r="R1488" s="55" t="n">
        <f aca="false">IF(P1488,IF(01_因子設定!$B$13="最大化",K1488,IF(01_因子設定!$B$13="最小化",-K1488,-ABS(K1488-01_因子設定!$B$16))),-1E+030)</f>
        <v>45.6054583333333</v>
      </c>
      <c r="S1488" s="55" t="n">
        <f aca="false">Q1488+ROW()*0.000000001</f>
        <v>-2.46062990455625</v>
      </c>
      <c r="T1488" s="55" t="n">
        <f aca="false">R1488+ROW()*0.000000001</f>
        <v>45.6054598213333</v>
      </c>
    </row>
    <row r="1489" customFormat="false" ht="15" hidden="false" customHeight="false" outlineLevel="0" collapsed="false">
      <c r="A1489" s="0" t="n">
        <v>36</v>
      </c>
      <c r="B1489" s="0" t="n">
        <v>8</v>
      </c>
      <c r="C1489" s="0" t="n">
        <f aca="false">-1+A1489*0.05</f>
        <v>0.8</v>
      </c>
      <c r="D1489" s="0" t="n">
        <f aca="false">-1+B1489*0.05</f>
        <v>-0.6</v>
      </c>
      <c r="E1489" s="0" t="n">
        <f aca="false">1</f>
        <v>1</v>
      </c>
      <c r="F1489" s="0" t="n">
        <f aca="false">C1489</f>
        <v>0.8</v>
      </c>
      <c r="G1489" s="0" t="n">
        <f aca="false">D1489</f>
        <v>-0.6</v>
      </c>
      <c r="H1489" s="0" t="n">
        <f aca="false">C1489*D1489</f>
        <v>-0.48</v>
      </c>
      <c r="I1489" s="0" t="n">
        <f aca="false">C1489*C1489</f>
        <v>0.64</v>
      </c>
      <c r="J1489" s="0" t="n">
        <f aca="false">D1489*D1489</f>
        <v>0.36</v>
      </c>
      <c r="K1489" s="0" t="n">
        <f aca="false">SUMPRODUCT(E1489:J1489,_XtX!$B$53:$G$53)</f>
        <v>45.8354022988506</v>
      </c>
      <c r="L1489" s="0" t="n">
        <f aca="false">SUMPRODUCT(MMULT(E1489:J1489,_XtX!$B$44:$G$49),E1489:J1489)</f>
        <v>0.321452873563218</v>
      </c>
      <c r="M1489" s="0" t="n">
        <f aca="false">04_回帰ANOVA!$K$19*04_回帰ANOVA!$K$14*SQRT(1+L1489)</f>
        <v>1.55776668694898</v>
      </c>
      <c r="N1489" s="0" t="n">
        <f aca="false">K1489-M1489</f>
        <v>44.2776356119016</v>
      </c>
      <c r="O1489" s="0" t="n">
        <f aca="false">K1489+M1489</f>
        <v>47.3931689857995</v>
      </c>
      <c r="P1489" s="54" t="b">
        <f aca="false">AND(C1489&gt;=01_因子設定!$L$5-0.000000001,C1489&lt;=01_因子設定!$M$5+0.000000001,D1489&gt;=01_因子設定!$L$6-0.000000001,D1489&lt;=01_因子設定!$M$6+0.000000001,IF(01_因子設定!$B$20="Box-Behnken",C1489^2+D1489^2&lt;=2+0.000000001,TRUE()))</f>
        <v>1</v>
      </c>
      <c r="Q1489" s="55" t="n">
        <f aca="false">IF(P1489,IF(01_因子設定!$B$13="最大化",N1489-01_因子設定!$B$14,IF(01_因子設定!$B$13="最小化",01_因子設定!$B$15-O1489,MIN(N1489-01_因子設定!$B$14,01_因子設定!$B$15-O1489))),-1E+030)</f>
        <v>-2.22236438809842</v>
      </c>
      <c r="R1489" s="55" t="n">
        <f aca="false">IF(P1489,IF(01_因子設定!$B$13="最大化",K1489,IF(01_因子設定!$B$13="最小化",-K1489,-ABS(K1489-01_因子設定!$B$16))),-1E+030)</f>
        <v>45.8354022988506</v>
      </c>
      <c r="S1489" s="55" t="n">
        <f aca="false">Q1489+ROW()*0.000000001</f>
        <v>-2.22236289909842</v>
      </c>
      <c r="T1489" s="55" t="n">
        <f aca="false">R1489+ROW()*0.000000001</f>
        <v>45.8354037878506</v>
      </c>
    </row>
    <row r="1490" customFormat="false" ht="15" hidden="false" customHeight="false" outlineLevel="0" collapsed="false">
      <c r="A1490" s="0" t="n">
        <v>36</v>
      </c>
      <c r="B1490" s="0" t="n">
        <v>9</v>
      </c>
      <c r="C1490" s="0" t="n">
        <f aca="false">-1+A1490*0.05</f>
        <v>0.8</v>
      </c>
      <c r="D1490" s="0" t="n">
        <f aca="false">-1+B1490*0.05</f>
        <v>-0.55</v>
      </c>
      <c r="E1490" s="0" t="n">
        <f aca="false">1</f>
        <v>1</v>
      </c>
      <c r="F1490" s="0" t="n">
        <f aca="false">C1490</f>
        <v>0.8</v>
      </c>
      <c r="G1490" s="0" t="n">
        <f aca="false">D1490</f>
        <v>-0.55</v>
      </c>
      <c r="H1490" s="0" t="n">
        <f aca="false">C1490*D1490</f>
        <v>-0.44</v>
      </c>
      <c r="I1490" s="0" t="n">
        <f aca="false">C1490*C1490</f>
        <v>0.64</v>
      </c>
      <c r="J1490" s="0" t="n">
        <f aca="false">D1490*D1490</f>
        <v>0.3025</v>
      </c>
      <c r="K1490" s="0" t="n">
        <f aca="false">SUMPRODUCT(E1490:J1490,_XtX!$B$53:$G$53)</f>
        <v>46.0576307471264</v>
      </c>
      <c r="L1490" s="0" t="n">
        <f aca="false">SUMPRODUCT(MMULT(E1490:J1490,_XtX!$B$44:$G$49),E1490:J1490)</f>
        <v>0.310925251436782</v>
      </c>
      <c r="M1490" s="0" t="n">
        <f aca="false">04_回帰ANOVA!$K$19*04_回帰ANOVA!$K$14*SQRT(1+L1490)</f>
        <v>1.551549146857</v>
      </c>
      <c r="N1490" s="0" t="n">
        <f aca="false">K1490-M1490</f>
        <v>44.5060816002694</v>
      </c>
      <c r="O1490" s="0" t="n">
        <f aca="false">K1490+M1490</f>
        <v>47.6091798939834</v>
      </c>
      <c r="P1490" s="54" t="b">
        <f aca="false">AND(C1490&gt;=01_因子設定!$L$5-0.000000001,C1490&lt;=01_因子設定!$M$5+0.000000001,D1490&gt;=01_因子設定!$L$6-0.000000001,D1490&lt;=01_因子設定!$M$6+0.000000001,IF(01_因子設定!$B$20="Box-Behnken",C1490^2+D1490^2&lt;=2+0.000000001,TRUE()))</f>
        <v>1</v>
      </c>
      <c r="Q1490" s="55" t="n">
        <f aca="false">IF(P1490,IF(01_因子設定!$B$13="最大化",N1490-01_因子設定!$B$14,IF(01_因子設定!$B$13="最小化",01_因子設定!$B$15-O1490,MIN(N1490-01_因子設定!$B$14,01_因子設定!$B$15-O1490))),-1E+030)</f>
        <v>-1.99391839973057</v>
      </c>
      <c r="R1490" s="55" t="n">
        <f aca="false">IF(P1490,IF(01_因子設定!$B$13="最大化",K1490,IF(01_因子設定!$B$13="最小化",-K1490,-ABS(K1490-01_因子設定!$B$16))),-1E+030)</f>
        <v>46.0576307471264</v>
      </c>
      <c r="S1490" s="55" t="n">
        <f aca="false">Q1490+ROW()*0.000000001</f>
        <v>-1.99391690973057</v>
      </c>
      <c r="T1490" s="55" t="n">
        <f aca="false">R1490+ROW()*0.000000001</f>
        <v>46.0576322371264</v>
      </c>
    </row>
    <row r="1491" customFormat="false" ht="15" hidden="false" customHeight="false" outlineLevel="0" collapsed="false">
      <c r="A1491" s="0" t="n">
        <v>36</v>
      </c>
      <c r="B1491" s="0" t="n">
        <v>10</v>
      </c>
      <c r="C1491" s="0" t="n">
        <f aca="false">-1+A1491*0.05</f>
        <v>0.8</v>
      </c>
      <c r="D1491" s="0" t="n">
        <f aca="false">-1+B1491*0.05</f>
        <v>-0.5</v>
      </c>
      <c r="E1491" s="0" t="n">
        <f aca="false">1</f>
        <v>1</v>
      </c>
      <c r="F1491" s="0" t="n">
        <f aca="false">C1491</f>
        <v>0.8</v>
      </c>
      <c r="G1491" s="0" t="n">
        <f aca="false">D1491</f>
        <v>-0.5</v>
      </c>
      <c r="H1491" s="0" t="n">
        <f aca="false">C1491*D1491</f>
        <v>-0.4</v>
      </c>
      <c r="I1491" s="0" t="n">
        <f aca="false">C1491*C1491</f>
        <v>0.64</v>
      </c>
      <c r="J1491" s="0" t="n">
        <f aca="false">D1491*D1491</f>
        <v>0.25</v>
      </c>
      <c r="K1491" s="0" t="n">
        <f aca="false">SUMPRODUCT(E1491:J1491,_XtX!$B$53:$G$53)</f>
        <v>46.2721436781609</v>
      </c>
      <c r="L1491" s="0" t="n">
        <f aca="false">SUMPRODUCT(MMULT(E1491:J1491,_XtX!$B$44:$G$49),E1491:J1491)</f>
        <v>0.303404022988506</v>
      </c>
      <c r="M1491" s="0" t="n">
        <f aca="false">04_回帰ANOVA!$K$19*04_回帰ANOVA!$K$14*SQRT(1+L1491)</f>
        <v>1.54709185921971</v>
      </c>
      <c r="N1491" s="0" t="n">
        <f aca="false">K1491-M1491</f>
        <v>44.7250518189412</v>
      </c>
      <c r="O1491" s="0" t="n">
        <f aca="false">K1491+M1491</f>
        <v>47.8192355373806</v>
      </c>
      <c r="P1491" s="54" t="b">
        <f aca="false">AND(C1491&gt;=01_因子設定!$L$5-0.000000001,C1491&lt;=01_因子設定!$M$5+0.000000001,D1491&gt;=01_因子設定!$L$6-0.000000001,D1491&lt;=01_因子設定!$M$6+0.000000001,IF(01_因子設定!$B$20="Box-Behnken",C1491^2+D1491^2&lt;=2+0.000000001,TRUE()))</f>
        <v>1</v>
      </c>
      <c r="Q1491" s="55" t="n">
        <f aca="false">IF(P1491,IF(01_因子設定!$B$13="最大化",N1491-01_因子設定!$B$14,IF(01_因子設定!$B$13="最小化",01_因子設定!$B$15-O1491,MIN(N1491-01_因子設定!$B$14,01_因子設定!$B$15-O1491))),-1E+030)</f>
        <v>-1.7749481810588</v>
      </c>
      <c r="R1491" s="55" t="n">
        <f aca="false">IF(P1491,IF(01_因子設定!$B$13="最大化",K1491,IF(01_因子設定!$B$13="最小化",-K1491,-ABS(K1491-01_因子設定!$B$16))),-1E+030)</f>
        <v>46.2721436781609</v>
      </c>
      <c r="S1491" s="55" t="n">
        <f aca="false">Q1491+ROW()*0.000000001</f>
        <v>-1.7749466900588</v>
      </c>
      <c r="T1491" s="55" t="n">
        <f aca="false">R1491+ROW()*0.000000001</f>
        <v>46.2721451691609</v>
      </c>
    </row>
    <row r="1492" customFormat="false" ht="15" hidden="false" customHeight="false" outlineLevel="0" collapsed="false">
      <c r="A1492" s="0" t="n">
        <v>36</v>
      </c>
      <c r="B1492" s="0" t="n">
        <v>11</v>
      </c>
      <c r="C1492" s="0" t="n">
        <f aca="false">-1+A1492*0.05</f>
        <v>0.8</v>
      </c>
      <c r="D1492" s="0" t="n">
        <f aca="false">-1+B1492*0.05</f>
        <v>-0.45</v>
      </c>
      <c r="E1492" s="0" t="n">
        <f aca="false">1</f>
        <v>1</v>
      </c>
      <c r="F1492" s="0" t="n">
        <f aca="false">C1492</f>
        <v>0.8</v>
      </c>
      <c r="G1492" s="0" t="n">
        <f aca="false">D1492</f>
        <v>-0.45</v>
      </c>
      <c r="H1492" s="0" t="n">
        <f aca="false">C1492*D1492</f>
        <v>-0.36</v>
      </c>
      <c r="I1492" s="0" t="n">
        <f aca="false">C1492*C1492</f>
        <v>0.64</v>
      </c>
      <c r="J1492" s="0" t="n">
        <f aca="false">D1492*D1492</f>
        <v>0.2025</v>
      </c>
      <c r="K1492" s="0" t="n">
        <f aca="false">SUMPRODUCT(E1492:J1492,_XtX!$B$53:$G$53)</f>
        <v>46.478941091954</v>
      </c>
      <c r="L1492" s="0" t="n">
        <f aca="false">SUMPRODUCT(MMULT(E1492:J1492,_XtX!$B$44:$G$49),E1492:J1492)</f>
        <v>0.298318929597701</v>
      </c>
      <c r="M1492" s="0" t="n">
        <f aca="false">04_回帰ANOVA!$K$19*04_回帰ANOVA!$K$14*SQRT(1+L1492)</f>
        <v>1.54407100205425</v>
      </c>
      <c r="N1492" s="0" t="n">
        <f aca="false">K1492-M1492</f>
        <v>44.9348700898998</v>
      </c>
      <c r="O1492" s="0" t="n">
        <f aca="false">K1492+M1492</f>
        <v>48.0230120940083</v>
      </c>
      <c r="P1492" s="54" t="b">
        <f aca="false">AND(C1492&gt;=01_因子設定!$L$5-0.000000001,C1492&lt;=01_因子設定!$M$5+0.000000001,D1492&gt;=01_因子設定!$L$6-0.000000001,D1492&lt;=01_因子設定!$M$6+0.000000001,IF(01_因子設定!$B$20="Box-Behnken",C1492^2+D1492^2&lt;=2+0.000000001,TRUE()))</f>
        <v>1</v>
      </c>
      <c r="Q1492" s="55" t="n">
        <f aca="false">IF(P1492,IF(01_因子設定!$B$13="最大化",N1492-01_因子設定!$B$14,IF(01_因子設定!$B$13="最小化",01_因子設定!$B$15-O1492,MIN(N1492-01_因子設定!$B$14,01_因子設定!$B$15-O1492))),-1E+030)</f>
        <v>-1.56512991010023</v>
      </c>
      <c r="R1492" s="55" t="n">
        <f aca="false">IF(P1492,IF(01_因子設定!$B$13="最大化",K1492,IF(01_因子設定!$B$13="最小化",-K1492,-ABS(K1492-01_因子設定!$B$16))),-1E+030)</f>
        <v>46.478941091954</v>
      </c>
      <c r="S1492" s="55" t="n">
        <f aca="false">Q1492+ROW()*0.000000001</f>
        <v>-1.56512841810023</v>
      </c>
      <c r="T1492" s="55" t="n">
        <f aca="false">R1492+ROW()*0.000000001</f>
        <v>46.478942583954</v>
      </c>
    </row>
    <row r="1493" customFormat="false" ht="15" hidden="false" customHeight="false" outlineLevel="0" collapsed="false">
      <c r="A1493" s="0" t="n">
        <v>36</v>
      </c>
      <c r="B1493" s="0" t="n">
        <v>12</v>
      </c>
      <c r="C1493" s="0" t="n">
        <f aca="false">-1+A1493*0.05</f>
        <v>0.8</v>
      </c>
      <c r="D1493" s="0" t="n">
        <f aca="false">-1+B1493*0.05</f>
        <v>-0.4</v>
      </c>
      <c r="E1493" s="0" t="n">
        <f aca="false">1</f>
        <v>1</v>
      </c>
      <c r="F1493" s="0" t="n">
        <f aca="false">C1493</f>
        <v>0.8</v>
      </c>
      <c r="G1493" s="0" t="n">
        <f aca="false">D1493</f>
        <v>-0.4</v>
      </c>
      <c r="H1493" s="0" t="n">
        <f aca="false">C1493*D1493</f>
        <v>-0.32</v>
      </c>
      <c r="I1493" s="0" t="n">
        <f aca="false">C1493*C1493</f>
        <v>0.64</v>
      </c>
      <c r="J1493" s="0" t="n">
        <f aca="false">D1493*D1493</f>
        <v>0.16</v>
      </c>
      <c r="K1493" s="0" t="n">
        <f aca="false">SUMPRODUCT(E1493:J1493,_XtX!$B$53:$G$53)</f>
        <v>46.6780229885057</v>
      </c>
      <c r="L1493" s="0" t="n">
        <f aca="false">SUMPRODUCT(MMULT(E1493:J1493,_XtX!$B$44:$G$49),E1493:J1493)</f>
        <v>0.295154022988506</v>
      </c>
      <c r="M1493" s="0" t="n">
        <f aca="false">04_回帰ANOVA!$K$19*04_回帰ANOVA!$K$14*SQRT(1+L1493)</f>
        <v>1.54218786602306</v>
      </c>
      <c r="N1493" s="0" t="n">
        <f aca="false">K1493-M1493</f>
        <v>45.1358351224827</v>
      </c>
      <c r="O1493" s="0" t="n">
        <f aca="false">K1493+M1493</f>
        <v>48.2202108545288</v>
      </c>
      <c r="P1493" s="54" t="b">
        <f aca="false">AND(C1493&gt;=01_因子設定!$L$5-0.000000001,C1493&lt;=01_因子設定!$M$5+0.000000001,D1493&gt;=01_因子設定!$L$6-0.000000001,D1493&lt;=01_因子設定!$M$6+0.000000001,IF(01_因子設定!$B$20="Box-Behnken",C1493^2+D1493^2&lt;=2+0.000000001,TRUE()))</f>
        <v>1</v>
      </c>
      <c r="Q1493" s="55" t="n">
        <f aca="false">IF(P1493,IF(01_因子設定!$B$13="最大化",N1493-01_因子設定!$B$14,IF(01_因子設定!$B$13="最小化",01_因子設定!$B$15-O1493,MIN(N1493-01_因子設定!$B$14,01_因子設定!$B$15-O1493))),-1E+030)</f>
        <v>-1.36416487751733</v>
      </c>
      <c r="R1493" s="55" t="n">
        <f aca="false">IF(P1493,IF(01_因子設定!$B$13="最大化",K1493,IF(01_因子設定!$B$13="最小化",-K1493,-ABS(K1493-01_因子設定!$B$16))),-1E+030)</f>
        <v>46.6780229885057</v>
      </c>
      <c r="S1493" s="55" t="n">
        <f aca="false">Q1493+ROW()*0.000000001</f>
        <v>-1.36416338451733</v>
      </c>
      <c r="T1493" s="55" t="n">
        <f aca="false">R1493+ROW()*0.000000001</f>
        <v>46.6780244815057</v>
      </c>
    </row>
    <row r="1494" customFormat="false" ht="15" hidden="false" customHeight="false" outlineLevel="0" collapsed="false">
      <c r="A1494" s="0" t="n">
        <v>36</v>
      </c>
      <c r="B1494" s="0" t="n">
        <v>13</v>
      </c>
      <c r="C1494" s="0" t="n">
        <f aca="false">-1+A1494*0.05</f>
        <v>0.8</v>
      </c>
      <c r="D1494" s="0" t="n">
        <f aca="false">-1+B1494*0.05</f>
        <v>-0.35</v>
      </c>
      <c r="E1494" s="0" t="n">
        <f aca="false">1</f>
        <v>1</v>
      </c>
      <c r="F1494" s="0" t="n">
        <f aca="false">C1494</f>
        <v>0.8</v>
      </c>
      <c r="G1494" s="0" t="n">
        <f aca="false">D1494</f>
        <v>-0.35</v>
      </c>
      <c r="H1494" s="0" t="n">
        <f aca="false">C1494*D1494</f>
        <v>-0.28</v>
      </c>
      <c r="I1494" s="0" t="n">
        <f aca="false">C1494*C1494</f>
        <v>0.64</v>
      </c>
      <c r="J1494" s="0" t="n">
        <f aca="false">D1494*D1494</f>
        <v>0.1225</v>
      </c>
      <c r="K1494" s="0" t="n">
        <f aca="false">SUMPRODUCT(E1494:J1494,_XtX!$B$53:$G$53)</f>
        <v>46.8693893678161</v>
      </c>
      <c r="L1494" s="0" t="n">
        <f aca="false">SUMPRODUCT(MMULT(E1494:J1494,_XtX!$B$44:$G$49),E1494:J1494)</f>
        <v>0.293447665229885</v>
      </c>
      <c r="M1494" s="0" t="n">
        <f aca="false">04_回帰ANOVA!$K$19*04_回帰ANOVA!$K$14*SQRT(1+L1494)</f>
        <v>1.54117161949579</v>
      </c>
      <c r="N1494" s="0" t="n">
        <f aca="false">K1494-M1494</f>
        <v>45.3282177483203</v>
      </c>
      <c r="O1494" s="0" t="n">
        <f aca="false">K1494+M1494</f>
        <v>48.4105609873119</v>
      </c>
      <c r="P1494" s="54" t="b">
        <f aca="false">AND(C1494&gt;=01_因子設定!$L$5-0.000000001,C1494&lt;=01_因子設定!$M$5+0.000000001,D1494&gt;=01_因子設定!$L$6-0.000000001,D1494&lt;=01_因子設定!$M$6+0.000000001,IF(01_因子設定!$B$20="Box-Behnken",C1494^2+D1494^2&lt;=2+0.000000001,TRUE()))</f>
        <v>1</v>
      </c>
      <c r="Q1494" s="55" t="n">
        <f aca="false">IF(P1494,IF(01_因子設定!$B$13="最大化",N1494-01_因子設定!$B$14,IF(01_因子設定!$B$13="最小化",01_因子設定!$B$15-O1494,MIN(N1494-01_因子設定!$B$14,01_因子設定!$B$15-O1494))),-1E+030)</f>
        <v>-1.17178225167972</v>
      </c>
      <c r="R1494" s="55" t="n">
        <f aca="false">IF(P1494,IF(01_因子設定!$B$13="最大化",K1494,IF(01_因子設定!$B$13="最小化",-K1494,-ABS(K1494-01_因子設定!$B$16))),-1E+030)</f>
        <v>46.8693893678161</v>
      </c>
      <c r="S1494" s="55" t="n">
        <f aca="false">Q1494+ROW()*0.000000001</f>
        <v>-1.17178075767972</v>
      </c>
      <c r="T1494" s="55" t="n">
        <f aca="false">R1494+ROW()*0.000000001</f>
        <v>46.8693908618161</v>
      </c>
    </row>
    <row r="1495" customFormat="false" ht="15" hidden="false" customHeight="false" outlineLevel="0" collapsed="false">
      <c r="A1495" s="0" t="n">
        <v>36</v>
      </c>
      <c r="B1495" s="0" t="n">
        <v>14</v>
      </c>
      <c r="C1495" s="0" t="n">
        <f aca="false">-1+A1495*0.05</f>
        <v>0.8</v>
      </c>
      <c r="D1495" s="0" t="n">
        <f aca="false">-1+B1495*0.05</f>
        <v>-0.3</v>
      </c>
      <c r="E1495" s="0" t="n">
        <f aca="false">1</f>
        <v>1</v>
      </c>
      <c r="F1495" s="0" t="n">
        <f aca="false">C1495</f>
        <v>0.8</v>
      </c>
      <c r="G1495" s="0" t="n">
        <f aca="false">D1495</f>
        <v>-0.3</v>
      </c>
      <c r="H1495" s="0" t="n">
        <f aca="false">C1495*D1495</f>
        <v>-0.24</v>
      </c>
      <c r="I1495" s="0" t="n">
        <f aca="false">C1495*C1495</f>
        <v>0.64</v>
      </c>
      <c r="J1495" s="0" t="n">
        <f aca="false">D1495*D1495</f>
        <v>0.09</v>
      </c>
      <c r="K1495" s="0" t="n">
        <f aca="false">SUMPRODUCT(E1495:J1495,_XtX!$B$53:$G$53)</f>
        <v>47.053040229885</v>
      </c>
      <c r="L1495" s="0" t="n">
        <f aca="false">SUMPRODUCT(MMULT(E1495:J1495,_XtX!$B$44:$G$49),E1495:J1495)</f>
        <v>0.292792528735632</v>
      </c>
      <c r="M1495" s="0" t="n">
        <f aca="false">04_回帰ANOVA!$K$19*04_回帰ANOVA!$K$14*SQRT(1+L1495)</f>
        <v>1.54078126521906</v>
      </c>
      <c r="N1495" s="0" t="n">
        <f aca="false">K1495-M1495</f>
        <v>45.512258964666</v>
      </c>
      <c r="O1495" s="0" t="n">
        <f aca="false">K1495+M1495</f>
        <v>48.5938214951041</v>
      </c>
      <c r="P1495" s="54" t="b">
        <f aca="false">AND(C1495&gt;=01_因子設定!$L$5-0.000000001,C1495&lt;=01_因子設定!$M$5+0.000000001,D1495&gt;=01_因子設定!$L$6-0.000000001,D1495&lt;=01_因子設定!$M$6+0.000000001,IF(01_因子設定!$B$20="Box-Behnken",C1495^2+D1495^2&lt;=2+0.000000001,TRUE()))</f>
        <v>1</v>
      </c>
      <c r="Q1495" s="55" t="n">
        <f aca="false">IF(P1495,IF(01_因子設定!$B$13="最大化",N1495-01_因子設定!$B$14,IF(01_因子設定!$B$13="最小化",01_因子設定!$B$15-O1495,MIN(N1495-01_因子設定!$B$14,01_因子設定!$B$15-O1495))),-1E+030)</f>
        <v>-0.987741035334018</v>
      </c>
      <c r="R1495" s="55" t="n">
        <f aca="false">IF(P1495,IF(01_因子設定!$B$13="最大化",K1495,IF(01_因子設定!$B$13="最小化",-K1495,-ABS(K1495-01_因子設定!$B$16))),-1E+030)</f>
        <v>47.053040229885</v>
      </c>
      <c r="S1495" s="55" t="n">
        <f aca="false">Q1495+ROW()*0.000000001</f>
        <v>-0.987739540334018</v>
      </c>
      <c r="T1495" s="55" t="n">
        <f aca="false">R1495+ROW()*0.000000001</f>
        <v>47.053041724885</v>
      </c>
    </row>
    <row r="1496" customFormat="false" ht="15" hidden="false" customHeight="false" outlineLevel="0" collapsed="false">
      <c r="A1496" s="0" t="n">
        <v>36</v>
      </c>
      <c r="B1496" s="0" t="n">
        <v>15</v>
      </c>
      <c r="C1496" s="0" t="n">
        <f aca="false">-1+A1496*0.05</f>
        <v>0.8</v>
      </c>
      <c r="D1496" s="0" t="n">
        <f aca="false">-1+B1496*0.05</f>
        <v>-0.25</v>
      </c>
      <c r="E1496" s="0" t="n">
        <f aca="false">1</f>
        <v>1</v>
      </c>
      <c r="F1496" s="0" t="n">
        <f aca="false">C1496</f>
        <v>0.8</v>
      </c>
      <c r="G1496" s="0" t="n">
        <f aca="false">D1496</f>
        <v>-0.25</v>
      </c>
      <c r="H1496" s="0" t="n">
        <f aca="false">C1496*D1496</f>
        <v>-0.2</v>
      </c>
      <c r="I1496" s="0" t="n">
        <f aca="false">C1496*C1496</f>
        <v>0.64</v>
      </c>
      <c r="J1496" s="0" t="n">
        <f aca="false">D1496*D1496</f>
        <v>0.0625</v>
      </c>
      <c r="K1496" s="0" t="n">
        <f aca="false">SUMPRODUCT(E1496:J1496,_XtX!$B$53:$G$53)</f>
        <v>47.2289755747126</v>
      </c>
      <c r="L1496" s="0" t="n">
        <f aca="false">SUMPRODUCT(MMULT(E1496:J1496,_XtX!$B$44:$G$49),E1496:J1496)</f>
        <v>0.292835596264368</v>
      </c>
      <c r="M1496" s="0" t="n">
        <f aca="false">04_回帰ANOVA!$K$19*04_回帰ANOVA!$K$14*SQRT(1+L1496)</f>
        <v>1.54080692946421</v>
      </c>
      <c r="N1496" s="0" t="n">
        <f aca="false">K1496-M1496</f>
        <v>45.6881686452484</v>
      </c>
      <c r="O1496" s="0" t="n">
        <f aca="false">K1496+M1496</f>
        <v>48.7697825041768</v>
      </c>
      <c r="P1496" s="54" t="b">
        <f aca="false">AND(C1496&gt;=01_因子設定!$L$5-0.000000001,C1496&lt;=01_因子設定!$M$5+0.000000001,D1496&gt;=01_因子設定!$L$6-0.000000001,D1496&lt;=01_因子設定!$M$6+0.000000001,IF(01_因子設定!$B$20="Box-Behnken",C1496^2+D1496^2&lt;=2+0.000000001,TRUE()))</f>
        <v>1</v>
      </c>
      <c r="Q1496" s="55" t="n">
        <f aca="false">IF(P1496,IF(01_因子設定!$B$13="最大化",N1496-01_因子設定!$B$14,IF(01_因子設定!$B$13="最小化",01_因子設定!$B$15-O1496,MIN(N1496-01_因子設定!$B$14,01_因子設定!$B$15-O1496))),-1E+030)</f>
        <v>-0.811831354751583</v>
      </c>
      <c r="R1496" s="55" t="n">
        <f aca="false">IF(P1496,IF(01_因子設定!$B$13="最大化",K1496,IF(01_因子設定!$B$13="最小化",-K1496,-ABS(K1496-01_因子設定!$B$16))),-1E+030)</f>
        <v>47.2289755747126</v>
      </c>
      <c r="S1496" s="55" t="n">
        <f aca="false">Q1496+ROW()*0.000000001</f>
        <v>-0.811829858751583</v>
      </c>
      <c r="T1496" s="55" t="n">
        <f aca="false">R1496+ROW()*0.000000001</f>
        <v>47.2289770707126</v>
      </c>
    </row>
    <row r="1497" customFormat="false" ht="15" hidden="false" customHeight="false" outlineLevel="0" collapsed="false">
      <c r="A1497" s="0" t="n">
        <v>36</v>
      </c>
      <c r="B1497" s="0" t="n">
        <v>16</v>
      </c>
      <c r="C1497" s="0" t="n">
        <f aca="false">-1+A1497*0.05</f>
        <v>0.8</v>
      </c>
      <c r="D1497" s="0" t="n">
        <f aca="false">-1+B1497*0.05</f>
        <v>-0.2</v>
      </c>
      <c r="E1497" s="0" t="n">
        <f aca="false">1</f>
        <v>1</v>
      </c>
      <c r="F1497" s="0" t="n">
        <f aca="false">C1497</f>
        <v>0.8</v>
      </c>
      <c r="G1497" s="0" t="n">
        <f aca="false">D1497</f>
        <v>-0.2</v>
      </c>
      <c r="H1497" s="0" t="n">
        <f aca="false">C1497*D1497</f>
        <v>-0.16</v>
      </c>
      <c r="I1497" s="0" t="n">
        <f aca="false">C1497*C1497</f>
        <v>0.64</v>
      </c>
      <c r="J1497" s="0" t="n">
        <f aca="false">D1497*D1497</f>
        <v>0.04</v>
      </c>
      <c r="K1497" s="0" t="n">
        <f aca="false">SUMPRODUCT(E1497:J1497,_XtX!$B$53:$G$53)</f>
        <v>47.3971954022988</v>
      </c>
      <c r="L1497" s="0" t="n">
        <f aca="false">SUMPRODUCT(MMULT(E1497:J1497,_XtX!$B$44:$G$49),E1497:J1497)</f>
        <v>0.29327816091954</v>
      </c>
      <c r="M1497" s="0" t="n">
        <f aca="false">04_回帰ANOVA!$K$19*04_回帰ANOVA!$K$14*SQRT(1+L1497)</f>
        <v>1.54107063211196</v>
      </c>
      <c r="N1497" s="0" t="n">
        <f aca="false">K1497-M1497</f>
        <v>45.8561247701869</v>
      </c>
      <c r="O1497" s="0" t="n">
        <f aca="false">K1497+M1497</f>
        <v>48.9382660344108</v>
      </c>
      <c r="P1497" s="54" t="b">
        <f aca="false">AND(C1497&gt;=01_因子設定!$L$5-0.000000001,C1497&lt;=01_因子設定!$M$5+0.000000001,D1497&gt;=01_因子設定!$L$6-0.000000001,D1497&lt;=01_因子設定!$M$6+0.000000001,IF(01_因子設定!$B$20="Box-Behnken",C1497^2+D1497^2&lt;=2+0.000000001,TRUE()))</f>
        <v>1</v>
      </c>
      <c r="Q1497" s="55" t="n">
        <f aca="false">IF(P1497,IF(01_因子設定!$B$13="最大化",N1497-01_因子設定!$B$14,IF(01_因子設定!$B$13="最小化",01_因子設定!$B$15-O1497,MIN(N1497-01_因子設定!$B$14,01_因子設定!$B$15-O1497))),-1E+030)</f>
        <v>-0.643875229813126</v>
      </c>
      <c r="R1497" s="55" t="n">
        <f aca="false">IF(P1497,IF(01_因子設定!$B$13="最大化",K1497,IF(01_因子設定!$B$13="最小化",-K1497,-ABS(K1497-01_因子設定!$B$16))),-1E+030)</f>
        <v>47.3971954022988</v>
      </c>
      <c r="S1497" s="55" t="n">
        <f aca="false">Q1497+ROW()*0.000000001</f>
        <v>-0.643873732813126</v>
      </c>
      <c r="T1497" s="55" t="n">
        <f aca="false">R1497+ROW()*0.000000001</f>
        <v>47.3971968992988</v>
      </c>
    </row>
    <row r="1498" customFormat="false" ht="15" hidden="false" customHeight="false" outlineLevel="0" collapsed="false">
      <c r="A1498" s="0" t="n">
        <v>36</v>
      </c>
      <c r="B1498" s="0" t="n">
        <v>17</v>
      </c>
      <c r="C1498" s="0" t="n">
        <f aca="false">-1+A1498*0.05</f>
        <v>0.8</v>
      </c>
      <c r="D1498" s="0" t="n">
        <f aca="false">-1+B1498*0.05</f>
        <v>-0.15</v>
      </c>
      <c r="E1498" s="0" t="n">
        <f aca="false">1</f>
        <v>1</v>
      </c>
      <c r="F1498" s="0" t="n">
        <f aca="false">C1498</f>
        <v>0.8</v>
      </c>
      <c r="G1498" s="0" t="n">
        <f aca="false">D1498</f>
        <v>-0.15</v>
      </c>
      <c r="H1498" s="0" t="n">
        <f aca="false">C1498*D1498</f>
        <v>-0.12</v>
      </c>
      <c r="I1498" s="0" t="n">
        <f aca="false">C1498*C1498</f>
        <v>0.64</v>
      </c>
      <c r="J1498" s="0" t="n">
        <f aca="false">D1498*D1498</f>
        <v>0.0225</v>
      </c>
      <c r="K1498" s="0" t="n">
        <f aca="false">SUMPRODUCT(E1498:J1498,_XtX!$B$53:$G$53)</f>
        <v>47.5576997126437</v>
      </c>
      <c r="L1498" s="0" t="n">
        <f aca="false">SUMPRODUCT(MMULT(E1498:J1498,_XtX!$B$44:$G$49),E1498:J1498)</f>
        <v>0.293875826149425</v>
      </c>
      <c r="M1498" s="0" t="n">
        <f aca="false">04_回帰ANOVA!$K$19*04_回帰ANOVA!$K$14*SQRT(1+L1498)</f>
        <v>1.54142668001218</v>
      </c>
      <c r="N1498" s="0" t="n">
        <f aca="false">K1498-M1498</f>
        <v>46.0162730326315</v>
      </c>
      <c r="O1498" s="0" t="n">
        <f aca="false">K1498+M1498</f>
        <v>49.0991263926558</v>
      </c>
      <c r="P1498" s="54" t="b">
        <f aca="false">AND(C1498&gt;=01_因子設定!$L$5-0.000000001,C1498&lt;=01_因子設定!$M$5+0.000000001,D1498&gt;=01_因子設定!$L$6-0.000000001,D1498&lt;=01_因子設定!$M$6+0.000000001,IF(01_因子設定!$B$20="Box-Behnken",C1498^2+D1498^2&lt;=2+0.000000001,TRUE()))</f>
        <v>1</v>
      </c>
      <c r="Q1498" s="55" t="n">
        <f aca="false">IF(P1498,IF(01_因子設定!$B$13="最大化",N1498-01_因子設定!$B$14,IF(01_因子設定!$B$13="最小化",01_因子設定!$B$15-O1498,MIN(N1498-01_因子設定!$B$14,01_因子設定!$B$15-O1498))),-1E+030)</f>
        <v>-0.483726967368504</v>
      </c>
      <c r="R1498" s="55" t="n">
        <f aca="false">IF(P1498,IF(01_因子設定!$B$13="最大化",K1498,IF(01_因子設定!$B$13="最小化",-K1498,-ABS(K1498-01_因子設定!$B$16))),-1E+030)</f>
        <v>47.5576997126437</v>
      </c>
      <c r="S1498" s="55" t="n">
        <f aca="false">Q1498+ROW()*0.000000001</f>
        <v>-0.483725469368504</v>
      </c>
      <c r="T1498" s="55" t="n">
        <f aca="false">R1498+ROW()*0.000000001</f>
        <v>47.5577012106437</v>
      </c>
    </row>
    <row r="1499" customFormat="false" ht="15" hidden="false" customHeight="false" outlineLevel="0" collapsed="false">
      <c r="A1499" s="0" t="n">
        <v>36</v>
      </c>
      <c r="B1499" s="0" t="n">
        <v>18</v>
      </c>
      <c r="C1499" s="0" t="n">
        <f aca="false">-1+A1499*0.05</f>
        <v>0.8</v>
      </c>
      <c r="D1499" s="0" t="n">
        <f aca="false">-1+B1499*0.05</f>
        <v>-0.1</v>
      </c>
      <c r="E1499" s="0" t="n">
        <f aca="false">1</f>
        <v>1</v>
      </c>
      <c r="F1499" s="0" t="n">
        <f aca="false">C1499</f>
        <v>0.8</v>
      </c>
      <c r="G1499" s="0" t="n">
        <f aca="false">D1499</f>
        <v>-0.1</v>
      </c>
      <c r="H1499" s="0" t="n">
        <f aca="false">C1499*D1499</f>
        <v>-0.08</v>
      </c>
      <c r="I1499" s="0" t="n">
        <f aca="false">C1499*C1499</f>
        <v>0.64</v>
      </c>
      <c r="J1499" s="0" t="n">
        <f aca="false">D1499*D1499</f>
        <v>0.01</v>
      </c>
      <c r="K1499" s="0" t="n">
        <f aca="false">SUMPRODUCT(E1499:J1499,_XtX!$B$53:$G$53)</f>
        <v>47.7104885057471</v>
      </c>
      <c r="L1499" s="0" t="n">
        <f aca="false">SUMPRODUCT(MMULT(E1499:J1499,_XtX!$B$44:$G$49),E1499:J1499)</f>
        <v>0.294438505747126</v>
      </c>
      <c r="M1499" s="0" t="n">
        <f aca="false">04_回帰ANOVA!$K$19*04_回帰ANOVA!$K$14*SQRT(1+L1499)</f>
        <v>1.54176181073002</v>
      </c>
      <c r="N1499" s="0" t="n">
        <f aca="false">K1499-M1499</f>
        <v>46.1687266950171</v>
      </c>
      <c r="O1499" s="0" t="n">
        <f aca="false">K1499+M1499</f>
        <v>49.2522503164771</v>
      </c>
      <c r="P1499" s="54" t="b">
        <f aca="false">AND(C1499&gt;=01_因子設定!$L$5-0.000000001,C1499&lt;=01_因子設定!$M$5+0.000000001,D1499&gt;=01_因子設定!$L$6-0.000000001,D1499&lt;=01_因子設定!$M$6+0.000000001,IF(01_因子設定!$B$20="Box-Behnken",C1499^2+D1499^2&lt;=2+0.000000001,TRUE()))</f>
        <v>1</v>
      </c>
      <c r="Q1499" s="55" t="n">
        <f aca="false">IF(P1499,IF(01_因子設定!$B$13="最大化",N1499-01_因子設定!$B$14,IF(01_因子設定!$B$13="最小化",01_因子設定!$B$15-O1499,MIN(N1499-01_因子設定!$B$14,01_因子設定!$B$15-O1499))),-1E+030)</f>
        <v>-0.331273304982901</v>
      </c>
      <c r="R1499" s="55" t="n">
        <f aca="false">IF(P1499,IF(01_因子設定!$B$13="最大化",K1499,IF(01_因子設定!$B$13="最小化",-K1499,-ABS(K1499-01_因子設定!$B$16))),-1E+030)</f>
        <v>47.7104885057471</v>
      </c>
      <c r="S1499" s="55" t="n">
        <f aca="false">Q1499+ROW()*0.000000001</f>
        <v>-0.331271805982901</v>
      </c>
      <c r="T1499" s="55" t="n">
        <f aca="false">R1499+ROW()*0.000000001</f>
        <v>47.7104900047471</v>
      </c>
    </row>
    <row r="1500" customFormat="false" ht="15" hidden="false" customHeight="false" outlineLevel="0" collapsed="false">
      <c r="A1500" s="0" t="n">
        <v>36</v>
      </c>
      <c r="B1500" s="0" t="n">
        <v>19</v>
      </c>
      <c r="C1500" s="0" t="n">
        <f aca="false">-1+A1500*0.05</f>
        <v>0.8</v>
      </c>
      <c r="D1500" s="0" t="n">
        <f aca="false">-1+B1500*0.05</f>
        <v>-0.0499999999999999</v>
      </c>
      <c r="E1500" s="0" t="n">
        <f aca="false">1</f>
        <v>1</v>
      </c>
      <c r="F1500" s="0" t="n">
        <f aca="false">C1500</f>
        <v>0.8</v>
      </c>
      <c r="G1500" s="0" t="n">
        <f aca="false">D1500</f>
        <v>-0.0499999999999999</v>
      </c>
      <c r="H1500" s="0" t="n">
        <f aca="false">C1500*D1500</f>
        <v>-0.04</v>
      </c>
      <c r="I1500" s="0" t="n">
        <f aca="false">C1500*C1500</f>
        <v>0.64</v>
      </c>
      <c r="J1500" s="0" t="n">
        <f aca="false">D1500*D1500</f>
        <v>0.00249999999999999</v>
      </c>
      <c r="K1500" s="0" t="n">
        <f aca="false">SUMPRODUCT(E1500:J1500,_XtX!$B$53:$G$53)</f>
        <v>47.8555617816092</v>
      </c>
      <c r="L1500" s="0" t="n">
        <f aca="false">SUMPRODUCT(MMULT(E1500:J1500,_XtX!$B$44:$G$49),E1500:J1500)</f>
        <v>0.294830423850575</v>
      </c>
      <c r="M1500" s="0" t="n">
        <f aca="false">04_回帰ANOVA!$K$19*04_回帰ANOVA!$K$14*SQRT(1+L1500)</f>
        <v>1.54199519324769</v>
      </c>
      <c r="N1500" s="0" t="n">
        <f aca="false">K1500-M1500</f>
        <v>46.3135665883615</v>
      </c>
      <c r="O1500" s="0" t="n">
        <f aca="false">K1500+M1500</f>
        <v>49.3975569748569</v>
      </c>
      <c r="P1500" s="54" t="b">
        <f aca="false">AND(C1500&gt;=01_因子設定!$L$5-0.000000001,C1500&lt;=01_因子設定!$M$5+0.000000001,D1500&gt;=01_因子設定!$L$6-0.000000001,D1500&lt;=01_因子設定!$M$6+0.000000001,IF(01_因子設定!$B$20="Box-Behnken",C1500^2+D1500^2&lt;=2+0.000000001,TRUE()))</f>
        <v>1</v>
      </c>
      <c r="Q1500" s="55" t="n">
        <f aca="false">IF(P1500,IF(01_因子設定!$B$13="最大化",N1500-01_因子設定!$B$14,IF(01_因子設定!$B$13="最小化",01_因子設定!$B$15-O1500,MIN(N1500-01_因子設定!$B$14,01_因子設定!$B$15-O1500))),-1E+030)</f>
        <v>-0.186433411638504</v>
      </c>
      <c r="R1500" s="55" t="n">
        <f aca="false">IF(P1500,IF(01_因子設定!$B$13="最大化",K1500,IF(01_因子設定!$B$13="最小化",-K1500,-ABS(K1500-01_因子設定!$B$16))),-1E+030)</f>
        <v>47.8555617816092</v>
      </c>
      <c r="S1500" s="55" t="n">
        <f aca="false">Q1500+ROW()*0.000000001</f>
        <v>-0.186431911638504</v>
      </c>
      <c r="T1500" s="55" t="n">
        <f aca="false">R1500+ROW()*0.000000001</f>
        <v>47.8555632816092</v>
      </c>
    </row>
    <row r="1501" customFormat="false" ht="15" hidden="false" customHeight="false" outlineLevel="0" collapsed="false">
      <c r="A1501" s="0" t="n">
        <v>36</v>
      </c>
      <c r="B1501" s="0" t="n">
        <v>20</v>
      </c>
      <c r="C1501" s="0" t="n">
        <f aca="false">-1+A1501*0.05</f>
        <v>0.8</v>
      </c>
      <c r="D1501" s="0" t="n">
        <f aca="false">-1+B1501*0.05</f>
        <v>0</v>
      </c>
      <c r="E1501" s="0" t="n">
        <f aca="false">1</f>
        <v>1</v>
      </c>
      <c r="F1501" s="0" t="n">
        <f aca="false">C1501</f>
        <v>0.8</v>
      </c>
      <c r="G1501" s="0" t="n">
        <f aca="false">D1501</f>
        <v>0</v>
      </c>
      <c r="H1501" s="0" t="n">
        <f aca="false">C1501*D1501</f>
        <v>0</v>
      </c>
      <c r="I1501" s="0" t="n">
        <f aca="false">C1501*C1501</f>
        <v>0.64</v>
      </c>
      <c r="J1501" s="0" t="n">
        <f aca="false">D1501*D1501</f>
        <v>0</v>
      </c>
      <c r="K1501" s="0" t="n">
        <f aca="false">SUMPRODUCT(E1501:J1501,_XtX!$B$53:$G$53)</f>
        <v>47.9929195402299</v>
      </c>
      <c r="L1501" s="0" t="n">
        <f aca="false">SUMPRODUCT(MMULT(E1501:J1501,_XtX!$B$44:$G$49),E1501:J1501)</f>
        <v>0.294970114942529</v>
      </c>
      <c r="M1501" s="0" t="n">
        <f aca="false">04_回帰ANOVA!$K$19*04_回帰ANOVA!$K$14*SQRT(1+L1501)</f>
        <v>1.54207836907483</v>
      </c>
      <c r="N1501" s="0" t="n">
        <f aca="false">K1501-M1501</f>
        <v>46.450841171155</v>
      </c>
      <c r="O1501" s="0" t="n">
        <f aca="false">K1501+M1501</f>
        <v>49.5349979093047</v>
      </c>
      <c r="P1501" s="54" t="b">
        <f aca="false">AND(C1501&gt;=01_因子設定!$L$5-0.000000001,C1501&lt;=01_因子設定!$M$5+0.000000001,D1501&gt;=01_因子設定!$L$6-0.000000001,D1501&lt;=01_因子設定!$M$6+0.000000001,IF(01_因子設定!$B$20="Box-Behnken",C1501^2+D1501^2&lt;=2+0.000000001,TRUE()))</f>
        <v>1</v>
      </c>
      <c r="Q1501" s="55" t="n">
        <f aca="false">IF(P1501,IF(01_因子設定!$B$13="最大化",N1501-01_因子設定!$B$14,IF(01_因子設定!$B$13="最小化",01_因子設定!$B$15-O1501,MIN(N1501-01_因子設定!$B$14,01_因子設定!$B$15-O1501))),-1E+030)</f>
        <v>-0.0491588288449591</v>
      </c>
      <c r="R1501" s="55" t="n">
        <f aca="false">IF(P1501,IF(01_因子設定!$B$13="最大化",K1501,IF(01_因子設定!$B$13="最小化",-K1501,-ABS(K1501-01_因子設定!$B$16))),-1E+030)</f>
        <v>47.9929195402299</v>
      </c>
      <c r="S1501" s="55" t="n">
        <f aca="false">Q1501+ROW()*0.000000001</f>
        <v>-0.0491573278449591</v>
      </c>
      <c r="T1501" s="55" t="n">
        <f aca="false">R1501+ROW()*0.000000001</f>
        <v>47.9929210412299</v>
      </c>
    </row>
    <row r="1502" customFormat="false" ht="15" hidden="false" customHeight="false" outlineLevel="0" collapsed="false">
      <c r="A1502" s="0" t="n">
        <v>36</v>
      </c>
      <c r="B1502" s="0" t="n">
        <v>21</v>
      </c>
      <c r="C1502" s="0" t="n">
        <f aca="false">-1+A1502*0.05</f>
        <v>0.8</v>
      </c>
      <c r="D1502" s="0" t="n">
        <f aca="false">-1+B1502*0.05</f>
        <v>0.05</v>
      </c>
      <c r="E1502" s="0" t="n">
        <f aca="false">1</f>
        <v>1</v>
      </c>
      <c r="F1502" s="0" t="n">
        <f aca="false">C1502</f>
        <v>0.8</v>
      </c>
      <c r="G1502" s="0" t="n">
        <f aca="false">D1502</f>
        <v>0.05</v>
      </c>
      <c r="H1502" s="0" t="n">
        <f aca="false">C1502*D1502</f>
        <v>0.04</v>
      </c>
      <c r="I1502" s="0" t="n">
        <f aca="false">C1502*C1502</f>
        <v>0.64</v>
      </c>
      <c r="J1502" s="0" t="n">
        <f aca="false">D1502*D1502</f>
        <v>0.0025</v>
      </c>
      <c r="K1502" s="0" t="n">
        <f aca="false">SUMPRODUCT(E1502:J1502,_XtX!$B$53:$G$53)</f>
        <v>48.1225617816092</v>
      </c>
      <c r="L1502" s="0" t="n">
        <f aca="false">SUMPRODUCT(MMULT(E1502:J1502,_XtX!$B$44:$G$49),E1502:J1502)</f>
        <v>0.294830423850575</v>
      </c>
      <c r="M1502" s="0" t="n">
        <f aca="false">04_回帰ANOVA!$K$19*04_回帰ANOVA!$K$14*SQRT(1+L1502)</f>
        <v>1.54199519324769</v>
      </c>
      <c r="N1502" s="0" t="n">
        <f aca="false">K1502-M1502</f>
        <v>46.5805665883615</v>
      </c>
      <c r="O1502" s="0" t="n">
        <f aca="false">K1502+M1502</f>
        <v>49.6645569748569</v>
      </c>
      <c r="P1502" s="54" t="b">
        <f aca="false">AND(C1502&gt;=01_因子設定!$L$5-0.000000001,C1502&lt;=01_因子設定!$M$5+0.000000001,D1502&gt;=01_因子設定!$L$6-0.000000001,D1502&lt;=01_因子設定!$M$6+0.000000001,IF(01_因子設定!$B$20="Box-Behnken",C1502^2+D1502^2&lt;=2+0.000000001,TRUE()))</f>
        <v>1</v>
      </c>
      <c r="Q1502" s="55" t="n">
        <f aca="false">IF(P1502,IF(01_因子設定!$B$13="最大化",N1502-01_因子設定!$B$14,IF(01_因子設定!$B$13="最小化",01_因子設定!$B$15-O1502,MIN(N1502-01_因子設定!$B$14,01_因子設定!$B$15-O1502))),-1E+030)</f>
        <v>0.0805665883614921</v>
      </c>
      <c r="R1502" s="55" t="n">
        <f aca="false">IF(P1502,IF(01_因子設定!$B$13="最大化",K1502,IF(01_因子設定!$B$13="最小化",-K1502,-ABS(K1502-01_因子設定!$B$16))),-1E+030)</f>
        <v>48.1225617816092</v>
      </c>
      <c r="S1502" s="55" t="n">
        <f aca="false">Q1502+ROW()*0.000000001</f>
        <v>0.0805680903614921</v>
      </c>
      <c r="T1502" s="55" t="n">
        <f aca="false">R1502+ROW()*0.000000001</f>
        <v>48.1225632836092</v>
      </c>
    </row>
    <row r="1503" customFormat="false" ht="15" hidden="false" customHeight="false" outlineLevel="0" collapsed="false">
      <c r="A1503" s="0" t="n">
        <v>36</v>
      </c>
      <c r="B1503" s="0" t="n">
        <v>22</v>
      </c>
      <c r="C1503" s="0" t="n">
        <f aca="false">-1+A1503*0.05</f>
        <v>0.8</v>
      </c>
      <c r="D1503" s="0" t="n">
        <f aca="false">-1+B1503*0.05</f>
        <v>0.1</v>
      </c>
      <c r="E1503" s="0" t="n">
        <f aca="false">1</f>
        <v>1</v>
      </c>
      <c r="F1503" s="0" t="n">
        <f aca="false">C1503</f>
        <v>0.8</v>
      </c>
      <c r="G1503" s="0" t="n">
        <f aca="false">D1503</f>
        <v>0.1</v>
      </c>
      <c r="H1503" s="0" t="n">
        <f aca="false">C1503*D1503</f>
        <v>0.0800000000000001</v>
      </c>
      <c r="I1503" s="0" t="n">
        <f aca="false">C1503*C1503</f>
        <v>0.64</v>
      </c>
      <c r="J1503" s="0" t="n">
        <f aca="false">D1503*D1503</f>
        <v>0.01</v>
      </c>
      <c r="K1503" s="0" t="n">
        <f aca="false">SUMPRODUCT(E1503:J1503,_XtX!$B$53:$G$53)</f>
        <v>48.2444885057471</v>
      </c>
      <c r="L1503" s="0" t="n">
        <f aca="false">SUMPRODUCT(MMULT(E1503:J1503,_XtX!$B$44:$G$49),E1503:J1503)</f>
        <v>0.294438505747126</v>
      </c>
      <c r="M1503" s="0" t="n">
        <f aca="false">04_回帰ANOVA!$K$19*04_回帰ANOVA!$K$14*SQRT(1+L1503)</f>
        <v>1.54176181073002</v>
      </c>
      <c r="N1503" s="0" t="n">
        <f aca="false">K1503-M1503</f>
        <v>46.7027266950171</v>
      </c>
      <c r="O1503" s="0" t="n">
        <f aca="false">K1503+M1503</f>
        <v>49.7862503164771</v>
      </c>
      <c r="P1503" s="54" t="b">
        <f aca="false">AND(C1503&gt;=01_因子設定!$L$5-0.000000001,C1503&lt;=01_因子設定!$M$5+0.000000001,D1503&gt;=01_因子設定!$L$6-0.000000001,D1503&lt;=01_因子設定!$M$6+0.000000001,IF(01_因子設定!$B$20="Box-Behnken",C1503^2+D1503^2&lt;=2+0.000000001,TRUE()))</f>
        <v>1</v>
      </c>
      <c r="Q1503" s="55" t="n">
        <f aca="false">IF(P1503,IF(01_因子設定!$B$13="最大化",N1503-01_因子設定!$B$14,IF(01_因子設定!$B$13="最小化",01_因子設定!$B$15-O1503,MIN(N1503-01_因子設定!$B$14,01_因子設定!$B$15-O1503))),-1E+030)</f>
        <v>0.202726695017098</v>
      </c>
      <c r="R1503" s="55" t="n">
        <f aca="false">IF(P1503,IF(01_因子設定!$B$13="最大化",K1503,IF(01_因子設定!$B$13="最小化",-K1503,-ABS(K1503-01_因子設定!$B$16))),-1E+030)</f>
        <v>48.2444885057471</v>
      </c>
      <c r="S1503" s="55" t="n">
        <f aca="false">Q1503+ROW()*0.000000001</f>
        <v>0.202728198017098</v>
      </c>
      <c r="T1503" s="55" t="n">
        <f aca="false">R1503+ROW()*0.000000001</f>
        <v>48.2444900087471</v>
      </c>
    </row>
    <row r="1504" customFormat="false" ht="15" hidden="false" customHeight="false" outlineLevel="0" collapsed="false">
      <c r="A1504" s="0" t="n">
        <v>36</v>
      </c>
      <c r="B1504" s="0" t="n">
        <v>23</v>
      </c>
      <c r="C1504" s="0" t="n">
        <f aca="false">-1+A1504*0.05</f>
        <v>0.8</v>
      </c>
      <c r="D1504" s="0" t="n">
        <f aca="false">-1+B1504*0.05</f>
        <v>0.15</v>
      </c>
      <c r="E1504" s="0" t="n">
        <f aca="false">1</f>
        <v>1</v>
      </c>
      <c r="F1504" s="0" t="n">
        <f aca="false">C1504</f>
        <v>0.8</v>
      </c>
      <c r="G1504" s="0" t="n">
        <f aca="false">D1504</f>
        <v>0.15</v>
      </c>
      <c r="H1504" s="0" t="n">
        <f aca="false">C1504*D1504</f>
        <v>0.12</v>
      </c>
      <c r="I1504" s="0" t="n">
        <f aca="false">C1504*C1504</f>
        <v>0.64</v>
      </c>
      <c r="J1504" s="0" t="n">
        <f aca="false">D1504*D1504</f>
        <v>0.0225</v>
      </c>
      <c r="K1504" s="0" t="n">
        <f aca="false">SUMPRODUCT(E1504:J1504,_XtX!$B$53:$G$53)</f>
        <v>48.3586997126437</v>
      </c>
      <c r="L1504" s="0" t="n">
        <f aca="false">SUMPRODUCT(MMULT(E1504:J1504,_XtX!$B$44:$G$49),E1504:J1504)</f>
        <v>0.293875826149425</v>
      </c>
      <c r="M1504" s="0" t="n">
        <f aca="false">04_回帰ANOVA!$K$19*04_回帰ANOVA!$K$14*SQRT(1+L1504)</f>
        <v>1.54142668001218</v>
      </c>
      <c r="N1504" s="0" t="n">
        <f aca="false">K1504-M1504</f>
        <v>46.8172730326315</v>
      </c>
      <c r="O1504" s="0" t="n">
        <f aca="false">K1504+M1504</f>
        <v>49.9001263926558</v>
      </c>
      <c r="P1504" s="54" t="b">
        <f aca="false">AND(C1504&gt;=01_因子設定!$L$5-0.000000001,C1504&lt;=01_因子設定!$M$5+0.000000001,D1504&gt;=01_因子設定!$L$6-0.000000001,D1504&lt;=01_因子設定!$M$6+0.000000001,IF(01_因子設定!$B$20="Box-Behnken",C1504^2+D1504^2&lt;=2+0.000000001,TRUE()))</f>
        <v>1</v>
      </c>
      <c r="Q1504" s="55" t="n">
        <f aca="false">IF(P1504,IF(01_因子設定!$B$13="最大化",N1504-01_因子設定!$B$14,IF(01_因子設定!$B$13="最小化",01_因子設定!$B$15-O1504,MIN(N1504-01_因子設定!$B$14,01_因子設定!$B$15-O1504))),-1E+030)</f>
        <v>0.317273032631491</v>
      </c>
      <c r="R1504" s="55" t="n">
        <f aca="false">IF(P1504,IF(01_因子設定!$B$13="最大化",K1504,IF(01_因子設定!$B$13="最小化",-K1504,-ABS(K1504-01_因子設定!$B$16))),-1E+030)</f>
        <v>48.3586997126437</v>
      </c>
      <c r="S1504" s="55" t="n">
        <f aca="false">Q1504+ROW()*0.000000001</f>
        <v>0.317274536631491</v>
      </c>
      <c r="T1504" s="55" t="n">
        <f aca="false">R1504+ROW()*0.000000001</f>
        <v>48.3587012166437</v>
      </c>
    </row>
    <row r="1505" customFormat="false" ht="15" hidden="false" customHeight="false" outlineLevel="0" collapsed="false">
      <c r="A1505" s="0" t="n">
        <v>36</v>
      </c>
      <c r="B1505" s="0" t="n">
        <v>24</v>
      </c>
      <c r="C1505" s="0" t="n">
        <f aca="false">-1+A1505*0.05</f>
        <v>0.8</v>
      </c>
      <c r="D1505" s="0" t="n">
        <f aca="false">-1+B1505*0.05</f>
        <v>0.2</v>
      </c>
      <c r="E1505" s="0" t="n">
        <f aca="false">1</f>
        <v>1</v>
      </c>
      <c r="F1505" s="0" t="n">
        <f aca="false">C1505</f>
        <v>0.8</v>
      </c>
      <c r="G1505" s="0" t="n">
        <f aca="false">D1505</f>
        <v>0.2</v>
      </c>
      <c r="H1505" s="0" t="n">
        <f aca="false">C1505*D1505</f>
        <v>0.16</v>
      </c>
      <c r="I1505" s="0" t="n">
        <f aca="false">C1505*C1505</f>
        <v>0.64</v>
      </c>
      <c r="J1505" s="0" t="n">
        <f aca="false">D1505*D1505</f>
        <v>0.0400000000000001</v>
      </c>
      <c r="K1505" s="0" t="n">
        <f aca="false">SUMPRODUCT(E1505:J1505,_XtX!$B$53:$G$53)</f>
        <v>48.4651954022988</v>
      </c>
      <c r="L1505" s="0" t="n">
        <f aca="false">SUMPRODUCT(MMULT(E1505:J1505,_XtX!$B$44:$G$49),E1505:J1505)</f>
        <v>0.29327816091954</v>
      </c>
      <c r="M1505" s="0" t="n">
        <f aca="false">04_回帰ANOVA!$K$19*04_回帰ANOVA!$K$14*SQRT(1+L1505)</f>
        <v>1.54107063211196</v>
      </c>
      <c r="N1505" s="0" t="n">
        <f aca="false">K1505-M1505</f>
        <v>46.9241247701869</v>
      </c>
      <c r="O1505" s="0" t="n">
        <f aca="false">K1505+M1505</f>
        <v>50.0062660344108</v>
      </c>
      <c r="P1505" s="54" t="b">
        <f aca="false">AND(C1505&gt;=01_因子設定!$L$5-0.000000001,C1505&lt;=01_因子設定!$M$5+0.000000001,D1505&gt;=01_因子設定!$L$6-0.000000001,D1505&lt;=01_因子設定!$M$6+0.000000001,IF(01_因子設定!$B$20="Box-Behnken",C1505^2+D1505^2&lt;=2+0.000000001,TRUE()))</f>
        <v>1</v>
      </c>
      <c r="Q1505" s="55" t="n">
        <f aca="false">IF(P1505,IF(01_因子設定!$B$13="最大化",N1505-01_因子設定!$B$14,IF(01_因子設定!$B$13="最小化",01_因子設定!$B$15-O1505,MIN(N1505-01_因子設定!$B$14,01_因子設定!$B$15-O1505))),-1E+030)</f>
        <v>0.424124770186879</v>
      </c>
      <c r="R1505" s="55" t="n">
        <f aca="false">IF(P1505,IF(01_因子設定!$B$13="最大化",K1505,IF(01_因子設定!$B$13="最小化",-K1505,-ABS(K1505-01_因子設定!$B$16))),-1E+030)</f>
        <v>48.4651954022988</v>
      </c>
      <c r="S1505" s="55" t="n">
        <f aca="false">Q1505+ROW()*0.000000001</f>
        <v>0.424126275186879</v>
      </c>
      <c r="T1505" s="55" t="n">
        <f aca="false">R1505+ROW()*0.000000001</f>
        <v>48.4651969072988</v>
      </c>
    </row>
    <row r="1506" customFormat="false" ht="15" hidden="false" customHeight="false" outlineLevel="0" collapsed="false">
      <c r="A1506" s="0" t="n">
        <v>36</v>
      </c>
      <c r="B1506" s="0" t="n">
        <v>25</v>
      </c>
      <c r="C1506" s="0" t="n">
        <f aca="false">-1+A1506*0.05</f>
        <v>0.8</v>
      </c>
      <c r="D1506" s="0" t="n">
        <f aca="false">-1+B1506*0.05</f>
        <v>0.25</v>
      </c>
      <c r="E1506" s="0" t="n">
        <f aca="false">1</f>
        <v>1</v>
      </c>
      <c r="F1506" s="0" t="n">
        <f aca="false">C1506</f>
        <v>0.8</v>
      </c>
      <c r="G1506" s="0" t="n">
        <f aca="false">D1506</f>
        <v>0.25</v>
      </c>
      <c r="H1506" s="0" t="n">
        <f aca="false">C1506*D1506</f>
        <v>0.2</v>
      </c>
      <c r="I1506" s="0" t="n">
        <f aca="false">C1506*C1506</f>
        <v>0.64</v>
      </c>
      <c r="J1506" s="0" t="n">
        <f aca="false">D1506*D1506</f>
        <v>0.0625</v>
      </c>
      <c r="K1506" s="0" t="n">
        <f aca="false">SUMPRODUCT(E1506:J1506,_XtX!$B$53:$G$53)</f>
        <v>48.5639755747126</v>
      </c>
      <c r="L1506" s="0" t="n">
        <f aca="false">SUMPRODUCT(MMULT(E1506:J1506,_XtX!$B$44:$G$49),E1506:J1506)</f>
        <v>0.292835596264368</v>
      </c>
      <c r="M1506" s="0" t="n">
        <f aca="false">04_回帰ANOVA!$K$19*04_回帰ANOVA!$K$14*SQRT(1+L1506)</f>
        <v>1.54080692946421</v>
      </c>
      <c r="N1506" s="0" t="n">
        <f aca="false">K1506-M1506</f>
        <v>47.0231686452484</v>
      </c>
      <c r="O1506" s="0" t="n">
        <f aca="false">K1506+M1506</f>
        <v>50.1047825041768</v>
      </c>
      <c r="P1506" s="54" t="b">
        <f aca="false">AND(C1506&gt;=01_因子設定!$L$5-0.000000001,C1506&lt;=01_因子設定!$M$5+0.000000001,D1506&gt;=01_因子設定!$L$6-0.000000001,D1506&lt;=01_因子設定!$M$6+0.000000001,IF(01_因子設定!$B$20="Box-Behnken",C1506^2+D1506^2&lt;=2+0.000000001,TRUE()))</f>
        <v>1</v>
      </c>
      <c r="Q1506" s="55" t="n">
        <f aca="false">IF(P1506,IF(01_因子設定!$B$13="最大化",N1506-01_因子設定!$B$14,IF(01_因子設定!$B$13="最小化",01_因子設定!$B$15-O1506,MIN(N1506-01_因子設定!$B$14,01_因子設定!$B$15-O1506))),-1E+030)</f>
        <v>0.523168645248418</v>
      </c>
      <c r="R1506" s="55" t="n">
        <f aca="false">IF(P1506,IF(01_因子設定!$B$13="最大化",K1506,IF(01_因子設定!$B$13="最小化",-K1506,-ABS(K1506-01_因子設定!$B$16))),-1E+030)</f>
        <v>48.5639755747126</v>
      </c>
      <c r="S1506" s="55" t="n">
        <f aca="false">Q1506+ROW()*0.000000001</f>
        <v>0.523170151248418</v>
      </c>
      <c r="T1506" s="55" t="n">
        <f aca="false">R1506+ROW()*0.000000001</f>
        <v>48.5639770807126</v>
      </c>
    </row>
    <row r="1507" customFormat="false" ht="15" hidden="false" customHeight="false" outlineLevel="0" collapsed="false">
      <c r="A1507" s="0" t="n">
        <v>36</v>
      </c>
      <c r="B1507" s="0" t="n">
        <v>26</v>
      </c>
      <c r="C1507" s="0" t="n">
        <f aca="false">-1+A1507*0.05</f>
        <v>0.8</v>
      </c>
      <c r="D1507" s="0" t="n">
        <f aca="false">-1+B1507*0.05</f>
        <v>0.3</v>
      </c>
      <c r="E1507" s="0" t="n">
        <f aca="false">1</f>
        <v>1</v>
      </c>
      <c r="F1507" s="0" t="n">
        <f aca="false">C1507</f>
        <v>0.8</v>
      </c>
      <c r="G1507" s="0" t="n">
        <f aca="false">D1507</f>
        <v>0.3</v>
      </c>
      <c r="H1507" s="0" t="n">
        <f aca="false">C1507*D1507</f>
        <v>0.24</v>
      </c>
      <c r="I1507" s="0" t="n">
        <f aca="false">C1507*C1507</f>
        <v>0.64</v>
      </c>
      <c r="J1507" s="0" t="n">
        <f aca="false">D1507*D1507</f>
        <v>0.09</v>
      </c>
      <c r="K1507" s="0" t="n">
        <f aca="false">SUMPRODUCT(E1507:J1507,_XtX!$B$53:$G$53)</f>
        <v>48.655040229885</v>
      </c>
      <c r="L1507" s="0" t="n">
        <f aca="false">SUMPRODUCT(MMULT(E1507:J1507,_XtX!$B$44:$G$49),E1507:J1507)</f>
        <v>0.292792528735632</v>
      </c>
      <c r="M1507" s="0" t="n">
        <f aca="false">04_回帰ANOVA!$K$19*04_回帰ANOVA!$K$14*SQRT(1+L1507)</f>
        <v>1.54078126521906</v>
      </c>
      <c r="N1507" s="0" t="n">
        <f aca="false">K1507-M1507</f>
        <v>47.114258964666</v>
      </c>
      <c r="O1507" s="0" t="n">
        <f aca="false">K1507+M1507</f>
        <v>50.1958214951041</v>
      </c>
      <c r="P1507" s="54" t="b">
        <f aca="false">AND(C1507&gt;=01_因子設定!$L$5-0.000000001,C1507&lt;=01_因子設定!$M$5+0.000000001,D1507&gt;=01_因子設定!$L$6-0.000000001,D1507&lt;=01_因子設定!$M$6+0.000000001,IF(01_因子設定!$B$20="Box-Behnken",C1507^2+D1507^2&lt;=2+0.000000001,TRUE()))</f>
        <v>1</v>
      </c>
      <c r="Q1507" s="55" t="n">
        <f aca="false">IF(P1507,IF(01_因子設定!$B$13="最大化",N1507-01_因子設定!$B$14,IF(01_因子設定!$B$13="最小化",01_因子設定!$B$15-O1507,MIN(N1507-01_因子設定!$B$14,01_因子設定!$B$15-O1507))),-1E+030)</f>
        <v>0.614258964665986</v>
      </c>
      <c r="R1507" s="55" t="n">
        <f aca="false">IF(P1507,IF(01_因子設定!$B$13="最大化",K1507,IF(01_因子設定!$B$13="最小化",-K1507,-ABS(K1507-01_因子設定!$B$16))),-1E+030)</f>
        <v>48.655040229885</v>
      </c>
      <c r="S1507" s="55" t="n">
        <f aca="false">Q1507+ROW()*0.000000001</f>
        <v>0.614260471665986</v>
      </c>
      <c r="T1507" s="55" t="n">
        <f aca="false">R1507+ROW()*0.000000001</f>
        <v>48.655041736885</v>
      </c>
    </row>
    <row r="1508" customFormat="false" ht="15" hidden="false" customHeight="false" outlineLevel="0" collapsed="false">
      <c r="A1508" s="0" t="n">
        <v>36</v>
      </c>
      <c r="B1508" s="0" t="n">
        <v>27</v>
      </c>
      <c r="C1508" s="0" t="n">
        <f aca="false">-1+A1508*0.05</f>
        <v>0.8</v>
      </c>
      <c r="D1508" s="0" t="n">
        <f aca="false">-1+B1508*0.05</f>
        <v>0.35</v>
      </c>
      <c r="E1508" s="0" t="n">
        <f aca="false">1</f>
        <v>1</v>
      </c>
      <c r="F1508" s="0" t="n">
        <f aca="false">C1508</f>
        <v>0.8</v>
      </c>
      <c r="G1508" s="0" t="n">
        <f aca="false">D1508</f>
        <v>0.35</v>
      </c>
      <c r="H1508" s="0" t="n">
        <f aca="false">C1508*D1508</f>
        <v>0.28</v>
      </c>
      <c r="I1508" s="0" t="n">
        <f aca="false">C1508*C1508</f>
        <v>0.64</v>
      </c>
      <c r="J1508" s="0" t="n">
        <f aca="false">D1508*D1508</f>
        <v>0.1225</v>
      </c>
      <c r="K1508" s="0" t="n">
        <f aca="false">SUMPRODUCT(E1508:J1508,_XtX!$B$53:$G$53)</f>
        <v>48.7383893678161</v>
      </c>
      <c r="L1508" s="0" t="n">
        <f aca="false">SUMPRODUCT(MMULT(E1508:J1508,_XtX!$B$44:$G$49),E1508:J1508)</f>
        <v>0.293447665229885</v>
      </c>
      <c r="M1508" s="0" t="n">
        <f aca="false">04_回帰ANOVA!$K$19*04_回帰ANOVA!$K$14*SQRT(1+L1508)</f>
        <v>1.54117161949579</v>
      </c>
      <c r="N1508" s="0" t="n">
        <f aca="false">K1508-M1508</f>
        <v>47.1972177483203</v>
      </c>
      <c r="O1508" s="0" t="n">
        <f aca="false">K1508+M1508</f>
        <v>50.2795609873119</v>
      </c>
      <c r="P1508" s="54" t="b">
        <f aca="false">AND(C1508&gt;=01_因子設定!$L$5-0.000000001,C1508&lt;=01_因子設定!$M$5+0.000000001,D1508&gt;=01_因子設定!$L$6-0.000000001,D1508&lt;=01_因子設定!$M$6+0.000000001,IF(01_因子設定!$B$20="Box-Behnken",C1508^2+D1508^2&lt;=2+0.000000001,TRUE()))</f>
        <v>1</v>
      </c>
      <c r="Q1508" s="55" t="n">
        <f aca="false">IF(P1508,IF(01_因子設定!$B$13="最大化",N1508-01_因子設定!$B$14,IF(01_因子設定!$B$13="最小化",01_因子設定!$B$15-O1508,MIN(N1508-01_因子設定!$B$14,01_因子設定!$B$15-O1508))),-1E+030)</f>
        <v>0.697217748320284</v>
      </c>
      <c r="R1508" s="55" t="n">
        <f aca="false">IF(P1508,IF(01_因子設定!$B$13="最大化",K1508,IF(01_因子設定!$B$13="最小化",-K1508,-ABS(K1508-01_因子設定!$B$16))),-1E+030)</f>
        <v>48.7383893678161</v>
      </c>
      <c r="S1508" s="55" t="n">
        <f aca="false">Q1508+ROW()*0.000000001</f>
        <v>0.697219256320284</v>
      </c>
      <c r="T1508" s="55" t="n">
        <f aca="false">R1508+ROW()*0.000000001</f>
        <v>48.7383908758161</v>
      </c>
    </row>
    <row r="1509" customFormat="false" ht="15" hidden="false" customHeight="false" outlineLevel="0" collapsed="false">
      <c r="A1509" s="0" t="n">
        <v>36</v>
      </c>
      <c r="B1509" s="0" t="n">
        <v>28</v>
      </c>
      <c r="C1509" s="0" t="n">
        <f aca="false">-1+A1509*0.05</f>
        <v>0.8</v>
      </c>
      <c r="D1509" s="0" t="n">
        <f aca="false">-1+B1509*0.05</f>
        <v>0.4</v>
      </c>
      <c r="E1509" s="0" t="n">
        <f aca="false">1</f>
        <v>1</v>
      </c>
      <c r="F1509" s="0" t="n">
        <f aca="false">C1509</f>
        <v>0.8</v>
      </c>
      <c r="G1509" s="0" t="n">
        <f aca="false">D1509</f>
        <v>0.4</v>
      </c>
      <c r="H1509" s="0" t="n">
        <f aca="false">C1509*D1509</f>
        <v>0.32</v>
      </c>
      <c r="I1509" s="0" t="n">
        <f aca="false">C1509*C1509</f>
        <v>0.64</v>
      </c>
      <c r="J1509" s="0" t="n">
        <f aca="false">D1509*D1509</f>
        <v>0.16</v>
      </c>
      <c r="K1509" s="0" t="n">
        <f aca="false">SUMPRODUCT(E1509:J1509,_XtX!$B$53:$G$53)</f>
        <v>48.8140229885057</v>
      </c>
      <c r="L1509" s="0" t="n">
        <f aca="false">SUMPRODUCT(MMULT(E1509:J1509,_XtX!$B$44:$G$49),E1509:J1509)</f>
        <v>0.295154022988506</v>
      </c>
      <c r="M1509" s="0" t="n">
        <f aca="false">04_回帰ANOVA!$K$19*04_回帰ANOVA!$K$14*SQRT(1+L1509)</f>
        <v>1.54218786602306</v>
      </c>
      <c r="N1509" s="0" t="n">
        <f aca="false">K1509-M1509</f>
        <v>47.2718351224827</v>
      </c>
      <c r="O1509" s="0" t="n">
        <f aca="false">K1509+M1509</f>
        <v>50.3562108545288</v>
      </c>
      <c r="P1509" s="54" t="b">
        <f aca="false">AND(C1509&gt;=01_因子設定!$L$5-0.000000001,C1509&lt;=01_因子設定!$M$5+0.000000001,D1509&gt;=01_因子設定!$L$6-0.000000001,D1509&lt;=01_因子設定!$M$6+0.000000001,IF(01_因子設定!$B$20="Box-Behnken",C1509^2+D1509^2&lt;=2+0.000000001,TRUE()))</f>
        <v>1</v>
      </c>
      <c r="Q1509" s="55" t="n">
        <f aca="false">IF(P1509,IF(01_因子設定!$B$13="最大化",N1509-01_因子設定!$B$14,IF(01_因子設定!$B$13="最小化",01_因子設定!$B$15-O1509,MIN(N1509-01_因子設定!$B$14,01_因子設定!$B$15-O1509))),-1E+030)</f>
        <v>0.771835122482671</v>
      </c>
      <c r="R1509" s="55" t="n">
        <f aca="false">IF(P1509,IF(01_因子設定!$B$13="最大化",K1509,IF(01_因子設定!$B$13="最小化",-K1509,-ABS(K1509-01_因子設定!$B$16))),-1E+030)</f>
        <v>48.8140229885057</v>
      </c>
      <c r="S1509" s="55" t="n">
        <f aca="false">Q1509+ROW()*0.000000001</f>
        <v>0.771836631482671</v>
      </c>
      <c r="T1509" s="55" t="n">
        <f aca="false">R1509+ROW()*0.000000001</f>
        <v>48.8140244975057</v>
      </c>
    </row>
    <row r="1510" customFormat="false" ht="15" hidden="false" customHeight="false" outlineLevel="0" collapsed="false">
      <c r="A1510" s="0" t="n">
        <v>36</v>
      </c>
      <c r="B1510" s="0" t="n">
        <v>29</v>
      </c>
      <c r="C1510" s="0" t="n">
        <f aca="false">-1+A1510*0.05</f>
        <v>0.8</v>
      </c>
      <c r="D1510" s="0" t="n">
        <f aca="false">-1+B1510*0.05</f>
        <v>0.45</v>
      </c>
      <c r="E1510" s="0" t="n">
        <f aca="false">1</f>
        <v>1</v>
      </c>
      <c r="F1510" s="0" t="n">
        <f aca="false">C1510</f>
        <v>0.8</v>
      </c>
      <c r="G1510" s="0" t="n">
        <f aca="false">D1510</f>
        <v>0.45</v>
      </c>
      <c r="H1510" s="0" t="n">
        <f aca="false">C1510*D1510</f>
        <v>0.36</v>
      </c>
      <c r="I1510" s="0" t="n">
        <f aca="false">C1510*C1510</f>
        <v>0.64</v>
      </c>
      <c r="J1510" s="0" t="n">
        <f aca="false">D1510*D1510</f>
        <v>0.2025</v>
      </c>
      <c r="K1510" s="0" t="n">
        <f aca="false">SUMPRODUCT(E1510:J1510,_XtX!$B$53:$G$53)</f>
        <v>48.881941091954</v>
      </c>
      <c r="L1510" s="0" t="n">
        <f aca="false">SUMPRODUCT(MMULT(E1510:J1510,_XtX!$B$44:$G$49),E1510:J1510)</f>
        <v>0.298318929597701</v>
      </c>
      <c r="M1510" s="0" t="n">
        <f aca="false">04_回帰ANOVA!$K$19*04_回帰ANOVA!$K$14*SQRT(1+L1510)</f>
        <v>1.54407100205425</v>
      </c>
      <c r="N1510" s="0" t="n">
        <f aca="false">K1510-M1510</f>
        <v>47.3378700898998</v>
      </c>
      <c r="O1510" s="0" t="n">
        <f aca="false">K1510+M1510</f>
        <v>50.4260120940083</v>
      </c>
      <c r="P1510" s="54" t="b">
        <f aca="false">AND(C1510&gt;=01_因子設定!$L$5-0.000000001,C1510&lt;=01_因子設定!$M$5+0.000000001,D1510&gt;=01_因子設定!$L$6-0.000000001,D1510&lt;=01_因子設定!$M$6+0.000000001,IF(01_因子設定!$B$20="Box-Behnken",C1510^2+D1510^2&lt;=2+0.000000001,TRUE()))</f>
        <v>1</v>
      </c>
      <c r="Q1510" s="55" t="n">
        <f aca="false">IF(P1510,IF(01_因子設定!$B$13="最大化",N1510-01_因子設定!$B$14,IF(01_因子設定!$B$13="最小化",01_因子設定!$B$15-O1510,MIN(N1510-01_因子設定!$B$14,01_因子設定!$B$15-O1510))),-1E+030)</f>
        <v>0.837870089899766</v>
      </c>
      <c r="R1510" s="55" t="n">
        <f aca="false">IF(P1510,IF(01_因子設定!$B$13="最大化",K1510,IF(01_因子設定!$B$13="最小化",-K1510,-ABS(K1510-01_因子設定!$B$16))),-1E+030)</f>
        <v>48.881941091954</v>
      </c>
      <c r="S1510" s="55" t="n">
        <f aca="false">Q1510+ROW()*0.000000001</f>
        <v>0.837871599899767</v>
      </c>
      <c r="T1510" s="55" t="n">
        <f aca="false">R1510+ROW()*0.000000001</f>
        <v>48.881942601954</v>
      </c>
    </row>
    <row r="1511" customFormat="false" ht="15" hidden="false" customHeight="false" outlineLevel="0" collapsed="false">
      <c r="A1511" s="0" t="n">
        <v>36</v>
      </c>
      <c r="B1511" s="0" t="n">
        <v>30</v>
      </c>
      <c r="C1511" s="0" t="n">
        <f aca="false">-1+A1511*0.05</f>
        <v>0.8</v>
      </c>
      <c r="D1511" s="0" t="n">
        <f aca="false">-1+B1511*0.05</f>
        <v>0.5</v>
      </c>
      <c r="E1511" s="0" t="n">
        <f aca="false">1</f>
        <v>1</v>
      </c>
      <c r="F1511" s="0" t="n">
        <f aca="false">C1511</f>
        <v>0.8</v>
      </c>
      <c r="G1511" s="0" t="n">
        <f aca="false">D1511</f>
        <v>0.5</v>
      </c>
      <c r="H1511" s="0" t="n">
        <f aca="false">C1511*D1511</f>
        <v>0.4</v>
      </c>
      <c r="I1511" s="0" t="n">
        <f aca="false">C1511*C1511</f>
        <v>0.64</v>
      </c>
      <c r="J1511" s="0" t="n">
        <f aca="false">D1511*D1511</f>
        <v>0.25</v>
      </c>
      <c r="K1511" s="0" t="n">
        <f aca="false">SUMPRODUCT(E1511:J1511,_XtX!$B$53:$G$53)</f>
        <v>48.9421436781609</v>
      </c>
      <c r="L1511" s="0" t="n">
        <f aca="false">SUMPRODUCT(MMULT(E1511:J1511,_XtX!$B$44:$G$49),E1511:J1511)</f>
        <v>0.303404022988506</v>
      </c>
      <c r="M1511" s="0" t="n">
        <f aca="false">04_回帰ANOVA!$K$19*04_回帰ANOVA!$K$14*SQRT(1+L1511)</f>
        <v>1.54709185921971</v>
      </c>
      <c r="N1511" s="0" t="n">
        <f aca="false">K1511-M1511</f>
        <v>47.3950518189412</v>
      </c>
      <c r="O1511" s="0" t="n">
        <f aca="false">K1511+M1511</f>
        <v>50.4892355373806</v>
      </c>
      <c r="P1511" s="54" t="b">
        <f aca="false">AND(C1511&gt;=01_因子設定!$L$5-0.000000001,C1511&lt;=01_因子設定!$M$5+0.000000001,D1511&gt;=01_因子設定!$L$6-0.000000001,D1511&lt;=01_因子設定!$M$6+0.000000001,IF(01_因子設定!$B$20="Box-Behnken",C1511^2+D1511^2&lt;=2+0.000000001,TRUE()))</f>
        <v>1</v>
      </c>
      <c r="Q1511" s="55" t="n">
        <f aca="false">IF(P1511,IF(01_因子設定!$B$13="最大化",N1511-01_因子設定!$B$14,IF(01_因子設定!$B$13="最小化",01_因子設定!$B$15-O1511,MIN(N1511-01_因子設定!$B$14,01_因子設定!$B$15-O1511))),-1E+030)</f>
        <v>0.895051818941198</v>
      </c>
      <c r="R1511" s="55" t="n">
        <f aca="false">IF(P1511,IF(01_因子設定!$B$13="最大化",K1511,IF(01_因子設定!$B$13="最小化",-K1511,-ABS(K1511-01_因子設定!$B$16))),-1E+030)</f>
        <v>48.9421436781609</v>
      </c>
      <c r="S1511" s="55" t="n">
        <f aca="false">Q1511+ROW()*0.000000001</f>
        <v>0.895053329941198</v>
      </c>
      <c r="T1511" s="55" t="n">
        <f aca="false">R1511+ROW()*0.000000001</f>
        <v>48.9421451891609</v>
      </c>
    </row>
    <row r="1512" customFormat="false" ht="15" hidden="false" customHeight="false" outlineLevel="0" collapsed="false">
      <c r="A1512" s="0" t="n">
        <v>36</v>
      </c>
      <c r="B1512" s="0" t="n">
        <v>31</v>
      </c>
      <c r="C1512" s="0" t="n">
        <f aca="false">-1+A1512*0.05</f>
        <v>0.8</v>
      </c>
      <c r="D1512" s="0" t="n">
        <f aca="false">-1+B1512*0.05</f>
        <v>0.55</v>
      </c>
      <c r="E1512" s="0" t="n">
        <f aca="false">1</f>
        <v>1</v>
      </c>
      <c r="F1512" s="0" t="n">
        <f aca="false">C1512</f>
        <v>0.8</v>
      </c>
      <c r="G1512" s="0" t="n">
        <f aca="false">D1512</f>
        <v>0.55</v>
      </c>
      <c r="H1512" s="0" t="n">
        <f aca="false">C1512*D1512</f>
        <v>0.44</v>
      </c>
      <c r="I1512" s="0" t="n">
        <f aca="false">C1512*C1512</f>
        <v>0.64</v>
      </c>
      <c r="J1512" s="0" t="n">
        <f aca="false">D1512*D1512</f>
        <v>0.3025</v>
      </c>
      <c r="K1512" s="0" t="n">
        <f aca="false">SUMPRODUCT(E1512:J1512,_XtX!$B$53:$G$53)</f>
        <v>48.9946307471264</v>
      </c>
      <c r="L1512" s="0" t="n">
        <f aca="false">SUMPRODUCT(MMULT(E1512:J1512,_XtX!$B$44:$G$49),E1512:J1512)</f>
        <v>0.310925251436782</v>
      </c>
      <c r="M1512" s="0" t="n">
        <f aca="false">04_回帰ANOVA!$K$19*04_回帰ANOVA!$K$14*SQRT(1+L1512)</f>
        <v>1.551549146857</v>
      </c>
      <c r="N1512" s="0" t="n">
        <f aca="false">K1512-M1512</f>
        <v>47.4430816002694</v>
      </c>
      <c r="O1512" s="0" t="n">
        <f aca="false">K1512+M1512</f>
        <v>50.5461798939834</v>
      </c>
      <c r="P1512" s="54" t="b">
        <f aca="false">AND(C1512&gt;=01_因子設定!$L$5-0.000000001,C1512&lt;=01_因子設定!$M$5+0.000000001,D1512&gt;=01_因子設定!$L$6-0.000000001,D1512&lt;=01_因子設定!$M$6+0.000000001,IF(01_因子設定!$B$20="Box-Behnken",C1512^2+D1512^2&lt;=2+0.000000001,TRUE()))</f>
        <v>1</v>
      </c>
      <c r="Q1512" s="55" t="n">
        <f aca="false">IF(P1512,IF(01_因子設定!$B$13="最大化",N1512-01_因子設定!$B$14,IF(01_因子設定!$B$13="最小化",01_因子設定!$B$15-O1512,MIN(N1512-01_因子設定!$B$14,01_因子設定!$B$15-O1512))),-1E+030)</f>
        <v>0.943081600269423</v>
      </c>
      <c r="R1512" s="55" t="n">
        <f aca="false">IF(P1512,IF(01_因子設定!$B$13="最大化",K1512,IF(01_因子設定!$B$13="最小化",-K1512,-ABS(K1512-01_因子設定!$B$16))),-1E+030)</f>
        <v>48.9946307471264</v>
      </c>
      <c r="S1512" s="55" t="n">
        <f aca="false">Q1512+ROW()*0.000000001</f>
        <v>0.943083112269423</v>
      </c>
      <c r="T1512" s="55" t="n">
        <f aca="false">R1512+ROW()*0.000000001</f>
        <v>48.9946322591264</v>
      </c>
    </row>
    <row r="1513" customFormat="false" ht="15" hidden="false" customHeight="false" outlineLevel="0" collapsed="false">
      <c r="A1513" s="0" t="n">
        <v>36</v>
      </c>
      <c r="B1513" s="0" t="n">
        <v>32</v>
      </c>
      <c r="C1513" s="0" t="n">
        <f aca="false">-1+A1513*0.05</f>
        <v>0.8</v>
      </c>
      <c r="D1513" s="0" t="n">
        <f aca="false">-1+B1513*0.05</f>
        <v>0.6</v>
      </c>
      <c r="E1513" s="0" t="n">
        <f aca="false">1</f>
        <v>1</v>
      </c>
      <c r="F1513" s="0" t="n">
        <f aca="false">C1513</f>
        <v>0.8</v>
      </c>
      <c r="G1513" s="0" t="n">
        <f aca="false">D1513</f>
        <v>0.6</v>
      </c>
      <c r="H1513" s="0" t="n">
        <f aca="false">C1513*D1513</f>
        <v>0.48</v>
      </c>
      <c r="I1513" s="0" t="n">
        <f aca="false">C1513*C1513</f>
        <v>0.64</v>
      </c>
      <c r="J1513" s="0" t="n">
        <f aca="false">D1513*D1513</f>
        <v>0.36</v>
      </c>
      <c r="K1513" s="0" t="n">
        <f aca="false">SUMPRODUCT(E1513:J1513,_XtX!$B$53:$G$53)</f>
        <v>49.0394022988506</v>
      </c>
      <c r="L1513" s="0" t="n">
        <f aca="false">SUMPRODUCT(MMULT(E1513:J1513,_XtX!$B$44:$G$49),E1513:J1513)</f>
        <v>0.321452873563218</v>
      </c>
      <c r="M1513" s="0" t="n">
        <f aca="false">04_回帰ANOVA!$K$19*04_回帰ANOVA!$K$14*SQRT(1+L1513)</f>
        <v>1.55776668694898</v>
      </c>
      <c r="N1513" s="0" t="n">
        <f aca="false">K1513-M1513</f>
        <v>47.4816356119016</v>
      </c>
      <c r="O1513" s="0" t="n">
        <f aca="false">K1513+M1513</f>
        <v>50.5971689857995</v>
      </c>
      <c r="P1513" s="54" t="b">
        <f aca="false">AND(C1513&gt;=01_因子設定!$L$5-0.000000001,C1513&lt;=01_因子設定!$M$5+0.000000001,D1513&gt;=01_因子設定!$L$6-0.000000001,D1513&lt;=01_因子設定!$M$6+0.000000001,IF(01_因子設定!$B$20="Box-Behnken",C1513^2+D1513^2&lt;=2+0.000000001,TRUE()))</f>
        <v>1</v>
      </c>
      <c r="Q1513" s="55" t="n">
        <f aca="false">IF(P1513,IF(01_因子設定!$B$13="最大化",N1513-01_因子設定!$B$14,IF(01_因子設定!$B$13="最小化",01_因子設定!$B$15-O1513,MIN(N1513-01_因子設定!$B$14,01_因子設定!$B$15-O1513))),-1E+030)</f>
        <v>0.981635611901581</v>
      </c>
      <c r="R1513" s="55" t="n">
        <f aca="false">IF(P1513,IF(01_因子設定!$B$13="最大化",K1513,IF(01_因子設定!$B$13="最小化",-K1513,-ABS(K1513-01_因子設定!$B$16))),-1E+030)</f>
        <v>49.0394022988506</v>
      </c>
      <c r="S1513" s="55" t="n">
        <f aca="false">Q1513+ROW()*0.000000001</f>
        <v>0.981637124901581</v>
      </c>
      <c r="T1513" s="55" t="n">
        <f aca="false">R1513+ROW()*0.000000001</f>
        <v>49.0394038118506</v>
      </c>
    </row>
    <row r="1514" customFormat="false" ht="15" hidden="false" customHeight="false" outlineLevel="0" collapsed="false">
      <c r="A1514" s="0" t="n">
        <v>36</v>
      </c>
      <c r="B1514" s="0" t="n">
        <v>33</v>
      </c>
      <c r="C1514" s="0" t="n">
        <f aca="false">-1+A1514*0.05</f>
        <v>0.8</v>
      </c>
      <c r="D1514" s="0" t="n">
        <f aca="false">-1+B1514*0.05</f>
        <v>0.65</v>
      </c>
      <c r="E1514" s="0" t="n">
        <f aca="false">1</f>
        <v>1</v>
      </c>
      <c r="F1514" s="0" t="n">
        <f aca="false">C1514</f>
        <v>0.8</v>
      </c>
      <c r="G1514" s="0" t="n">
        <f aca="false">D1514</f>
        <v>0.65</v>
      </c>
      <c r="H1514" s="0" t="n">
        <f aca="false">C1514*D1514</f>
        <v>0.52</v>
      </c>
      <c r="I1514" s="0" t="n">
        <f aca="false">C1514*C1514</f>
        <v>0.64</v>
      </c>
      <c r="J1514" s="0" t="n">
        <f aca="false">D1514*D1514</f>
        <v>0.4225</v>
      </c>
      <c r="K1514" s="0" t="n">
        <f aca="false">SUMPRODUCT(E1514:J1514,_XtX!$B$53:$G$53)</f>
        <v>49.0764583333333</v>
      </c>
      <c r="L1514" s="0" t="n">
        <f aca="false">SUMPRODUCT(MMULT(E1514:J1514,_XtX!$B$44:$G$49),E1514:J1514)</f>
        <v>0.335611458333333</v>
      </c>
      <c r="M1514" s="0" t="n">
        <f aca="false">04_回帰ANOVA!$K$19*04_回帰ANOVA!$K$14*SQRT(1+L1514)</f>
        <v>1.56608972588958</v>
      </c>
      <c r="N1514" s="0" t="n">
        <f aca="false">K1514-M1514</f>
        <v>47.5103686074437</v>
      </c>
      <c r="O1514" s="0" t="n">
        <f aca="false">K1514+M1514</f>
        <v>50.6425480592229</v>
      </c>
      <c r="P1514" s="54" t="b">
        <f aca="false">AND(C1514&gt;=01_因子設定!$L$5-0.000000001,C1514&lt;=01_因子設定!$M$5+0.000000001,D1514&gt;=01_因子設定!$L$6-0.000000001,D1514&lt;=01_因子設定!$M$6+0.000000001,IF(01_因子設定!$B$20="Box-Behnken",C1514^2+D1514^2&lt;=2+0.000000001,TRUE()))</f>
        <v>1</v>
      </c>
      <c r="Q1514" s="55" t="n">
        <f aca="false">IF(P1514,IF(01_因子設定!$B$13="最大化",N1514-01_因子設定!$B$14,IF(01_因子設定!$B$13="最小化",01_因子設定!$B$15-O1514,MIN(N1514-01_因子設定!$B$14,01_因子設定!$B$15-O1514))),-1E+030)</f>
        <v>1.01036860744374</v>
      </c>
      <c r="R1514" s="55" t="n">
        <f aca="false">IF(P1514,IF(01_因子設定!$B$13="最大化",K1514,IF(01_因子設定!$B$13="最小化",-K1514,-ABS(K1514-01_因子設定!$B$16))),-1E+030)</f>
        <v>49.0764583333333</v>
      </c>
      <c r="S1514" s="55" t="n">
        <f aca="false">Q1514+ROW()*0.000000001</f>
        <v>1.01037012144374</v>
      </c>
      <c r="T1514" s="55" t="n">
        <f aca="false">R1514+ROW()*0.000000001</f>
        <v>49.0764598473333</v>
      </c>
    </row>
    <row r="1515" customFormat="false" ht="15" hidden="false" customHeight="false" outlineLevel="0" collapsed="false">
      <c r="A1515" s="0" t="n">
        <v>36</v>
      </c>
      <c r="B1515" s="0" t="n">
        <v>34</v>
      </c>
      <c r="C1515" s="0" t="n">
        <f aca="false">-1+A1515*0.05</f>
        <v>0.8</v>
      </c>
      <c r="D1515" s="0" t="n">
        <f aca="false">-1+B1515*0.05</f>
        <v>0.7</v>
      </c>
      <c r="E1515" s="0" t="n">
        <f aca="false">1</f>
        <v>1</v>
      </c>
      <c r="F1515" s="0" t="n">
        <f aca="false">C1515</f>
        <v>0.8</v>
      </c>
      <c r="G1515" s="0" t="n">
        <f aca="false">D1515</f>
        <v>0.7</v>
      </c>
      <c r="H1515" s="0" t="n">
        <f aca="false">C1515*D1515</f>
        <v>0.56</v>
      </c>
      <c r="I1515" s="0" t="n">
        <f aca="false">C1515*C1515</f>
        <v>0.64</v>
      </c>
      <c r="J1515" s="0" t="n">
        <f aca="false">D1515*D1515</f>
        <v>0.49</v>
      </c>
      <c r="K1515" s="0" t="n">
        <f aca="false">SUMPRODUCT(E1515:J1515,_XtX!$B$53:$G$53)</f>
        <v>49.1057988505747</v>
      </c>
      <c r="L1515" s="0" t="n">
        <f aca="false">SUMPRODUCT(MMULT(E1515:J1515,_XtX!$B$44:$G$49),E1515:J1515)</f>
        <v>0.354079885057471</v>
      </c>
      <c r="M1515" s="0" t="n">
        <f aca="false">04_回帰ANOVA!$K$19*04_回帰ANOVA!$K$14*SQRT(1+L1515)</f>
        <v>1.57688025677174</v>
      </c>
      <c r="N1515" s="0" t="n">
        <f aca="false">K1515-M1515</f>
        <v>47.528918593803</v>
      </c>
      <c r="O1515" s="0" t="n">
        <f aca="false">K1515+M1515</f>
        <v>50.6826791073464</v>
      </c>
      <c r="P1515" s="54" t="b">
        <f aca="false">AND(C1515&gt;=01_因子設定!$L$5-0.000000001,C1515&lt;=01_因子設定!$M$5+0.000000001,D1515&gt;=01_因子設定!$L$6-0.000000001,D1515&lt;=01_因子設定!$M$6+0.000000001,IF(01_因子設定!$B$20="Box-Behnken",C1515^2+D1515^2&lt;=2+0.000000001,TRUE()))</f>
        <v>1</v>
      </c>
      <c r="Q1515" s="55" t="n">
        <f aca="false">IF(P1515,IF(01_因子設定!$B$13="最大化",N1515-01_因子設定!$B$14,IF(01_因子設定!$B$13="最小化",01_因子設定!$B$15-O1515,MIN(N1515-01_因子設定!$B$14,01_因子設定!$B$15-O1515))),-1E+030)</f>
        <v>1.02891859380296</v>
      </c>
      <c r="R1515" s="55" t="n">
        <f aca="false">IF(P1515,IF(01_因子設定!$B$13="最大化",K1515,IF(01_因子設定!$B$13="最小化",-K1515,-ABS(K1515-01_因子設定!$B$16))),-1E+030)</f>
        <v>49.1057988505747</v>
      </c>
      <c r="S1515" s="55" t="n">
        <f aca="false">Q1515+ROW()*0.000000001</f>
        <v>1.02892010880296</v>
      </c>
      <c r="T1515" s="55" t="n">
        <f aca="false">R1515+ROW()*0.000000001</f>
        <v>49.1058003655747</v>
      </c>
    </row>
    <row r="1516" customFormat="false" ht="15" hidden="false" customHeight="false" outlineLevel="0" collapsed="false">
      <c r="A1516" s="0" t="n">
        <v>36</v>
      </c>
      <c r="B1516" s="0" t="n">
        <v>35</v>
      </c>
      <c r="C1516" s="0" t="n">
        <f aca="false">-1+A1516*0.05</f>
        <v>0.8</v>
      </c>
      <c r="D1516" s="0" t="n">
        <f aca="false">-1+B1516*0.05</f>
        <v>0.75</v>
      </c>
      <c r="E1516" s="0" t="n">
        <f aca="false">1</f>
        <v>1</v>
      </c>
      <c r="F1516" s="0" t="n">
        <f aca="false">C1516</f>
        <v>0.8</v>
      </c>
      <c r="G1516" s="0" t="n">
        <f aca="false">D1516</f>
        <v>0.75</v>
      </c>
      <c r="H1516" s="0" t="n">
        <f aca="false">C1516*D1516</f>
        <v>0.6</v>
      </c>
      <c r="I1516" s="0" t="n">
        <f aca="false">C1516*C1516</f>
        <v>0.64</v>
      </c>
      <c r="J1516" s="0" t="n">
        <f aca="false">D1516*D1516</f>
        <v>0.5625</v>
      </c>
      <c r="K1516" s="0" t="n">
        <f aca="false">SUMPRODUCT(E1516:J1516,_XtX!$B$53:$G$53)</f>
        <v>49.1274238505747</v>
      </c>
      <c r="L1516" s="0" t="n">
        <f aca="false">SUMPRODUCT(MMULT(E1516:J1516,_XtX!$B$44:$G$49),E1516:J1516)</f>
        <v>0.377591343390805</v>
      </c>
      <c r="M1516" s="0" t="n">
        <f aca="false">04_回帰ANOVA!$K$19*04_回帰ANOVA!$K$14*SQRT(1+L1516)</f>
        <v>1.59051135820975</v>
      </c>
      <c r="N1516" s="0" t="n">
        <f aca="false">K1516-M1516</f>
        <v>47.536912492365</v>
      </c>
      <c r="O1516" s="0" t="n">
        <f aca="false">K1516+M1516</f>
        <v>50.7179352087845</v>
      </c>
      <c r="P1516" s="54" t="b">
        <f aca="false">AND(C1516&gt;=01_因子設定!$L$5-0.000000001,C1516&lt;=01_因子設定!$M$5+0.000000001,D1516&gt;=01_因子設定!$L$6-0.000000001,D1516&lt;=01_因子設定!$M$6+0.000000001,IF(01_因子設定!$B$20="Box-Behnken",C1516^2+D1516^2&lt;=2+0.000000001,TRUE()))</f>
        <v>1</v>
      </c>
      <c r="Q1516" s="55" t="n">
        <f aca="false">IF(P1516,IF(01_因子設定!$B$13="最大化",N1516-01_因子設定!$B$14,IF(01_因子設定!$B$13="最小化",01_因子設定!$B$15-O1516,MIN(N1516-01_因子設定!$B$14,01_因子設定!$B$15-O1516))),-1E+030)</f>
        <v>1.03691249236495</v>
      </c>
      <c r="R1516" s="55" t="n">
        <f aca="false">IF(P1516,IF(01_因子設定!$B$13="最大化",K1516,IF(01_因子設定!$B$13="最小化",-K1516,-ABS(K1516-01_因子設定!$B$16))),-1E+030)</f>
        <v>49.1274238505747</v>
      </c>
      <c r="S1516" s="55" t="n">
        <f aca="false">Q1516+ROW()*0.000000001</f>
        <v>1.03691400836495</v>
      </c>
      <c r="T1516" s="55" t="n">
        <f aca="false">R1516+ROW()*0.000000001</f>
        <v>49.1274253665747</v>
      </c>
    </row>
    <row r="1517" customFormat="false" ht="15" hidden="false" customHeight="false" outlineLevel="0" collapsed="false">
      <c r="A1517" s="0" t="n">
        <v>36</v>
      </c>
      <c r="B1517" s="0" t="n">
        <v>36</v>
      </c>
      <c r="C1517" s="0" t="n">
        <f aca="false">-1+A1517*0.05</f>
        <v>0.8</v>
      </c>
      <c r="D1517" s="0" t="n">
        <f aca="false">-1+B1517*0.05</f>
        <v>0.8</v>
      </c>
      <c r="E1517" s="0" t="n">
        <f aca="false">1</f>
        <v>1</v>
      </c>
      <c r="F1517" s="0" t="n">
        <f aca="false">C1517</f>
        <v>0.8</v>
      </c>
      <c r="G1517" s="0" t="n">
        <f aca="false">D1517</f>
        <v>0.8</v>
      </c>
      <c r="H1517" s="0" t="n">
        <f aca="false">C1517*D1517</f>
        <v>0.64</v>
      </c>
      <c r="I1517" s="0" t="n">
        <f aca="false">C1517*C1517</f>
        <v>0.64</v>
      </c>
      <c r="J1517" s="0" t="n">
        <f aca="false">D1517*D1517</f>
        <v>0.64</v>
      </c>
      <c r="K1517" s="0" t="n">
        <f aca="false">SUMPRODUCT(E1517:J1517,_XtX!$B$53:$G$53)</f>
        <v>49.1413333333333</v>
      </c>
      <c r="L1517" s="0" t="n">
        <f aca="false">SUMPRODUCT(MMULT(E1517:J1517,_XtX!$B$44:$G$49),E1517:J1517)</f>
        <v>0.406933333333333</v>
      </c>
      <c r="M1517" s="0" t="n">
        <f aca="false">04_回帰ANOVA!$K$19*04_回帰ANOVA!$K$14*SQRT(1+L1517)</f>
        <v>1.60736064921584</v>
      </c>
      <c r="N1517" s="0" t="n">
        <f aca="false">K1517-M1517</f>
        <v>47.5339726841175</v>
      </c>
      <c r="O1517" s="0" t="n">
        <f aca="false">K1517+M1517</f>
        <v>50.7486939825492</v>
      </c>
      <c r="P1517" s="54" t="b">
        <f aca="false">AND(C1517&gt;=01_因子設定!$L$5-0.000000001,C1517&lt;=01_因子設定!$M$5+0.000000001,D1517&gt;=01_因子設定!$L$6-0.000000001,D1517&lt;=01_因子設定!$M$6+0.000000001,IF(01_因子設定!$B$20="Box-Behnken",C1517^2+D1517^2&lt;=2+0.000000001,TRUE()))</f>
        <v>1</v>
      </c>
      <c r="Q1517" s="55" t="n">
        <f aca="false">IF(P1517,IF(01_因子設定!$B$13="最大化",N1517-01_因子設定!$B$14,IF(01_因子設定!$B$13="最小化",01_因子設定!$B$15-O1517,MIN(N1517-01_因子設定!$B$14,01_因子設定!$B$15-O1517))),-1E+030)</f>
        <v>1.03397268411748</v>
      </c>
      <c r="R1517" s="55" t="n">
        <f aca="false">IF(P1517,IF(01_因子設定!$B$13="最大化",K1517,IF(01_因子設定!$B$13="最小化",-K1517,-ABS(K1517-01_因子設定!$B$16))),-1E+030)</f>
        <v>49.1413333333333</v>
      </c>
      <c r="S1517" s="55" t="n">
        <f aca="false">Q1517+ROW()*0.000000001</f>
        <v>1.03397420111748</v>
      </c>
      <c r="T1517" s="55" t="n">
        <f aca="false">R1517+ROW()*0.000000001</f>
        <v>49.1413348503333</v>
      </c>
    </row>
    <row r="1518" customFormat="false" ht="15" hidden="false" customHeight="false" outlineLevel="0" collapsed="false">
      <c r="A1518" s="0" t="n">
        <v>36</v>
      </c>
      <c r="B1518" s="0" t="n">
        <v>37</v>
      </c>
      <c r="C1518" s="0" t="n">
        <f aca="false">-1+A1518*0.05</f>
        <v>0.8</v>
      </c>
      <c r="D1518" s="0" t="n">
        <f aca="false">-1+B1518*0.05</f>
        <v>0.85</v>
      </c>
      <c r="E1518" s="0" t="n">
        <f aca="false">1</f>
        <v>1</v>
      </c>
      <c r="F1518" s="0" t="n">
        <f aca="false">C1518</f>
        <v>0.8</v>
      </c>
      <c r="G1518" s="0" t="n">
        <f aca="false">D1518</f>
        <v>0.85</v>
      </c>
      <c r="H1518" s="0" t="n">
        <f aca="false">C1518*D1518</f>
        <v>0.68</v>
      </c>
      <c r="I1518" s="0" t="n">
        <f aca="false">C1518*C1518</f>
        <v>0.64</v>
      </c>
      <c r="J1518" s="0" t="n">
        <f aca="false">D1518*D1518</f>
        <v>0.7225</v>
      </c>
      <c r="K1518" s="0" t="n">
        <f aca="false">SUMPRODUCT(E1518:J1518,_XtX!$B$53:$G$53)</f>
        <v>49.1475272988506</v>
      </c>
      <c r="L1518" s="0" t="n">
        <f aca="false">SUMPRODUCT(MMULT(E1518:J1518,_XtX!$B$44:$G$49),E1518:J1518)</f>
        <v>0.442947665229885</v>
      </c>
      <c r="M1518" s="0" t="n">
        <f aca="false">04_回帰ANOVA!$K$19*04_回帰ANOVA!$K$14*SQRT(1+L1518)</f>
        <v>1.62780306626577</v>
      </c>
      <c r="N1518" s="0" t="n">
        <f aca="false">K1518-M1518</f>
        <v>47.5197242325848</v>
      </c>
      <c r="O1518" s="0" t="n">
        <f aca="false">K1518+M1518</f>
        <v>50.7753303651163</v>
      </c>
      <c r="P1518" s="54" t="b">
        <f aca="false">AND(C1518&gt;=01_因子設定!$L$5-0.000000001,C1518&lt;=01_因子設定!$M$5+0.000000001,D1518&gt;=01_因子設定!$L$6-0.000000001,D1518&lt;=01_因子設定!$M$6+0.000000001,IF(01_因子設定!$B$20="Box-Behnken",C1518^2+D1518^2&lt;=2+0.000000001,TRUE()))</f>
        <v>1</v>
      </c>
      <c r="Q1518" s="55" t="n">
        <f aca="false">IF(P1518,IF(01_因子設定!$B$13="最大化",N1518-01_因子設定!$B$14,IF(01_因子設定!$B$13="最小化",01_因子設定!$B$15-O1518,MIN(N1518-01_因子設定!$B$14,01_因子設定!$B$15-O1518))),-1E+030)</f>
        <v>1.01972423258479</v>
      </c>
      <c r="R1518" s="55" t="n">
        <f aca="false">IF(P1518,IF(01_因子設定!$B$13="最大化",K1518,IF(01_因子設定!$B$13="最小化",-K1518,-ABS(K1518-01_因子設定!$B$16))),-1E+030)</f>
        <v>49.1475272988506</v>
      </c>
      <c r="S1518" s="55" t="n">
        <f aca="false">Q1518+ROW()*0.000000001</f>
        <v>1.01972575058479</v>
      </c>
      <c r="T1518" s="55" t="n">
        <f aca="false">R1518+ROW()*0.000000001</f>
        <v>49.1475288168506</v>
      </c>
    </row>
    <row r="1519" customFormat="false" ht="15" hidden="false" customHeight="false" outlineLevel="0" collapsed="false">
      <c r="A1519" s="0" t="n">
        <v>36</v>
      </c>
      <c r="B1519" s="0" t="n">
        <v>38</v>
      </c>
      <c r="C1519" s="0" t="n">
        <f aca="false">-1+A1519*0.05</f>
        <v>0.8</v>
      </c>
      <c r="D1519" s="0" t="n">
        <f aca="false">-1+B1519*0.05</f>
        <v>0.9</v>
      </c>
      <c r="E1519" s="0" t="n">
        <f aca="false">1</f>
        <v>1</v>
      </c>
      <c r="F1519" s="0" t="n">
        <f aca="false">C1519</f>
        <v>0.8</v>
      </c>
      <c r="G1519" s="0" t="n">
        <f aca="false">D1519</f>
        <v>0.9</v>
      </c>
      <c r="H1519" s="0" t="n">
        <f aca="false">C1519*D1519</f>
        <v>0.72</v>
      </c>
      <c r="I1519" s="0" t="n">
        <f aca="false">C1519*C1519</f>
        <v>0.64</v>
      </c>
      <c r="J1519" s="0" t="n">
        <f aca="false">D1519*D1519</f>
        <v>0.81</v>
      </c>
      <c r="K1519" s="0" t="n">
        <f aca="false">SUMPRODUCT(E1519:J1519,_XtX!$B$53:$G$53)</f>
        <v>49.1460057471264</v>
      </c>
      <c r="L1519" s="0" t="n">
        <f aca="false">SUMPRODUCT(MMULT(E1519:J1519,_XtX!$B$44:$G$49),E1519:J1519)</f>
        <v>0.486530459770115</v>
      </c>
      <c r="M1519" s="0" t="n">
        <f aca="false">04_回帰ANOVA!$K$19*04_回帰ANOVA!$K$14*SQRT(1+L1519)</f>
        <v>1.65220327464334</v>
      </c>
      <c r="N1519" s="0" t="n">
        <f aca="false">K1519-M1519</f>
        <v>47.4938024724831</v>
      </c>
      <c r="O1519" s="0" t="n">
        <f aca="false">K1519+M1519</f>
        <v>50.7982090217698</v>
      </c>
      <c r="P1519" s="54" t="b">
        <f aca="false">AND(C1519&gt;=01_因子設定!$L$5-0.000000001,C1519&lt;=01_因子設定!$M$5+0.000000001,D1519&gt;=01_因子設定!$L$6-0.000000001,D1519&lt;=01_因子設定!$M$6+0.000000001,IF(01_因子設定!$B$20="Box-Behnken",C1519^2+D1519^2&lt;=2+0.000000001,TRUE()))</f>
        <v>1</v>
      </c>
      <c r="Q1519" s="55" t="n">
        <f aca="false">IF(P1519,IF(01_因子設定!$B$13="最大化",N1519-01_因子設定!$B$14,IF(01_因子設定!$B$13="最小化",01_因子設定!$B$15-O1519,MIN(N1519-01_因子設定!$B$14,01_因子設定!$B$15-O1519))),-1E+030)</f>
        <v>0.99380247248309</v>
      </c>
      <c r="R1519" s="55" t="n">
        <f aca="false">IF(P1519,IF(01_因子設定!$B$13="最大化",K1519,IF(01_因子設定!$B$13="最小化",-K1519,-ABS(K1519-01_因子設定!$B$16))),-1E+030)</f>
        <v>49.1460057471264</v>
      </c>
      <c r="S1519" s="55" t="n">
        <f aca="false">Q1519+ROW()*0.000000001</f>
        <v>0.99380399148309</v>
      </c>
      <c r="T1519" s="55" t="n">
        <f aca="false">R1519+ROW()*0.000000001</f>
        <v>49.1460072661264</v>
      </c>
    </row>
    <row r="1520" customFormat="false" ht="15" hidden="false" customHeight="false" outlineLevel="0" collapsed="false">
      <c r="A1520" s="0" t="n">
        <v>36</v>
      </c>
      <c r="B1520" s="0" t="n">
        <v>39</v>
      </c>
      <c r="C1520" s="0" t="n">
        <f aca="false">-1+A1520*0.05</f>
        <v>0.8</v>
      </c>
      <c r="D1520" s="0" t="n">
        <f aca="false">-1+B1520*0.05</f>
        <v>0.95</v>
      </c>
      <c r="E1520" s="0" t="n">
        <f aca="false">1</f>
        <v>1</v>
      </c>
      <c r="F1520" s="0" t="n">
        <f aca="false">C1520</f>
        <v>0.8</v>
      </c>
      <c r="G1520" s="0" t="n">
        <f aca="false">D1520</f>
        <v>0.95</v>
      </c>
      <c r="H1520" s="0" t="n">
        <f aca="false">C1520*D1520</f>
        <v>0.76</v>
      </c>
      <c r="I1520" s="0" t="n">
        <f aca="false">C1520*C1520</f>
        <v>0.64</v>
      </c>
      <c r="J1520" s="0" t="n">
        <f aca="false">D1520*D1520</f>
        <v>0.9025</v>
      </c>
      <c r="K1520" s="0" t="n">
        <f aca="false">SUMPRODUCT(E1520:J1520,_XtX!$B$53:$G$53)</f>
        <v>49.1367686781609</v>
      </c>
      <c r="L1520" s="0" t="n">
        <f aca="false">SUMPRODUCT(MMULT(E1520:J1520,_XtX!$B$44:$G$49),E1520:J1520)</f>
        <v>0.538632147988506</v>
      </c>
      <c r="M1520" s="0" t="n">
        <f aca="false">04_回帰ANOVA!$K$19*04_回帰ANOVA!$K$14*SQRT(1+L1520)</f>
        <v>1.68090811348192</v>
      </c>
      <c r="N1520" s="0" t="n">
        <f aca="false">K1520-M1520</f>
        <v>47.455860564679</v>
      </c>
      <c r="O1520" s="0" t="n">
        <f aca="false">K1520+M1520</f>
        <v>50.8176767916428</v>
      </c>
      <c r="P1520" s="54" t="b">
        <f aca="false">AND(C1520&gt;=01_因子設定!$L$5-0.000000001,C1520&lt;=01_因子設定!$M$5+0.000000001,D1520&gt;=01_因子設定!$L$6-0.000000001,D1520&lt;=01_因子設定!$M$6+0.000000001,IF(01_因子設定!$B$20="Box-Behnken",C1520^2+D1520^2&lt;=2+0.000000001,TRUE()))</f>
        <v>1</v>
      </c>
      <c r="Q1520" s="55" t="n">
        <f aca="false">IF(P1520,IF(01_因子設定!$B$13="最大化",N1520-01_因子設定!$B$14,IF(01_因子設定!$B$13="最小化",01_因子設定!$B$15-O1520,MIN(N1520-01_因子設定!$B$14,01_因子設定!$B$15-O1520))),-1E+030)</f>
        <v>0.955860564678979</v>
      </c>
      <c r="R1520" s="55" t="n">
        <f aca="false">IF(P1520,IF(01_因子設定!$B$13="最大化",K1520,IF(01_因子設定!$B$13="最小化",-K1520,-ABS(K1520-01_因子設定!$B$16))),-1E+030)</f>
        <v>49.1367686781609</v>
      </c>
      <c r="S1520" s="55" t="n">
        <f aca="false">Q1520+ROW()*0.000000001</f>
        <v>0.955862084678979</v>
      </c>
      <c r="T1520" s="55" t="n">
        <f aca="false">R1520+ROW()*0.000000001</f>
        <v>49.1367701981609</v>
      </c>
    </row>
    <row r="1521" customFormat="false" ht="15" hidden="false" customHeight="false" outlineLevel="0" collapsed="false">
      <c r="A1521" s="0" t="n">
        <v>36</v>
      </c>
      <c r="B1521" s="0" t="n">
        <v>40</v>
      </c>
      <c r="C1521" s="0" t="n">
        <f aca="false">-1+A1521*0.05</f>
        <v>0.8</v>
      </c>
      <c r="D1521" s="0" t="n">
        <f aca="false">-1+B1521*0.05</f>
        <v>1</v>
      </c>
      <c r="E1521" s="0" t="n">
        <f aca="false">1</f>
        <v>1</v>
      </c>
      <c r="F1521" s="0" t="n">
        <f aca="false">C1521</f>
        <v>0.8</v>
      </c>
      <c r="G1521" s="0" t="n">
        <f aca="false">D1521</f>
        <v>1</v>
      </c>
      <c r="H1521" s="0" t="n">
        <f aca="false">C1521*D1521</f>
        <v>0.8</v>
      </c>
      <c r="I1521" s="0" t="n">
        <f aca="false">C1521*C1521</f>
        <v>0.64</v>
      </c>
      <c r="J1521" s="0" t="n">
        <f aca="false">D1521*D1521</f>
        <v>1</v>
      </c>
      <c r="K1521" s="0" t="n">
        <f aca="false">SUMPRODUCT(E1521:J1521,_XtX!$B$53:$G$53)</f>
        <v>49.119816091954</v>
      </c>
      <c r="L1521" s="0" t="n">
        <f aca="false">SUMPRODUCT(MMULT(E1521:J1521,_XtX!$B$44:$G$49),E1521:J1521)</f>
        <v>0.600257471264368</v>
      </c>
      <c r="M1521" s="0" t="n">
        <f aca="false">04_回帰ANOVA!$K$19*04_回帰ANOVA!$K$14*SQRT(1+L1521)</f>
        <v>1.71423952387759</v>
      </c>
      <c r="N1521" s="0" t="n">
        <f aca="false">K1521-M1521</f>
        <v>47.4055765680764</v>
      </c>
      <c r="O1521" s="0" t="n">
        <f aca="false">K1521+M1521</f>
        <v>50.8340556158316</v>
      </c>
      <c r="P1521" s="54" t="b">
        <f aca="false">AND(C1521&gt;=01_因子設定!$L$5-0.000000001,C1521&lt;=01_因子設定!$M$5+0.000000001,D1521&gt;=01_因子設定!$L$6-0.000000001,D1521&lt;=01_因子設定!$M$6+0.000000001,IF(01_因子設定!$B$20="Box-Behnken",C1521^2+D1521^2&lt;=2+0.000000001,TRUE()))</f>
        <v>1</v>
      </c>
      <c r="Q1521" s="55" t="n">
        <f aca="false">IF(P1521,IF(01_因子設定!$B$13="最大化",N1521-01_因子設定!$B$14,IF(01_因子設定!$B$13="最小化",01_因子設定!$B$15-O1521,MIN(N1521-01_因子設定!$B$14,01_因子設定!$B$15-O1521))),-1E+030)</f>
        <v>0.905576568076427</v>
      </c>
      <c r="R1521" s="55" t="n">
        <f aca="false">IF(P1521,IF(01_因子設定!$B$13="最大化",K1521,IF(01_因子設定!$B$13="最小化",-K1521,-ABS(K1521-01_因子設定!$B$16))),-1E+030)</f>
        <v>49.119816091954</v>
      </c>
      <c r="S1521" s="55" t="n">
        <f aca="false">Q1521+ROW()*0.000000001</f>
        <v>0.905578089076427</v>
      </c>
      <c r="T1521" s="55" t="n">
        <f aca="false">R1521+ROW()*0.000000001</f>
        <v>49.119817612954</v>
      </c>
    </row>
    <row r="1522" customFormat="false" ht="15" hidden="false" customHeight="false" outlineLevel="0" collapsed="false">
      <c r="A1522" s="0" t="n">
        <v>37</v>
      </c>
      <c r="B1522" s="0" t="n">
        <v>0</v>
      </c>
      <c r="C1522" s="0" t="n">
        <f aca="false">-1+A1522*0.05</f>
        <v>0.85</v>
      </c>
      <c r="D1522" s="0" t="n">
        <f aca="false">-1+B1522*0.05</f>
        <v>-1</v>
      </c>
      <c r="E1522" s="0" t="n">
        <f aca="false">1</f>
        <v>1</v>
      </c>
      <c r="F1522" s="0" t="n">
        <f aca="false">C1522</f>
        <v>0.85</v>
      </c>
      <c r="G1522" s="0" t="n">
        <f aca="false">D1522</f>
        <v>-1</v>
      </c>
      <c r="H1522" s="0" t="n">
        <f aca="false">C1522*D1522</f>
        <v>-0.85</v>
      </c>
      <c r="I1522" s="0" t="n">
        <f aca="false">C1522*C1522</f>
        <v>0.7225</v>
      </c>
      <c r="J1522" s="0" t="n">
        <f aca="false">D1522*D1522</f>
        <v>1</v>
      </c>
      <c r="K1522" s="0" t="n">
        <f aca="false">SUMPRODUCT(E1522:J1522,_XtX!$B$53:$G$53)</f>
        <v>43.6330933908046</v>
      </c>
      <c r="L1522" s="0" t="n">
        <f aca="false">SUMPRODUCT(MMULT(E1522:J1522,_XtX!$B$44:$G$49),E1522:J1522)</f>
        <v>0.635503699712644</v>
      </c>
      <c r="M1522" s="0" t="n">
        <f aca="false">04_回帰ANOVA!$K$19*04_回帰ANOVA!$K$14*SQRT(1+L1522)</f>
        <v>1.73301506394813</v>
      </c>
      <c r="N1522" s="0" t="n">
        <f aca="false">K1522-M1522</f>
        <v>41.9000783268565</v>
      </c>
      <c r="O1522" s="0" t="n">
        <f aca="false">K1522+M1522</f>
        <v>45.3661084547527</v>
      </c>
      <c r="P1522" s="54" t="b">
        <f aca="false">AND(C1522&gt;=01_因子設定!$L$5-0.000000001,C1522&lt;=01_因子設定!$M$5+0.000000001,D1522&gt;=01_因子設定!$L$6-0.000000001,D1522&lt;=01_因子設定!$M$6+0.000000001,IF(01_因子設定!$B$20="Box-Behnken",C1522^2+D1522^2&lt;=2+0.000000001,TRUE()))</f>
        <v>1</v>
      </c>
      <c r="Q1522" s="55" t="n">
        <f aca="false">IF(P1522,IF(01_因子設定!$B$13="最大化",N1522-01_因子設定!$B$14,IF(01_因子設定!$B$13="最小化",01_因子設定!$B$15-O1522,MIN(N1522-01_因子設定!$B$14,01_因子設定!$B$15-O1522))),-1E+030)</f>
        <v>-4.59992167314354</v>
      </c>
      <c r="R1522" s="55" t="n">
        <f aca="false">IF(P1522,IF(01_因子設定!$B$13="最大化",K1522,IF(01_因子設定!$B$13="最小化",-K1522,-ABS(K1522-01_因子設定!$B$16))),-1E+030)</f>
        <v>43.6330933908046</v>
      </c>
      <c r="S1522" s="55" t="n">
        <f aca="false">Q1522+ROW()*0.000000001</f>
        <v>-4.59992015114354</v>
      </c>
      <c r="T1522" s="55" t="n">
        <f aca="false">R1522+ROW()*0.000000001</f>
        <v>43.6330949128046</v>
      </c>
    </row>
    <row r="1523" customFormat="false" ht="15" hidden="false" customHeight="false" outlineLevel="0" collapsed="false">
      <c r="A1523" s="0" t="n">
        <v>37</v>
      </c>
      <c r="B1523" s="0" t="n">
        <v>1</v>
      </c>
      <c r="C1523" s="0" t="n">
        <f aca="false">-1+A1523*0.05</f>
        <v>0.85</v>
      </c>
      <c r="D1523" s="0" t="n">
        <f aca="false">-1+B1523*0.05</f>
        <v>-0.95</v>
      </c>
      <c r="E1523" s="0" t="n">
        <f aca="false">1</f>
        <v>1</v>
      </c>
      <c r="F1523" s="0" t="n">
        <f aca="false">C1523</f>
        <v>0.85</v>
      </c>
      <c r="G1523" s="0" t="n">
        <f aca="false">D1523</f>
        <v>-0.95</v>
      </c>
      <c r="H1523" s="0" t="n">
        <f aca="false">C1523*D1523</f>
        <v>-0.8075</v>
      </c>
      <c r="I1523" s="0" t="n">
        <f aca="false">C1523*C1523</f>
        <v>0.7225</v>
      </c>
      <c r="J1523" s="0" t="n">
        <f aca="false">D1523*D1523</f>
        <v>0.9025</v>
      </c>
      <c r="K1523" s="0" t="n">
        <f aca="false">SUMPRODUCT(E1523:J1523,_XtX!$B$53:$G$53)</f>
        <v>43.9183584770115</v>
      </c>
      <c r="L1523" s="0" t="n">
        <f aca="false">SUMPRODUCT(MMULT(E1523:J1523,_XtX!$B$44:$G$49),E1523:J1523)</f>
        <v>0.574086404454023</v>
      </c>
      <c r="M1523" s="0" t="n">
        <f aca="false">04_回帰ANOVA!$K$19*04_回帰ANOVA!$K$14*SQRT(1+L1523)</f>
        <v>1.7001641576124</v>
      </c>
      <c r="N1523" s="0" t="n">
        <f aca="false">K1523-M1523</f>
        <v>42.2181943193991</v>
      </c>
      <c r="O1523" s="0" t="n">
        <f aca="false">K1523+M1523</f>
        <v>45.6185226346239</v>
      </c>
      <c r="P1523" s="54" t="b">
        <f aca="false">AND(C1523&gt;=01_因子設定!$L$5-0.000000001,C1523&lt;=01_因子設定!$M$5+0.000000001,D1523&gt;=01_因子設定!$L$6-0.000000001,D1523&lt;=01_因子設定!$M$6+0.000000001,IF(01_因子設定!$B$20="Box-Behnken",C1523^2+D1523^2&lt;=2+0.000000001,TRUE()))</f>
        <v>1</v>
      </c>
      <c r="Q1523" s="55" t="n">
        <f aca="false">IF(P1523,IF(01_因子設定!$B$13="最大化",N1523-01_因子設定!$B$14,IF(01_因子設定!$B$13="最小化",01_因子設定!$B$15-O1523,MIN(N1523-01_因子設定!$B$14,01_因子設定!$B$15-O1523))),-1E+030)</f>
        <v>-4.28180568060091</v>
      </c>
      <c r="R1523" s="55" t="n">
        <f aca="false">IF(P1523,IF(01_因子設定!$B$13="最大化",K1523,IF(01_因子設定!$B$13="最小化",-K1523,-ABS(K1523-01_因子設定!$B$16))),-1E+030)</f>
        <v>43.9183584770115</v>
      </c>
      <c r="S1523" s="55" t="n">
        <f aca="false">Q1523+ROW()*0.000000001</f>
        <v>-4.28180415760091</v>
      </c>
      <c r="T1523" s="55" t="n">
        <f aca="false">R1523+ROW()*0.000000001</f>
        <v>43.9183600000115</v>
      </c>
    </row>
    <row r="1524" customFormat="false" ht="15" hidden="false" customHeight="false" outlineLevel="0" collapsed="false">
      <c r="A1524" s="0" t="n">
        <v>37</v>
      </c>
      <c r="B1524" s="0" t="n">
        <v>2</v>
      </c>
      <c r="C1524" s="0" t="n">
        <f aca="false">-1+A1524*0.05</f>
        <v>0.85</v>
      </c>
      <c r="D1524" s="0" t="n">
        <f aca="false">-1+B1524*0.05</f>
        <v>-0.9</v>
      </c>
      <c r="E1524" s="0" t="n">
        <f aca="false">1</f>
        <v>1</v>
      </c>
      <c r="F1524" s="0" t="n">
        <f aca="false">C1524</f>
        <v>0.85</v>
      </c>
      <c r="G1524" s="0" t="n">
        <f aca="false">D1524</f>
        <v>-0.9</v>
      </c>
      <c r="H1524" s="0" t="n">
        <f aca="false">C1524*D1524</f>
        <v>-0.765</v>
      </c>
      <c r="I1524" s="0" t="n">
        <f aca="false">C1524*C1524</f>
        <v>0.7225</v>
      </c>
      <c r="J1524" s="0" t="n">
        <f aca="false">D1524*D1524</f>
        <v>0.81</v>
      </c>
      <c r="K1524" s="0" t="n">
        <f aca="false">SUMPRODUCT(E1524:J1524,_XtX!$B$53:$G$53)</f>
        <v>44.195908045977</v>
      </c>
      <c r="L1524" s="0" t="n">
        <f aca="false">SUMPRODUCT(MMULT(E1524:J1524,_XtX!$B$44:$G$49),E1524:J1524)</f>
        <v>0.522182076149425</v>
      </c>
      <c r="M1524" s="0" t="n">
        <f aca="false">04_回帰ANOVA!$K$19*04_回帰ANOVA!$K$14*SQRT(1+L1524)</f>
        <v>1.67189836938396</v>
      </c>
      <c r="N1524" s="0" t="n">
        <f aca="false">K1524-M1524</f>
        <v>42.524009676593</v>
      </c>
      <c r="O1524" s="0" t="n">
        <f aca="false">K1524+M1524</f>
        <v>45.867806415361</v>
      </c>
      <c r="P1524" s="54" t="b">
        <f aca="false">AND(C1524&gt;=01_因子設定!$L$5-0.000000001,C1524&lt;=01_因子設定!$M$5+0.000000001,D1524&gt;=01_因子設定!$L$6-0.000000001,D1524&lt;=01_因子設定!$M$6+0.000000001,IF(01_因子設定!$B$20="Box-Behnken",C1524^2+D1524^2&lt;=2+0.000000001,TRUE()))</f>
        <v>1</v>
      </c>
      <c r="Q1524" s="55" t="n">
        <f aca="false">IF(P1524,IF(01_因子設定!$B$13="最大化",N1524-01_因子設定!$B$14,IF(01_因子設定!$B$13="最小化",01_因子設定!$B$15-O1524,MIN(N1524-01_因子設定!$B$14,01_因子設定!$B$15-O1524))),-1E+030)</f>
        <v>-3.97599032340696</v>
      </c>
      <c r="R1524" s="55" t="n">
        <f aca="false">IF(P1524,IF(01_因子設定!$B$13="最大化",K1524,IF(01_因子設定!$B$13="最小化",-K1524,-ABS(K1524-01_因子設定!$B$16))),-1E+030)</f>
        <v>44.195908045977</v>
      </c>
      <c r="S1524" s="55" t="n">
        <f aca="false">Q1524+ROW()*0.000000001</f>
        <v>-3.97598879940696</v>
      </c>
      <c r="T1524" s="55" t="n">
        <f aca="false">R1524+ROW()*0.000000001</f>
        <v>44.195909569977</v>
      </c>
    </row>
    <row r="1525" customFormat="false" ht="15" hidden="false" customHeight="false" outlineLevel="0" collapsed="false">
      <c r="A1525" s="0" t="n">
        <v>37</v>
      </c>
      <c r="B1525" s="0" t="n">
        <v>3</v>
      </c>
      <c r="C1525" s="0" t="n">
        <f aca="false">-1+A1525*0.05</f>
        <v>0.85</v>
      </c>
      <c r="D1525" s="0" t="n">
        <f aca="false">-1+B1525*0.05</f>
        <v>-0.85</v>
      </c>
      <c r="E1525" s="0" t="n">
        <f aca="false">1</f>
        <v>1</v>
      </c>
      <c r="F1525" s="0" t="n">
        <f aca="false">C1525</f>
        <v>0.85</v>
      </c>
      <c r="G1525" s="0" t="n">
        <f aca="false">D1525</f>
        <v>-0.85</v>
      </c>
      <c r="H1525" s="0" t="n">
        <f aca="false">C1525*D1525</f>
        <v>-0.7225</v>
      </c>
      <c r="I1525" s="0" t="n">
        <f aca="false">C1525*C1525</f>
        <v>0.7225</v>
      </c>
      <c r="J1525" s="0" t="n">
        <f aca="false">D1525*D1525</f>
        <v>0.7225</v>
      </c>
      <c r="K1525" s="0" t="n">
        <f aca="false">SUMPRODUCT(E1525:J1525,_XtX!$B$53:$G$53)</f>
        <v>44.4657420977011</v>
      </c>
      <c r="L1525" s="0" t="n">
        <f aca="false">SUMPRODUCT(MMULT(E1525:J1525,_XtX!$B$44:$G$49),E1525:J1525)</f>
        <v>0.47878597341954</v>
      </c>
      <c r="M1525" s="0" t="n">
        <f aca="false">04_回帰ANOVA!$K$19*04_回帰ANOVA!$K$14*SQRT(1+L1525)</f>
        <v>1.64789385247642</v>
      </c>
      <c r="N1525" s="0" t="n">
        <f aca="false">K1525-M1525</f>
        <v>42.8178482452247</v>
      </c>
      <c r="O1525" s="0" t="n">
        <f aca="false">K1525+M1525</f>
        <v>46.1136359501776</v>
      </c>
      <c r="P1525" s="54" t="b">
        <f aca="false">AND(C1525&gt;=01_因子設定!$L$5-0.000000001,C1525&lt;=01_因子設定!$M$5+0.000000001,D1525&gt;=01_因子設定!$L$6-0.000000001,D1525&lt;=01_因子設定!$M$6+0.000000001,IF(01_因子設定!$B$20="Box-Behnken",C1525^2+D1525^2&lt;=2+0.000000001,TRUE()))</f>
        <v>1</v>
      </c>
      <c r="Q1525" s="55" t="n">
        <f aca="false">IF(P1525,IF(01_因子設定!$B$13="最大化",N1525-01_因子設定!$B$14,IF(01_因子設定!$B$13="最小化",01_因子設定!$B$15-O1525,MIN(N1525-01_因子設定!$B$14,01_因子設定!$B$15-O1525))),-1E+030)</f>
        <v>-3.68215175477528</v>
      </c>
      <c r="R1525" s="55" t="n">
        <f aca="false">IF(P1525,IF(01_因子設定!$B$13="最大化",K1525,IF(01_因子設定!$B$13="最小化",-K1525,-ABS(K1525-01_因子設定!$B$16))),-1E+030)</f>
        <v>44.4657420977011</v>
      </c>
      <c r="S1525" s="55" t="n">
        <f aca="false">Q1525+ROW()*0.000000001</f>
        <v>-3.68215022977528</v>
      </c>
      <c r="T1525" s="55" t="n">
        <f aca="false">R1525+ROW()*0.000000001</f>
        <v>44.4657436227011</v>
      </c>
    </row>
    <row r="1526" customFormat="false" ht="15" hidden="false" customHeight="false" outlineLevel="0" collapsed="false">
      <c r="A1526" s="0" t="n">
        <v>37</v>
      </c>
      <c r="B1526" s="0" t="n">
        <v>4</v>
      </c>
      <c r="C1526" s="0" t="n">
        <f aca="false">-1+A1526*0.05</f>
        <v>0.85</v>
      </c>
      <c r="D1526" s="0" t="n">
        <f aca="false">-1+B1526*0.05</f>
        <v>-0.8</v>
      </c>
      <c r="E1526" s="0" t="n">
        <f aca="false">1</f>
        <v>1</v>
      </c>
      <c r="F1526" s="0" t="n">
        <f aca="false">C1526</f>
        <v>0.85</v>
      </c>
      <c r="G1526" s="0" t="n">
        <f aca="false">D1526</f>
        <v>-0.8</v>
      </c>
      <c r="H1526" s="0" t="n">
        <f aca="false">C1526*D1526</f>
        <v>-0.68</v>
      </c>
      <c r="I1526" s="0" t="n">
        <f aca="false">C1526*C1526</f>
        <v>0.7225</v>
      </c>
      <c r="J1526" s="0" t="n">
        <f aca="false">D1526*D1526</f>
        <v>0.64</v>
      </c>
      <c r="K1526" s="0" t="n">
        <f aca="false">SUMPRODUCT(E1526:J1526,_XtX!$B$53:$G$53)</f>
        <v>44.7278606321839</v>
      </c>
      <c r="L1526" s="0" t="n">
        <f aca="false">SUMPRODUCT(MMULT(E1526:J1526,_XtX!$B$44:$G$49),E1526:J1526)</f>
        <v>0.442947665229885</v>
      </c>
      <c r="M1526" s="0" t="n">
        <f aca="false">04_回帰ANOVA!$K$19*04_回帰ANOVA!$K$14*SQRT(1+L1526)</f>
        <v>1.62780306626577</v>
      </c>
      <c r="N1526" s="0" t="n">
        <f aca="false">K1526-M1526</f>
        <v>43.1000575659181</v>
      </c>
      <c r="O1526" s="0" t="n">
        <f aca="false">K1526+M1526</f>
        <v>46.3556636984497</v>
      </c>
      <c r="P1526" s="54" t="b">
        <f aca="false">AND(C1526&gt;=01_因子設定!$L$5-0.000000001,C1526&lt;=01_因子設定!$M$5+0.000000001,D1526&gt;=01_因子設定!$L$6-0.000000001,D1526&lt;=01_因子設定!$M$6+0.000000001,IF(01_因子設定!$B$20="Box-Behnken",C1526^2+D1526^2&lt;=2+0.000000001,TRUE()))</f>
        <v>1</v>
      </c>
      <c r="Q1526" s="55" t="n">
        <f aca="false">IF(P1526,IF(01_因子設定!$B$13="最大化",N1526-01_因子設定!$B$14,IF(01_因子設定!$B$13="最小化",01_因子設定!$B$15-O1526,MIN(N1526-01_因子設定!$B$14,01_因子設定!$B$15-O1526))),-1E+030)</f>
        <v>-3.39994243408188</v>
      </c>
      <c r="R1526" s="55" t="n">
        <f aca="false">IF(P1526,IF(01_因子設定!$B$13="最大化",K1526,IF(01_因子設定!$B$13="最小化",-K1526,-ABS(K1526-01_因子設定!$B$16))),-1E+030)</f>
        <v>44.7278606321839</v>
      </c>
      <c r="S1526" s="55" t="n">
        <f aca="false">Q1526+ROW()*0.000000001</f>
        <v>-3.39994090808188</v>
      </c>
      <c r="T1526" s="55" t="n">
        <f aca="false">R1526+ROW()*0.000000001</f>
        <v>44.7278621581839</v>
      </c>
    </row>
    <row r="1527" customFormat="false" ht="15" hidden="false" customHeight="false" outlineLevel="0" collapsed="false">
      <c r="A1527" s="0" t="n">
        <v>37</v>
      </c>
      <c r="B1527" s="0" t="n">
        <v>5</v>
      </c>
      <c r="C1527" s="0" t="n">
        <f aca="false">-1+A1527*0.05</f>
        <v>0.85</v>
      </c>
      <c r="D1527" s="0" t="n">
        <f aca="false">-1+B1527*0.05</f>
        <v>-0.75</v>
      </c>
      <c r="E1527" s="0" t="n">
        <f aca="false">1</f>
        <v>1</v>
      </c>
      <c r="F1527" s="0" t="n">
        <f aca="false">C1527</f>
        <v>0.85</v>
      </c>
      <c r="G1527" s="0" t="n">
        <f aca="false">D1527</f>
        <v>-0.75</v>
      </c>
      <c r="H1527" s="0" t="n">
        <f aca="false">C1527*D1527</f>
        <v>-0.6375</v>
      </c>
      <c r="I1527" s="0" t="n">
        <f aca="false">C1527*C1527</f>
        <v>0.7225</v>
      </c>
      <c r="J1527" s="0" t="n">
        <f aca="false">D1527*D1527</f>
        <v>0.5625</v>
      </c>
      <c r="K1527" s="0" t="n">
        <f aca="false">SUMPRODUCT(E1527:J1527,_XtX!$B$53:$G$53)</f>
        <v>44.9822636494253</v>
      </c>
      <c r="L1527" s="0" t="n">
        <f aca="false">SUMPRODUCT(MMULT(E1527:J1527,_XtX!$B$44:$G$49),E1527:J1527)</f>
        <v>0.413771030890805</v>
      </c>
      <c r="M1527" s="0" t="n">
        <f aca="false">04_回帰ANOVA!$K$19*04_回帰ANOVA!$K$14*SQRT(1+L1527)</f>
        <v>1.61126180232603</v>
      </c>
      <c r="N1527" s="0" t="n">
        <f aca="false">K1527-M1527</f>
        <v>43.3710018470993</v>
      </c>
      <c r="O1527" s="0" t="n">
        <f aca="false">K1527+M1527</f>
        <v>46.5935254517513</v>
      </c>
      <c r="P1527" s="54" t="b">
        <f aca="false">AND(C1527&gt;=01_因子設定!$L$5-0.000000001,C1527&lt;=01_因子設定!$M$5+0.000000001,D1527&gt;=01_因子設定!$L$6-0.000000001,D1527&lt;=01_因子設定!$M$6+0.000000001,IF(01_因子設定!$B$20="Box-Behnken",C1527^2+D1527^2&lt;=2+0.000000001,TRUE()))</f>
        <v>1</v>
      </c>
      <c r="Q1527" s="55" t="n">
        <f aca="false">IF(P1527,IF(01_因子設定!$B$13="最大化",N1527-01_因子設定!$B$14,IF(01_因子設定!$B$13="最小化",01_因子設定!$B$15-O1527,MIN(N1527-01_因子設定!$B$14,01_因子設定!$B$15-O1527))),-1E+030)</f>
        <v>-3.12899815290075</v>
      </c>
      <c r="R1527" s="55" t="n">
        <f aca="false">IF(P1527,IF(01_因子設定!$B$13="最大化",K1527,IF(01_因子設定!$B$13="最小化",-K1527,-ABS(K1527-01_因子設定!$B$16))),-1E+030)</f>
        <v>44.9822636494253</v>
      </c>
      <c r="S1527" s="55" t="n">
        <f aca="false">Q1527+ROW()*0.000000001</f>
        <v>-3.12899662590075</v>
      </c>
      <c r="T1527" s="55" t="n">
        <f aca="false">R1527+ROW()*0.000000001</f>
        <v>44.9822651764253</v>
      </c>
    </row>
    <row r="1528" customFormat="false" ht="15" hidden="false" customHeight="false" outlineLevel="0" collapsed="false">
      <c r="A1528" s="0" t="n">
        <v>37</v>
      </c>
      <c r="B1528" s="0" t="n">
        <v>6</v>
      </c>
      <c r="C1528" s="0" t="n">
        <f aca="false">-1+A1528*0.05</f>
        <v>0.85</v>
      </c>
      <c r="D1528" s="0" t="n">
        <f aca="false">-1+B1528*0.05</f>
        <v>-0.7</v>
      </c>
      <c r="E1528" s="0" t="n">
        <f aca="false">1</f>
        <v>1</v>
      </c>
      <c r="F1528" s="0" t="n">
        <f aca="false">C1528</f>
        <v>0.85</v>
      </c>
      <c r="G1528" s="0" t="n">
        <f aca="false">D1528</f>
        <v>-0.7</v>
      </c>
      <c r="H1528" s="0" t="n">
        <f aca="false">C1528*D1528</f>
        <v>-0.595</v>
      </c>
      <c r="I1528" s="0" t="n">
        <f aca="false">C1528*C1528</f>
        <v>0.7225</v>
      </c>
      <c r="J1528" s="0" t="n">
        <f aca="false">D1528*D1528</f>
        <v>0.49</v>
      </c>
      <c r="K1528" s="0" t="n">
        <f aca="false">SUMPRODUCT(E1528:J1528,_XtX!$B$53:$G$53)</f>
        <v>45.2289511494253</v>
      </c>
      <c r="L1528" s="0" t="n">
        <f aca="false">SUMPRODUCT(MMULT(E1528:J1528,_XtX!$B$44:$G$49),E1528:J1528)</f>
        <v>0.390414260057471</v>
      </c>
      <c r="M1528" s="0" t="n">
        <f aca="false">04_回帰ANOVA!$K$19*04_回帰ANOVA!$K$14*SQRT(1+L1528)</f>
        <v>1.59789662309984</v>
      </c>
      <c r="N1528" s="0" t="n">
        <f aca="false">K1528-M1528</f>
        <v>43.6310545263254</v>
      </c>
      <c r="O1528" s="0" t="n">
        <f aca="false">K1528+M1528</f>
        <v>46.8268477725251</v>
      </c>
      <c r="P1528" s="54" t="b">
        <f aca="false">AND(C1528&gt;=01_因子設定!$L$5-0.000000001,C1528&lt;=01_因子設定!$M$5+0.000000001,D1528&gt;=01_因子設定!$L$6-0.000000001,D1528&lt;=01_因子設定!$M$6+0.000000001,IF(01_因子設定!$B$20="Box-Behnken",C1528^2+D1528^2&lt;=2+0.000000001,TRUE()))</f>
        <v>1</v>
      </c>
      <c r="Q1528" s="55" t="n">
        <f aca="false">IF(P1528,IF(01_因子設定!$B$13="最大化",N1528-01_因子設定!$B$14,IF(01_因子設定!$B$13="最小化",01_因子設定!$B$15-O1528,MIN(N1528-01_因子設定!$B$14,01_因子設定!$B$15-O1528))),-1E+030)</f>
        <v>-2.86894547367456</v>
      </c>
      <c r="R1528" s="55" t="n">
        <f aca="false">IF(P1528,IF(01_因子設定!$B$13="最大化",K1528,IF(01_因子設定!$B$13="最小化",-K1528,-ABS(K1528-01_因子設定!$B$16))),-1E+030)</f>
        <v>45.2289511494253</v>
      </c>
      <c r="S1528" s="55" t="n">
        <f aca="false">Q1528+ROW()*0.000000001</f>
        <v>-2.86894394567456</v>
      </c>
      <c r="T1528" s="55" t="n">
        <f aca="false">R1528+ROW()*0.000000001</f>
        <v>45.2289526774253</v>
      </c>
    </row>
    <row r="1529" customFormat="false" ht="15" hidden="false" customHeight="false" outlineLevel="0" collapsed="false">
      <c r="A1529" s="0" t="n">
        <v>37</v>
      </c>
      <c r="B1529" s="0" t="n">
        <v>7</v>
      </c>
      <c r="C1529" s="0" t="n">
        <f aca="false">-1+A1529*0.05</f>
        <v>0.85</v>
      </c>
      <c r="D1529" s="0" t="n">
        <f aca="false">-1+B1529*0.05</f>
        <v>-0.65</v>
      </c>
      <c r="E1529" s="0" t="n">
        <f aca="false">1</f>
        <v>1</v>
      </c>
      <c r="F1529" s="0" t="n">
        <f aca="false">C1529</f>
        <v>0.85</v>
      </c>
      <c r="G1529" s="0" t="n">
        <f aca="false">D1529</f>
        <v>-0.65</v>
      </c>
      <c r="H1529" s="0" t="n">
        <f aca="false">C1529*D1529</f>
        <v>-0.5525</v>
      </c>
      <c r="I1529" s="0" t="n">
        <f aca="false">C1529*C1529</f>
        <v>0.7225</v>
      </c>
      <c r="J1529" s="0" t="n">
        <f aca="false">D1529*D1529</f>
        <v>0.4225</v>
      </c>
      <c r="K1529" s="0" t="n">
        <f aca="false">SUMPRODUCT(E1529:J1529,_XtX!$B$53:$G$53)</f>
        <v>45.4679231321839</v>
      </c>
      <c r="L1529" s="0" t="n">
        <f aca="false">SUMPRODUCT(MMULT(E1529:J1529,_XtX!$B$44:$G$49),E1529:J1529)</f>
        <v>0.372089852729885</v>
      </c>
      <c r="M1529" s="0" t="n">
        <f aca="false">04_回帰ANOVA!$K$19*04_回帰ANOVA!$K$14*SQRT(1+L1529)</f>
        <v>1.58733228155404</v>
      </c>
      <c r="N1529" s="0" t="n">
        <f aca="false">K1529-M1529</f>
        <v>43.8805908506299</v>
      </c>
      <c r="O1529" s="0" t="n">
        <f aca="false">K1529+M1529</f>
        <v>47.0552554137379</v>
      </c>
      <c r="P1529" s="54" t="b">
        <f aca="false">AND(C1529&gt;=01_因子設定!$L$5-0.000000001,C1529&lt;=01_因子設定!$M$5+0.000000001,D1529&gt;=01_因子設定!$L$6-0.000000001,D1529&lt;=01_因子設定!$M$6+0.000000001,IF(01_因子設定!$B$20="Box-Behnken",C1529^2+D1529^2&lt;=2+0.000000001,TRUE()))</f>
        <v>1</v>
      </c>
      <c r="Q1529" s="55" t="n">
        <f aca="false">IF(P1529,IF(01_因子設定!$B$13="最大化",N1529-01_因子設定!$B$14,IF(01_因子設定!$B$13="最小化",01_因子設定!$B$15-O1529,MIN(N1529-01_因子設定!$B$14,01_因子設定!$B$15-O1529))),-1E+030)</f>
        <v>-2.61940914937014</v>
      </c>
      <c r="R1529" s="55" t="n">
        <f aca="false">IF(P1529,IF(01_因子設定!$B$13="最大化",K1529,IF(01_因子設定!$B$13="最小化",-K1529,-ABS(K1529-01_因子設定!$B$16))),-1E+030)</f>
        <v>45.4679231321839</v>
      </c>
      <c r="S1529" s="55" t="n">
        <f aca="false">Q1529+ROW()*0.000000001</f>
        <v>-2.61940762037014</v>
      </c>
      <c r="T1529" s="55" t="n">
        <f aca="false">R1529+ROW()*0.000000001</f>
        <v>45.4679246611839</v>
      </c>
    </row>
    <row r="1530" customFormat="false" ht="15" hidden="false" customHeight="false" outlineLevel="0" collapsed="false">
      <c r="A1530" s="0" t="n">
        <v>37</v>
      </c>
      <c r="B1530" s="0" t="n">
        <v>8</v>
      </c>
      <c r="C1530" s="0" t="n">
        <f aca="false">-1+A1530*0.05</f>
        <v>0.85</v>
      </c>
      <c r="D1530" s="0" t="n">
        <f aca="false">-1+B1530*0.05</f>
        <v>-0.6</v>
      </c>
      <c r="E1530" s="0" t="n">
        <f aca="false">1</f>
        <v>1</v>
      </c>
      <c r="F1530" s="0" t="n">
        <f aca="false">C1530</f>
        <v>0.85</v>
      </c>
      <c r="G1530" s="0" t="n">
        <f aca="false">D1530</f>
        <v>-0.6</v>
      </c>
      <c r="H1530" s="0" t="n">
        <f aca="false">C1530*D1530</f>
        <v>-0.51</v>
      </c>
      <c r="I1530" s="0" t="n">
        <f aca="false">C1530*C1530</f>
        <v>0.7225</v>
      </c>
      <c r="J1530" s="0" t="n">
        <f aca="false">D1530*D1530</f>
        <v>0.36</v>
      </c>
      <c r="K1530" s="0" t="n">
        <f aca="false">SUMPRODUCT(E1530:J1530,_XtX!$B$53:$G$53)</f>
        <v>45.6991795977011</v>
      </c>
      <c r="L1530" s="0" t="n">
        <f aca="false">SUMPRODUCT(MMULT(E1530:J1530,_XtX!$B$44:$G$49),E1530:J1530)</f>
        <v>0.358064619252874</v>
      </c>
      <c r="M1530" s="0" t="n">
        <f aca="false">04_回帰ANOVA!$K$19*04_回帰ANOVA!$K$14*SQRT(1+L1530)</f>
        <v>1.57919874361545</v>
      </c>
      <c r="N1530" s="0" t="n">
        <f aca="false">K1530-M1530</f>
        <v>44.1199808540857</v>
      </c>
      <c r="O1530" s="0" t="n">
        <f aca="false">K1530+M1530</f>
        <v>47.2783783413166</v>
      </c>
      <c r="P1530" s="54" t="b">
        <f aca="false">AND(C1530&gt;=01_因子設定!$L$5-0.000000001,C1530&lt;=01_因子設定!$M$5+0.000000001,D1530&gt;=01_因子設定!$L$6-0.000000001,D1530&lt;=01_因子設定!$M$6+0.000000001,IF(01_因子設定!$B$20="Box-Behnken",C1530^2+D1530^2&lt;=2+0.000000001,TRUE()))</f>
        <v>1</v>
      </c>
      <c r="Q1530" s="55" t="n">
        <f aca="false">IF(P1530,IF(01_因子設定!$B$13="最大化",N1530-01_因子設定!$B$14,IF(01_因子設定!$B$13="最小化",01_因子設定!$B$15-O1530,MIN(N1530-01_因子設定!$B$14,01_因子設定!$B$15-O1530))),-1E+030)</f>
        <v>-2.38001914591431</v>
      </c>
      <c r="R1530" s="55" t="n">
        <f aca="false">IF(P1530,IF(01_因子設定!$B$13="最大化",K1530,IF(01_因子設定!$B$13="最小化",-K1530,-ABS(K1530-01_因子設定!$B$16))),-1E+030)</f>
        <v>45.6991795977011</v>
      </c>
      <c r="S1530" s="55" t="n">
        <f aca="false">Q1530+ROW()*0.000000001</f>
        <v>-2.38001761591431</v>
      </c>
      <c r="T1530" s="55" t="n">
        <f aca="false">R1530+ROW()*0.000000001</f>
        <v>45.6991811277011</v>
      </c>
    </row>
    <row r="1531" customFormat="false" ht="15" hidden="false" customHeight="false" outlineLevel="0" collapsed="false">
      <c r="A1531" s="0" t="n">
        <v>37</v>
      </c>
      <c r="B1531" s="0" t="n">
        <v>9</v>
      </c>
      <c r="C1531" s="0" t="n">
        <f aca="false">-1+A1531*0.05</f>
        <v>0.85</v>
      </c>
      <c r="D1531" s="0" t="n">
        <f aca="false">-1+B1531*0.05</f>
        <v>-0.55</v>
      </c>
      <c r="E1531" s="0" t="n">
        <f aca="false">1</f>
        <v>1</v>
      </c>
      <c r="F1531" s="0" t="n">
        <f aca="false">C1531</f>
        <v>0.85</v>
      </c>
      <c r="G1531" s="0" t="n">
        <f aca="false">D1531</f>
        <v>-0.55</v>
      </c>
      <c r="H1531" s="0" t="n">
        <f aca="false">C1531*D1531</f>
        <v>-0.4675</v>
      </c>
      <c r="I1531" s="0" t="n">
        <f aca="false">C1531*C1531</f>
        <v>0.7225</v>
      </c>
      <c r="J1531" s="0" t="n">
        <f aca="false">D1531*D1531</f>
        <v>0.3025</v>
      </c>
      <c r="K1531" s="0" t="n">
        <f aca="false">SUMPRODUCT(E1531:J1531,_XtX!$B$53:$G$53)</f>
        <v>45.922720545977</v>
      </c>
      <c r="L1531" s="0" t="n">
        <f aca="false">SUMPRODUCT(MMULT(E1531:J1531,_XtX!$B$44:$G$49),E1531:J1531)</f>
        <v>0.347659680316092</v>
      </c>
      <c r="M1531" s="0" t="n">
        <f aca="false">04_回帰ANOVA!$K$19*04_回帰ANOVA!$K$14*SQRT(1+L1531)</f>
        <v>1.57313752229609</v>
      </c>
      <c r="N1531" s="0" t="n">
        <f aca="false">K1531-M1531</f>
        <v>44.3495830236809</v>
      </c>
      <c r="O1531" s="0" t="n">
        <f aca="false">K1531+M1531</f>
        <v>47.4958580682731</v>
      </c>
      <c r="P1531" s="54" t="b">
        <f aca="false">AND(C1531&gt;=01_因子設定!$L$5-0.000000001,C1531&lt;=01_因子設定!$M$5+0.000000001,D1531&gt;=01_因子設定!$L$6-0.000000001,D1531&lt;=01_因子設定!$M$6+0.000000001,IF(01_因子設定!$B$20="Box-Behnken",C1531^2+D1531^2&lt;=2+0.000000001,TRUE()))</f>
        <v>1</v>
      </c>
      <c r="Q1531" s="55" t="n">
        <f aca="false">IF(P1531,IF(01_因子設定!$B$13="最大化",N1531-01_因子設定!$B$14,IF(01_因子設定!$B$13="最小化",01_因子設定!$B$15-O1531,MIN(N1531-01_因子設定!$B$14,01_因子設定!$B$15-O1531))),-1E+030)</f>
        <v>-2.15041697631909</v>
      </c>
      <c r="R1531" s="55" t="n">
        <f aca="false">IF(P1531,IF(01_因子設定!$B$13="最大化",K1531,IF(01_因子設定!$B$13="最小化",-K1531,-ABS(K1531-01_因子設定!$B$16))),-1E+030)</f>
        <v>45.922720545977</v>
      </c>
      <c r="S1531" s="55" t="n">
        <f aca="false">Q1531+ROW()*0.000000001</f>
        <v>-2.15041544531909</v>
      </c>
      <c r="T1531" s="55" t="n">
        <f aca="false">R1531+ROW()*0.000000001</f>
        <v>45.922722076977</v>
      </c>
    </row>
    <row r="1532" customFormat="false" ht="15" hidden="false" customHeight="false" outlineLevel="0" collapsed="false">
      <c r="A1532" s="0" t="n">
        <v>37</v>
      </c>
      <c r="B1532" s="0" t="n">
        <v>10</v>
      </c>
      <c r="C1532" s="0" t="n">
        <f aca="false">-1+A1532*0.05</f>
        <v>0.85</v>
      </c>
      <c r="D1532" s="0" t="n">
        <f aca="false">-1+B1532*0.05</f>
        <v>-0.5</v>
      </c>
      <c r="E1532" s="0" t="n">
        <f aca="false">1</f>
        <v>1</v>
      </c>
      <c r="F1532" s="0" t="n">
        <f aca="false">C1532</f>
        <v>0.85</v>
      </c>
      <c r="G1532" s="0" t="n">
        <f aca="false">D1532</f>
        <v>-0.5</v>
      </c>
      <c r="H1532" s="0" t="n">
        <f aca="false">C1532*D1532</f>
        <v>-0.425</v>
      </c>
      <c r="I1532" s="0" t="n">
        <f aca="false">C1532*C1532</f>
        <v>0.7225</v>
      </c>
      <c r="J1532" s="0" t="n">
        <f aca="false">D1532*D1532</f>
        <v>0.25</v>
      </c>
      <c r="K1532" s="0" t="n">
        <f aca="false">SUMPRODUCT(E1532:J1532,_XtX!$B$53:$G$53)</f>
        <v>46.1385459770115</v>
      </c>
      <c r="L1532" s="0" t="n">
        <f aca="false">SUMPRODUCT(MMULT(E1532:J1532,_XtX!$B$44:$G$49),E1532:J1532)</f>
        <v>0.340250466954023</v>
      </c>
      <c r="M1532" s="0" t="n">
        <f aca="false">04_回帰ANOVA!$K$19*04_回帰ANOVA!$K$14*SQRT(1+L1532)</f>
        <v>1.56880713525096</v>
      </c>
      <c r="N1532" s="0" t="n">
        <f aca="false">K1532-M1532</f>
        <v>44.5697388417605</v>
      </c>
      <c r="O1532" s="0" t="n">
        <f aca="false">K1532+M1532</f>
        <v>47.7073531122624</v>
      </c>
      <c r="P1532" s="54" t="b">
        <f aca="false">AND(C1532&gt;=01_因子設定!$L$5-0.000000001,C1532&lt;=01_因子設定!$M$5+0.000000001,D1532&gt;=01_因子設定!$L$6-0.000000001,D1532&lt;=01_因子設定!$M$6+0.000000001,IF(01_因子設定!$B$20="Box-Behnken",C1532^2+D1532^2&lt;=2+0.000000001,TRUE()))</f>
        <v>1</v>
      </c>
      <c r="Q1532" s="55" t="n">
        <f aca="false">IF(P1532,IF(01_因子設定!$B$13="最大化",N1532-01_因子設定!$B$14,IF(01_因子設定!$B$13="最小化",01_因子設定!$B$15-O1532,MIN(N1532-01_因子設定!$B$14,01_因子設定!$B$15-O1532))),-1E+030)</f>
        <v>-1.93026115823947</v>
      </c>
      <c r="R1532" s="55" t="n">
        <f aca="false">IF(P1532,IF(01_因子設定!$B$13="最大化",K1532,IF(01_因子設定!$B$13="最小化",-K1532,-ABS(K1532-01_因子設定!$B$16))),-1E+030)</f>
        <v>46.1385459770115</v>
      </c>
      <c r="S1532" s="55" t="n">
        <f aca="false">Q1532+ROW()*0.000000001</f>
        <v>-1.93025962623947</v>
      </c>
      <c r="T1532" s="55" t="n">
        <f aca="false">R1532+ROW()*0.000000001</f>
        <v>46.1385475090115</v>
      </c>
    </row>
    <row r="1533" customFormat="false" ht="15" hidden="false" customHeight="false" outlineLevel="0" collapsed="false">
      <c r="A1533" s="0" t="n">
        <v>37</v>
      </c>
      <c r="B1533" s="0" t="n">
        <v>11</v>
      </c>
      <c r="C1533" s="0" t="n">
        <f aca="false">-1+A1533*0.05</f>
        <v>0.85</v>
      </c>
      <c r="D1533" s="0" t="n">
        <f aca="false">-1+B1533*0.05</f>
        <v>-0.45</v>
      </c>
      <c r="E1533" s="0" t="n">
        <f aca="false">1</f>
        <v>1</v>
      </c>
      <c r="F1533" s="0" t="n">
        <f aca="false">C1533</f>
        <v>0.85</v>
      </c>
      <c r="G1533" s="0" t="n">
        <f aca="false">D1533</f>
        <v>-0.45</v>
      </c>
      <c r="H1533" s="0" t="n">
        <f aca="false">C1533*D1533</f>
        <v>-0.3825</v>
      </c>
      <c r="I1533" s="0" t="n">
        <f aca="false">C1533*C1533</f>
        <v>0.7225</v>
      </c>
      <c r="J1533" s="0" t="n">
        <f aca="false">D1533*D1533</f>
        <v>0.2025</v>
      </c>
      <c r="K1533" s="0" t="n">
        <f aca="false">SUMPRODUCT(E1533:J1533,_XtX!$B$53:$G$53)</f>
        <v>46.3466558908046</v>
      </c>
      <c r="L1533" s="0" t="n">
        <f aca="false">SUMPRODUCT(MMULT(E1533:J1533,_XtX!$B$44:$G$49),E1533:J1533)</f>
        <v>0.335266720545977</v>
      </c>
      <c r="M1533" s="0" t="n">
        <f aca="false">04_回帰ANOVA!$K$19*04_回帰ANOVA!$K$14*SQRT(1+L1533)</f>
        <v>1.56588759931073</v>
      </c>
      <c r="N1533" s="0" t="n">
        <f aca="false">K1533-M1533</f>
        <v>44.7807682914939</v>
      </c>
      <c r="O1533" s="0" t="n">
        <f aca="false">K1533+M1533</f>
        <v>47.9125434901153</v>
      </c>
      <c r="P1533" s="54" t="b">
        <f aca="false">AND(C1533&gt;=01_因子設定!$L$5-0.000000001,C1533&lt;=01_因子設定!$M$5+0.000000001,D1533&gt;=01_因子設定!$L$6-0.000000001,D1533&lt;=01_因子設定!$M$6+0.000000001,IF(01_因子設定!$B$20="Box-Behnken",C1533^2+D1533^2&lt;=2+0.000000001,TRUE()))</f>
        <v>1</v>
      </c>
      <c r="Q1533" s="55" t="n">
        <f aca="false">IF(P1533,IF(01_因子設定!$B$13="最大化",N1533-01_因子設定!$B$14,IF(01_因子設定!$B$13="最小化",01_因子設定!$B$15-O1533,MIN(N1533-01_因子設定!$B$14,01_因子設定!$B$15-O1533))),-1E+030)</f>
        <v>-1.71923170850614</v>
      </c>
      <c r="R1533" s="55" t="n">
        <f aca="false">IF(P1533,IF(01_因子設定!$B$13="最大化",K1533,IF(01_因子設定!$B$13="最小化",-K1533,-ABS(K1533-01_因子設定!$B$16))),-1E+030)</f>
        <v>46.3466558908046</v>
      </c>
      <c r="S1533" s="55" t="n">
        <f aca="false">Q1533+ROW()*0.000000001</f>
        <v>-1.71923017550614</v>
      </c>
      <c r="T1533" s="55" t="n">
        <f aca="false">R1533+ROW()*0.000000001</f>
        <v>46.3466574238046</v>
      </c>
    </row>
    <row r="1534" customFormat="false" ht="15" hidden="false" customHeight="false" outlineLevel="0" collapsed="false">
      <c r="A1534" s="0" t="n">
        <v>37</v>
      </c>
      <c r="B1534" s="0" t="n">
        <v>12</v>
      </c>
      <c r="C1534" s="0" t="n">
        <f aca="false">-1+A1534*0.05</f>
        <v>0.85</v>
      </c>
      <c r="D1534" s="0" t="n">
        <f aca="false">-1+B1534*0.05</f>
        <v>-0.4</v>
      </c>
      <c r="E1534" s="0" t="n">
        <f aca="false">1</f>
        <v>1</v>
      </c>
      <c r="F1534" s="0" t="n">
        <f aca="false">C1534</f>
        <v>0.85</v>
      </c>
      <c r="G1534" s="0" t="n">
        <f aca="false">D1534</f>
        <v>-0.4</v>
      </c>
      <c r="H1534" s="0" t="n">
        <f aca="false">C1534*D1534</f>
        <v>-0.34</v>
      </c>
      <c r="I1534" s="0" t="n">
        <f aca="false">C1534*C1534</f>
        <v>0.7225</v>
      </c>
      <c r="J1534" s="0" t="n">
        <f aca="false">D1534*D1534</f>
        <v>0.16</v>
      </c>
      <c r="K1534" s="0" t="n">
        <f aca="false">SUMPRODUCT(E1534:J1534,_XtX!$B$53:$G$53)</f>
        <v>46.5470502873563</v>
      </c>
      <c r="L1534" s="0" t="n">
        <f aca="false">SUMPRODUCT(MMULT(E1534:J1534,_XtX!$B$44:$G$49),E1534:J1534)</f>
        <v>0.332192492816092</v>
      </c>
      <c r="M1534" s="0" t="n">
        <f aca="false">04_回帰ANOVA!$K$19*04_回帰ANOVA!$K$14*SQRT(1+L1534)</f>
        <v>1.56408396375374</v>
      </c>
      <c r="N1534" s="0" t="n">
        <f aca="false">K1534-M1534</f>
        <v>44.9829663236026</v>
      </c>
      <c r="O1534" s="0" t="n">
        <f aca="false">K1534+M1534</f>
        <v>48.11113425111</v>
      </c>
      <c r="P1534" s="54" t="b">
        <f aca="false">AND(C1534&gt;=01_因子設定!$L$5-0.000000001,C1534&lt;=01_因子設定!$M$5+0.000000001,D1534&gt;=01_因子設定!$L$6-0.000000001,D1534&lt;=01_因子設定!$M$6+0.000000001,IF(01_因子設定!$B$20="Box-Behnken",C1534^2+D1534^2&lt;=2+0.000000001,TRUE()))</f>
        <v>1</v>
      </c>
      <c r="Q1534" s="55" t="n">
        <f aca="false">IF(P1534,IF(01_因子設定!$B$13="最大化",N1534-01_因子設定!$B$14,IF(01_因子設定!$B$13="最小化",01_因子設定!$B$15-O1534,MIN(N1534-01_因子設定!$B$14,01_因子設定!$B$15-O1534))),-1E+030)</f>
        <v>-1.51703367639743</v>
      </c>
      <c r="R1534" s="55" t="n">
        <f aca="false">IF(P1534,IF(01_因子設定!$B$13="最大化",K1534,IF(01_因子設定!$B$13="最小化",-K1534,-ABS(K1534-01_因子設定!$B$16))),-1E+030)</f>
        <v>46.5470502873563</v>
      </c>
      <c r="S1534" s="55" t="n">
        <f aca="false">Q1534+ROW()*0.000000001</f>
        <v>-1.51703214239743</v>
      </c>
      <c r="T1534" s="55" t="n">
        <f aca="false">R1534+ROW()*0.000000001</f>
        <v>46.5470518213563</v>
      </c>
    </row>
    <row r="1535" customFormat="false" ht="15" hidden="false" customHeight="false" outlineLevel="0" collapsed="false">
      <c r="A1535" s="0" t="n">
        <v>37</v>
      </c>
      <c r="B1535" s="0" t="n">
        <v>13</v>
      </c>
      <c r="C1535" s="0" t="n">
        <f aca="false">-1+A1535*0.05</f>
        <v>0.85</v>
      </c>
      <c r="D1535" s="0" t="n">
        <f aca="false">-1+B1535*0.05</f>
        <v>-0.35</v>
      </c>
      <c r="E1535" s="0" t="n">
        <f aca="false">1</f>
        <v>1</v>
      </c>
      <c r="F1535" s="0" t="n">
        <f aca="false">C1535</f>
        <v>0.85</v>
      </c>
      <c r="G1535" s="0" t="n">
        <f aca="false">D1535</f>
        <v>-0.35</v>
      </c>
      <c r="H1535" s="0" t="n">
        <f aca="false">C1535*D1535</f>
        <v>-0.2975</v>
      </c>
      <c r="I1535" s="0" t="n">
        <f aca="false">C1535*C1535</f>
        <v>0.7225</v>
      </c>
      <c r="J1535" s="0" t="n">
        <f aca="false">D1535*D1535</f>
        <v>0.1225</v>
      </c>
      <c r="K1535" s="0" t="n">
        <f aca="false">SUMPRODUCT(E1535:J1535,_XtX!$B$53:$G$53)</f>
        <v>46.7397291666667</v>
      </c>
      <c r="L1535" s="0" t="n">
        <f aca="false">SUMPRODUCT(MMULT(E1535:J1535,_XtX!$B$44:$G$49),E1535:J1535)</f>
        <v>0.330566145833333</v>
      </c>
      <c r="M1535" s="0" t="n">
        <f aca="false">04_回帰ANOVA!$K$19*04_回帰ANOVA!$K$14*SQRT(1+L1535)</f>
        <v>1.5631289515927</v>
      </c>
      <c r="N1535" s="0" t="n">
        <f aca="false">K1535-M1535</f>
        <v>45.176600215074</v>
      </c>
      <c r="O1535" s="0" t="n">
        <f aca="false">K1535+M1535</f>
        <v>48.3028581182593</v>
      </c>
      <c r="P1535" s="54" t="b">
        <f aca="false">AND(C1535&gt;=01_因子設定!$L$5-0.000000001,C1535&lt;=01_因子設定!$M$5+0.000000001,D1535&gt;=01_因子設定!$L$6-0.000000001,D1535&lt;=01_因子設定!$M$6+0.000000001,IF(01_因子設定!$B$20="Box-Behnken",C1535^2+D1535^2&lt;=2+0.000000001,TRUE()))</f>
        <v>1</v>
      </c>
      <c r="Q1535" s="55" t="n">
        <f aca="false">IF(P1535,IF(01_因子設定!$B$13="最大化",N1535-01_因子設定!$B$14,IF(01_因子設定!$B$13="最小化",01_因子設定!$B$15-O1535,MIN(N1535-01_因子設定!$B$14,01_因子設定!$B$15-O1535))),-1E+030)</f>
        <v>-1.32339978492605</v>
      </c>
      <c r="R1535" s="55" t="n">
        <f aca="false">IF(P1535,IF(01_因子設定!$B$13="最大化",K1535,IF(01_因子設定!$B$13="最小化",-K1535,-ABS(K1535-01_因子設定!$B$16))),-1E+030)</f>
        <v>46.7397291666667</v>
      </c>
      <c r="S1535" s="55" t="n">
        <f aca="false">Q1535+ROW()*0.000000001</f>
        <v>-1.32339824992605</v>
      </c>
      <c r="T1535" s="55" t="n">
        <f aca="false">R1535+ROW()*0.000000001</f>
        <v>46.7397307016667</v>
      </c>
    </row>
    <row r="1536" customFormat="false" ht="15" hidden="false" customHeight="false" outlineLevel="0" collapsed="false">
      <c r="A1536" s="0" t="n">
        <v>37</v>
      </c>
      <c r="B1536" s="0" t="n">
        <v>14</v>
      </c>
      <c r="C1536" s="0" t="n">
        <f aca="false">-1+A1536*0.05</f>
        <v>0.85</v>
      </c>
      <c r="D1536" s="0" t="n">
        <f aca="false">-1+B1536*0.05</f>
        <v>-0.3</v>
      </c>
      <c r="E1536" s="0" t="n">
        <f aca="false">1</f>
        <v>1</v>
      </c>
      <c r="F1536" s="0" t="n">
        <f aca="false">C1536</f>
        <v>0.85</v>
      </c>
      <c r="G1536" s="0" t="n">
        <f aca="false">D1536</f>
        <v>-0.3</v>
      </c>
      <c r="H1536" s="0" t="n">
        <f aca="false">C1536*D1536</f>
        <v>-0.255</v>
      </c>
      <c r="I1536" s="0" t="n">
        <f aca="false">C1536*C1536</f>
        <v>0.7225</v>
      </c>
      <c r="J1536" s="0" t="n">
        <f aca="false">D1536*D1536</f>
        <v>0.09</v>
      </c>
      <c r="K1536" s="0" t="n">
        <f aca="false">SUMPRODUCT(E1536:J1536,_XtX!$B$53:$G$53)</f>
        <v>46.9246925287356</v>
      </c>
      <c r="L1536" s="0" t="n">
        <f aca="false">SUMPRODUCT(MMULT(E1536:J1536,_XtX!$B$44:$G$49),E1536:J1536)</f>
        <v>0.329980352011494</v>
      </c>
      <c r="M1536" s="0" t="n">
        <f aca="false">04_回帰ANOVA!$K$19*04_回帰ANOVA!$K$14*SQRT(1+L1536)</f>
        <v>1.56278482285818</v>
      </c>
      <c r="N1536" s="0" t="n">
        <f aca="false">K1536-M1536</f>
        <v>45.3619077058774</v>
      </c>
      <c r="O1536" s="0" t="n">
        <f aca="false">K1536+M1536</f>
        <v>48.4874773515938</v>
      </c>
      <c r="P1536" s="54" t="b">
        <f aca="false">AND(C1536&gt;=01_因子設定!$L$5-0.000000001,C1536&lt;=01_因子設定!$M$5+0.000000001,D1536&gt;=01_因子設定!$L$6-0.000000001,D1536&lt;=01_因子設定!$M$6+0.000000001,IF(01_因子設定!$B$20="Box-Behnken",C1536^2+D1536^2&lt;=2+0.000000001,TRUE()))</f>
        <v>1</v>
      </c>
      <c r="Q1536" s="55" t="n">
        <f aca="false">IF(P1536,IF(01_因子設定!$B$13="最大化",N1536-01_因子設定!$B$14,IF(01_因子設定!$B$13="最小化",01_因子設定!$B$15-O1536,MIN(N1536-01_因子設定!$B$14,01_因子設定!$B$15-O1536))),-1E+030)</f>
        <v>-1.13809229412256</v>
      </c>
      <c r="R1536" s="55" t="n">
        <f aca="false">IF(P1536,IF(01_因子設定!$B$13="最大化",K1536,IF(01_因子設定!$B$13="最小化",-K1536,-ABS(K1536-01_因子設定!$B$16))),-1E+030)</f>
        <v>46.9246925287356</v>
      </c>
      <c r="S1536" s="55" t="n">
        <f aca="false">Q1536+ROW()*0.000000001</f>
        <v>-1.13809075812256</v>
      </c>
      <c r="T1536" s="55" t="n">
        <f aca="false">R1536+ROW()*0.000000001</f>
        <v>46.9246940647356</v>
      </c>
    </row>
    <row r="1537" customFormat="false" ht="15" hidden="false" customHeight="false" outlineLevel="0" collapsed="false">
      <c r="A1537" s="0" t="n">
        <v>37</v>
      </c>
      <c r="B1537" s="0" t="n">
        <v>15</v>
      </c>
      <c r="C1537" s="0" t="n">
        <f aca="false">-1+A1537*0.05</f>
        <v>0.85</v>
      </c>
      <c r="D1537" s="0" t="n">
        <f aca="false">-1+B1537*0.05</f>
        <v>-0.25</v>
      </c>
      <c r="E1537" s="0" t="n">
        <f aca="false">1</f>
        <v>1</v>
      </c>
      <c r="F1537" s="0" t="n">
        <f aca="false">C1537</f>
        <v>0.85</v>
      </c>
      <c r="G1537" s="0" t="n">
        <f aca="false">D1537</f>
        <v>-0.25</v>
      </c>
      <c r="H1537" s="0" t="n">
        <f aca="false">C1537*D1537</f>
        <v>-0.2125</v>
      </c>
      <c r="I1537" s="0" t="n">
        <f aca="false">C1537*C1537</f>
        <v>0.7225</v>
      </c>
      <c r="J1537" s="0" t="n">
        <f aca="false">D1537*D1537</f>
        <v>0.0625</v>
      </c>
      <c r="K1537" s="0" t="n">
        <f aca="false">SUMPRODUCT(E1537:J1537,_XtX!$B$53:$G$53)</f>
        <v>47.1019403735632</v>
      </c>
      <c r="L1537" s="0" t="n">
        <f aca="false">SUMPRODUCT(MMULT(E1537:J1537,_XtX!$B$44:$G$49),E1537:J1537)</f>
        <v>0.330082094109195</v>
      </c>
      <c r="M1537" s="0" t="n">
        <f aca="false">04_回帰ANOVA!$K$19*04_回帰ANOVA!$K$14*SQRT(1+L1537)</f>
        <v>1.56284459741243</v>
      </c>
      <c r="N1537" s="0" t="n">
        <f aca="false">K1537-M1537</f>
        <v>45.5390957761508</v>
      </c>
      <c r="O1537" s="0" t="n">
        <f aca="false">K1537+M1537</f>
        <v>48.6647849709756</v>
      </c>
      <c r="P1537" s="54" t="b">
        <f aca="false">AND(C1537&gt;=01_因子設定!$L$5-0.000000001,C1537&lt;=01_因子設定!$M$5+0.000000001,D1537&gt;=01_因子設定!$L$6-0.000000001,D1537&lt;=01_因子設定!$M$6+0.000000001,IF(01_因子設定!$B$20="Box-Behnken",C1537^2+D1537^2&lt;=2+0.000000001,TRUE()))</f>
        <v>1</v>
      </c>
      <c r="Q1537" s="55" t="n">
        <f aca="false">IF(P1537,IF(01_因子設定!$B$13="最大化",N1537-01_因子設定!$B$14,IF(01_因子設定!$B$13="最小化",01_因子設定!$B$15-O1537,MIN(N1537-01_因子設定!$B$14,01_因子設定!$B$15-O1537))),-1E+030)</f>
        <v>-0.960904223849227</v>
      </c>
      <c r="R1537" s="55" t="n">
        <f aca="false">IF(P1537,IF(01_因子設定!$B$13="最大化",K1537,IF(01_因子設定!$B$13="最小化",-K1537,-ABS(K1537-01_因子設定!$B$16))),-1E+030)</f>
        <v>47.1019403735632</v>
      </c>
      <c r="S1537" s="55" t="n">
        <f aca="false">Q1537+ROW()*0.000000001</f>
        <v>-0.960902686849226</v>
      </c>
      <c r="T1537" s="55" t="n">
        <f aca="false">R1537+ROW()*0.000000001</f>
        <v>47.1019419105632</v>
      </c>
    </row>
    <row r="1538" customFormat="false" ht="15" hidden="false" customHeight="false" outlineLevel="0" collapsed="false">
      <c r="A1538" s="0" t="n">
        <v>37</v>
      </c>
      <c r="B1538" s="0" t="n">
        <v>16</v>
      </c>
      <c r="C1538" s="0" t="n">
        <f aca="false">-1+A1538*0.05</f>
        <v>0.85</v>
      </c>
      <c r="D1538" s="0" t="n">
        <f aca="false">-1+B1538*0.05</f>
        <v>-0.2</v>
      </c>
      <c r="E1538" s="0" t="n">
        <f aca="false">1</f>
        <v>1</v>
      </c>
      <c r="F1538" s="0" t="n">
        <f aca="false">C1538</f>
        <v>0.85</v>
      </c>
      <c r="G1538" s="0" t="n">
        <f aca="false">D1538</f>
        <v>-0.2</v>
      </c>
      <c r="H1538" s="0" t="n">
        <f aca="false">C1538*D1538</f>
        <v>-0.17</v>
      </c>
      <c r="I1538" s="0" t="n">
        <f aca="false">C1538*C1538</f>
        <v>0.7225</v>
      </c>
      <c r="J1538" s="0" t="n">
        <f aca="false">D1538*D1538</f>
        <v>0.04</v>
      </c>
      <c r="K1538" s="0" t="n">
        <f aca="false">SUMPRODUCT(E1538:J1538,_XtX!$B$53:$G$53)</f>
        <v>47.2714727011494</v>
      </c>
      <c r="L1538" s="0" t="n">
        <f aca="false">SUMPRODUCT(MMULT(E1538:J1538,_XtX!$B$44:$G$49),E1538:J1538)</f>
        <v>0.330572665229885</v>
      </c>
      <c r="M1538" s="0" t="n">
        <f aca="false">04_回帰ANOVA!$K$19*04_回帰ANOVA!$K$14*SQRT(1+L1538)</f>
        <v>1.56313278103216</v>
      </c>
      <c r="N1538" s="0" t="n">
        <f aca="false">K1538-M1538</f>
        <v>45.7083399201173</v>
      </c>
      <c r="O1538" s="0" t="n">
        <f aca="false">K1538+M1538</f>
        <v>48.8346054821816</v>
      </c>
      <c r="P1538" s="54" t="b">
        <f aca="false">AND(C1538&gt;=01_因子設定!$L$5-0.000000001,C1538&lt;=01_因子設定!$M$5+0.000000001,D1538&gt;=01_因子設定!$L$6-0.000000001,D1538&lt;=01_因子設定!$M$6+0.000000001,IF(01_因子設定!$B$20="Box-Behnken",C1538^2+D1538^2&lt;=2+0.000000001,TRUE()))</f>
        <v>1</v>
      </c>
      <c r="Q1538" s="55" t="n">
        <f aca="false">IF(P1538,IF(01_因子設定!$B$13="最大化",N1538-01_因子設定!$B$14,IF(01_因子設定!$B$13="最小化",01_因子設定!$B$15-O1538,MIN(N1538-01_因子設定!$B$14,01_因子設定!$B$15-O1538))),-1E+030)</f>
        <v>-0.791660079882746</v>
      </c>
      <c r="R1538" s="55" t="n">
        <f aca="false">IF(P1538,IF(01_因子設定!$B$13="最大化",K1538,IF(01_因子設定!$B$13="最小化",-K1538,-ABS(K1538-01_因子設定!$B$16))),-1E+030)</f>
        <v>47.2714727011494</v>
      </c>
      <c r="S1538" s="55" t="n">
        <f aca="false">Q1538+ROW()*0.000000001</f>
        <v>-0.791658541882746</v>
      </c>
      <c r="T1538" s="55" t="n">
        <f aca="false">R1538+ROW()*0.000000001</f>
        <v>47.2714742391494</v>
      </c>
    </row>
    <row r="1539" customFormat="false" ht="15" hidden="false" customHeight="false" outlineLevel="0" collapsed="false">
      <c r="A1539" s="0" t="n">
        <v>37</v>
      </c>
      <c r="B1539" s="0" t="n">
        <v>17</v>
      </c>
      <c r="C1539" s="0" t="n">
        <f aca="false">-1+A1539*0.05</f>
        <v>0.85</v>
      </c>
      <c r="D1539" s="0" t="n">
        <f aca="false">-1+B1539*0.05</f>
        <v>-0.15</v>
      </c>
      <c r="E1539" s="0" t="n">
        <f aca="false">1</f>
        <v>1</v>
      </c>
      <c r="F1539" s="0" t="n">
        <f aca="false">C1539</f>
        <v>0.85</v>
      </c>
      <c r="G1539" s="0" t="n">
        <f aca="false">D1539</f>
        <v>-0.15</v>
      </c>
      <c r="H1539" s="0" t="n">
        <f aca="false">C1539*D1539</f>
        <v>-0.1275</v>
      </c>
      <c r="I1539" s="0" t="n">
        <f aca="false">C1539*C1539</f>
        <v>0.7225</v>
      </c>
      <c r="J1539" s="0" t="n">
        <f aca="false">D1539*D1539</f>
        <v>0.0225</v>
      </c>
      <c r="K1539" s="0" t="n">
        <f aca="false">SUMPRODUCT(E1539:J1539,_XtX!$B$53:$G$53)</f>
        <v>47.4332895114942</v>
      </c>
      <c r="L1539" s="0" t="n">
        <f aca="false">SUMPRODUCT(MMULT(E1539:J1539,_XtX!$B$44:$G$49),E1539:J1539)</f>
        <v>0.331207668821839</v>
      </c>
      <c r="M1539" s="0" t="n">
        <f aca="false">04_回帰ANOVA!$K$19*04_回帰ANOVA!$K$14*SQRT(1+L1539)</f>
        <v>1.56350573192697</v>
      </c>
      <c r="N1539" s="0" t="n">
        <f aca="false">K1539-M1539</f>
        <v>45.8697837795673</v>
      </c>
      <c r="O1539" s="0" t="n">
        <f aca="false">K1539+M1539</f>
        <v>48.9967952434212</v>
      </c>
      <c r="P1539" s="54" t="b">
        <f aca="false">AND(C1539&gt;=01_因子設定!$L$5-0.000000001,C1539&lt;=01_因子設定!$M$5+0.000000001,D1539&gt;=01_因子設定!$L$6-0.000000001,D1539&lt;=01_因子設定!$M$6+0.000000001,IF(01_因子設定!$B$20="Box-Behnken",C1539^2+D1539^2&lt;=2+0.000000001,TRUE()))</f>
        <v>1</v>
      </c>
      <c r="Q1539" s="55" t="n">
        <f aca="false">IF(P1539,IF(01_因子設定!$B$13="最大化",N1539-01_因子設定!$B$14,IF(01_因子設定!$B$13="最小化",01_因子設定!$B$15-O1539,MIN(N1539-01_因子設定!$B$14,01_因子設定!$B$15-O1539))),-1E+030)</f>
        <v>-0.630216220432729</v>
      </c>
      <c r="R1539" s="55" t="n">
        <f aca="false">IF(P1539,IF(01_因子設定!$B$13="最大化",K1539,IF(01_因子設定!$B$13="最小化",-K1539,-ABS(K1539-01_因子設定!$B$16))),-1E+030)</f>
        <v>47.4332895114942</v>
      </c>
      <c r="S1539" s="55" t="n">
        <f aca="false">Q1539+ROW()*0.000000001</f>
        <v>-0.630214681432729</v>
      </c>
      <c r="T1539" s="55" t="n">
        <f aca="false">R1539+ROW()*0.000000001</f>
        <v>47.4332910504942</v>
      </c>
    </row>
    <row r="1540" customFormat="false" ht="15" hidden="false" customHeight="false" outlineLevel="0" collapsed="false">
      <c r="A1540" s="0" t="n">
        <v>37</v>
      </c>
      <c r="B1540" s="0" t="n">
        <v>18</v>
      </c>
      <c r="C1540" s="0" t="n">
        <f aca="false">-1+A1540*0.05</f>
        <v>0.85</v>
      </c>
      <c r="D1540" s="0" t="n">
        <f aca="false">-1+B1540*0.05</f>
        <v>-0.1</v>
      </c>
      <c r="E1540" s="0" t="n">
        <f aca="false">1</f>
        <v>1</v>
      </c>
      <c r="F1540" s="0" t="n">
        <f aca="false">C1540</f>
        <v>0.85</v>
      </c>
      <c r="G1540" s="0" t="n">
        <f aca="false">D1540</f>
        <v>-0.1</v>
      </c>
      <c r="H1540" s="0" t="n">
        <f aca="false">C1540*D1540</f>
        <v>-0.085</v>
      </c>
      <c r="I1540" s="0" t="n">
        <f aca="false">C1540*C1540</f>
        <v>0.7225</v>
      </c>
      <c r="J1540" s="0" t="n">
        <f aca="false">D1540*D1540</f>
        <v>0.01</v>
      </c>
      <c r="K1540" s="0" t="n">
        <f aca="false">SUMPRODUCT(E1540:J1540,_XtX!$B$53:$G$53)</f>
        <v>47.5873908045977</v>
      </c>
      <c r="L1540" s="0" t="n">
        <f aca="false">SUMPRODUCT(MMULT(E1540:J1540,_XtX!$B$44:$G$49),E1540:J1540)</f>
        <v>0.331797018678161</v>
      </c>
      <c r="M1540" s="0" t="n">
        <f aca="false">04_回帰ANOVA!$K$19*04_回帰ANOVA!$K$14*SQRT(1+L1540)</f>
        <v>1.56385178984743</v>
      </c>
      <c r="N1540" s="0" t="n">
        <f aca="false">K1540-M1540</f>
        <v>46.0235390147503</v>
      </c>
      <c r="O1540" s="0" t="n">
        <f aca="false">K1540+M1540</f>
        <v>49.1512425944451</v>
      </c>
      <c r="P1540" s="54" t="b">
        <f aca="false">AND(C1540&gt;=01_因子設定!$L$5-0.000000001,C1540&lt;=01_因子設定!$M$5+0.000000001,D1540&gt;=01_因子設定!$L$6-0.000000001,D1540&lt;=01_因子設定!$M$6+0.000000001,IF(01_因子設定!$B$20="Box-Behnken",C1540^2+D1540^2&lt;=2+0.000000001,TRUE()))</f>
        <v>1</v>
      </c>
      <c r="Q1540" s="55" t="n">
        <f aca="false">IF(P1540,IF(01_因子設定!$B$13="最大化",N1540-01_因子設定!$B$14,IF(01_因子設定!$B$13="最小化",01_因子設定!$B$15-O1540,MIN(N1540-01_因子設定!$B$14,01_因子設定!$B$15-O1540))),-1E+030)</f>
        <v>-0.476460985249744</v>
      </c>
      <c r="R1540" s="55" t="n">
        <f aca="false">IF(P1540,IF(01_因子設定!$B$13="最大化",K1540,IF(01_因子設定!$B$13="最小化",-K1540,-ABS(K1540-01_因子設定!$B$16))),-1E+030)</f>
        <v>47.5873908045977</v>
      </c>
      <c r="S1540" s="55" t="n">
        <f aca="false">Q1540+ROW()*0.000000001</f>
        <v>-0.476459445249744</v>
      </c>
      <c r="T1540" s="55" t="n">
        <f aca="false">R1540+ROW()*0.000000001</f>
        <v>47.5873923445977</v>
      </c>
    </row>
    <row r="1541" customFormat="false" ht="15" hidden="false" customHeight="false" outlineLevel="0" collapsed="false">
      <c r="A1541" s="0" t="n">
        <v>37</v>
      </c>
      <c r="B1541" s="0" t="n">
        <v>19</v>
      </c>
      <c r="C1541" s="0" t="n">
        <f aca="false">-1+A1541*0.05</f>
        <v>0.85</v>
      </c>
      <c r="D1541" s="0" t="n">
        <f aca="false">-1+B1541*0.05</f>
        <v>-0.0499999999999999</v>
      </c>
      <c r="E1541" s="0" t="n">
        <f aca="false">1</f>
        <v>1</v>
      </c>
      <c r="F1541" s="0" t="n">
        <f aca="false">C1541</f>
        <v>0.85</v>
      </c>
      <c r="G1541" s="0" t="n">
        <f aca="false">D1541</f>
        <v>-0.0499999999999999</v>
      </c>
      <c r="H1541" s="0" t="n">
        <f aca="false">C1541*D1541</f>
        <v>-0.0425</v>
      </c>
      <c r="I1541" s="0" t="n">
        <f aca="false">C1541*C1541</f>
        <v>0.7225</v>
      </c>
      <c r="J1541" s="0" t="n">
        <f aca="false">D1541*D1541</f>
        <v>0.00249999999999999</v>
      </c>
      <c r="K1541" s="0" t="n">
        <f aca="false">SUMPRODUCT(E1541:J1541,_XtX!$B$53:$G$53)</f>
        <v>47.7337765804598</v>
      </c>
      <c r="L1541" s="0" t="n">
        <f aca="false">SUMPRODUCT(MMULT(E1541:J1541,_XtX!$B$44:$G$49),E1541:J1541)</f>
        <v>0.332204938936782</v>
      </c>
      <c r="M1541" s="0" t="n">
        <f aca="false">04_回帰ANOVA!$K$19*04_回帰ANOVA!$K$14*SQRT(1+L1541)</f>
        <v>1.56409127002983</v>
      </c>
      <c r="N1541" s="0" t="n">
        <f aca="false">K1541-M1541</f>
        <v>46.1696853104299</v>
      </c>
      <c r="O1541" s="0" t="n">
        <f aca="false">K1541+M1541</f>
        <v>49.2978678504896</v>
      </c>
      <c r="P1541" s="54" t="b">
        <f aca="false">AND(C1541&gt;=01_因子設定!$L$5-0.000000001,C1541&lt;=01_因子設定!$M$5+0.000000001,D1541&gt;=01_因子設定!$L$6-0.000000001,D1541&lt;=01_因子設定!$M$6+0.000000001,IF(01_因子設定!$B$20="Box-Behnken",C1541^2+D1541^2&lt;=2+0.000000001,TRUE()))</f>
        <v>1</v>
      </c>
      <c r="Q1541" s="55" t="n">
        <f aca="false">IF(P1541,IF(01_因子設定!$B$13="最大化",N1541-01_因子設定!$B$14,IF(01_因子設定!$B$13="最小化",01_因子設定!$B$15-O1541,MIN(N1541-01_因子設定!$B$14,01_因子設定!$B$15-O1541))),-1E+030)</f>
        <v>-0.330314689570074</v>
      </c>
      <c r="R1541" s="55" t="n">
        <f aca="false">IF(P1541,IF(01_因子設定!$B$13="最大化",K1541,IF(01_因子設定!$B$13="最小化",-K1541,-ABS(K1541-01_因子設定!$B$16))),-1E+030)</f>
        <v>47.7337765804598</v>
      </c>
      <c r="S1541" s="55" t="n">
        <f aca="false">Q1541+ROW()*0.000000001</f>
        <v>-0.330313148570074</v>
      </c>
      <c r="T1541" s="55" t="n">
        <f aca="false">R1541+ROW()*0.000000001</f>
        <v>47.7337781214598</v>
      </c>
    </row>
    <row r="1542" customFormat="false" ht="15" hidden="false" customHeight="false" outlineLevel="0" collapsed="false">
      <c r="A1542" s="0" t="n">
        <v>37</v>
      </c>
      <c r="B1542" s="0" t="n">
        <v>20</v>
      </c>
      <c r="C1542" s="0" t="n">
        <f aca="false">-1+A1542*0.05</f>
        <v>0.85</v>
      </c>
      <c r="D1542" s="0" t="n">
        <f aca="false">-1+B1542*0.05</f>
        <v>0</v>
      </c>
      <c r="E1542" s="0" t="n">
        <f aca="false">1</f>
        <v>1</v>
      </c>
      <c r="F1542" s="0" t="n">
        <f aca="false">C1542</f>
        <v>0.85</v>
      </c>
      <c r="G1542" s="0" t="n">
        <f aca="false">D1542</f>
        <v>0</v>
      </c>
      <c r="H1542" s="0" t="n">
        <f aca="false">C1542*D1542</f>
        <v>0</v>
      </c>
      <c r="I1542" s="0" t="n">
        <f aca="false">C1542*C1542</f>
        <v>0.7225</v>
      </c>
      <c r="J1542" s="0" t="n">
        <f aca="false">D1542*D1542</f>
        <v>0</v>
      </c>
      <c r="K1542" s="0" t="n">
        <f aca="false">SUMPRODUCT(E1542:J1542,_XtX!$B$53:$G$53)</f>
        <v>47.8724468390804</v>
      </c>
      <c r="L1542" s="0" t="n">
        <f aca="false">SUMPRODUCT(MMULT(E1542:J1542,_XtX!$B$44:$G$49),E1542:J1542)</f>
        <v>0.33234996408046</v>
      </c>
      <c r="M1542" s="0" t="n">
        <f aca="false">04_回帰ANOVA!$K$19*04_回帰ANOVA!$K$14*SQRT(1+L1542)</f>
        <v>1.5641764019722</v>
      </c>
      <c r="N1542" s="0" t="n">
        <f aca="false">K1542-M1542</f>
        <v>46.3082704371082</v>
      </c>
      <c r="O1542" s="0" t="n">
        <f aca="false">K1542+M1542</f>
        <v>49.4366232410527</v>
      </c>
      <c r="P1542" s="54" t="b">
        <f aca="false">AND(C1542&gt;=01_因子設定!$L$5-0.000000001,C1542&lt;=01_因子設定!$M$5+0.000000001,D1542&gt;=01_因子設定!$L$6-0.000000001,D1542&lt;=01_因子設定!$M$6+0.000000001,IF(01_因子設定!$B$20="Box-Behnken",C1542^2+D1542^2&lt;=2+0.000000001,TRUE()))</f>
        <v>1</v>
      </c>
      <c r="Q1542" s="55" t="n">
        <f aca="false">IF(P1542,IF(01_因子設定!$B$13="最大化",N1542-01_因子設定!$B$14,IF(01_因子設定!$B$13="最小化",01_因子設定!$B$15-O1542,MIN(N1542-01_因子設定!$B$14,01_因子設定!$B$15-O1542))),-1E+030)</f>
        <v>-0.191729562891759</v>
      </c>
      <c r="R1542" s="55" t="n">
        <f aca="false">IF(P1542,IF(01_因子設定!$B$13="最大化",K1542,IF(01_因子設定!$B$13="最小化",-K1542,-ABS(K1542-01_因子設定!$B$16))),-1E+030)</f>
        <v>47.8724468390804</v>
      </c>
      <c r="S1542" s="55" t="n">
        <f aca="false">Q1542+ROW()*0.000000001</f>
        <v>-0.191728020891759</v>
      </c>
      <c r="T1542" s="55" t="n">
        <f aca="false">R1542+ROW()*0.000000001</f>
        <v>47.8724483810804</v>
      </c>
    </row>
    <row r="1543" customFormat="false" ht="15" hidden="false" customHeight="false" outlineLevel="0" collapsed="false">
      <c r="A1543" s="0" t="n">
        <v>37</v>
      </c>
      <c r="B1543" s="0" t="n">
        <v>21</v>
      </c>
      <c r="C1543" s="0" t="n">
        <f aca="false">-1+A1543*0.05</f>
        <v>0.85</v>
      </c>
      <c r="D1543" s="0" t="n">
        <f aca="false">-1+B1543*0.05</f>
        <v>0.05</v>
      </c>
      <c r="E1543" s="0" t="n">
        <f aca="false">1</f>
        <v>1</v>
      </c>
      <c r="F1543" s="0" t="n">
        <f aca="false">C1543</f>
        <v>0.85</v>
      </c>
      <c r="G1543" s="0" t="n">
        <f aca="false">D1543</f>
        <v>0.05</v>
      </c>
      <c r="H1543" s="0" t="n">
        <f aca="false">C1543*D1543</f>
        <v>0.0425</v>
      </c>
      <c r="I1543" s="0" t="n">
        <f aca="false">C1543*C1543</f>
        <v>0.7225</v>
      </c>
      <c r="J1543" s="0" t="n">
        <f aca="false">D1543*D1543</f>
        <v>0.0025</v>
      </c>
      <c r="K1543" s="0" t="n">
        <f aca="false">SUMPRODUCT(E1543:J1543,_XtX!$B$53:$G$53)</f>
        <v>48.0034015804598</v>
      </c>
      <c r="L1543" s="0" t="n">
        <f aca="false">SUMPRODUCT(MMULT(E1543:J1543,_XtX!$B$44:$G$49),E1543:J1543)</f>
        <v>0.332204938936782</v>
      </c>
      <c r="M1543" s="0" t="n">
        <f aca="false">04_回帰ANOVA!$K$19*04_回帰ANOVA!$K$14*SQRT(1+L1543)</f>
        <v>1.56409127002983</v>
      </c>
      <c r="N1543" s="0" t="n">
        <f aca="false">K1543-M1543</f>
        <v>46.4393103104299</v>
      </c>
      <c r="O1543" s="0" t="n">
        <f aca="false">K1543+M1543</f>
        <v>49.5674928504896</v>
      </c>
      <c r="P1543" s="54" t="b">
        <f aca="false">AND(C1543&gt;=01_因子設定!$L$5-0.000000001,C1543&lt;=01_因子設定!$M$5+0.000000001,D1543&gt;=01_因子設定!$L$6-0.000000001,D1543&lt;=01_因子設定!$M$6+0.000000001,IF(01_因子設定!$B$20="Box-Behnken",C1543^2+D1543^2&lt;=2+0.000000001,TRUE()))</f>
        <v>1</v>
      </c>
      <c r="Q1543" s="55" t="n">
        <f aca="false">IF(P1543,IF(01_因子設定!$B$13="最大化",N1543-01_因子設定!$B$14,IF(01_因子設定!$B$13="最小化",01_因子設定!$B$15-O1543,MIN(N1543-01_因子設定!$B$14,01_因子設定!$B$15-O1543))),-1E+030)</f>
        <v>-0.0606896895700757</v>
      </c>
      <c r="R1543" s="55" t="n">
        <f aca="false">IF(P1543,IF(01_因子設定!$B$13="最大化",K1543,IF(01_因子設定!$B$13="最小化",-K1543,-ABS(K1543-01_因子設定!$B$16))),-1E+030)</f>
        <v>48.0034015804598</v>
      </c>
      <c r="S1543" s="55" t="n">
        <f aca="false">Q1543+ROW()*0.000000001</f>
        <v>-0.0606881465700757</v>
      </c>
      <c r="T1543" s="55" t="n">
        <f aca="false">R1543+ROW()*0.000000001</f>
        <v>48.0034031234598</v>
      </c>
    </row>
    <row r="1544" customFormat="false" ht="15" hidden="false" customHeight="false" outlineLevel="0" collapsed="false">
      <c r="A1544" s="0" t="n">
        <v>37</v>
      </c>
      <c r="B1544" s="0" t="n">
        <v>22</v>
      </c>
      <c r="C1544" s="0" t="n">
        <f aca="false">-1+A1544*0.05</f>
        <v>0.85</v>
      </c>
      <c r="D1544" s="0" t="n">
        <f aca="false">-1+B1544*0.05</f>
        <v>0.1</v>
      </c>
      <c r="E1544" s="0" t="n">
        <f aca="false">1</f>
        <v>1</v>
      </c>
      <c r="F1544" s="0" t="n">
        <f aca="false">C1544</f>
        <v>0.85</v>
      </c>
      <c r="G1544" s="0" t="n">
        <f aca="false">D1544</f>
        <v>0.1</v>
      </c>
      <c r="H1544" s="0" t="n">
        <f aca="false">C1544*D1544</f>
        <v>0.0850000000000001</v>
      </c>
      <c r="I1544" s="0" t="n">
        <f aca="false">C1544*C1544</f>
        <v>0.7225</v>
      </c>
      <c r="J1544" s="0" t="n">
        <f aca="false">D1544*D1544</f>
        <v>0.01</v>
      </c>
      <c r="K1544" s="0" t="n">
        <f aca="false">SUMPRODUCT(E1544:J1544,_XtX!$B$53:$G$53)</f>
        <v>48.1266408045977</v>
      </c>
      <c r="L1544" s="0" t="n">
        <f aca="false">SUMPRODUCT(MMULT(E1544:J1544,_XtX!$B$44:$G$49),E1544:J1544)</f>
        <v>0.331797018678161</v>
      </c>
      <c r="M1544" s="0" t="n">
        <f aca="false">04_回帰ANOVA!$K$19*04_回帰ANOVA!$K$14*SQRT(1+L1544)</f>
        <v>1.56385178984743</v>
      </c>
      <c r="N1544" s="0" t="n">
        <f aca="false">K1544-M1544</f>
        <v>46.5627890147503</v>
      </c>
      <c r="O1544" s="0" t="n">
        <f aca="false">K1544+M1544</f>
        <v>49.6904925944451</v>
      </c>
      <c r="P1544" s="54" t="b">
        <f aca="false">AND(C1544&gt;=01_因子設定!$L$5-0.000000001,C1544&lt;=01_因子設定!$M$5+0.000000001,D1544&gt;=01_因子設定!$L$6-0.000000001,D1544&lt;=01_因子設定!$M$6+0.000000001,IF(01_因子設定!$B$20="Box-Behnken",C1544^2+D1544^2&lt;=2+0.000000001,TRUE()))</f>
        <v>1</v>
      </c>
      <c r="Q1544" s="55" t="n">
        <f aca="false">IF(P1544,IF(01_因子設定!$B$13="最大化",N1544-01_因子設定!$B$14,IF(01_因子設定!$B$13="最小化",01_因子設定!$B$15-O1544,MIN(N1544-01_因子設定!$B$14,01_因子設定!$B$15-O1544))),-1E+030)</f>
        <v>0.0627890147502512</v>
      </c>
      <c r="R1544" s="55" t="n">
        <f aca="false">IF(P1544,IF(01_因子設定!$B$13="最大化",K1544,IF(01_因子設定!$B$13="最小化",-K1544,-ABS(K1544-01_因子設定!$B$16))),-1E+030)</f>
        <v>48.1266408045977</v>
      </c>
      <c r="S1544" s="55" t="n">
        <f aca="false">Q1544+ROW()*0.000000001</f>
        <v>0.0627905587502512</v>
      </c>
      <c r="T1544" s="55" t="n">
        <f aca="false">R1544+ROW()*0.000000001</f>
        <v>48.1266423485977</v>
      </c>
    </row>
    <row r="1545" customFormat="false" ht="15" hidden="false" customHeight="false" outlineLevel="0" collapsed="false">
      <c r="A1545" s="0" t="n">
        <v>37</v>
      </c>
      <c r="B1545" s="0" t="n">
        <v>23</v>
      </c>
      <c r="C1545" s="0" t="n">
        <f aca="false">-1+A1545*0.05</f>
        <v>0.85</v>
      </c>
      <c r="D1545" s="0" t="n">
        <f aca="false">-1+B1545*0.05</f>
        <v>0.15</v>
      </c>
      <c r="E1545" s="0" t="n">
        <f aca="false">1</f>
        <v>1</v>
      </c>
      <c r="F1545" s="0" t="n">
        <f aca="false">C1545</f>
        <v>0.85</v>
      </c>
      <c r="G1545" s="0" t="n">
        <f aca="false">D1545</f>
        <v>0.15</v>
      </c>
      <c r="H1545" s="0" t="n">
        <f aca="false">C1545*D1545</f>
        <v>0.1275</v>
      </c>
      <c r="I1545" s="0" t="n">
        <f aca="false">C1545*C1545</f>
        <v>0.7225</v>
      </c>
      <c r="J1545" s="0" t="n">
        <f aca="false">D1545*D1545</f>
        <v>0.0225</v>
      </c>
      <c r="K1545" s="0" t="n">
        <f aca="false">SUMPRODUCT(E1545:J1545,_XtX!$B$53:$G$53)</f>
        <v>48.2421645114942</v>
      </c>
      <c r="L1545" s="0" t="n">
        <f aca="false">SUMPRODUCT(MMULT(E1545:J1545,_XtX!$B$44:$G$49),E1545:J1545)</f>
        <v>0.331207668821839</v>
      </c>
      <c r="M1545" s="0" t="n">
        <f aca="false">04_回帰ANOVA!$K$19*04_回帰ANOVA!$K$14*SQRT(1+L1545)</f>
        <v>1.56350573192697</v>
      </c>
      <c r="N1545" s="0" t="n">
        <f aca="false">K1545-M1545</f>
        <v>46.6786587795673</v>
      </c>
      <c r="O1545" s="0" t="n">
        <f aca="false">K1545+M1545</f>
        <v>49.8056702434212</v>
      </c>
      <c r="P1545" s="54" t="b">
        <f aca="false">AND(C1545&gt;=01_因子設定!$L$5-0.000000001,C1545&lt;=01_因子設定!$M$5+0.000000001,D1545&gt;=01_因子設定!$L$6-0.000000001,D1545&lt;=01_因子設定!$M$6+0.000000001,IF(01_因子設定!$B$20="Box-Behnken",C1545^2+D1545^2&lt;=2+0.000000001,TRUE()))</f>
        <v>1</v>
      </c>
      <c r="Q1545" s="55" t="n">
        <f aca="false">IF(P1545,IF(01_因子設定!$B$13="最大化",N1545-01_因子設定!$B$14,IF(01_因子設定!$B$13="最小化",01_因子設定!$B$15-O1545,MIN(N1545-01_因子設定!$B$14,01_因子設定!$B$15-O1545))),-1E+030)</f>
        <v>0.178658779567272</v>
      </c>
      <c r="R1545" s="55" t="n">
        <f aca="false">IF(P1545,IF(01_因子設定!$B$13="最大化",K1545,IF(01_因子設定!$B$13="最小化",-K1545,-ABS(K1545-01_因子設定!$B$16))),-1E+030)</f>
        <v>48.2421645114942</v>
      </c>
      <c r="S1545" s="55" t="n">
        <f aca="false">Q1545+ROW()*0.000000001</f>
        <v>0.178660324567272</v>
      </c>
      <c r="T1545" s="55" t="n">
        <f aca="false">R1545+ROW()*0.000000001</f>
        <v>48.2421660564942</v>
      </c>
    </row>
    <row r="1546" customFormat="false" ht="15" hidden="false" customHeight="false" outlineLevel="0" collapsed="false">
      <c r="A1546" s="0" t="n">
        <v>37</v>
      </c>
      <c r="B1546" s="0" t="n">
        <v>24</v>
      </c>
      <c r="C1546" s="0" t="n">
        <f aca="false">-1+A1546*0.05</f>
        <v>0.85</v>
      </c>
      <c r="D1546" s="0" t="n">
        <f aca="false">-1+B1546*0.05</f>
        <v>0.2</v>
      </c>
      <c r="E1546" s="0" t="n">
        <f aca="false">1</f>
        <v>1</v>
      </c>
      <c r="F1546" s="0" t="n">
        <f aca="false">C1546</f>
        <v>0.85</v>
      </c>
      <c r="G1546" s="0" t="n">
        <f aca="false">D1546</f>
        <v>0.2</v>
      </c>
      <c r="H1546" s="0" t="n">
        <f aca="false">C1546*D1546</f>
        <v>0.17</v>
      </c>
      <c r="I1546" s="0" t="n">
        <f aca="false">C1546*C1546</f>
        <v>0.7225</v>
      </c>
      <c r="J1546" s="0" t="n">
        <f aca="false">D1546*D1546</f>
        <v>0.0400000000000001</v>
      </c>
      <c r="K1546" s="0" t="n">
        <f aca="false">SUMPRODUCT(E1546:J1546,_XtX!$B$53:$G$53)</f>
        <v>48.3499727011494</v>
      </c>
      <c r="L1546" s="0" t="n">
        <f aca="false">SUMPRODUCT(MMULT(E1546:J1546,_XtX!$B$44:$G$49),E1546:J1546)</f>
        <v>0.330572665229885</v>
      </c>
      <c r="M1546" s="0" t="n">
        <f aca="false">04_回帰ANOVA!$K$19*04_回帰ANOVA!$K$14*SQRT(1+L1546)</f>
        <v>1.56313278103216</v>
      </c>
      <c r="N1546" s="0" t="n">
        <f aca="false">K1546-M1546</f>
        <v>46.7868399201173</v>
      </c>
      <c r="O1546" s="0" t="n">
        <f aca="false">K1546+M1546</f>
        <v>49.9131054821816</v>
      </c>
      <c r="P1546" s="54" t="b">
        <f aca="false">AND(C1546&gt;=01_因子設定!$L$5-0.000000001,C1546&lt;=01_因子設定!$M$5+0.000000001,D1546&gt;=01_因子設定!$L$6-0.000000001,D1546&lt;=01_因子設定!$M$6+0.000000001,IF(01_因子設定!$B$20="Box-Behnken",C1546^2+D1546^2&lt;=2+0.000000001,TRUE()))</f>
        <v>1</v>
      </c>
      <c r="Q1546" s="55" t="n">
        <f aca="false">IF(P1546,IF(01_因子設定!$B$13="最大化",N1546-01_因子設定!$B$14,IF(01_因子設定!$B$13="最小化",01_因子設定!$B$15-O1546,MIN(N1546-01_因子設定!$B$14,01_因子設定!$B$15-O1546))),-1E+030)</f>
        <v>0.286839920117252</v>
      </c>
      <c r="R1546" s="55" t="n">
        <f aca="false">IF(P1546,IF(01_因子設定!$B$13="最大化",K1546,IF(01_因子設定!$B$13="最小化",-K1546,-ABS(K1546-01_因子設定!$B$16))),-1E+030)</f>
        <v>48.3499727011494</v>
      </c>
      <c r="S1546" s="55" t="n">
        <f aca="false">Q1546+ROW()*0.000000001</f>
        <v>0.286841466117252</v>
      </c>
      <c r="T1546" s="55" t="n">
        <f aca="false">R1546+ROW()*0.000000001</f>
        <v>48.3499742471494</v>
      </c>
    </row>
    <row r="1547" customFormat="false" ht="15" hidden="false" customHeight="false" outlineLevel="0" collapsed="false">
      <c r="A1547" s="0" t="n">
        <v>37</v>
      </c>
      <c r="B1547" s="0" t="n">
        <v>25</v>
      </c>
      <c r="C1547" s="0" t="n">
        <f aca="false">-1+A1547*0.05</f>
        <v>0.85</v>
      </c>
      <c r="D1547" s="0" t="n">
        <f aca="false">-1+B1547*0.05</f>
        <v>0.25</v>
      </c>
      <c r="E1547" s="0" t="n">
        <f aca="false">1</f>
        <v>1</v>
      </c>
      <c r="F1547" s="0" t="n">
        <f aca="false">C1547</f>
        <v>0.85</v>
      </c>
      <c r="G1547" s="0" t="n">
        <f aca="false">D1547</f>
        <v>0.25</v>
      </c>
      <c r="H1547" s="0" t="n">
        <f aca="false">C1547*D1547</f>
        <v>0.2125</v>
      </c>
      <c r="I1547" s="0" t="n">
        <f aca="false">C1547*C1547</f>
        <v>0.7225</v>
      </c>
      <c r="J1547" s="0" t="n">
        <f aca="false">D1547*D1547</f>
        <v>0.0625</v>
      </c>
      <c r="K1547" s="0" t="n">
        <f aca="false">SUMPRODUCT(E1547:J1547,_XtX!$B$53:$G$53)</f>
        <v>48.4500653735632</v>
      </c>
      <c r="L1547" s="0" t="n">
        <f aca="false">SUMPRODUCT(MMULT(E1547:J1547,_XtX!$B$44:$G$49),E1547:J1547)</f>
        <v>0.330082094109195</v>
      </c>
      <c r="M1547" s="0" t="n">
        <f aca="false">04_回帰ANOVA!$K$19*04_回帰ANOVA!$K$14*SQRT(1+L1547)</f>
        <v>1.56284459741243</v>
      </c>
      <c r="N1547" s="0" t="n">
        <f aca="false">K1547-M1547</f>
        <v>46.8872207761508</v>
      </c>
      <c r="O1547" s="0" t="n">
        <f aca="false">K1547+M1547</f>
        <v>50.0129099709756</v>
      </c>
      <c r="P1547" s="54" t="b">
        <f aca="false">AND(C1547&gt;=01_因子設定!$L$5-0.000000001,C1547&lt;=01_因子設定!$M$5+0.000000001,D1547&gt;=01_因子設定!$L$6-0.000000001,D1547&lt;=01_因子設定!$M$6+0.000000001,IF(01_因子設定!$B$20="Box-Behnken",C1547^2+D1547^2&lt;=2+0.000000001,TRUE()))</f>
        <v>1</v>
      </c>
      <c r="Q1547" s="55" t="n">
        <f aca="false">IF(P1547,IF(01_因子設定!$B$13="最大化",N1547-01_因子設定!$B$14,IF(01_因子設定!$B$13="最小化",01_因子設定!$B$15-O1547,MIN(N1547-01_因子設定!$B$14,01_因子設定!$B$15-O1547))),-1E+030)</f>
        <v>0.387220776150784</v>
      </c>
      <c r="R1547" s="55" t="n">
        <f aca="false">IF(P1547,IF(01_因子設定!$B$13="最大化",K1547,IF(01_因子設定!$B$13="最小化",-K1547,-ABS(K1547-01_因子設定!$B$16))),-1E+030)</f>
        <v>48.4500653735632</v>
      </c>
      <c r="S1547" s="55" t="n">
        <f aca="false">Q1547+ROW()*0.000000001</f>
        <v>0.387222323150784</v>
      </c>
      <c r="T1547" s="55" t="n">
        <f aca="false">R1547+ROW()*0.000000001</f>
        <v>48.4500669205632</v>
      </c>
    </row>
    <row r="1548" customFormat="false" ht="15" hidden="false" customHeight="false" outlineLevel="0" collapsed="false">
      <c r="A1548" s="0" t="n">
        <v>37</v>
      </c>
      <c r="B1548" s="0" t="n">
        <v>26</v>
      </c>
      <c r="C1548" s="0" t="n">
        <f aca="false">-1+A1548*0.05</f>
        <v>0.85</v>
      </c>
      <c r="D1548" s="0" t="n">
        <f aca="false">-1+B1548*0.05</f>
        <v>0.3</v>
      </c>
      <c r="E1548" s="0" t="n">
        <f aca="false">1</f>
        <v>1</v>
      </c>
      <c r="F1548" s="0" t="n">
        <f aca="false">C1548</f>
        <v>0.85</v>
      </c>
      <c r="G1548" s="0" t="n">
        <f aca="false">D1548</f>
        <v>0.3</v>
      </c>
      <c r="H1548" s="0" t="n">
        <f aca="false">C1548*D1548</f>
        <v>0.255</v>
      </c>
      <c r="I1548" s="0" t="n">
        <f aca="false">C1548*C1548</f>
        <v>0.7225</v>
      </c>
      <c r="J1548" s="0" t="n">
        <f aca="false">D1548*D1548</f>
        <v>0.09</v>
      </c>
      <c r="K1548" s="0" t="n">
        <f aca="false">SUMPRODUCT(E1548:J1548,_XtX!$B$53:$G$53)</f>
        <v>48.5424425287356</v>
      </c>
      <c r="L1548" s="0" t="n">
        <f aca="false">SUMPRODUCT(MMULT(E1548:J1548,_XtX!$B$44:$G$49),E1548:J1548)</f>
        <v>0.329980352011494</v>
      </c>
      <c r="M1548" s="0" t="n">
        <f aca="false">04_回帰ANOVA!$K$19*04_回帰ANOVA!$K$14*SQRT(1+L1548)</f>
        <v>1.56278482285818</v>
      </c>
      <c r="N1548" s="0" t="n">
        <f aca="false">K1548-M1548</f>
        <v>46.9796577058774</v>
      </c>
      <c r="O1548" s="0" t="n">
        <f aca="false">K1548+M1548</f>
        <v>50.1052273515938</v>
      </c>
      <c r="P1548" s="54" t="b">
        <f aca="false">AND(C1548&gt;=01_因子設定!$L$5-0.000000001,C1548&lt;=01_因子設定!$M$5+0.000000001,D1548&gt;=01_因子設定!$L$6-0.000000001,D1548&lt;=01_因子設定!$M$6+0.000000001,IF(01_因子設定!$B$20="Box-Behnken",C1548^2+D1548^2&lt;=2+0.000000001,TRUE()))</f>
        <v>1</v>
      </c>
      <c r="Q1548" s="55" t="n">
        <f aca="false">IF(P1548,IF(01_因子設定!$B$13="最大化",N1548-01_因子設定!$B$14,IF(01_因子設定!$B$13="最小化",01_因子設定!$B$15-O1548,MIN(N1548-01_因子設定!$B$14,01_因子設定!$B$15-O1548))),-1E+030)</f>
        <v>0.479657705877436</v>
      </c>
      <c r="R1548" s="55" t="n">
        <f aca="false">IF(P1548,IF(01_因子設定!$B$13="最大化",K1548,IF(01_因子設定!$B$13="最小化",-K1548,-ABS(K1548-01_因子設定!$B$16))),-1E+030)</f>
        <v>48.5424425287356</v>
      </c>
      <c r="S1548" s="55" t="n">
        <f aca="false">Q1548+ROW()*0.000000001</f>
        <v>0.479659253877436</v>
      </c>
      <c r="T1548" s="55" t="n">
        <f aca="false">R1548+ROW()*0.000000001</f>
        <v>48.5424440767356</v>
      </c>
    </row>
    <row r="1549" customFormat="false" ht="15" hidden="false" customHeight="false" outlineLevel="0" collapsed="false">
      <c r="A1549" s="0" t="n">
        <v>37</v>
      </c>
      <c r="B1549" s="0" t="n">
        <v>27</v>
      </c>
      <c r="C1549" s="0" t="n">
        <f aca="false">-1+A1549*0.05</f>
        <v>0.85</v>
      </c>
      <c r="D1549" s="0" t="n">
        <f aca="false">-1+B1549*0.05</f>
        <v>0.35</v>
      </c>
      <c r="E1549" s="0" t="n">
        <f aca="false">1</f>
        <v>1</v>
      </c>
      <c r="F1549" s="0" t="n">
        <f aca="false">C1549</f>
        <v>0.85</v>
      </c>
      <c r="G1549" s="0" t="n">
        <f aca="false">D1549</f>
        <v>0.35</v>
      </c>
      <c r="H1549" s="0" t="n">
        <f aca="false">C1549*D1549</f>
        <v>0.2975</v>
      </c>
      <c r="I1549" s="0" t="n">
        <f aca="false">C1549*C1549</f>
        <v>0.7225</v>
      </c>
      <c r="J1549" s="0" t="n">
        <f aca="false">D1549*D1549</f>
        <v>0.1225</v>
      </c>
      <c r="K1549" s="0" t="n">
        <f aca="false">SUMPRODUCT(E1549:J1549,_XtX!$B$53:$G$53)</f>
        <v>48.6271041666667</v>
      </c>
      <c r="L1549" s="0" t="n">
        <f aca="false">SUMPRODUCT(MMULT(E1549:J1549,_XtX!$B$44:$G$49),E1549:J1549)</f>
        <v>0.330566145833333</v>
      </c>
      <c r="M1549" s="0" t="n">
        <f aca="false">04_回帰ANOVA!$K$19*04_回帰ANOVA!$K$14*SQRT(1+L1549)</f>
        <v>1.5631289515927</v>
      </c>
      <c r="N1549" s="0" t="n">
        <f aca="false">K1549-M1549</f>
        <v>47.063975215074</v>
      </c>
      <c r="O1549" s="0" t="n">
        <f aca="false">K1549+M1549</f>
        <v>50.1902331182593</v>
      </c>
      <c r="P1549" s="54" t="b">
        <f aca="false">AND(C1549&gt;=01_因子設定!$L$5-0.000000001,C1549&lt;=01_因子設定!$M$5+0.000000001,D1549&gt;=01_因子設定!$L$6-0.000000001,D1549&lt;=01_因子設定!$M$6+0.000000001,IF(01_因子設定!$B$20="Box-Behnken",C1549^2+D1549^2&lt;=2+0.000000001,TRUE()))</f>
        <v>1</v>
      </c>
      <c r="Q1549" s="55" t="n">
        <f aca="false">IF(P1549,IF(01_因子設定!$B$13="最大化",N1549-01_因子設定!$B$14,IF(01_因子設定!$B$13="最小化",01_因子設定!$B$15-O1549,MIN(N1549-01_因子設定!$B$14,01_因子設定!$B$15-O1549))),-1E+030)</f>
        <v>0.563975215073953</v>
      </c>
      <c r="R1549" s="55" t="n">
        <f aca="false">IF(P1549,IF(01_因子設定!$B$13="最大化",K1549,IF(01_因子設定!$B$13="最小化",-K1549,-ABS(K1549-01_因子設定!$B$16))),-1E+030)</f>
        <v>48.6271041666667</v>
      </c>
      <c r="S1549" s="55" t="n">
        <f aca="false">Q1549+ROW()*0.000000001</f>
        <v>0.563976764073953</v>
      </c>
      <c r="T1549" s="55" t="n">
        <f aca="false">R1549+ROW()*0.000000001</f>
        <v>48.6271057156666</v>
      </c>
    </row>
    <row r="1550" customFormat="false" ht="15" hidden="false" customHeight="false" outlineLevel="0" collapsed="false">
      <c r="A1550" s="0" t="n">
        <v>37</v>
      </c>
      <c r="B1550" s="0" t="n">
        <v>28</v>
      </c>
      <c r="C1550" s="0" t="n">
        <f aca="false">-1+A1550*0.05</f>
        <v>0.85</v>
      </c>
      <c r="D1550" s="0" t="n">
        <f aca="false">-1+B1550*0.05</f>
        <v>0.4</v>
      </c>
      <c r="E1550" s="0" t="n">
        <f aca="false">1</f>
        <v>1</v>
      </c>
      <c r="F1550" s="0" t="n">
        <f aca="false">C1550</f>
        <v>0.85</v>
      </c>
      <c r="G1550" s="0" t="n">
        <f aca="false">D1550</f>
        <v>0.4</v>
      </c>
      <c r="H1550" s="0" t="n">
        <f aca="false">C1550*D1550</f>
        <v>0.34</v>
      </c>
      <c r="I1550" s="0" t="n">
        <f aca="false">C1550*C1550</f>
        <v>0.7225</v>
      </c>
      <c r="J1550" s="0" t="n">
        <f aca="false">D1550*D1550</f>
        <v>0.16</v>
      </c>
      <c r="K1550" s="0" t="n">
        <f aca="false">SUMPRODUCT(E1550:J1550,_XtX!$B$53:$G$53)</f>
        <v>48.7040502873563</v>
      </c>
      <c r="L1550" s="0" t="n">
        <f aca="false">SUMPRODUCT(MMULT(E1550:J1550,_XtX!$B$44:$G$49),E1550:J1550)</f>
        <v>0.332192492816092</v>
      </c>
      <c r="M1550" s="0" t="n">
        <f aca="false">04_回帰ANOVA!$K$19*04_回帰ANOVA!$K$14*SQRT(1+L1550)</f>
        <v>1.56408396375374</v>
      </c>
      <c r="N1550" s="0" t="n">
        <f aca="false">K1550-M1550</f>
        <v>47.1399663236026</v>
      </c>
      <c r="O1550" s="0" t="n">
        <f aca="false">K1550+M1550</f>
        <v>50.26813425111</v>
      </c>
      <c r="P1550" s="54" t="b">
        <f aca="false">AND(C1550&gt;=01_因子設定!$L$5-0.000000001,C1550&lt;=01_因子設定!$M$5+0.000000001,D1550&gt;=01_因子設定!$L$6-0.000000001,D1550&lt;=01_因子設定!$M$6+0.000000001,IF(01_因子設定!$B$20="Box-Behnken",C1550^2+D1550^2&lt;=2+0.000000001,TRUE()))</f>
        <v>1</v>
      </c>
      <c r="Q1550" s="55" t="n">
        <f aca="false">IF(P1550,IF(01_因子設定!$B$13="最大化",N1550-01_因子設定!$B$14,IF(01_因子設定!$B$13="最小化",01_因子設定!$B$15-O1550,MIN(N1550-01_因子設定!$B$14,01_因子設定!$B$15-O1550))),-1E+030)</f>
        <v>0.639966323602565</v>
      </c>
      <c r="R1550" s="55" t="n">
        <f aca="false">IF(P1550,IF(01_因子設定!$B$13="最大化",K1550,IF(01_因子設定!$B$13="最小化",-K1550,-ABS(K1550-01_因子設定!$B$16))),-1E+030)</f>
        <v>48.7040502873563</v>
      </c>
      <c r="S1550" s="55" t="n">
        <f aca="false">Q1550+ROW()*0.000000001</f>
        <v>0.639967873602565</v>
      </c>
      <c r="T1550" s="55" t="n">
        <f aca="false">R1550+ROW()*0.000000001</f>
        <v>48.7040518373563</v>
      </c>
    </row>
    <row r="1551" customFormat="false" ht="15" hidden="false" customHeight="false" outlineLevel="0" collapsed="false">
      <c r="A1551" s="0" t="n">
        <v>37</v>
      </c>
      <c r="B1551" s="0" t="n">
        <v>29</v>
      </c>
      <c r="C1551" s="0" t="n">
        <f aca="false">-1+A1551*0.05</f>
        <v>0.85</v>
      </c>
      <c r="D1551" s="0" t="n">
        <f aca="false">-1+B1551*0.05</f>
        <v>0.45</v>
      </c>
      <c r="E1551" s="0" t="n">
        <f aca="false">1</f>
        <v>1</v>
      </c>
      <c r="F1551" s="0" t="n">
        <f aca="false">C1551</f>
        <v>0.85</v>
      </c>
      <c r="G1551" s="0" t="n">
        <f aca="false">D1551</f>
        <v>0.45</v>
      </c>
      <c r="H1551" s="0" t="n">
        <f aca="false">C1551*D1551</f>
        <v>0.3825</v>
      </c>
      <c r="I1551" s="0" t="n">
        <f aca="false">C1551*C1551</f>
        <v>0.7225</v>
      </c>
      <c r="J1551" s="0" t="n">
        <f aca="false">D1551*D1551</f>
        <v>0.2025</v>
      </c>
      <c r="K1551" s="0" t="n">
        <f aca="false">SUMPRODUCT(E1551:J1551,_XtX!$B$53:$G$53)</f>
        <v>48.7732808908046</v>
      </c>
      <c r="L1551" s="0" t="n">
        <f aca="false">SUMPRODUCT(MMULT(E1551:J1551,_XtX!$B$44:$G$49),E1551:J1551)</f>
        <v>0.335266720545977</v>
      </c>
      <c r="M1551" s="0" t="n">
        <f aca="false">04_回帰ANOVA!$K$19*04_回帰ANOVA!$K$14*SQRT(1+L1551)</f>
        <v>1.56588759931073</v>
      </c>
      <c r="N1551" s="0" t="n">
        <f aca="false">K1551-M1551</f>
        <v>47.2073932914939</v>
      </c>
      <c r="O1551" s="0" t="n">
        <f aca="false">K1551+M1551</f>
        <v>50.3391684901153</v>
      </c>
      <c r="P1551" s="54" t="b">
        <f aca="false">AND(C1551&gt;=01_因子設定!$L$5-0.000000001,C1551&lt;=01_因子設定!$M$5+0.000000001,D1551&gt;=01_因子設定!$L$6-0.000000001,D1551&lt;=01_因子設定!$M$6+0.000000001,IF(01_因子設定!$B$20="Box-Behnken",C1551^2+D1551^2&lt;=2+0.000000001,TRUE()))</f>
        <v>1</v>
      </c>
      <c r="Q1551" s="55" t="n">
        <f aca="false">IF(P1551,IF(01_因子設定!$B$13="最大化",N1551-01_因子設定!$B$14,IF(01_因子設定!$B$13="最小化",01_因子設定!$B$15-O1551,MIN(N1551-01_因子設定!$B$14,01_因子設定!$B$15-O1551))),-1E+030)</f>
        <v>0.707393291493858</v>
      </c>
      <c r="R1551" s="55" t="n">
        <f aca="false">IF(P1551,IF(01_因子設定!$B$13="最大化",K1551,IF(01_因子設定!$B$13="最小化",-K1551,-ABS(K1551-01_因子設定!$B$16))),-1E+030)</f>
        <v>48.7732808908046</v>
      </c>
      <c r="S1551" s="55" t="n">
        <f aca="false">Q1551+ROW()*0.000000001</f>
        <v>0.707394842493858</v>
      </c>
      <c r="T1551" s="55" t="n">
        <f aca="false">R1551+ROW()*0.000000001</f>
        <v>48.7732824418046</v>
      </c>
    </row>
    <row r="1552" customFormat="false" ht="15" hidden="false" customHeight="false" outlineLevel="0" collapsed="false">
      <c r="A1552" s="0" t="n">
        <v>37</v>
      </c>
      <c r="B1552" s="0" t="n">
        <v>30</v>
      </c>
      <c r="C1552" s="0" t="n">
        <f aca="false">-1+A1552*0.05</f>
        <v>0.85</v>
      </c>
      <c r="D1552" s="0" t="n">
        <f aca="false">-1+B1552*0.05</f>
        <v>0.5</v>
      </c>
      <c r="E1552" s="0" t="n">
        <f aca="false">1</f>
        <v>1</v>
      </c>
      <c r="F1552" s="0" t="n">
        <f aca="false">C1552</f>
        <v>0.85</v>
      </c>
      <c r="G1552" s="0" t="n">
        <f aca="false">D1552</f>
        <v>0.5</v>
      </c>
      <c r="H1552" s="0" t="n">
        <f aca="false">C1552*D1552</f>
        <v>0.425</v>
      </c>
      <c r="I1552" s="0" t="n">
        <f aca="false">C1552*C1552</f>
        <v>0.7225</v>
      </c>
      <c r="J1552" s="0" t="n">
        <f aca="false">D1552*D1552</f>
        <v>0.25</v>
      </c>
      <c r="K1552" s="0" t="n">
        <f aca="false">SUMPRODUCT(E1552:J1552,_XtX!$B$53:$G$53)</f>
        <v>48.8347959770115</v>
      </c>
      <c r="L1552" s="0" t="n">
        <f aca="false">SUMPRODUCT(MMULT(E1552:J1552,_XtX!$B$44:$G$49),E1552:J1552)</f>
        <v>0.340250466954023</v>
      </c>
      <c r="M1552" s="0" t="n">
        <f aca="false">04_回帰ANOVA!$K$19*04_回帰ANOVA!$K$14*SQRT(1+L1552)</f>
        <v>1.56880713525096</v>
      </c>
      <c r="N1552" s="0" t="n">
        <f aca="false">K1552-M1552</f>
        <v>47.2659888417605</v>
      </c>
      <c r="O1552" s="0" t="n">
        <f aca="false">K1552+M1552</f>
        <v>50.4036031122624</v>
      </c>
      <c r="P1552" s="54" t="b">
        <f aca="false">AND(C1552&gt;=01_因子設定!$L$5-0.000000001,C1552&lt;=01_因子設定!$M$5+0.000000001,D1552&gt;=01_因子設定!$L$6-0.000000001,D1552&lt;=01_因子設定!$M$6+0.000000001,IF(01_因子設定!$B$20="Box-Behnken",C1552^2+D1552^2&lt;=2+0.000000001,TRUE()))</f>
        <v>1</v>
      </c>
      <c r="Q1552" s="55" t="n">
        <f aca="false">IF(P1552,IF(01_因子設定!$B$13="最大化",N1552-01_因子設定!$B$14,IF(01_因子設定!$B$13="最小化",01_因子設定!$B$15-O1552,MIN(N1552-01_因子設定!$B$14,01_因子設定!$B$15-O1552))),-1E+030)</f>
        <v>0.765988841760525</v>
      </c>
      <c r="R1552" s="55" t="n">
        <f aca="false">IF(P1552,IF(01_因子設定!$B$13="最大化",K1552,IF(01_因子設定!$B$13="最小化",-K1552,-ABS(K1552-01_因子設定!$B$16))),-1E+030)</f>
        <v>48.8347959770115</v>
      </c>
      <c r="S1552" s="55" t="n">
        <f aca="false">Q1552+ROW()*0.000000001</f>
        <v>0.765990393760525</v>
      </c>
      <c r="T1552" s="55" t="n">
        <f aca="false">R1552+ROW()*0.000000001</f>
        <v>48.8347975290115</v>
      </c>
    </row>
    <row r="1553" customFormat="false" ht="15" hidden="false" customHeight="false" outlineLevel="0" collapsed="false">
      <c r="A1553" s="0" t="n">
        <v>37</v>
      </c>
      <c r="B1553" s="0" t="n">
        <v>31</v>
      </c>
      <c r="C1553" s="0" t="n">
        <f aca="false">-1+A1553*0.05</f>
        <v>0.85</v>
      </c>
      <c r="D1553" s="0" t="n">
        <f aca="false">-1+B1553*0.05</f>
        <v>0.55</v>
      </c>
      <c r="E1553" s="0" t="n">
        <f aca="false">1</f>
        <v>1</v>
      </c>
      <c r="F1553" s="0" t="n">
        <f aca="false">C1553</f>
        <v>0.85</v>
      </c>
      <c r="G1553" s="0" t="n">
        <f aca="false">D1553</f>
        <v>0.55</v>
      </c>
      <c r="H1553" s="0" t="n">
        <f aca="false">C1553*D1553</f>
        <v>0.4675</v>
      </c>
      <c r="I1553" s="0" t="n">
        <f aca="false">C1553*C1553</f>
        <v>0.7225</v>
      </c>
      <c r="J1553" s="0" t="n">
        <f aca="false">D1553*D1553</f>
        <v>0.3025</v>
      </c>
      <c r="K1553" s="0" t="n">
        <f aca="false">SUMPRODUCT(E1553:J1553,_XtX!$B$53:$G$53)</f>
        <v>48.888595545977</v>
      </c>
      <c r="L1553" s="0" t="n">
        <f aca="false">SUMPRODUCT(MMULT(E1553:J1553,_XtX!$B$44:$G$49),E1553:J1553)</f>
        <v>0.347659680316092</v>
      </c>
      <c r="M1553" s="0" t="n">
        <f aca="false">04_回帰ANOVA!$K$19*04_回帰ANOVA!$K$14*SQRT(1+L1553)</f>
        <v>1.57313752229609</v>
      </c>
      <c r="N1553" s="0" t="n">
        <f aca="false">K1553-M1553</f>
        <v>47.3154580236809</v>
      </c>
      <c r="O1553" s="0" t="n">
        <f aca="false">K1553+M1553</f>
        <v>50.4617330682731</v>
      </c>
      <c r="P1553" s="54" t="b">
        <f aca="false">AND(C1553&gt;=01_因子設定!$L$5-0.000000001,C1553&lt;=01_因子設定!$M$5+0.000000001,D1553&gt;=01_因子設定!$L$6-0.000000001,D1553&lt;=01_因子設定!$M$6+0.000000001,IF(01_因子設定!$B$20="Box-Behnken",C1553^2+D1553^2&lt;=2+0.000000001,TRUE()))</f>
        <v>1</v>
      </c>
      <c r="Q1553" s="55" t="n">
        <f aca="false">IF(P1553,IF(01_因子設定!$B$13="最大化",N1553-01_因子設定!$B$14,IF(01_因子設定!$B$13="最小化",01_因子設定!$B$15-O1553,MIN(N1553-01_因子設定!$B$14,01_因子設定!$B$15-O1553))),-1E+030)</f>
        <v>0.815458023680911</v>
      </c>
      <c r="R1553" s="55" t="n">
        <f aca="false">IF(P1553,IF(01_因子設定!$B$13="最大化",K1553,IF(01_因子設定!$B$13="最小化",-K1553,-ABS(K1553-01_因子設定!$B$16))),-1E+030)</f>
        <v>48.888595545977</v>
      </c>
      <c r="S1553" s="55" t="n">
        <f aca="false">Q1553+ROW()*0.000000001</f>
        <v>0.815459576680911</v>
      </c>
      <c r="T1553" s="55" t="n">
        <f aca="false">R1553+ROW()*0.000000001</f>
        <v>48.888597098977</v>
      </c>
    </row>
    <row r="1554" customFormat="false" ht="15" hidden="false" customHeight="false" outlineLevel="0" collapsed="false">
      <c r="A1554" s="0" t="n">
        <v>37</v>
      </c>
      <c r="B1554" s="0" t="n">
        <v>32</v>
      </c>
      <c r="C1554" s="0" t="n">
        <f aca="false">-1+A1554*0.05</f>
        <v>0.85</v>
      </c>
      <c r="D1554" s="0" t="n">
        <f aca="false">-1+B1554*0.05</f>
        <v>0.6</v>
      </c>
      <c r="E1554" s="0" t="n">
        <f aca="false">1</f>
        <v>1</v>
      </c>
      <c r="F1554" s="0" t="n">
        <f aca="false">C1554</f>
        <v>0.85</v>
      </c>
      <c r="G1554" s="0" t="n">
        <f aca="false">D1554</f>
        <v>0.6</v>
      </c>
      <c r="H1554" s="0" t="n">
        <f aca="false">C1554*D1554</f>
        <v>0.51</v>
      </c>
      <c r="I1554" s="0" t="n">
        <f aca="false">C1554*C1554</f>
        <v>0.7225</v>
      </c>
      <c r="J1554" s="0" t="n">
        <f aca="false">D1554*D1554</f>
        <v>0.36</v>
      </c>
      <c r="K1554" s="0" t="n">
        <f aca="false">SUMPRODUCT(E1554:J1554,_XtX!$B$53:$G$53)</f>
        <v>48.9346795977011</v>
      </c>
      <c r="L1554" s="0" t="n">
        <f aca="false">SUMPRODUCT(MMULT(E1554:J1554,_XtX!$B$44:$G$49),E1554:J1554)</f>
        <v>0.358064619252874</v>
      </c>
      <c r="M1554" s="0" t="n">
        <f aca="false">04_回帰ANOVA!$K$19*04_回帰ANOVA!$K$14*SQRT(1+L1554)</f>
        <v>1.57919874361545</v>
      </c>
      <c r="N1554" s="0" t="n">
        <f aca="false">K1554-M1554</f>
        <v>47.3554808540857</v>
      </c>
      <c r="O1554" s="0" t="n">
        <f aca="false">K1554+M1554</f>
        <v>50.5138783413166</v>
      </c>
      <c r="P1554" s="54" t="b">
        <f aca="false">AND(C1554&gt;=01_因子設定!$L$5-0.000000001,C1554&lt;=01_因子設定!$M$5+0.000000001,D1554&gt;=01_因子設定!$L$6-0.000000001,D1554&lt;=01_因子設定!$M$6+0.000000001,IF(01_因子設定!$B$20="Box-Behnken",C1554^2+D1554^2&lt;=2+0.000000001,TRUE()))</f>
        <v>1</v>
      </c>
      <c r="Q1554" s="55" t="n">
        <f aca="false">IF(P1554,IF(01_因子設定!$B$13="最大化",N1554-01_因子設定!$B$14,IF(01_因子設定!$B$13="最小化",01_因子設定!$B$15-O1554,MIN(N1554-01_因子設定!$B$14,01_因子設定!$B$15-O1554))),-1E+030)</f>
        <v>0.855480854085684</v>
      </c>
      <c r="R1554" s="55" t="n">
        <f aca="false">IF(P1554,IF(01_因子設定!$B$13="最大化",K1554,IF(01_因子設定!$B$13="最小化",-K1554,-ABS(K1554-01_因子設定!$B$16))),-1E+030)</f>
        <v>48.9346795977011</v>
      </c>
      <c r="S1554" s="55" t="n">
        <f aca="false">Q1554+ROW()*0.000000001</f>
        <v>0.855482408085684</v>
      </c>
      <c r="T1554" s="55" t="n">
        <f aca="false">R1554+ROW()*0.000000001</f>
        <v>48.9346811517011</v>
      </c>
    </row>
    <row r="1555" customFormat="false" ht="15" hidden="false" customHeight="false" outlineLevel="0" collapsed="false">
      <c r="A1555" s="0" t="n">
        <v>37</v>
      </c>
      <c r="B1555" s="0" t="n">
        <v>33</v>
      </c>
      <c r="C1555" s="0" t="n">
        <f aca="false">-1+A1555*0.05</f>
        <v>0.85</v>
      </c>
      <c r="D1555" s="0" t="n">
        <f aca="false">-1+B1555*0.05</f>
        <v>0.65</v>
      </c>
      <c r="E1555" s="0" t="n">
        <f aca="false">1</f>
        <v>1</v>
      </c>
      <c r="F1555" s="0" t="n">
        <f aca="false">C1555</f>
        <v>0.85</v>
      </c>
      <c r="G1555" s="0" t="n">
        <f aca="false">D1555</f>
        <v>0.65</v>
      </c>
      <c r="H1555" s="0" t="n">
        <f aca="false">C1555*D1555</f>
        <v>0.5525</v>
      </c>
      <c r="I1555" s="0" t="n">
        <f aca="false">C1555*C1555</f>
        <v>0.7225</v>
      </c>
      <c r="J1555" s="0" t="n">
        <f aca="false">D1555*D1555</f>
        <v>0.4225</v>
      </c>
      <c r="K1555" s="0" t="n">
        <f aca="false">SUMPRODUCT(E1555:J1555,_XtX!$B$53:$G$53)</f>
        <v>48.9730481321839</v>
      </c>
      <c r="L1555" s="0" t="n">
        <f aca="false">SUMPRODUCT(MMULT(E1555:J1555,_XtX!$B$44:$G$49),E1555:J1555)</f>
        <v>0.372089852729885</v>
      </c>
      <c r="M1555" s="0" t="n">
        <f aca="false">04_回帰ANOVA!$K$19*04_回帰ANOVA!$K$14*SQRT(1+L1555)</f>
        <v>1.58733228155404</v>
      </c>
      <c r="N1555" s="0" t="n">
        <f aca="false">K1555-M1555</f>
        <v>47.3857158506299</v>
      </c>
      <c r="O1555" s="0" t="n">
        <f aca="false">K1555+M1555</f>
        <v>50.5603804137379</v>
      </c>
      <c r="P1555" s="54" t="b">
        <f aca="false">AND(C1555&gt;=01_因子設定!$L$5-0.000000001,C1555&lt;=01_因子設定!$M$5+0.000000001,D1555&gt;=01_因子設定!$L$6-0.000000001,D1555&lt;=01_因子設定!$M$6+0.000000001,IF(01_因子設定!$B$20="Box-Behnken",C1555^2+D1555^2&lt;=2+0.000000001,TRUE()))</f>
        <v>1</v>
      </c>
      <c r="Q1555" s="55" t="n">
        <f aca="false">IF(P1555,IF(01_因子設定!$B$13="最大化",N1555-01_因子設定!$B$14,IF(01_因子設定!$B$13="最小化",01_因子設定!$B$15-O1555,MIN(N1555-01_因子設定!$B$14,01_因子設定!$B$15-O1555))),-1E+030)</f>
        <v>0.88571585062985</v>
      </c>
      <c r="R1555" s="55" t="n">
        <f aca="false">IF(P1555,IF(01_因子設定!$B$13="最大化",K1555,IF(01_因子設定!$B$13="最小化",-K1555,-ABS(K1555-01_因子設定!$B$16))),-1E+030)</f>
        <v>48.9730481321839</v>
      </c>
      <c r="S1555" s="55" t="n">
        <f aca="false">Q1555+ROW()*0.000000001</f>
        <v>0.88571740562985</v>
      </c>
      <c r="T1555" s="55" t="n">
        <f aca="false">R1555+ROW()*0.000000001</f>
        <v>48.9730496871839</v>
      </c>
    </row>
    <row r="1556" customFormat="false" ht="15" hidden="false" customHeight="false" outlineLevel="0" collapsed="false">
      <c r="A1556" s="0" t="n">
        <v>37</v>
      </c>
      <c r="B1556" s="0" t="n">
        <v>34</v>
      </c>
      <c r="C1556" s="0" t="n">
        <f aca="false">-1+A1556*0.05</f>
        <v>0.85</v>
      </c>
      <c r="D1556" s="0" t="n">
        <f aca="false">-1+B1556*0.05</f>
        <v>0.7</v>
      </c>
      <c r="E1556" s="0" t="n">
        <f aca="false">1</f>
        <v>1</v>
      </c>
      <c r="F1556" s="0" t="n">
        <f aca="false">C1556</f>
        <v>0.85</v>
      </c>
      <c r="G1556" s="0" t="n">
        <f aca="false">D1556</f>
        <v>0.7</v>
      </c>
      <c r="H1556" s="0" t="n">
        <f aca="false">C1556*D1556</f>
        <v>0.595</v>
      </c>
      <c r="I1556" s="0" t="n">
        <f aca="false">C1556*C1556</f>
        <v>0.7225</v>
      </c>
      <c r="J1556" s="0" t="n">
        <f aca="false">D1556*D1556</f>
        <v>0.49</v>
      </c>
      <c r="K1556" s="0" t="n">
        <f aca="false">SUMPRODUCT(E1556:J1556,_XtX!$B$53:$G$53)</f>
        <v>49.0037011494253</v>
      </c>
      <c r="L1556" s="0" t="n">
        <f aca="false">SUMPRODUCT(MMULT(E1556:J1556,_XtX!$B$44:$G$49),E1556:J1556)</f>
        <v>0.390414260057471</v>
      </c>
      <c r="M1556" s="0" t="n">
        <f aca="false">04_回帰ANOVA!$K$19*04_回帰ANOVA!$K$14*SQRT(1+L1556)</f>
        <v>1.59789662309984</v>
      </c>
      <c r="N1556" s="0" t="n">
        <f aca="false">K1556-M1556</f>
        <v>47.4058045263254</v>
      </c>
      <c r="O1556" s="0" t="n">
        <f aca="false">K1556+M1556</f>
        <v>50.6015977725251</v>
      </c>
      <c r="P1556" s="54" t="b">
        <f aca="false">AND(C1556&gt;=01_因子設定!$L$5-0.000000001,C1556&lt;=01_因子設定!$M$5+0.000000001,D1556&gt;=01_因子設定!$L$6-0.000000001,D1556&lt;=01_因子設定!$M$6+0.000000001,IF(01_因子設定!$B$20="Box-Behnken",C1556^2+D1556^2&lt;=2+0.000000001,TRUE()))</f>
        <v>1</v>
      </c>
      <c r="Q1556" s="55" t="n">
        <f aca="false">IF(P1556,IF(01_因子設定!$B$13="最大化",N1556-01_因子設定!$B$14,IF(01_因子設定!$B$13="最小化",01_因子設定!$B$15-O1556,MIN(N1556-01_因子設定!$B$14,01_因子設定!$B$15-O1556))),-1E+030)</f>
        <v>0.90580452632544</v>
      </c>
      <c r="R1556" s="55" t="n">
        <f aca="false">IF(P1556,IF(01_因子設定!$B$13="最大化",K1556,IF(01_因子設定!$B$13="最小化",-K1556,-ABS(K1556-01_因子設定!$B$16))),-1E+030)</f>
        <v>49.0037011494253</v>
      </c>
      <c r="S1556" s="55" t="n">
        <f aca="false">Q1556+ROW()*0.000000001</f>
        <v>0.90580608232544</v>
      </c>
      <c r="T1556" s="55" t="n">
        <f aca="false">R1556+ROW()*0.000000001</f>
        <v>49.0037027054253</v>
      </c>
    </row>
    <row r="1557" customFormat="false" ht="15" hidden="false" customHeight="false" outlineLevel="0" collapsed="false">
      <c r="A1557" s="0" t="n">
        <v>37</v>
      </c>
      <c r="B1557" s="0" t="n">
        <v>35</v>
      </c>
      <c r="C1557" s="0" t="n">
        <f aca="false">-1+A1557*0.05</f>
        <v>0.85</v>
      </c>
      <c r="D1557" s="0" t="n">
        <f aca="false">-1+B1557*0.05</f>
        <v>0.75</v>
      </c>
      <c r="E1557" s="0" t="n">
        <f aca="false">1</f>
        <v>1</v>
      </c>
      <c r="F1557" s="0" t="n">
        <f aca="false">C1557</f>
        <v>0.85</v>
      </c>
      <c r="G1557" s="0" t="n">
        <f aca="false">D1557</f>
        <v>0.75</v>
      </c>
      <c r="H1557" s="0" t="n">
        <f aca="false">C1557*D1557</f>
        <v>0.6375</v>
      </c>
      <c r="I1557" s="0" t="n">
        <f aca="false">C1557*C1557</f>
        <v>0.7225</v>
      </c>
      <c r="J1557" s="0" t="n">
        <f aca="false">D1557*D1557</f>
        <v>0.5625</v>
      </c>
      <c r="K1557" s="0" t="n">
        <f aca="false">SUMPRODUCT(E1557:J1557,_XtX!$B$53:$G$53)</f>
        <v>49.0266386494253</v>
      </c>
      <c r="L1557" s="0" t="n">
        <f aca="false">SUMPRODUCT(MMULT(E1557:J1557,_XtX!$B$44:$G$49),E1557:J1557)</f>
        <v>0.413771030890805</v>
      </c>
      <c r="M1557" s="0" t="n">
        <f aca="false">04_回帰ANOVA!$K$19*04_回帰ANOVA!$K$14*SQRT(1+L1557)</f>
        <v>1.61126180232603</v>
      </c>
      <c r="N1557" s="0" t="n">
        <f aca="false">K1557-M1557</f>
        <v>47.4153768470992</v>
      </c>
      <c r="O1557" s="0" t="n">
        <f aca="false">K1557+M1557</f>
        <v>50.6379004517513</v>
      </c>
      <c r="P1557" s="54" t="b">
        <f aca="false">AND(C1557&gt;=01_因子設定!$L$5-0.000000001,C1557&lt;=01_因子設定!$M$5+0.000000001,D1557&gt;=01_因子設定!$L$6-0.000000001,D1557&lt;=01_因子設定!$M$6+0.000000001,IF(01_因子設定!$B$20="Box-Behnken",C1557^2+D1557^2&lt;=2+0.000000001,TRUE()))</f>
        <v>1</v>
      </c>
      <c r="Q1557" s="55" t="n">
        <f aca="false">IF(P1557,IF(01_因子設定!$B$13="最大化",N1557-01_因子設定!$B$14,IF(01_因子設定!$B$13="最小化",01_因子設定!$B$15-O1557,MIN(N1557-01_因子設定!$B$14,01_因子設定!$B$15-O1557))),-1E+030)</f>
        <v>0.915376847099246</v>
      </c>
      <c r="R1557" s="55" t="n">
        <f aca="false">IF(P1557,IF(01_因子設定!$B$13="最大化",K1557,IF(01_因子設定!$B$13="最小化",-K1557,-ABS(K1557-01_因子設定!$B$16))),-1E+030)</f>
        <v>49.0266386494253</v>
      </c>
      <c r="S1557" s="55" t="n">
        <f aca="false">Q1557+ROW()*0.000000001</f>
        <v>0.915378404099246</v>
      </c>
      <c r="T1557" s="55" t="n">
        <f aca="false">R1557+ROW()*0.000000001</f>
        <v>49.0266402064253</v>
      </c>
    </row>
    <row r="1558" customFormat="false" ht="15" hidden="false" customHeight="false" outlineLevel="0" collapsed="false">
      <c r="A1558" s="0" t="n">
        <v>37</v>
      </c>
      <c r="B1558" s="0" t="n">
        <v>36</v>
      </c>
      <c r="C1558" s="0" t="n">
        <f aca="false">-1+A1558*0.05</f>
        <v>0.85</v>
      </c>
      <c r="D1558" s="0" t="n">
        <f aca="false">-1+B1558*0.05</f>
        <v>0.8</v>
      </c>
      <c r="E1558" s="0" t="n">
        <f aca="false">1</f>
        <v>1</v>
      </c>
      <c r="F1558" s="0" t="n">
        <f aca="false">C1558</f>
        <v>0.85</v>
      </c>
      <c r="G1558" s="0" t="n">
        <f aca="false">D1558</f>
        <v>0.8</v>
      </c>
      <c r="H1558" s="0" t="n">
        <f aca="false">C1558*D1558</f>
        <v>0.68</v>
      </c>
      <c r="I1558" s="0" t="n">
        <f aca="false">C1558*C1558</f>
        <v>0.7225</v>
      </c>
      <c r="J1558" s="0" t="n">
        <f aca="false">D1558*D1558</f>
        <v>0.64</v>
      </c>
      <c r="K1558" s="0" t="n">
        <f aca="false">SUMPRODUCT(E1558:J1558,_XtX!$B$53:$G$53)</f>
        <v>49.0418606321839</v>
      </c>
      <c r="L1558" s="0" t="n">
        <f aca="false">SUMPRODUCT(MMULT(E1558:J1558,_XtX!$B$44:$G$49),E1558:J1558)</f>
        <v>0.442947665229885</v>
      </c>
      <c r="M1558" s="0" t="n">
        <f aca="false">04_回帰ANOVA!$K$19*04_回帰ANOVA!$K$14*SQRT(1+L1558)</f>
        <v>1.62780306626577</v>
      </c>
      <c r="N1558" s="0" t="n">
        <f aca="false">K1558-M1558</f>
        <v>47.4140575659181</v>
      </c>
      <c r="O1558" s="0" t="n">
        <f aca="false">K1558+M1558</f>
        <v>50.6696636984497</v>
      </c>
      <c r="P1558" s="54" t="b">
        <f aca="false">AND(C1558&gt;=01_因子設定!$L$5-0.000000001,C1558&lt;=01_因子設定!$M$5+0.000000001,D1558&gt;=01_因子設定!$L$6-0.000000001,D1558&lt;=01_因子設定!$M$6+0.000000001,IF(01_因子設定!$B$20="Box-Behnken",C1558^2+D1558^2&lt;=2+0.000000001,TRUE()))</f>
        <v>1</v>
      </c>
      <c r="Q1558" s="55" t="n">
        <f aca="false">IF(P1558,IF(01_因子設定!$B$13="最大化",N1558-01_因子設定!$B$14,IF(01_因子設定!$B$13="最小化",01_因子設定!$B$15-O1558,MIN(N1558-01_因子設定!$B$14,01_因子設定!$B$15-O1558))),-1E+030)</f>
        <v>0.914057565918114</v>
      </c>
      <c r="R1558" s="55" t="n">
        <f aca="false">IF(P1558,IF(01_因子設定!$B$13="最大化",K1558,IF(01_因子設定!$B$13="最小化",-K1558,-ABS(K1558-01_因子設定!$B$16))),-1E+030)</f>
        <v>49.0418606321839</v>
      </c>
      <c r="S1558" s="55" t="n">
        <f aca="false">Q1558+ROW()*0.000000001</f>
        <v>0.914059123918114</v>
      </c>
      <c r="T1558" s="55" t="n">
        <f aca="false">R1558+ROW()*0.000000001</f>
        <v>49.0418621901839</v>
      </c>
    </row>
    <row r="1559" customFormat="false" ht="15" hidden="false" customHeight="false" outlineLevel="0" collapsed="false">
      <c r="A1559" s="0" t="n">
        <v>37</v>
      </c>
      <c r="B1559" s="0" t="n">
        <v>37</v>
      </c>
      <c r="C1559" s="0" t="n">
        <f aca="false">-1+A1559*0.05</f>
        <v>0.85</v>
      </c>
      <c r="D1559" s="0" t="n">
        <f aca="false">-1+B1559*0.05</f>
        <v>0.85</v>
      </c>
      <c r="E1559" s="0" t="n">
        <f aca="false">1</f>
        <v>1</v>
      </c>
      <c r="F1559" s="0" t="n">
        <f aca="false">C1559</f>
        <v>0.85</v>
      </c>
      <c r="G1559" s="0" t="n">
        <f aca="false">D1559</f>
        <v>0.85</v>
      </c>
      <c r="H1559" s="0" t="n">
        <f aca="false">C1559*D1559</f>
        <v>0.7225</v>
      </c>
      <c r="I1559" s="0" t="n">
        <f aca="false">C1559*C1559</f>
        <v>0.7225</v>
      </c>
      <c r="J1559" s="0" t="n">
        <f aca="false">D1559*D1559</f>
        <v>0.7225</v>
      </c>
      <c r="K1559" s="0" t="n">
        <f aca="false">SUMPRODUCT(E1559:J1559,_XtX!$B$53:$G$53)</f>
        <v>49.0493670977011</v>
      </c>
      <c r="L1559" s="0" t="n">
        <f aca="false">SUMPRODUCT(MMULT(E1559:J1559,_XtX!$B$44:$G$49),E1559:J1559)</f>
        <v>0.47878597341954</v>
      </c>
      <c r="M1559" s="0" t="n">
        <f aca="false">04_回帰ANOVA!$K$19*04_回帰ANOVA!$K$14*SQRT(1+L1559)</f>
        <v>1.64789385247642</v>
      </c>
      <c r="N1559" s="0" t="n">
        <f aca="false">K1559-M1559</f>
        <v>47.4014732452247</v>
      </c>
      <c r="O1559" s="0" t="n">
        <f aca="false">K1559+M1559</f>
        <v>50.6972609501776</v>
      </c>
      <c r="P1559" s="54" t="b">
        <f aca="false">AND(C1559&gt;=01_因子設定!$L$5-0.000000001,C1559&lt;=01_因子設定!$M$5+0.000000001,D1559&gt;=01_因子設定!$L$6-0.000000001,D1559&lt;=01_因子設定!$M$6+0.000000001,IF(01_因子設定!$B$20="Box-Behnken",C1559^2+D1559^2&lt;=2+0.000000001,TRUE()))</f>
        <v>1</v>
      </c>
      <c r="Q1559" s="55" t="n">
        <f aca="false">IF(P1559,IF(01_因子設定!$B$13="最大化",N1559-01_因子設定!$B$14,IF(01_因子設定!$B$13="最小化",01_因子設定!$B$15-O1559,MIN(N1559-01_因子設定!$B$14,01_因子設定!$B$15-O1559))),-1E+030)</f>
        <v>0.901473245224722</v>
      </c>
      <c r="R1559" s="55" t="n">
        <f aca="false">IF(P1559,IF(01_因子設定!$B$13="最大化",K1559,IF(01_因子設定!$B$13="最小化",-K1559,-ABS(K1559-01_因子設定!$B$16))),-1E+030)</f>
        <v>49.0493670977011</v>
      </c>
      <c r="S1559" s="55" t="n">
        <f aca="false">Q1559+ROW()*0.000000001</f>
        <v>0.901474804224722</v>
      </c>
      <c r="T1559" s="55" t="n">
        <f aca="false">R1559+ROW()*0.000000001</f>
        <v>49.0493686567011</v>
      </c>
    </row>
    <row r="1560" customFormat="false" ht="15" hidden="false" customHeight="false" outlineLevel="0" collapsed="false">
      <c r="A1560" s="0" t="n">
        <v>37</v>
      </c>
      <c r="B1560" s="0" t="n">
        <v>38</v>
      </c>
      <c r="C1560" s="0" t="n">
        <f aca="false">-1+A1560*0.05</f>
        <v>0.85</v>
      </c>
      <c r="D1560" s="0" t="n">
        <f aca="false">-1+B1560*0.05</f>
        <v>0.9</v>
      </c>
      <c r="E1560" s="0" t="n">
        <f aca="false">1</f>
        <v>1</v>
      </c>
      <c r="F1560" s="0" t="n">
        <f aca="false">C1560</f>
        <v>0.85</v>
      </c>
      <c r="G1560" s="0" t="n">
        <f aca="false">D1560</f>
        <v>0.9</v>
      </c>
      <c r="H1560" s="0" t="n">
        <f aca="false">C1560*D1560</f>
        <v>0.765</v>
      </c>
      <c r="I1560" s="0" t="n">
        <f aca="false">C1560*C1560</f>
        <v>0.7225</v>
      </c>
      <c r="J1560" s="0" t="n">
        <f aca="false">D1560*D1560</f>
        <v>0.81</v>
      </c>
      <c r="K1560" s="0" t="n">
        <f aca="false">SUMPRODUCT(E1560:J1560,_XtX!$B$53:$G$53)</f>
        <v>49.049158045977</v>
      </c>
      <c r="L1560" s="0" t="n">
        <f aca="false">SUMPRODUCT(MMULT(E1560:J1560,_XtX!$B$44:$G$49),E1560:J1560)</f>
        <v>0.522182076149426</v>
      </c>
      <c r="M1560" s="0" t="n">
        <f aca="false">04_回帰ANOVA!$K$19*04_回帰ANOVA!$K$14*SQRT(1+L1560)</f>
        <v>1.67189836938396</v>
      </c>
      <c r="N1560" s="0" t="n">
        <f aca="false">K1560-M1560</f>
        <v>47.377259676593</v>
      </c>
      <c r="O1560" s="0" t="n">
        <f aca="false">K1560+M1560</f>
        <v>50.721056415361</v>
      </c>
      <c r="P1560" s="54" t="b">
        <f aca="false">AND(C1560&gt;=01_因子設定!$L$5-0.000000001,C1560&lt;=01_因子設定!$M$5+0.000000001,D1560&gt;=01_因子設定!$L$6-0.000000001,D1560&lt;=01_因子設定!$M$6+0.000000001,IF(01_因子設定!$B$20="Box-Behnken",C1560^2+D1560^2&lt;=2+0.000000001,TRUE()))</f>
        <v>1</v>
      </c>
      <c r="Q1560" s="55" t="n">
        <f aca="false">IF(P1560,IF(01_因子設定!$B$13="最大化",N1560-01_因子設定!$B$14,IF(01_因子設定!$B$13="最小化",01_因子設定!$B$15-O1560,MIN(N1560-01_因子設定!$B$14,01_因子設定!$B$15-O1560))),-1E+030)</f>
        <v>0.877259676593035</v>
      </c>
      <c r="R1560" s="55" t="n">
        <f aca="false">IF(P1560,IF(01_因子設定!$B$13="最大化",K1560,IF(01_因子設定!$B$13="最小化",-K1560,-ABS(K1560-01_因子設定!$B$16))),-1E+030)</f>
        <v>49.049158045977</v>
      </c>
      <c r="S1560" s="55" t="n">
        <f aca="false">Q1560+ROW()*0.000000001</f>
        <v>0.877261236593035</v>
      </c>
      <c r="T1560" s="55" t="n">
        <f aca="false">R1560+ROW()*0.000000001</f>
        <v>49.049159605977</v>
      </c>
    </row>
    <row r="1561" customFormat="false" ht="15" hidden="false" customHeight="false" outlineLevel="0" collapsed="false">
      <c r="A1561" s="0" t="n">
        <v>37</v>
      </c>
      <c r="B1561" s="0" t="n">
        <v>39</v>
      </c>
      <c r="C1561" s="0" t="n">
        <f aca="false">-1+A1561*0.05</f>
        <v>0.85</v>
      </c>
      <c r="D1561" s="0" t="n">
        <f aca="false">-1+B1561*0.05</f>
        <v>0.95</v>
      </c>
      <c r="E1561" s="0" t="n">
        <f aca="false">1</f>
        <v>1</v>
      </c>
      <c r="F1561" s="0" t="n">
        <f aca="false">C1561</f>
        <v>0.85</v>
      </c>
      <c r="G1561" s="0" t="n">
        <f aca="false">D1561</f>
        <v>0.95</v>
      </c>
      <c r="H1561" s="0" t="n">
        <f aca="false">C1561*D1561</f>
        <v>0.8075</v>
      </c>
      <c r="I1561" s="0" t="n">
        <f aca="false">C1561*C1561</f>
        <v>0.7225</v>
      </c>
      <c r="J1561" s="0" t="n">
        <f aca="false">D1561*D1561</f>
        <v>0.9025</v>
      </c>
      <c r="K1561" s="0" t="n">
        <f aca="false">SUMPRODUCT(E1561:J1561,_XtX!$B$53:$G$53)</f>
        <v>49.0412334770115</v>
      </c>
      <c r="L1561" s="0" t="n">
        <f aca="false">SUMPRODUCT(MMULT(E1561:J1561,_XtX!$B$44:$G$49),E1561:J1561)</f>
        <v>0.574086404454023</v>
      </c>
      <c r="M1561" s="0" t="n">
        <f aca="false">04_回帰ANOVA!$K$19*04_回帰ANOVA!$K$14*SQRT(1+L1561)</f>
        <v>1.7001641576124</v>
      </c>
      <c r="N1561" s="0" t="n">
        <f aca="false">K1561-M1561</f>
        <v>47.3410693193991</v>
      </c>
      <c r="O1561" s="0" t="n">
        <f aca="false">K1561+M1561</f>
        <v>50.7413976346239</v>
      </c>
      <c r="P1561" s="54" t="b">
        <f aca="false">AND(C1561&gt;=01_因子設定!$L$5-0.000000001,C1561&lt;=01_因子設定!$M$5+0.000000001,D1561&gt;=01_因子設定!$L$6-0.000000001,D1561&lt;=01_因子設定!$M$6+0.000000001,IF(01_因子設定!$B$20="Box-Behnken",C1561^2+D1561^2&lt;=2+0.000000001,TRUE()))</f>
        <v>1</v>
      </c>
      <c r="Q1561" s="55" t="n">
        <f aca="false">IF(P1561,IF(01_因子設定!$B$13="最大化",N1561-01_因子設定!$B$14,IF(01_因子設定!$B$13="最小化",01_因子設定!$B$15-O1561,MIN(N1561-01_因子設定!$B$14,01_因子設定!$B$15-O1561))),-1E+030)</f>
        <v>0.841069319399082</v>
      </c>
      <c r="R1561" s="55" t="n">
        <f aca="false">IF(P1561,IF(01_因子設定!$B$13="最大化",K1561,IF(01_因子設定!$B$13="最小化",-K1561,-ABS(K1561-01_因子設定!$B$16))),-1E+030)</f>
        <v>49.0412334770115</v>
      </c>
      <c r="S1561" s="55" t="n">
        <f aca="false">Q1561+ROW()*0.000000001</f>
        <v>0.841070880399082</v>
      </c>
      <c r="T1561" s="55" t="n">
        <f aca="false">R1561+ROW()*0.000000001</f>
        <v>49.0412350380115</v>
      </c>
    </row>
    <row r="1562" customFormat="false" ht="15" hidden="false" customHeight="false" outlineLevel="0" collapsed="false">
      <c r="A1562" s="0" t="n">
        <v>37</v>
      </c>
      <c r="B1562" s="0" t="n">
        <v>40</v>
      </c>
      <c r="C1562" s="0" t="n">
        <f aca="false">-1+A1562*0.05</f>
        <v>0.85</v>
      </c>
      <c r="D1562" s="0" t="n">
        <f aca="false">-1+B1562*0.05</f>
        <v>1</v>
      </c>
      <c r="E1562" s="0" t="n">
        <f aca="false">1</f>
        <v>1</v>
      </c>
      <c r="F1562" s="0" t="n">
        <f aca="false">C1562</f>
        <v>0.85</v>
      </c>
      <c r="G1562" s="0" t="n">
        <f aca="false">D1562</f>
        <v>1</v>
      </c>
      <c r="H1562" s="0" t="n">
        <f aca="false">C1562*D1562</f>
        <v>0.85</v>
      </c>
      <c r="I1562" s="0" t="n">
        <f aca="false">C1562*C1562</f>
        <v>0.7225</v>
      </c>
      <c r="J1562" s="0" t="n">
        <f aca="false">D1562*D1562</f>
        <v>1</v>
      </c>
      <c r="K1562" s="0" t="n">
        <f aca="false">SUMPRODUCT(E1562:J1562,_XtX!$B$53:$G$53)</f>
        <v>49.0255933908046</v>
      </c>
      <c r="L1562" s="0" t="n">
        <f aca="false">SUMPRODUCT(MMULT(E1562:J1562,_XtX!$B$44:$G$49),E1562:J1562)</f>
        <v>0.635503699712644</v>
      </c>
      <c r="M1562" s="0" t="n">
        <f aca="false">04_回帰ANOVA!$K$19*04_回帰ANOVA!$K$14*SQRT(1+L1562)</f>
        <v>1.73301506394813</v>
      </c>
      <c r="N1562" s="0" t="n">
        <f aca="false">K1562-M1562</f>
        <v>47.2925783268565</v>
      </c>
      <c r="O1562" s="0" t="n">
        <f aca="false">K1562+M1562</f>
        <v>50.7586084547527</v>
      </c>
      <c r="P1562" s="54" t="b">
        <f aca="false">AND(C1562&gt;=01_因子設定!$L$5-0.000000001,C1562&lt;=01_因子設定!$M$5+0.000000001,D1562&gt;=01_因子設定!$L$6-0.000000001,D1562&lt;=01_因子設定!$M$6+0.000000001,IF(01_因子設定!$B$20="Box-Behnken",C1562^2+D1562^2&lt;=2+0.000000001,TRUE()))</f>
        <v>1</v>
      </c>
      <c r="Q1562" s="55" t="n">
        <f aca="false">IF(P1562,IF(01_因子設定!$B$13="最大化",N1562-01_因子設定!$B$14,IF(01_因子設定!$B$13="最小化",01_因子設定!$B$15-O1562,MIN(N1562-01_因子設定!$B$14,01_因子設定!$B$15-O1562))),-1E+030)</f>
        <v>0.79257832685645</v>
      </c>
      <c r="R1562" s="55" t="n">
        <f aca="false">IF(P1562,IF(01_因子設定!$B$13="最大化",K1562,IF(01_因子設定!$B$13="最小化",-K1562,-ABS(K1562-01_因子設定!$B$16))),-1E+030)</f>
        <v>49.0255933908046</v>
      </c>
      <c r="S1562" s="55" t="n">
        <f aca="false">Q1562+ROW()*0.000000001</f>
        <v>0.79257988885645</v>
      </c>
      <c r="T1562" s="55" t="n">
        <f aca="false">R1562+ROW()*0.000000001</f>
        <v>49.0255949528046</v>
      </c>
    </row>
    <row r="1563" customFormat="false" ht="15" hidden="false" customHeight="false" outlineLevel="0" collapsed="false">
      <c r="A1563" s="0" t="n">
        <v>38</v>
      </c>
      <c r="B1563" s="0" t="n">
        <v>0</v>
      </c>
      <c r="C1563" s="0" t="n">
        <f aca="false">-1+A1563*0.05</f>
        <v>0.9</v>
      </c>
      <c r="D1563" s="0" t="n">
        <f aca="false">-1+B1563*0.05</f>
        <v>-1</v>
      </c>
      <c r="E1563" s="0" t="n">
        <f aca="false">1</f>
        <v>1</v>
      </c>
      <c r="F1563" s="0" t="n">
        <f aca="false">C1563</f>
        <v>0.9</v>
      </c>
      <c r="G1563" s="0" t="n">
        <f aca="false">D1563</f>
        <v>-1</v>
      </c>
      <c r="H1563" s="0" t="n">
        <f aca="false">C1563*D1563</f>
        <v>-0.9</v>
      </c>
      <c r="I1563" s="0" t="n">
        <f aca="false">C1563*C1563</f>
        <v>0.81</v>
      </c>
      <c r="J1563" s="0" t="n">
        <f aca="false">D1563*D1563</f>
        <v>1</v>
      </c>
      <c r="K1563" s="0" t="n">
        <f aca="false">SUMPRODUCT(E1563:J1563,_XtX!$B$53:$G$53)</f>
        <v>43.4726551724138</v>
      </c>
      <c r="L1563" s="0" t="n">
        <f aca="false">SUMPRODUCT(MMULT(E1563:J1563,_XtX!$B$44:$G$49),E1563:J1563)</f>
        <v>0.67827183908046</v>
      </c>
      <c r="M1563" s="0" t="n">
        <f aca="false">04_回帰ANOVA!$K$19*04_回帰ANOVA!$K$14*SQRT(1+L1563)</f>
        <v>1.7555278596526</v>
      </c>
      <c r="N1563" s="0" t="n">
        <f aca="false">K1563-M1563</f>
        <v>41.7171273127612</v>
      </c>
      <c r="O1563" s="0" t="n">
        <f aca="false">K1563+M1563</f>
        <v>45.2281830320664</v>
      </c>
      <c r="P1563" s="54" t="b">
        <f aca="false">AND(C1563&gt;=01_因子設定!$L$5-0.000000001,C1563&lt;=01_因子設定!$M$5+0.000000001,D1563&gt;=01_因子設定!$L$6-0.000000001,D1563&lt;=01_因子設定!$M$6+0.000000001,IF(01_因子設定!$B$20="Box-Behnken",C1563^2+D1563^2&lt;=2+0.000000001,TRUE()))</f>
        <v>1</v>
      </c>
      <c r="Q1563" s="55" t="n">
        <f aca="false">IF(P1563,IF(01_因子設定!$B$13="最大化",N1563-01_因子設定!$B$14,IF(01_因子設定!$B$13="最小化",01_因子設定!$B$15-O1563,MIN(N1563-01_因子設定!$B$14,01_因子設定!$B$15-O1563))),-1E+030)</f>
        <v>-4.78287268723881</v>
      </c>
      <c r="R1563" s="55" t="n">
        <f aca="false">IF(P1563,IF(01_因子設定!$B$13="最大化",K1563,IF(01_因子設定!$B$13="最小化",-K1563,-ABS(K1563-01_因子設定!$B$16))),-1E+030)</f>
        <v>43.4726551724138</v>
      </c>
      <c r="S1563" s="55" t="n">
        <f aca="false">Q1563+ROW()*0.000000001</f>
        <v>-4.78287112423882</v>
      </c>
      <c r="T1563" s="55" t="n">
        <f aca="false">R1563+ROW()*0.000000001</f>
        <v>43.4726567354138</v>
      </c>
    </row>
    <row r="1564" customFormat="false" ht="15" hidden="false" customHeight="false" outlineLevel="0" collapsed="false">
      <c r="A1564" s="0" t="n">
        <v>38</v>
      </c>
      <c r="B1564" s="0" t="n">
        <v>1</v>
      </c>
      <c r="C1564" s="0" t="n">
        <f aca="false">-1+A1564*0.05</f>
        <v>0.9</v>
      </c>
      <c r="D1564" s="0" t="n">
        <f aca="false">-1+B1564*0.05</f>
        <v>-0.95</v>
      </c>
      <c r="E1564" s="0" t="n">
        <f aca="false">1</f>
        <v>1</v>
      </c>
      <c r="F1564" s="0" t="n">
        <f aca="false">C1564</f>
        <v>0.9</v>
      </c>
      <c r="G1564" s="0" t="n">
        <f aca="false">D1564</f>
        <v>-0.95</v>
      </c>
      <c r="H1564" s="0" t="n">
        <f aca="false">C1564*D1564</f>
        <v>-0.855</v>
      </c>
      <c r="I1564" s="0" t="n">
        <f aca="false">C1564*C1564</f>
        <v>0.81</v>
      </c>
      <c r="J1564" s="0" t="n">
        <f aca="false">D1564*D1564</f>
        <v>0.9025</v>
      </c>
      <c r="K1564" s="0" t="n">
        <f aca="false">SUMPRODUCT(E1564:J1564,_XtX!$B$53:$G$53)</f>
        <v>43.7592327586207</v>
      </c>
      <c r="L1564" s="0" t="n">
        <f aca="false">SUMPRODUCT(MMULT(E1564:J1564,_XtX!$B$44:$G$49),E1564:J1564)</f>
        <v>0.617075179597701</v>
      </c>
      <c r="M1564" s="0" t="n">
        <f aca="false">04_回帰ANOVA!$K$19*04_回帰ANOVA!$K$14*SQRT(1+L1564)</f>
        <v>1.72322377517336</v>
      </c>
      <c r="N1564" s="0" t="n">
        <f aca="false">K1564-M1564</f>
        <v>42.0360089834473</v>
      </c>
      <c r="O1564" s="0" t="n">
        <f aca="false">K1564+M1564</f>
        <v>45.482456533794</v>
      </c>
      <c r="P1564" s="54" t="b">
        <f aca="false">AND(C1564&gt;=01_因子設定!$L$5-0.000000001,C1564&lt;=01_因子設定!$M$5+0.000000001,D1564&gt;=01_因子設定!$L$6-0.000000001,D1564&lt;=01_因子設定!$M$6+0.000000001,IF(01_因子設定!$B$20="Box-Behnken",C1564^2+D1564^2&lt;=2+0.000000001,TRUE()))</f>
        <v>1</v>
      </c>
      <c r="Q1564" s="55" t="n">
        <f aca="false">IF(P1564,IF(01_因子設定!$B$13="最大化",N1564-01_因子設定!$B$14,IF(01_因子設定!$B$13="最小化",01_因子設定!$B$15-O1564,MIN(N1564-01_因子設定!$B$14,01_因子設定!$B$15-O1564))),-1E+030)</f>
        <v>-4.46399101655269</v>
      </c>
      <c r="R1564" s="55" t="n">
        <f aca="false">IF(P1564,IF(01_因子設定!$B$13="最大化",K1564,IF(01_因子設定!$B$13="最小化",-K1564,-ABS(K1564-01_因子設定!$B$16))),-1E+030)</f>
        <v>43.7592327586207</v>
      </c>
      <c r="S1564" s="55" t="n">
        <f aca="false">Q1564+ROW()*0.000000001</f>
        <v>-4.46398945255269</v>
      </c>
      <c r="T1564" s="55" t="n">
        <f aca="false">R1564+ROW()*0.000000001</f>
        <v>43.7592343226207</v>
      </c>
    </row>
    <row r="1565" customFormat="false" ht="15" hidden="false" customHeight="false" outlineLevel="0" collapsed="false">
      <c r="A1565" s="0" t="n">
        <v>38</v>
      </c>
      <c r="B1565" s="0" t="n">
        <v>2</v>
      </c>
      <c r="C1565" s="0" t="n">
        <f aca="false">-1+A1565*0.05</f>
        <v>0.9</v>
      </c>
      <c r="D1565" s="0" t="n">
        <f aca="false">-1+B1565*0.05</f>
        <v>-0.9</v>
      </c>
      <c r="E1565" s="0" t="n">
        <f aca="false">1</f>
        <v>1</v>
      </c>
      <c r="F1565" s="0" t="n">
        <f aca="false">C1565</f>
        <v>0.9</v>
      </c>
      <c r="G1565" s="0" t="n">
        <f aca="false">D1565</f>
        <v>-0.9</v>
      </c>
      <c r="H1565" s="0" t="n">
        <f aca="false">C1565*D1565</f>
        <v>-0.81</v>
      </c>
      <c r="I1565" s="0" t="n">
        <f aca="false">C1565*C1565</f>
        <v>0.81</v>
      </c>
      <c r="J1565" s="0" t="n">
        <f aca="false">D1565*D1565</f>
        <v>0.81</v>
      </c>
      <c r="K1565" s="0" t="n">
        <f aca="false">SUMPRODUCT(E1565:J1565,_XtX!$B$53:$G$53)</f>
        <v>44.0380948275862</v>
      </c>
      <c r="L1565" s="0" t="n">
        <f aca="false">SUMPRODUCT(MMULT(E1565:J1565,_XtX!$B$44:$G$49),E1565:J1565)</f>
        <v>0.565380172413793</v>
      </c>
      <c r="M1565" s="0" t="n">
        <f aca="false">04_回帰ANOVA!$K$19*04_回帰ANOVA!$K$14*SQRT(1+L1565)</f>
        <v>1.69545585576061</v>
      </c>
      <c r="N1565" s="0" t="n">
        <f aca="false">K1565-M1565</f>
        <v>42.3426389718256</v>
      </c>
      <c r="O1565" s="0" t="n">
        <f aca="false">K1565+M1565</f>
        <v>45.7335506833468</v>
      </c>
      <c r="P1565" s="54" t="b">
        <f aca="false">AND(C1565&gt;=01_因子設定!$L$5-0.000000001,C1565&lt;=01_因子設定!$M$5+0.000000001,D1565&gt;=01_因子設定!$L$6-0.000000001,D1565&lt;=01_因子設定!$M$6+0.000000001,IF(01_因子設定!$B$20="Box-Behnken",C1565^2+D1565^2&lt;=2+0.000000001,TRUE()))</f>
        <v>1</v>
      </c>
      <c r="Q1565" s="55" t="n">
        <f aca="false">IF(P1565,IF(01_因子設定!$B$13="最大化",N1565-01_因子設定!$B$14,IF(01_因子設定!$B$13="最小化",01_因子設定!$B$15-O1565,MIN(N1565-01_因子設定!$B$14,01_因子設定!$B$15-O1565))),-1E+030)</f>
        <v>-4.15736102817441</v>
      </c>
      <c r="R1565" s="55" t="n">
        <f aca="false">IF(P1565,IF(01_因子設定!$B$13="最大化",K1565,IF(01_因子設定!$B$13="最小化",-K1565,-ABS(K1565-01_因子設定!$B$16))),-1E+030)</f>
        <v>44.0380948275862</v>
      </c>
      <c r="S1565" s="55" t="n">
        <f aca="false">Q1565+ROW()*0.000000001</f>
        <v>-4.15735946317441</v>
      </c>
      <c r="T1565" s="55" t="n">
        <f aca="false">R1565+ROW()*0.000000001</f>
        <v>44.0380963925862</v>
      </c>
    </row>
    <row r="1566" customFormat="false" ht="15" hidden="false" customHeight="false" outlineLevel="0" collapsed="false">
      <c r="A1566" s="0" t="n">
        <v>38</v>
      </c>
      <c r="B1566" s="0" t="n">
        <v>3</v>
      </c>
      <c r="C1566" s="0" t="n">
        <f aca="false">-1+A1566*0.05</f>
        <v>0.9</v>
      </c>
      <c r="D1566" s="0" t="n">
        <f aca="false">-1+B1566*0.05</f>
        <v>-0.85</v>
      </c>
      <c r="E1566" s="0" t="n">
        <f aca="false">1</f>
        <v>1</v>
      </c>
      <c r="F1566" s="0" t="n">
        <f aca="false">C1566</f>
        <v>0.9</v>
      </c>
      <c r="G1566" s="0" t="n">
        <f aca="false">D1566</f>
        <v>-0.85</v>
      </c>
      <c r="H1566" s="0" t="n">
        <f aca="false">C1566*D1566</f>
        <v>-0.765</v>
      </c>
      <c r="I1566" s="0" t="n">
        <f aca="false">C1566*C1566</f>
        <v>0.81</v>
      </c>
      <c r="J1566" s="0" t="n">
        <f aca="false">D1566*D1566</f>
        <v>0.7225</v>
      </c>
      <c r="K1566" s="0" t="n">
        <f aca="false">SUMPRODUCT(E1566:J1566,_XtX!$B$53:$G$53)</f>
        <v>44.3092413793103</v>
      </c>
      <c r="L1566" s="0" t="n">
        <f aca="false">SUMPRODUCT(MMULT(E1566:J1566,_XtX!$B$44:$G$49),E1566:J1566)</f>
        <v>0.522182076149425</v>
      </c>
      <c r="M1566" s="0" t="n">
        <f aca="false">04_回帰ANOVA!$K$19*04_回帰ANOVA!$K$14*SQRT(1+L1566)</f>
        <v>1.67189836938396</v>
      </c>
      <c r="N1566" s="0" t="n">
        <f aca="false">K1566-M1566</f>
        <v>42.6373430099264</v>
      </c>
      <c r="O1566" s="0" t="n">
        <f aca="false">K1566+M1566</f>
        <v>45.9811397486943</v>
      </c>
      <c r="P1566" s="54" t="b">
        <f aca="false">AND(C1566&gt;=01_因子設定!$L$5-0.000000001,C1566&lt;=01_因子設定!$M$5+0.000000001,D1566&gt;=01_因子設定!$L$6-0.000000001,D1566&lt;=01_因子設定!$M$6+0.000000001,IF(01_因子設定!$B$20="Box-Behnken",C1566^2+D1566^2&lt;=2+0.000000001,TRUE()))</f>
        <v>1</v>
      </c>
      <c r="Q1566" s="55" t="n">
        <f aca="false">IF(P1566,IF(01_因子設定!$B$13="最大化",N1566-01_因子設定!$B$14,IF(01_因子設定!$B$13="最小化",01_因子設定!$B$15-O1566,MIN(N1566-01_因子設定!$B$14,01_因子設定!$B$15-O1566))),-1E+030)</f>
        <v>-3.86265699007362</v>
      </c>
      <c r="R1566" s="55" t="n">
        <f aca="false">IF(P1566,IF(01_因子設定!$B$13="最大化",K1566,IF(01_因子設定!$B$13="最小化",-K1566,-ABS(K1566-01_因子設定!$B$16))),-1E+030)</f>
        <v>44.3092413793103</v>
      </c>
      <c r="S1566" s="55" t="n">
        <f aca="false">Q1566+ROW()*0.000000001</f>
        <v>-3.86265542407362</v>
      </c>
      <c r="T1566" s="55" t="n">
        <f aca="false">R1566+ROW()*0.000000001</f>
        <v>44.3092429453103</v>
      </c>
    </row>
    <row r="1567" customFormat="false" ht="15" hidden="false" customHeight="false" outlineLevel="0" collapsed="false">
      <c r="A1567" s="0" t="n">
        <v>38</v>
      </c>
      <c r="B1567" s="0" t="n">
        <v>4</v>
      </c>
      <c r="C1567" s="0" t="n">
        <f aca="false">-1+A1567*0.05</f>
        <v>0.9</v>
      </c>
      <c r="D1567" s="0" t="n">
        <f aca="false">-1+B1567*0.05</f>
        <v>-0.8</v>
      </c>
      <c r="E1567" s="0" t="n">
        <f aca="false">1</f>
        <v>1</v>
      </c>
      <c r="F1567" s="0" t="n">
        <f aca="false">C1567</f>
        <v>0.9</v>
      </c>
      <c r="G1567" s="0" t="n">
        <f aca="false">D1567</f>
        <v>-0.8</v>
      </c>
      <c r="H1567" s="0" t="n">
        <f aca="false">C1567*D1567</f>
        <v>-0.72</v>
      </c>
      <c r="I1567" s="0" t="n">
        <f aca="false">C1567*C1567</f>
        <v>0.81</v>
      </c>
      <c r="J1567" s="0" t="n">
        <f aca="false">D1567*D1567</f>
        <v>0.64</v>
      </c>
      <c r="K1567" s="0" t="n">
        <f aca="false">SUMPRODUCT(E1567:J1567,_XtX!$B$53:$G$53)</f>
        <v>44.5726724137931</v>
      </c>
      <c r="L1567" s="0" t="n">
        <f aca="false">SUMPRODUCT(MMULT(E1567:J1567,_XtX!$B$44:$G$49),E1567:J1567)</f>
        <v>0.486530459770115</v>
      </c>
      <c r="M1567" s="0" t="n">
        <f aca="false">04_回帰ANOVA!$K$19*04_回帰ANOVA!$K$14*SQRT(1+L1567)</f>
        <v>1.65220327464334</v>
      </c>
      <c r="N1567" s="0" t="n">
        <f aca="false">K1567-M1567</f>
        <v>42.9204691391498</v>
      </c>
      <c r="O1567" s="0" t="n">
        <f aca="false">K1567+M1567</f>
        <v>46.2248756884364</v>
      </c>
      <c r="P1567" s="54" t="b">
        <f aca="false">AND(C1567&gt;=01_因子設定!$L$5-0.000000001,C1567&lt;=01_因子設定!$M$5+0.000000001,D1567&gt;=01_因子設定!$L$6-0.000000001,D1567&lt;=01_因子設定!$M$6+0.000000001,IF(01_因子設定!$B$20="Box-Behnken",C1567^2+D1567^2&lt;=2+0.000000001,TRUE()))</f>
        <v>1</v>
      </c>
      <c r="Q1567" s="55" t="n">
        <f aca="false">IF(P1567,IF(01_因子設定!$B$13="最大化",N1567-01_因子設定!$B$14,IF(01_因子設定!$B$13="最小化",01_因子設定!$B$15-O1567,MIN(N1567-01_因子設定!$B$14,01_因子設定!$B$15-O1567))),-1E+030)</f>
        <v>-3.57953086085024</v>
      </c>
      <c r="R1567" s="55" t="n">
        <f aca="false">IF(P1567,IF(01_因子設定!$B$13="最大化",K1567,IF(01_因子設定!$B$13="最小化",-K1567,-ABS(K1567-01_因子設定!$B$16))),-1E+030)</f>
        <v>44.5726724137931</v>
      </c>
      <c r="S1567" s="55" t="n">
        <f aca="false">Q1567+ROW()*0.000000001</f>
        <v>-3.57952929385024</v>
      </c>
      <c r="T1567" s="55" t="n">
        <f aca="false">R1567+ROW()*0.000000001</f>
        <v>44.5726739807931</v>
      </c>
    </row>
    <row r="1568" customFormat="false" ht="15" hidden="false" customHeight="false" outlineLevel="0" collapsed="false">
      <c r="A1568" s="0" t="n">
        <v>38</v>
      </c>
      <c r="B1568" s="0" t="n">
        <v>5</v>
      </c>
      <c r="C1568" s="0" t="n">
        <f aca="false">-1+A1568*0.05</f>
        <v>0.9</v>
      </c>
      <c r="D1568" s="0" t="n">
        <f aca="false">-1+B1568*0.05</f>
        <v>-0.75</v>
      </c>
      <c r="E1568" s="0" t="n">
        <f aca="false">1</f>
        <v>1</v>
      </c>
      <c r="F1568" s="0" t="n">
        <f aca="false">C1568</f>
        <v>0.9</v>
      </c>
      <c r="G1568" s="0" t="n">
        <f aca="false">D1568</f>
        <v>-0.75</v>
      </c>
      <c r="H1568" s="0" t="n">
        <f aca="false">C1568*D1568</f>
        <v>-0.675</v>
      </c>
      <c r="I1568" s="0" t="n">
        <f aca="false">C1568*C1568</f>
        <v>0.81</v>
      </c>
      <c r="J1568" s="0" t="n">
        <f aca="false">D1568*D1568</f>
        <v>0.5625</v>
      </c>
      <c r="K1568" s="0" t="n">
        <f aca="false">SUMPRODUCT(E1568:J1568,_XtX!$B$53:$G$53)</f>
        <v>44.8283879310345</v>
      </c>
      <c r="L1568" s="0" t="n">
        <f aca="false">SUMPRODUCT(MMULT(E1568:J1568,_XtX!$B$44:$G$49),E1568:J1568)</f>
        <v>0.457529202586207</v>
      </c>
      <c r="M1568" s="0" t="n">
        <f aca="false">04_回帰ANOVA!$K$19*04_回帰ANOVA!$K$14*SQRT(1+L1568)</f>
        <v>1.63600717784344</v>
      </c>
      <c r="N1568" s="0" t="n">
        <f aca="false">K1568-M1568</f>
        <v>43.192380753191</v>
      </c>
      <c r="O1568" s="0" t="n">
        <f aca="false">K1568+M1568</f>
        <v>46.4643951088779</v>
      </c>
      <c r="P1568" s="54" t="b">
        <f aca="false">AND(C1568&gt;=01_因子設定!$L$5-0.000000001,C1568&lt;=01_因子設定!$M$5+0.000000001,D1568&gt;=01_因子設定!$L$6-0.000000001,D1568&lt;=01_因子設定!$M$6+0.000000001,IF(01_因子設定!$B$20="Box-Behnken",C1568^2+D1568^2&lt;=2+0.000000001,TRUE()))</f>
        <v>1</v>
      </c>
      <c r="Q1568" s="55" t="n">
        <f aca="false">IF(P1568,IF(01_因子設定!$B$13="最大化",N1568-01_因子設定!$B$14,IF(01_因子設定!$B$13="最小化",01_因子設定!$B$15-O1568,MIN(N1568-01_因子設定!$B$14,01_因子設定!$B$15-O1568))),-1E+030)</f>
        <v>-3.30761924680898</v>
      </c>
      <c r="R1568" s="55" t="n">
        <f aca="false">IF(P1568,IF(01_因子設定!$B$13="最大化",K1568,IF(01_因子設定!$B$13="最小化",-K1568,-ABS(K1568-01_因子設定!$B$16))),-1E+030)</f>
        <v>44.8283879310345</v>
      </c>
      <c r="S1568" s="55" t="n">
        <f aca="false">Q1568+ROW()*0.000000001</f>
        <v>-3.30761767880898</v>
      </c>
      <c r="T1568" s="55" t="n">
        <f aca="false">R1568+ROW()*0.000000001</f>
        <v>44.8283894990345</v>
      </c>
    </row>
    <row r="1569" customFormat="false" ht="15" hidden="false" customHeight="false" outlineLevel="0" collapsed="false">
      <c r="A1569" s="0" t="n">
        <v>38</v>
      </c>
      <c r="B1569" s="0" t="n">
        <v>6</v>
      </c>
      <c r="C1569" s="0" t="n">
        <f aca="false">-1+A1569*0.05</f>
        <v>0.9</v>
      </c>
      <c r="D1569" s="0" t="n">
        <f aca="false">-1+B1569*0.05</f>
        <v>-0.7</v>
      </c>
      <c r="E1569" s="0" t="n">
        <f aca="false">1</f>
        <v>1</v>
      </c>
      <c r="F1569" s="0" t="n">
        <f aca="false">C1569</f>
        <v>0.9</v>
      </c>
      <c r="G1569" s="0" t="n">
        <f aca="false">D1569</f>
        <v>-0.7</v>
      </c>
      <c r="H1569" s="0" t="n">
        <f aca="false">C1569*D1569</f>
        <v>-0.63</v>
      </c>
      <c r="I1569" s="0" t="n">
        <f aca="false">C1569*C1569</f>
        <v>0.81</v>
      </c>
      <c r="J1569" s="0" t="n">
        <f aca="false">D1569*D1569</f>
        <v>0.49</v>
      </c>
      <c r="K1569" s="0" t="n">
        <f aca="false">SUMPRODUCT(E1569:J1569,_XtX!$B$53:$G$53)</f>
        <v>45.0763879310345</v>
      </c>
      <c r="L1569" s="0" t="n">
        <f aca="false">SUMPRODUCT(MMULT(E1569:J1569,_XtX!$B$44:$G$49),E1569:J1569)</f>
        <v>0.434336494252874</v>
      </c>
      <c r="M1569" s="0" t="n">
        <f aca="false">04_回帰ANOVA!$K$19*04_回帰ANOVA!$K$14*SQRT(1+L1569)</f>
        <v>1.62293862576512</v>
      </c>
      <c r="N1569" s="0" t="n">
        <f aca="false">K1569-M1569</f>
        <v>43.4534493052694</v>
      </c>
      <c r="O1569" s="0" t="n">
        <f aca="false">K1569+M1569</f>
        <v>46.6993265567996</v>
      </c>
      <c r="P1569" s="54" t="b">
        <f aca="false">AND(C1569&gt;=01_因子設定!$L$5-0.000000001,C1569&lt;=01_因子設定!$M$5+0.000000001,D1569&gt;=01_因子設定!$L$6-0.000000001,D1569&lt;=01_因子設定!$M$6+0.000000001,IF(01_因子設定!$B$20="Box-Behnken",C1569^2+D1569^2&lt;=2+0.000000001,TRUE()))</f>
        <v>1</v>
      </c>
      <c r="Q1569" s="55" t="n">
        <f aca="false">IF(P1569,IF(01_因子設定!$B$13="最大化",N1569-01_因子設定!$B$14,IF(01_因子設定!$B$13="最小化",01_因子設定!$B$15-O1569,MIN(N1569-01_因子設定!$B$14,01_因子設定!$B$15-O1569))),-1E+030)</f>
        <v>-3.04655069473065</v>
      </c>
      <c r="R1569" s="55" t="n">
        <f aca="false">IF(P1569,IF(01_因子設定!$B$13="最大化",K1569,IF(01_因子設定!$B$13="最小化",-K1569,-ABS(K1569-01_因子設定!$B$16))),-1E+030)</f>
        <v>45.0763879310345</v>
      </c>
      <c r="S1569" s="55" t="n">
        <f aca="false">Q1569+ROW()*0.000000001</f>
        <v>-3.04654912573065</v>
      </c>
      <c r="T1569" s="55" t="n">
        <f aca="false">R1569+ROW()*0.000000001</f>
        <v>45.0763895000345</v>
      </c>
    </row>
    <row r="1570" customFormat="false" ht="15" hidden="false" customHeight="false" outlineLevel="0" collapsed="false">
      <c r="A1570" s="0" t="n">
        <v>38</v>
      </c>
      <c r="B1570" s="0" t="n">
        <v>7</v>
      </c>
      <c r="C1570" s="0" t="n">
        <f aca="false">-1+A1570*0.05</f>
        <v>0.9</v>
      </c>
      <c r="D1570" s="0" t="n">
        <f aca="false">-1+B1570*0.05</f>
        <v>-0.65</v>
      </c>
      <c r="E1570" s="0" t="n">
        <f aca="false">1</f>
        <v>1</v>
      </c>
      <c r="F1570" s="0" t="n">
        <f aca="false">C1570</f>
        <v>0.9</v>
      </c>
      <c r="G1570" s="0" t="n">
        <f aca="false">D1570</f>
        <v>-0.65</v>
      </c>
      <c r="H1570" s="0" t="n">
        <f aca="false">C1570*D1570</f>
        <v>-0.585</v>
      </c>
      <c r="I1570" s="0" t="n">
        <f aca="false">C1570*C1570</f>
        <v>0.81</v>
      </c>
      <c r="J1570" s="0" t="n">
        <f aca="false">D1570*D1570</f>
        <v>0.4225</v>
      </c>
      <c r="K1570" s="0" t="n">
        <f aca="false">SUMPRODUCT(E1570:J1570,_XtX!$B$53:$G$53)</f>
        <v>45.3166724137931</v>
      </c>
      <c r="L1570" s="0" t="n">
        <f aca="false">SUMPRODUCT(MMULT(E1570:J1570,_XtX!$B$44:$G$49),E1570:J1570)</f>
        <v>0.416164834770115</v>
      </c>
      <c r="M1570" s="0" t="n">
        <f aca="false">04_回帰ANOVA!$K$19*04_回帰ANOVA!$K$14*SQRT(1+L1570)</f>
        <v>1.61262532348959</v>
      </c>
      <c r="N1570" s="0" t="n">
        <f aca="false">K1570-M1570</f>
        <v>43.7040470903035</v>
      </c>
      <c r="O1570" s="0" t="n">
        <f aca="false">K1570+M1570</f>
        <v>46.9292977372827</v>
      </c>
      <c r="P1570" s="54" t="b">
        <f aca="false">AND(C1570&gt;=01_因子設定!$L$5-0.000000001,C1570&lt;=01_因子設定!$M$5+0.000000001,D1570&gt;=01_因子設定!$L$6-0.000000001,D1570&lt;=01_因子設定!$M$6+0.000000001,IF(01_因子設定!$B$20="Box-Behnken",C1570^2+D1570^2&lt;=2+0.000000001,TRUE()))</f>
        <v>1</v>
      </c>
      <c r="Q1570" s="55" t="n">
        <f aca="false">IF(P1570,IF(01_因子設定!$B$13="最大化",N1570-01_因子設定!$B$14,IF(01_因子設定!$B$13="最小化",01_因子設定!$B$15-O1570,MIN(N1570-01_因子設定!$B$14,01_因子設定!$B$15-O1570))),-1E+030)</f>
        <v>-2.7959529096965</v>
      </c>
      <c r="R1570" s="55" t="n">
        <f aca="false">IF(P1570,IF(01_因子設定!$B$13="最大化",K1570,IF(01_因子設定!$B$13="最小化",-K1570,-ABS(K1570-01_因子設定!$B$16))),-1E+030)</f>
        <v>45.3166724137931</v>
      </c>
      <c r="S1570" s="55" t="n">
        <f aca="false">Q1570+ROW()*0.000000001</f>
        <v>-2.7959513396965</v>
      </c>
      <c r="T1570" s="55" t="n">
        <f aca="false">R1570+ROW()*0.000000001</f>
        <v>45.3166739837931</v>
      </c>
    </row>
    <row r="1571" customFormat="false" ht="15" hidden="false" customHeight="false" outlineLevel="0" collapsed="false">
      <c r="A1571" s="0" t="n">
        <v>38</v>
      </c>
      <c r="B1571" s="0" t="n">
        <v>8</v>
      </c>
      <c r="C1571" s="0" t="n">
        <f aca="false">-1+A1571*0.05</f>
        <v>0.9</v>
      </c>
      <c r="D1571" s="0" t="n">
        <f aca="false">-1+B1571*0.05</f>
        <v>-0.6</v>
      </c>
      <c r="E1571" s="0" t="n">
        <f aca="false">1</f>
        <v>1</v>
      </c>
      <c r="F1571" s="0" t="n">
        <f aca="false">C1571</f>
        <v>0.9</v>
      </c>
      <c r="G1571" s="0" t="n">
        <f aca="false">D1571</f>
        <v>-0.6</v>
      </c>
      <c r="H1571" s="0" t="n">
        <f aca="false">C1571*D1571</f>
        <v>-0.54</v>
      </c>
      <c r="I1571" s="0" t="n">
        <f aca="false">C1571*C1571</f>
        <v>0.81</v>
      </c>
      <c r="J1571" s="0" t="n">
        <f aca="false">D1571*D1571</f>
        <v>0.36</v>
      </c>
      <c r="K1571" s="0" t="n">
        <f aca="false">SUMPRODUCT(E1571:J1571,_XtX!$B$53:$G$53)</f>
        <v>45.5492413793103</v>
      </c>
      <c r="L1571" s="0" t="n">
        <f aca="false">SUMPRODUCT(MMULT(E1571:J1571,_XtX!$B$44:$G$49),E1571:J1571)</f>
        <v>0.402281034482759</v>
      </c>
      <c r="M1571" s="0" t="n">
        <f aca="false">04_回帰ANOVA!$K$19*04_回帰ANOVA!$K$14*SQRT(1+L1571)</f>
        <v>1.60470092328339</v>
      </c>
      <c r="N1571" s="0" t="n">
        <f aca="false">K1571-M1571</f>
        <v>43.9445404560269</v>
      </c>
      <c r="O1571" s="0" t="n">
        <f aca="false">K1571+M1571</f>
        <v>47.1539423025937</v>
      </c>
      <c r="P1571" s="54" t="b">
        <f aca="false">AND(C1571&gt;=01_因子設定!$L$5-0.000000001,C1571&lt;=01_因子設定!$M$5+0.000000001,D1571&gt;=01_因子設定!$L$6-0.000000001,D1571&lt;=01_因子設定!$M$6+0.000000001,IF(01_因子設定!$B$20="Box-Behnken",C1571^2+D1571^2&lt;=2+0.000000001,TRUE()))</f>
        <v>1</v>
      </c>
      <c r="Q1571" s="55" t="n">
        <f aca="false">IF(P1571,IF(01_因子設定!$B$13="最大化",N1571-01_因子設定!$B$14,IF(01_因子設定!$B$13="最小化",01_因子設定!$B$15-O1571,MIN(N1571-01_因子設定!$B$14,01_因子設定!$B$15-O1571))),-1E+030)</f>
        <v>-2.55545954397306</v>
      </c>
      <c r="R1571" s="55" t="n">
        <f aca="false">IF(P1571,IF(01_因子設定!$B$13="最大化",K1571,IF(01_因子設定!$B$13="最小化",-K1571,-ABS(K1571-01_因子設定!$B$16))),-1E+030)</f>
        <v>45.5492413793103</v>
      </c>
      <c r="S1571" s="55" t="n">
        <f aca="false">Q1571+ROW()*0.000000001</f>
        <v>-2.55545797297306</v>
      </c>
      <c r="T1571" s="55" t="n">
        <f aca="false">R1571+ROW()*0.000000001</f>
        <v>45.5492429503103</v>
      </c>
    </row>
    <row r="1572" customFormat="false" ht="15" hidden="false" customHeight="false" outlineLevel="0" collapsed="false">
      <c r="A1572" s="0" t="n">
        <v>38</v>
      </c>
      <c r="B1572" s="0" t="n">
        <v>9</v>
      </c>
      <c r="C1572" s="0" t="n">
        <f aca="false">-1+A1572*0.05</f>
        <v>0.9</v>
      </c>
      <c r="D1572" s="0" t="n">
        <f aca="false">-1+B1572*0.05</f>
        <v>-0.55</v>
      </c>
      <c r="E1572" s="0" t="n">
        <f aca="false">1</f>
        <v>1</v>
      </c>
      <c r="F1572" s="0" t="n">
        <f aca="false">C1572</f>
        <v>0.9</v>
      </c>
      <c r="G1572" s="0" t="n">
        <f aca="false">D1572</f>
        <v>-0.55</v>
      </c>
      <c r="H1572" s="0" t="n">
        <f aca="false">C1572*D1572</f>
        <v>-0.495</v>
      </c>
      <c r="I1572" s="0" t="n">
        <f aca="false">C1572*C1572</f>
        <v>0.81</v>
      </c>
      <c r="J1572" s="0" t="n">
        <f aca="false">D1572*D1572</f>
        <v>0.3025</v>
      </c>
      <c r="K1572" s="0" t="n">
        <f aca="false">SUMPRODUCT(E1572:J1572,_XtX!$B$53:$G$53)</f>
        <v>45.7740948275862</v>
      </c>
      <c r="L1572" s="0" t="n">
        <f aca="false">SUMPRODUCT(MMULT(E1572:J1572,_XtX!$B$44:$G$49),E1572:J1572)</f>
        <v>0.39200621408046</v>
      </c>
      <c r="M1572" s="0" t="n">
        <f aca="false">04_回帰ANOVA!$K$19*04_回帰ANOVA!$K$14*SQRT(1+L1572)</f>
        <v>1.59881111683123</v>
      </c>
      <c r="N1572" s="0" t="n">
        <f aca="false">K1572-M1572</f>
        <v>44.175283710755</v>
      </c>
      <c r="O1572" s="0" t="n">
        <f aca="false">K1572+M1572</f>
        <v>47.3729059444174</v>
      </c>
      <c r="P1572" s="54" t="b">
        <f aca="false">AND(C1572&gt;=01_因子設定!$L$5-0.000000001,C1572&lt;=01_因子設定!$M$5+0.000000001,D1572&gt;=01_因子設定!$L$6-0.000000001,D1572&lt;=01_因子設定!$M$6+0.000000001,IF(01_因子設定!$B$20="Box-Behnken",C1572^2+D1572^2&lt;=2+0.000000001,TRUE()))</f>
        <v>1</v>
      </c>
      <c r="Q1572" s="55" t="n">
        <f aca="false">IF(P1572,IF(01_因子設定!$B$13="最大化",N1572-01_因子設定!$B$14,IF(01_因子設定!$B$13="最小化",01_因子設定!$B$15-O1572,MIN(N1572-01_因子設定!$B$14,01_因子設定!$B$15-O1572))),-1E+030)</f>
        <v>-2.32471628924504</v>
      </c>
      <c r="R1572" s="55" t="n">
        <f aca="false">IF(P1572,IF(01_因子設定!$B$13="最大化",K1572,IF(01_因子設定!$B$13="最小化",-K1572,-ABS(K1572-01_因子設定!$B$16))),-1E+030)</f>
        <v>45.7740948275862</v>
      </c>
      <c r="S1572" s="55" t="n">
        <f aca="false">Q1572+ROW()*0.000000001</f>
        <v>-2.32471471724504</v>
      </c>
      <c r="T1572" s="55" t="n">
        <f aca="false">R1572+ROW()*0.000000001</f>
        <v>45.7740963995862</v>
      </c>
    </row>
    <row r="1573" customFormat="false" ht="15" hidden="false" customHeight="false" outlineLevel="0" collapsed="false">
      <c r="A1573" s="0" t="n">
        <v>38</v>
      </c>
      <c r="B1573" s="0" t="n">
        <v>10</v>
      </c>
      <c r="C1573" s="0" t="n">
        <f aca="false">-1+A1573*0.05</f>
        <v>0.9</v>
      </c>
      <c r="D1573" s="0" t="n">
        <f aca="false">-1+B1573*0.05</f>
        <v>-0.5</v>
      </c>
      <c r="E1573" s="0" t="n">
        <f aca="false">1</f>
        <v>1</v>
      </c>
      <c r="F1573" s="0" t="n">
        <f aca="false">C1573</f>
        <v>0.9</v>
      </c>
      <c r="G1573" s="0" t="n">
        <f aca="false">D1573</f>
        <v>-0.5</v>
      </c>
      <c r="H1573" s="0" t="n">
        <f aca="false">C1573*D1573</f>
        <v>-0.45</v>
      </c>
      <c r="I1573" s="0" t="n">
        <f aca="false">C1573*C1573</f>
        <v>0.81</v>
      </c>
      <c r="J1573" s="0" t="n">
        <f aca="false">D1573*D1573</f>
        <v>0.25</v>
      </c>
      <c r="K1573" s="0" t="n">
        <f aca="false">SUMPRODUCT(E1573:J1573,_XtX!$B$53:$G$53)</f>
        <v>45.9912327586207</v>
      </c>
      <c r="L1573" s="0" t="n">
        <f aca="false">SUMPRODUCT(MMULT(E1573:J1573,_XtX!$B$44:$G$49),E1573:J1573)</f>
        <v>0.384715804597701</v>
      </c>
      <c r="M1573" s="0" t="n">
        <f aca="false">04_回帰ANOVA!$K$19*04_回帰ANOVA!$K$14*SQRT(1+L1573)</f>
        <v>1.59461886204904</v>
      </c>
      <c r="N1573" s="0" t="n">
        <f aca="false">K1573-M1573</f>
        <v>44.3966138965716</v>
      </c>
      <c r="O1573" s="0" t="n">
        <f aca="false">K1573+M1573</f>
        <v>47.5858516206697</v>
      </c>
      <c r="P1573" s="54" t="b">
        <f aca="false">AND(C1573&gt;=01_因子設定!$L$5-0.000000001,C1573&lt;=01_因子設定!$M$5+0.000000001,D1573&gt;=01_因子設定!$L$6-0.000000001,D1573&lt;=01_因子設定!$M$6+0.000000001,IF(01_因子設定!$B$20="Box-Behnken",C1573^2+D1573^2&lt;=2+0.000000001,TRUE()))</f>
        <v>1</v>
      </c>
      <c r="Q1573" s="55" t="n">
        <f aca="false">IF(P1573,IF(01_因子設定!$B$13="最大化",N1573-01_因子設定!$B$14,IF(01_因子設定!$B$13="最小化",01_因子設定!$B$15-O1573,MIN(N1573-01_因子設定!$B$14,01_因子設定!$B$15-O1573))),-1E+030)</f>
        <v>-2.10338610342836</v>
      </c>
      <c r="R1573" s="55" t="n">
        <f aca="false">IF(P1573,IF(01_因子設定!$B$13="最大化",K1573,IF(01_因子設定!$B$13="最小化",-K1573,-ABS(K1573-01_因子設定!$B$16))),-1E+030)</f>
        <v>45.9912327586207</v>
      </c>
      <c r="S1573" s="55" t="n">
        <f aca="false">Q1573+ROW()*0.000000001</f>
        <v>-2.10338453042836</v>
      </c>
      <c r="T1573" s="55" t="n">
        <f aca="false">R1573+ROW()*0.000000001</f>
        <v>45.9912343316207</v>
      </c>
    </row>
    <row r="1574" customFormat="false" ht="15" hidden="false" customHeight="false" outlineLevel="0" collapsed="false">
      <c r="A1574" s="0" t="n">
        <v>38</v>
      </c>
      <c r="B1574" s="0" t="n">
        <v>11</v>
      </c>
      <c r="C1574" s="0" t="n">
        <f aca="false">-1+A1574*0.05</f>
        <v>0.9</v>
      </c>
      <c r="D1574" s="0" t="n">
        <f aca="false">-1+B1574*0.05</f>
        <v>-0.45</v>
      </c>
      <c r="E1574" s="0" t="n">
        <f aca="false">1</f>
        <v>1</v>
      </c>
      <c r="F1574" s="0" t="n">
        <f aca="false">C1574</f>
        <v>0.9</v>
      </c>
      <c r="G1574" s="0" t="n">
        <f aca="false">D1574</f>
        <v>-0.45</v>
      </c>
      <c r="H1574" s="0" t="n">
        <f aca="false">C1574*D1574</f>
        <v>-0.405</v>
      </c>
      <c r="I1574" s="0" t="n">
        <f aca="false">C1574*C1574</f>
        <v>0.81</v>
      </c>
      <c r="J1574" s="0" t="n">
        <f aca="false">D1574*D1574</f>
        <v>0.2025</v>
      </c>
      <c r="K1574" s="0" t="n">
        <f aca="false">SUMPRODUCT(E1574:J1574,_XtX!$B$53:$G$53)</f>
        <v>46.2006551724138</v>
      </c>
      <c r="L1574" s="0" t="n">
        <f aca="false">SUMPRODUCT(MMULT(E1574:J1574,_XtX!$B$44:$G$49),E1574:J1574)</f>
        <v>0.379839547413793</v>
      </c>
      <c r="M1574" s="0" t="n">
        <f aca="false">04_回帰ANOVA!$K$19*04_回帰ANOVA!$K$14*SQRT(1+L1574)</f>
        <v>1.59180867193519</v>
      </c>
      <c r="N1574" s="0" t="n">
        <f aca="false">K1574-M1574</f>
        <v>44.6088465004786</v>
      </c>
      <c r="O1574" s="0" t="n">
        <f aca="false">K1574+M1574</f>
        <v>47.792463844349</v>
      </c>
      <c r="P1574" s="54" t="b">
        <f aca="false">AND(C1574&gt;=01_因子設定!$L$5-0.000000001,C1574&lt;=01_因子設定!$M$5+0.000000001,D1574&gt;=01_因子設定!$L$6-0.000000001,D1574&lt;=01_因子設定!$M$6+0.000000001,IF(01_因子設定!$B$20="Box-Behnken",C1574^2+D1574^2&lt;=2+0.000000001,TRUE()))</f>
        <v>1</v>
      </c>
      <c r="Q1574" s="55" t="n">
        <f aca="false">IF(P1574,IF(01_因子設定!$B$13="最大化",N1574-01_因子設定!$B$14,IF(01_因子設定!$B$13="最小化",01_因子設定!$B$15-O1574,MIN(N1574-01_因子設定!$B$14,01_因子設定!$B$15-O1574))),-1E+030)</f>
        <v>-1.89115349952142</v>
      </c>
      <c r="R1574" s="55" t="n">
        <f aca="false">IF(P1574,IF(01_因子設定!$B$13="最大化",K1574,IF(01_因子設定!$B$13="最小化",-K1574,-ABS(K1574-01_因子設定!$B$16))),-1E+030)</f>
        <v>46.2006551724138</v>
      </c>
      <c r="S1574" s="55" t="n">
        <f aca="false">Q1574+ROW()*0.000000001</f>
        <v>-1.89115192552142</v>
      </c>
      <c r="T1574" s="55" t="n">
        <f aca="false">R1574+ROW()*0.000000001</f>
        <v>46.2006567464138</v>
      </c>
    </row>
    <row r="1575" customFormat="false" ht="15" hidden="false" customHeight="false" outlineLevel="0" collapsed="false">
      <c r="A1575" s="0" t="n">
        <v>38</v>
      </c>
      <c r="B1575" s="0" t="n">
        <v>12</v>
      </c>
      <c r="C1575" s="0" t="n">
        <f aca="false">-1+A1575*0.05</f>
        <v>0.9</v>
      </c>
      <c r="D1575" s="0" t="n">
        <f aca="false">-1+B1575*0.05</f>
        <v>-0.4</v>
      </c>
      <c r="E1575" s="0" t="n">
        <f aca="false">1</f>
        <v>1</v>
      </c>
      <c r="F1575" s="0" t="n">
        <f aca="false">C1575</f>
        <v>0.9</v>
      </c>
      <c r="G1575" s="0" t="n">
        <f aca="false">D1575</f>
        <v>-0.4</v>
      </c>
      <c r="H1575" s="0" t="n">
        <f aca="false">C1575*D1575</f>
        <v>-0.36</v>
      </c>
      <c r="I1575" s="0" t="n">
        <f aca="false">C1575*C1575</f>
        <v>0.81</v>
      </c>
      <c r="J1575" s="0" t="n">
        <f aca="false">D1575*D1575</f>
        <v>0.16</v>
      </c>
      <c r="K1575" s="0" t="n">
        <f aca="false">SUMPRODUCT(E1575:J1575,_XtX!$B$53:$G$53)</f>
        <v>46.4023620689655</v>
      </c>
      <c r="L1575" s="0" t="n">
        <f aca="false">SUMPRODUCT(MMULT(E1575:J1575,_XtX!$B$44:$G$49),E1575:J1575)</f>
        <v>0.376861494252874</v>
      </c>
      <c r="M1575" s="0" t="n">
        <f aca="false">04_回帰ANOVA!$K$19*04_回帰ANOVA!$K$14*SQRT(1+L1575)</f>
        <v>1.59008997521304</v>
      </c>
      <c r="N1575" s="0" t="n">
        <f aca="false">K1575-M1575</f>
        <v>44.8122720937525</v>
      </c>
      <c r="O1575" s="0" t="n">
        <f aca="false">K1575+M1575</f>
        <v>47.9924520441785</v>
      </c>
      <c r="P1575" s="54" t="b">
        <f aca="false">AND(C1575&gt;=01_因子設定!$L$5-0.000000001,C1575&lt;=01_因子設定!$M$5+0.000000001,D1575&gt;=01_因子設定!$L$6-0.000000001,D1575&lt;=01_因子設定!$M$6+0.000000001,IF(01_因子設定!$B$20="Box-Behnken",C1575^2+D1575^2&lt;=2+0.000000001,TRUE()))</f>
        <v>1</v>
      </c>
      <c r="Q1575" s="55" t="n">
        <f aca="false">IF(P1575,IF(01_因子設定!$B$13="最大化",N1575-01_因子設定!$B$14,IF(01_因子設定!$B$13="最小化",01_因子設定!$B$15-O1575,MIN(N1575-01_因子設定!$B$14,01_因子設定!$B$15-O1575))),-1E+030)</f>
        <v>-1.68772790624754</v>
      </c>
      <c r="R1575" s="55" t="n">
        <f aca="false">IF(P1575,IF(01_因子設定!$B$13="最大化",K1575,IF(01_因子設定!$B$13="最小化",-K1575,-ABS(K1575-01_因子設定!$B$16))),-1E+030)</f>
        <v>46.4023620689655</v>
      </c>
      <c r="S1575" s="55" t="n">
        <f aca="false">Q1575+ROW()*0.000000001</f>
        <v>-1.68772633124754</v>
      </c>
      <c r="T1575" s="55" t="n">
        <f aca="false">R1575+ROW()*0.000000001</f>
        <v>46.4023636439655</v>
      </c>
    </row>
    <row r="1576" customFormat="false" ht="15" hidden="false" customHeight="false" outlineLevel="0" collapsed="false">
      <c r="A1576" s="0" t="n">
        <v>38</v>
      </c>
      <c r="B1576" s="0" t="n">
        <v>13</v>
      </c>
      <c r="C1576" s="0" t="n">
        <f aca="false">-1+A1576*0.05</f>
        <v>0.9</v>
      </c>
      <c r="D1576" s="0" t="n">
        <f aca="false">-1+B1576*0.05</f>
        <v>-0.35</v>
      </c>
      <c r="E1576" s="0" t="n">
        <f aca="false">1</f>
        <v>1</v>
      </c>
      <c r="F1576" s="0" t="n">
        <f aca="false">C1576</f>
        <v>0.9</v>
      </c>
      <c r="G1576" s="0" t="n">
        <f aca="false">D1576</f>
        <v>-0.35</v>
      </c>
      <c r="H1576" s="0" t="n">
        <f aca="false">C1576*D1576</f>
        <v>-0.315</v>
      </c>
      <c r="I1576" s="0" t="n">
        <f aca="false">C1576*C1576</f>
        <v>0.81</v>
      </c>
      <c r="J1576" s="0" t="n">
        <f aca="false">D1576*D1576</f>
        <v>0.1225</v>
      </c>
      <c r="K1576" s="0" t="n">
        <f aca="false">SUMPRODUCT(E1576:J1576,_XtX!$B$53:$G$53)</f>
        <v>46.5963534482759</v>
      </c>
      <c r="L1576" s="0" t="n">
        <f aca="false">SUMPRODUCT(MMULT(E1576:J1576,_XtX!$B$44:$G$49),E1576:J1576)</f>
        <v>0.375320007183908</v>
      </c>
      <c r="M1576" s="0" t="n">
        <f aca="false">04_回帰ANOVA!$K$19*04_回帰ANOVA!$K$14*SQRT(1+L1576)</f>
        <v>1.58919962074651</v>
      </c>
      <c r="N1576" s="0" t="n">
        <f aca="false">K1576-M1576</f>
        <v>45.0071538275293</v>
      </c>
      <c r="O1576" s="0" t="n">
        <f aca="false">K1576+M1576</f>
        <v>48.1855530690224</v>
      </c>
      <c r="P1576" s="54" t="b">
        <f aca="false">AND(C1576&gt;=01_因子設定!$L$5-0.000000001,C1576&lt;=01_因子設定!$M$5+0.000000001,D1576&gt;=01_因子設定!$L$6-0.000000001,D1576&lt;=01_因子設定!$M$6+0.000000001,IF(01_因子設定!$B$20="Box-Behnken",C1576^2+D1576^2&lt;=2+0.000000001,TRUE()))</f>
        <v>1</v>
      </c>
      <c r="Q1576" s="55" t="n">
        <f aca="false">IF(P1576,IF(01_因子設定!$B$13="最大化",N1576-01_因子設定!$B$14,IF(01_因子設定!$B$13="最小化",01_因子設定!$B$15-O1576,MIN(N1576-01_因子設定!$B$14,01_因子設定!$B$15-O1576))),-1E+030)</f>
        <v>-1.49284617247066</v>
      </c>
      <c r="R1576" s="55" t="n">
        <f aca="false">IF(P1576,IF(01_因子設定!$B$13="最大化",K1576,IF(01_因子設定!$B$13="最小化",-K1576,-ABS(K1576-01_因子設定!$B$16))),-1E+030)</f>
        <v>46.5963534482759</v>
      </c>
      <c r="S1576" s="55" t="n">
        <f aca="false">Q1576+ROW()*0.000000001</f>
        <v>-1.49284459647066</v>
      </c>
      <c r="T1576" s="55" t="n">
        <f aca="false">R1576+ROW()*0.000000001</f>
        <v>46.5963550242759</v>
      </c>
    </row>
    <row r="1577" customFormat="false" ht="15" hidden="false" customHeight="false" outlineLevel="0" collapsed="false">
      <c r="A1577" s="0" t="n">
        <v>38</v>
      </c>
      <c r="B1577" s="0" t="n">
        <v>14</v>
      </c>
      <c r="C1577" s="0" t="n">
        <f aca="false">-1+A1577*0.05</f>
        <v>0.9</v>
      </c>
      <c r="D1577" s="0" t="n">
        <f aca="false">-1+B1577*0.05</f>
        <v>-0.3</v>
      </c>
      <c r="E1577" s="0" t="n">
        <f aca="false">1</f>
        <v>1</v>
      </c>
      <c r="F1577" s="0" t="n">
        <f aca="false">C1577</f>
        <v>0.9</v>
      </c>
      <c r="G1577" s="0" t="n">
        <f aca="false">D1577</f>
        <v>-0.3</v>
      </c>
      <c r="H1577" s="0" t="n">
        <f aca="false">C1577*D1577</f>
        <v>-0.27</v>
      </c>
      <c r="I1577" s="0" t="n">
        <f aca="false">C1577*C1577</f>
        <v>0.81</v>
      </c>
      <c r="J1577" s="0" t="n">
        <f aca="false">D1577*D1577</f>
        <v>0.09</v>
      </c>
      <c r="K1577" s="0" t="n">
        <f aca="false">SUMPRODUCT(E1577:J1577,_XtX!$B$53:$G$53)</f>
        <v>46.7826293103448</v>
      </c>
      <c r="L1577" s="0" t="n">
        <f aca="false">SUMPRODUCT(MMULT(E1577:J1577,_XtX!$B$44:$G$49),E1577:J1577)</f>
        <v>0.37480775862069</v>
      </c>
      <c r="M1577" s="0" t="n">
        <f aca="false">04_回帰ANOVA!$K$19*04_回帰ANOVA!$K$14*SQRT(1+L1577)</f>
        <v>1.58890363834478</v>
      </c>
      <c r="N1577" s="0" t="n">
        <f aca="false">K1577-M1577</f>
        <v>45.193725672</v>
      </c>
      <c r="O1577" s="0" t="n">
        <f aca="false">K1577+M1577</f>
        <v>48.3715329486896</v>
      </c>
      <c r="P1577" s="54" t="b">
        <f aca="false">AND(C1577&gt;=01_因子設定!$L$5-0.000000001,C1577&lt;=01_因子設定!$M$5+0.000000001,D1577&gt;=01_因子設定!$L$6-0.000000001,D1577&lt;=01_因子設定!$M$6+0.000000001,IF(01_因子設定!$B$20="Box-Behnken",C1577^2+D1577^2&lt;=2+0.000000001,TRUE()))</f>
        <v>1</v>
      </c>
      <c r="Q1577" s="55" t="n">
        <f aca="false">IF(P1577,IF(01_因子設定!$B$13="最大化",N1577-01_因子設定!$B$14,IF(01_因子設定!$B$13="最小化",01_因子設定!$B$15-O1577,MIN(N1577-01_因子設定!$B$14,01_因子設定!$B$15-O1577))),-1E+030)</f>
        <v>-1.30627432799997</v>
      </c>
      <c r="R1577" s="55" t="n">
        <f aca="false">IF(P1577,IF(01_因子設定!$B$13="最大化",K1577,IF(01_因子設定!$B$13="最小化",-K1577,-ABS(K1577-01_因子設定!$B$16))),-1E+030)</f>
        <v>46.7826293103448</v>
      </c>
      <c r="S1577" s="55" t="n">
        <f aca="false">Q1577+ROW()*0.000000001</f>
        <v>-1.30627275099997</v>
      </c>
      <c r="T1577" s="55" t="n">
        <f aca="false">R1577+ROW()*0.000000001</f>
        <v>46.7826308873448</v>
      </c>
    </row>
    <row r="1578" customFormat="false" ht="15" hidden="false" customHeight="false" outlineLevel="0" collapsed="false">
      <c r="A1578" s="0" t="n">
        <v>38</v>
      </c>
      <c r="B1578" s="0" t="n">
        <v>15</v>
      </c>
      <c r="C1578" s="0" t="n">
        <f aca="false">-1+A1578*0.05</f>
        <v>0.9</v>
      </c>
      <c r="D1578" s="0" t="n">
        <f aca="false">-1+B1578*0.05</f>
        <v>-0.25</v>
      </c>
      <c r="E1578" s="0" t="n">
        <f aca="false">1</f>
        <v>1</v>
      </c>
      <c r="F1578" s="0" t="n">
        <f aca="false">C1578</f>
        <v>0.9</v>
      </c>
      <c r="G1578" s="0" t="n">
        <f aca="false">D1578</f>
        <v>-0.25</v>
      </c>
      <c r="H1578" s="0" t="n">
        <f aca="false">C1578*D1578</f>
        <v>-0.225</v>
      </c>
      <c r="I1578" s="0" t="n">
        <f aca="false">C1578*C1578</f>
        <v>0.81</v>
      </c>
      <c r="J1578" s="0" t="n">
        <f aca="false">D1578*D1578</f>
        <v>0.0625</v>
      </c>
      <c r="K1578" s="0" t="n">
        <f aca="false">SUMPRODUCT(E1578:J1578,_XtX!$B$53:$G$53)</f>
        <v>46.9611896551724</v>
      </c>
      <c r="L1578" s="0" t="n">
        <f aca="false">SUMPRODUCT(MMULT(E1578:J1578,_XtX!$B$44:$G$49),E1578:J1578)</f>
        <v>0.374971731321839</v>
      </c>
      <c r="M1578" s="0" t="n">
        <f aca="false">04_回帰ANOVA!$K$19*04_回帰ANOVA!$K$14*SQRT(1+L1578)</f>
        <v>1.58899838942971</v>
      </c>
      <c r="N1578" s="0" t="n">
        <f aca="false">K1578-M1578</f>
        <v>45.3721912657427</v>
      </c>
      <c r="O1578" s="0" t="n">
        <f aca="false">K1578+M1578</f>
        <v>48.5501880446021</v>
      </c>
      <c r="P1578" s="54" t="b">
        <f aca="false">AND(C1578&gt;=01_因子設定!$L$5-0.000000001,C1578&lt;=01_因子設定!$M$5+0.000000001,D1578&gt;=01_因子設定!$L$6-0.000000001,D1578&lt;=01_因子設定!$M$6+0.000000001,IF(01_因子設定!$B$20="Box-Behnken",C1578^2+D1578^2&lt;=2+0.000000001,TRUE()))</f>
        <v>1</v>
      </c>
      <c r="Q1578" s="55" t="n">
        <f aca="false">IF(P1578,IF(01_因子設定!$B$13="最大化",N1578-01_因子設定!$B$14,IF(01_因子設定!$B$13="最小化",01_因子設定!$B$15-O1578,MIN(N1578-01_因子設定!$B$14,01_因子設定!$B$15-O1578))),-1E+030)</f>
        <v>-1.12780873425731</v>
      </c>
      <c r="R1578" s="55" t="n">
        <f aca="false">IF(P1578,IF(01_因子設定!$B$13="最大化",K1578,IF(01_因子設定!$B$13="最小化",-K1578,-ABS(K1578-01_因子設定!$B$16))),-1E+030)</f>
        <v>46.9611896551724</v>
      </c>
      <c r="S1578" s="55" t="n">
        <f aca="false">Q1578+ROW()*0.000000001</f>
        <v>-1.12780715625731</v>
      </c>
      <c r="T1578" s="55" t="n">
        <f aca="false">R1578+ROW()*0.000000001</f>
        <v>46.9611912331724</v>
      </c>
    </row>
    <row r="1579" customFormat="false" ht="15" hidden="false" customHeight="false" outlineLevel="0" collapsed="false">
      <c r="A1579" s="0" t="n">
        <v>38</v>
      </c>
      <c r="B1579" s="0" t="n">
        <v>16</v>
      </c>
      <c r="C1579" s="0" t="n">
        <f aca="false">-1+A1579*0.05</f>
        <v>0.9</v>
      </c>
      <c r="D1579" s="0" t="n">
        <f aca="false">-1+B1579*0.05</f>
        <v>-0.2</v>
      </c>
      <c r="E1579" s="0" t="n">
        <f aca="false">1</f>
        <v>1</v>
      </c>
      <c r="F1579" s="0" t="n">
        <f aca="false">C1579</f>
        <v>0.9</v>
      </c>
      <c r="G1579" s="0" t="n">
        <f aca="false">D1579</f>
        <v>-0.2</v>
      </c>
      <c r="H1579" s="0" t="n">
        <f aca="false">C1579*D1579</f>
        <v>-0.18</v>
      </c>
      <c r="I1579" s="0" t="n">
        <f aca="false">C1579*C1579</f>
        <v>0.81</v>
      </c>
      <c r="J1579" s="0" t="n">
        <f aca="false">D1579*D1579</f>
        <v>0.04</v>
      </c>
      <c r="K1579" s="0" t="n">
        <f aca="false">SUMPRODUCT(E1579:J1579,_XtX!$B$53:$G$53)</f>
        <v>47.1320344827586</v>
      </c>
      <c r="L1579" s="0" t="n">
        <f aca="false">SUMPRODUCT(MMULT(E1579:J1579,_XtX!$B$44:$G$49),E1579:J1579)</f>
        <v>0.375513218390805</v>
      </c>
      <c r="M1579" s="0" t="n">
        <f aca="false">04_回帰ANOVA!$K$19*04_回帰ANOVA!$K$14*SQRT(1+L1579)</f>
        <v>1.58931124581991</v>
      </c>
      <c r="N1579" s="0" t="n">
        <f aca="false">K1579-M1579</f>
        <v>45.5427232369387</v>
      </c>
      <c r="O1579" s="0" t="n">
        <f aca="false">K1579+M1579</f>
        <v>48.7213457285785</v>
      </c>
      <c r="P1579" s="54" t="b">
        <f aca="false">AND(C1579&gt;=01_因子設定!$L$5-0.000000001,C1579&lt;=01_因子設定!$M$5+0.000000001,D1579&gt;=01_因子設定!$L$6-0.000000001,D1579&lt;=01_因子設定!$M$6+0.000000001,IF(01_因子設定!$B$20="Box-Behnken",C1579^2+D1579^2&lt;=2+0.000000001,TRUE()))</f>
        <v>1</v>
      </c>
      <c r="Q1579" s="55" t="n">
        <f aca="false">IF(P1579,IF(01_因子設定!$B$13="最大化",N1579-01_因子設定!$B$14,IF(01_因子設定!$B$13="最小化",01_因子設定!$B$15-O1579,MIN(N1579-01_因子設定!$B$14,01_因子設定!$B$15-O1579))),-1E+030)</f>
        <v>-0.957276763061302</v>
      </c>
      <c r="R1579" s="55" t="n">
        <f aca="false">IF(P1579,IF(01_因子設定!$B$13="最大化",K1579,IF(01_因子設定!$B$13="最小化",-K1579,-ABS(K1579-01_因子設定!$B$16))),-1E+030)</f>
        <v>47.1320344827586</v>
      </c>
      <c r="S1579" s="55" t="n">
        <f aca="false">Q1579+ROW()*0.000000001</f>
        <v>-0.957275184061302</v>
      </c>
      <c r="T1579" s="55" t="n">
        <f aca="false">R1579+ROW()*0.000000001</f>
        <v>47.1320360617586</v>
      </c>
    </row>
    <row r="1580" customFormat="false" ht="15" hidden="false" customHeight="false" outlineLevel="0" collapsed="false">
      <c r="A1580" s="0" t="n">
        <v>38</v>
      </c>
      <c r="B1580" s="0" t="n">
        <v>17</v>
      </c>
      <c r="C1580" s="0" t="n">
        <f aca="false">-1+A1580*0.05</f>
        <v>0.9</v>
      </c>
      <c r="D1580" s="0" t="n">
        <f aca="false">-1+B1580*0.05</f>
        <v>-0.15</v>
      </c>
      <c r="E1580" s="0" t="n">
        <f aca="false">1</f>
        <v>1</v>
      </c>
      <c r="F1580" s="0" t="n">
        <f aca="false">C1580</f>
        <v>0.9</v>
      </c>
      <c r="G1580" s="0" t="n">
        <f aca="false">D1580</f>
        <v>-0.15</v>
      </c>
      <c r="H1580" s="0" t="n">
        <f aca="false">C1580*D1580</f>
        <v>-0.135</v>
      </c>
      <c r="I1580" s="0" t="n">
        <f aca="false">C1580*C1580</f>
        <v>0.81</v>
      </c>
      <c r="J1580" s="0" t="n">
        <f aca="false">D1580*D1580</f>
        <v>0.0225</v>
      </c>
      <c r="K1580" s="0" t="n">
        <f aca="false">SUMPRODUCT(E1580:J1580,_XtX!$B$53:$G$53)</f>
        <v>47.2951637931034</v>
      </c>
      <c r="L1580" s="0" t="n">
        <f aca="false">SUMPRODUCT(MMULT(E1580:J1580,_XtX!$B$44:$G$49),E1580:J1580)</f>
        <v>0.376187823275862</v>
      </c>
      <c r="M1580" s="0" t="n">
        <f aca="false">04_回帰ANOVA!$K$19*04_回帰ANOVA!$K$14*SQRT(1+L1580)</f>
        <v>1.58970092790052</v>
      </c>
      <c r="N1580" s="0" t="n">
        <f aca="false">K1580-M1580</f>
        <v>45.7054628652029</v>
      </c>
      <c r="O1580" s="0" t="n">
        <f aca="false">K1580+M1580</f>
        <v>48.884864721004</v>
      </c>
      <c r="P1580" s="54" t="b">
        <f aca="false">AND(C1580&gt;=01_因子設定!$L$5-0.000000001,C1580&lt;=01_因子設定!$M$5+0.000000001,D1580&gt;=01_因子設定!$L$6-0.000000001,D1580&lt;=01_因子設定!$M$6+0.000000001,IF(01_因子設定!$B$20="Box-Behnken",C1580^2+D1580^2&lt;=2+0.000000001,TRUE()))</f>
        <v>1</v>
      </c>
      <c r="Q1580" s="55" t="n">
        <f aca="false">IF(P1580,IF(01_因子設定!$B$13="最大化",N1580-01_因子設定!$B$14,IF(01_因子設定!$B$13="最小化",01_因子設定!$B$15-O1580,MIN(N1580-01_因子設定!$B$14,01_因子設定!$B$15-O1580))),-1E+030)</f>
        <v>-0.794537134797082</v>
      </c>
      <c r="R1580" s="55" t="n">
        <f aca="false">IF(P1580,IF(01_因子設定!$B$13="最大化",K1580,IF(01_因子設定!$B$13="最小化",-K1580,-ABS(K1580-01_因子設定!$B$16))),-1E+030)</f>
        <v>47.2951637931034</v>
      </c>
      <c r="S1580" s="55" t="n">
        <f aca="false">Q1580+ROW()*0.000000001</f>
        <v>-0.794535554797082</v>
      </c>
      <c r="T1580" s="55" t="n">
        <f aca="false">R1580+ROW()*0.000000001</f>
        <v>47.2951653731034</v>
      </c>
    </row>
    <row r="1581" customFormat="false" ht="15" hidden="false" customHeight="false" outlineLevel="0" collapsed="false">
      <c r="A1581" s="0" t="n">
        <v>38</v>
      </c>
      <c r="B1581" s="0" t="n">
        <v>18</v>
      </c>
      <c r="C1581" s="0" t="n">
        <f aca="false">-1+A1581*0.05</f>
        <v>0.9</v>
      </c>
      <c r="D1581" s="0" t="n">
        <f aca="false">-1+B1581*0.05</f>
        <v>-0.1</v>
      </c>
      <c r="E1581" s="0" t="n">
        <f aca="false">1</f>
        <v>1</v>
      </c>
      <c r="F1581" s="0" t="n">
        <f aca="false">C1581</f>
        <v>0.9</v>
      </c>
      <c r="G1581" s="0" t="n">
        <f aca="false">D1581</f>
        <v>-0.1</v>
      </c>
      <c r="H1581" s="0" t="n">
        <f aca="false">C1581*D1581</f>
        <v>-0.09</v>
      </c>
      <c r="I1581" s="0" t="n">
        <f aca="false">C1581*C1581</f>
        <v>0.81</v>
      </c>
      <c r="J1581" s="0" t="n">
        <f aca="false">D1581*D1581</f>
        <v>0.01</v>
      </c>
      <c r="K1581" s="0" t="n">
        <f aca="false">SUMPRODUCT(E1581:J1581,_XtX!$B$53:$G$53)</f>
        <v>47.4505775862069</v>
      </c>
      <c r="L1581" s="0" t="n">
        <f aca="false">SUMPRODUCT(MMULT(E1581:J1581,_XtX!$B$44:$G$49),E1581:J1581)</f>
        <v>0.376805459770115</v>
      </c>
      <c r="M1581" s="0" t="n">
        <f aca="false">04_回帰ANOVA!$K$19*04_回帰ANOVA!$K$14*SQRT(1+L1581)</f>
        <v>1.59005761873556</v>
      </c>
      <c r="N1581" s="0" t="n">
        <f aca="false">K1581-M1581</f>
        <v>45.8605199674713</v>
      </c>
      <c r="O1581" s="0" t="n">
        <f aca="false">K1581+M1581</f>
        <v>49.0406352049424</v>
      </c>
      <c r="P1581" s="54" t="b">
        <f aca="false">AND(C1581&gt;=01_因子設定!$L$5-0.000000001,C1581&lt;=01_因子設定!$M$5+0.000000001,D1581&gt;=01_因子設定!$L$6-0.000000001,D1581&lt;=01_因子設定!$M$6+0.000000001,IF(01_因子設定!$B$20="Box-Behnken",C1581^2+D1581^2&lt;=2+0.000000001,TRUE()))</f>
        <v>1</v>
      </c>
      <c r="Q1581" s="55" t="n">
        <f aca="false">IF(P1581,IF(01_因子設定!$B$13="最大化",N1581-01_因子設定!$B$14,IF(01_因子設定!$B$13="最小化",01_因子設定!$B$15-O1581,MIN(N1581-01_因子設定!$B$14,01_因子設定!$B$15-O1581))),-1E+030)</f>
        <v>-0.639480032528688</v>
      </c>
      <c r="R1581" s="55" t="n">
        <f aca="false">IF(P1581,IF(01_因子設定!$B$13="最大化",K1581,IF(01_因子設定!$B$13="最小化",-K1581,-ABS(K1581-01_因子設定!$B$16))),-1E+030)</f>
        <v>47.4505775862069</v>
      </c>
      <c r="S1581" s="55" t="n">
        <f aca="false">Q1581+ROW()*0.000000001</f>
        <v>-0.639478451528688</v>
      </c>
      <c r="T1581" s="55" t="n">
        <f aca="false">R1581+ROW()*0.000000001</f>
        <v>47.4505791672069</v>
      </c>
    </row>
    <row r="1582" customFormat="false" ht="15" hidden="false" customHeight="false" outlineLevel="0" collapsed="false">
      <c r="A1582" s="0" t="n">
        <v>38</v>
      </c>
      <c r="B1582" s="0" t="n">
        <v>19</v>
      </c>
      <c r="C1582" s="0" t="n">
        <f aca="false">-1+A1582*0.05</f>
        <v>0.9</v>
      </c>
      <c r="D1582" s="0" t="n">
        <f aca="false">-1+B1582*0.05</f>
        <v>-0.0499999999999999</v>
      </c>
      <c r="E1582" s="0" t="n">
        <f aca="false">1</f>
        <v>1</v>
      </c>
      <c r="F1582" s="0" t="n">
        <f aca="false">C1582</f>
        <v>0.9</v>
      </c>
      <c r="G1582" s="0" t="n">
        <f aca="false">D1582</f>
        <v>-0.0499999999999999</v>
      </c>
      <c r="H1582" s="0" t="n">
        <f aca="false">C1582*D1582</f>
        <v>-0.045</v>
      </c>
      <c r="I1582" s="0" t="n">
        <f aca="false">C1582*C1582</f>
        <v>0.81</v>
      </c>
      <c r="J1582" s="0" t="n">
        <f aca="false">D1582*D1582</f>
        <v>0.00249999999999999</v>
      </c>
      <c r="K1582" s="0" t="n">
        <f aca="false">SUMPRODUCT(E1582:J1582,_XtX!$B$53:$G$53)</f>
        <v>47.5982758620689</v>
      </c>
      <c r="L1582" s="0" t="n">
        <f aca="false">SUMPRODUCT(MMULT(E1582:J1582,_XtX!$B$44:$G$49),E1582:J1582)</f>
        <v>0.377230352011494</v>
      </c>
      <c r="M1582" s="0" t="n">
        <f aca="false">04_回帰ANOVA!$K$19*04_回帰ANOVA!$K$14*SQRT(1+L1582)</f>
        <v>1.59030295151834</v>
      </c>
      <c r="N1582" s="0" t="n">
        <f aca="false">K1582-M1582</f>
        <v>46.0079729105506</v>
      </c>
      <c r="O1582" s="0" t="n">
        <f aca="false">K1582+M1582</f>
        <v>49.1885788135873</v>
      </c>
      <c r="P1582" s="54" t="b">
        <f aca="false">AND(C1582&gt;=01_因子設定!$L$5-0.000000001,C1582&lt;=01_因子設定!$M$5+0.000000001,D1582&gt;=01_因子設定!$L$6-0.000000001,D1582&lt;=01_因子設定!$M$6+0.000000001,IF(01_因子設定!$B$20="Box-Behnken",C1582^2+D1582^2&lt;=2+0.000000001,TRUE()))</f>
        <v>1</v>
      </c>
      <c r="Q1582" s="55" t="n">
        <f aca="false">IF(P1582,IF(01_因子設定!$B$13="最大化",N1582-01_因子設定!$B$14,IF(01_因子設定!$B$13="最小化",01_因子設定!$B$15-O1582,MIN(N1582-01_因子設定!$B$14,01_因子設定!$B$15-O1582))),-1E+030)</f>
        <v>-0.492027089449394</v>
      </c>
      <c r="R1582" s="55" t="n">
        <f aca="false">IF(P1582,IF(01_因子設定!$B$13="最大化",K1582,IF(01_因子設定!$B$13="最小化",-K1582,-ABS(K1582-01_因子設定!$B$16))),-1E+030)</f>
        <v>47.5982758620689</v>
      </c>
      <c r="S1582" s="55" t="n">
        <f aca="false">Q1582+ROW()*0.000000001</f>
        <v>-0.492025507449394</v>
      </c>
      <c r="T1582" s="55" t="n">
        <f aca="false">R1582+ROW()*0.000000001</f>
        <v>47.598277444069</v>
      </c>
    </row>
    <row r="1583" customFormat="false" ht="15" hidden="false" customHeight="false" outlineLevel="0" collapsed="false">
      <c r="A1583" s="0" t="n">
        <v>38</v>
      </c>
      <c r="B1583" s="0" t="n">
        <v>20</v>
      </c>
      <c r="C1583" s="0" t="n">
        <f aca="false">-1+A1583*0.05</f>
        <v>0.9</v>
      </c>
      <c r="D1583" s="0" t="n">
        <f aca="false">-1+B1583*0.05</f>
        <v>0</v>
      </c>
      <c r="E1583" s="0" t="n">
        <f aca="false">1</f>
        <v>1</v>
      </c>
      <c r="F1583" s="0" t="n">
        <f aca="false">C1583</f>
        <v>0.9</v>
      </c>
      <c r="G1583" s="0" t="n">
        <f aca="false">D1583</f>
        <v>0</v>
      </c>
      <c r="H1583" s="0" t="n">
        <f aca="false">C1583*D1583</f>
        <v>0</v>
      </c>
      <c r="I1583" s="0" t="n">
        <f aca="false">C1583*C1583</f>
        <v>0.81</v>
      </c>
      <c r="J1583" s="0" t="n">
        <f aca="false">D1583*D1583</f>
        <v>0</v>
      </c>
      <c r="K1583" s="0" t="n">
        <f aca="false">SUMPRODUCT(E1583:J1583,_XtX!$B$53:$G$53)</f>
        <v>47.7382586206896</v>
      </c>
      <c r="L1583" s="0" t="n">
        <f aca="false">SUMPRODUCT(MMULT(E1583:J1583,_XtX!$B$44:$G$49),E1583:J1583)</f>
        <v>0.377381034482759</v>
      </c>
      <c r="M1583" s="0" t="n">
        <f aca="false">04_回帰ANOVA!$K$19*04_回帰ANOVA!$K$14*SQRT(1+L1583)</f>
        <v>1.59038994648774</v>
      </c>
      <c r="N1583" s="0" t="n">
        <f aca="false">K1583-M1583</f>
        <v>46.1478686742019</v>
      </c>
      <c r="O1583" s="0" t="n">
        <f aca="false">K1583+M1583</f>
        <v>49.3286485671774</v>
      </c>
      <c r="P1583" s="54" t="b">
        <f aca="false">AND(C1583&gt;=01_因子設定!$L$5-0.000000001,C1583&lt;=01_因子設定!$M$5+0.000000001,D1583&gt;=01_因子設定!$L$6-0.000000001,D1583&lt;=01_因子設定!$M$6+0.000000001,IF(01_因子設定!$B$20="Box-Behnken",C1583^2+D1583^2&lt;=2+0.000000001,TRUE()))</f>
        <v>1</v>
      </c>
      <c r="Q1583" s="55" t="n">
        <f aca="false">IF(P1583,IF(01_因子設定!$B$13="最大化",N1583-01_因子設定!$B$14,IF(01_因子設定!$B$13="最小化",01_因子設定!$B$15-O1583,MIN(N1583-01_因子設定!$B$14,01_因子設定!$B$15-O1583))),-1E+030)</f>
        <v>-0.352131325798105</v>
      </c>
      <c r="R1583" s="55" t="n">
        <f aca="false">IF(P1583,IF(01_因子設定!$B$13="最大化",K1583,IF(01_因子設定!$B$13="最小化",-K1583,-ABS(K1583-01_因子設定!$B$16))),-1E+030)</f>
        <v>47.7382586206896</v>
      </c>
      <c r="S1583" s="55" t="n">
        <f aca="false">Q1583+ROW()*0.000000001</f>
        <v>-0.352129742798105</v>
      </c>
      <c r="T1583" s="55" t="n">
        <f aca="false">R1583+ROW()*0.000000001</f>
        <v>47.7382602036896</v>
      </c>
    </row>
    <row r="1584" customFormat="false" ht="15" hidden="false" customHeight="false" outlineLevel="0" collapsed="false">
      <c r="A1584" s="0" t="n">
        <v>38</v>
      </c>
      <c r="B1584" s="0" t="n">
        <v>21</v>
      </c>
      <c r="C1584" s="0" t="n">
        <f aca="false">-1+A1584*0.05</f>
        <v>0.9</v>
      </c>
      <c r="D1584" s="0" t="n">
        <f aca="false">-1+B1584*0.05</f>
        <v>0.05</v>
      </c>
      <c r="E1584" s="0" t="n">
        <f aca="false">1</f>
        <v>1</v>
      </c>
      <c r="F1584" s="0" t="n">
        <f aca="false">C1584</f>
        <v>0.9</v>
      </c>
      <c r="G1584" s="0" t="n">
        <f aca="false">D1584</f>
        <v>0.05</v>
      </c>
      <c r="H1584" s="0" t="n">
        <f aca="false">C1584*D1584</f>
        <v>0.0450000000000001</v>
      </c>
      <c r="I1584" s="0" t="n">
        <f aca="false">C1584*C1584</f>
        <v>0.81</v>
      </c>
      <c r="J1584" s="0" t="n">
        <f aca="false">D1584*D1584</f>
        <v>0.0025</v>
      </c>
      <c r="K1584" s="0" t="n">
        <f aca="false">SUMPRODUCT(E1584:J1584,_XtX!$B$53:$G$53)</f>
        <v>47.8705258620689</v>
      </c>
      <c r="L1584" s="0" t="n">
        <f aca="false">SUMPRODUCT(MMULT(E1584:J1584,_XtX!$B$44:$G$49),E1584:J1584)</f>
        <v>0.377230352011494</v>
      </c>
      <c r="M1584" s="0" t="n">
        <f aca="false">04_回帰ANOVA!$K$19*04_回帰ANOVA!$K$14*SQRT(1+L1584)</f>
        <v>1.59030295151834</v>
      </c>
      <c r="N1584" s="0" t="n">
        <f aca="false">K1584-M1584</f>
        <v>46.2802229105506</v>
      </c>
      <c r="O1584" s="0" t="n">
        <f aca="false">K1584+M1584</f>
        <v>49.4608288135873</v>
      </c>
      <c r="P1584" s="54" t="b">
        <f aca="false">AND(C1584&gt;=01_因子設定!$L$5-0.000000001,C1584&lt;=01_因子設定!$M$5+0.000000001,D1584&gt;=01_因子設定!$L$6-0.000000001,D1584&lt;=01_因子設定!$M$6+0.000000001,IF(01_因子設定!$B$20="Box-Behnken",C1584^2+D1584^2&lt;=2+0.000000001,TRUE()))</f>
        <v>1</v>
      </c>
      <c r="Q1584" s="55" t="n">
        <f aca="false">IF(P1584,IF(01_因子設定!$B$13="最大化",N1584-01_因子設定!$B$14,IF(01_因子設定!$B$13="最小化",01_因子設定!$B$15-O1584,MIN(N1584-01_因子設定!$B$14,01_因子設定!$B$15-O1584))),-1E+030)</f>
        <v>-0.219777089449394</v>
      </c>
      <c r="R1584" s="55" t="n">
        <f aca="false">IF(P1584,IF(01_因子設定!$B$13="最大化",K1584,IF(01_因子設定!$B$13="最小化",-K1584,-ABS(K1584-01_因子設定!$B$16))),-1E+030)</f>
        <v>47.8705258620689</v>
      </c>
      <c r="S1584" s="55" t="n">
        <f aca="false">Q1584+ROW()*0.000000001</f>
        <v>-0.219775505449394</v>
      </c>
      <c r="T1584" s="55" t="n">
        <f aca="false">R1584+ROW()*0.000000001</f>
        <v>47.870527446069</v>
      </c>
    </row>
    <row r="1585" customFormat="false" ht="15" hidden="false" customHeight="false" outlineLevel="0" collapsed="false">
      <c r="A1585" s="0" t="n">
        <v>38</v>
      </c>
      <c r="B1585" s="0" t="n">
        <v>22</v>
      </c>
      <c r="C1585" s="0" t="n">
        <f aca="false">-1+A1585*0.05</f>
        <v>0.9</v>
      </c>
      <c r="D1585" s="0" t="n">
        <f aca="false">-1+B1585*0.05</f>
        <v>0.1</v>
      </c>
      <c r="E1585" s="0" t="n">
        <f aca="false">1</f>
        <v>1</v>
      </c>
      <c r="F1585" s="0" t="n">
        <f aca="false">C1585</f>
        <v>0.9</v>
      </c>
      <c r="G1585" s="0" t="n">
        <f aca="false">D1585</f>
        <v>0.1</v>
      </c>
      <c r="H1585" s="0" t="n">
        <f aca="false">C1585*D1585</f>
        <v>0.0900000000000001</v>
      </c>
      <c r="I1585" s="0" t="n">
        <f aca="false">C1585*C1585</f>
        <v>0.81</v>
      </c>
      <c r="J1585" s="0" t="n">
        <f aca="false">D1585*D1585</f>
        <v>0.01</v>
      </c>
      <c r="K1585" s="0" t="n">
        <f aca="false">SUMPRODUCT(E1585:J1585,_XtX!$B$53:$G$53)</f>
        <v>47.9950775862069</v>
      </c>
      <c r="L1585" s="0" t="n">
        <f aca="false">SUMPRODUCT(MMULT(E1585:J1585,_XtX!$B$44:$G$49),E1585:J1585)</f>
        <v>0.376805459770115</v>
      </c>
      <c r="M1585" s="0" t="n">
        <f aca="false">04_回帰ANOVA!$K$19*04_回帰ANOVA!$K$14*SQRT(1+L1585)</f>
        <v>1.59005761873556</v>
      </c>
      <c r="N1585" s="0" t="n">
        <f aca="false">K1585-M1585</f>
        <v>46.4050199674713</v>
      </c>
      <c r="O1585" s="0" t="n">
        <f aca="false">K1585+M1585</f>
        <v>49.5851352049424</v>
      </c>
      <c r="P1585" s="54" t="b">
        <f aca="false">AND(C1585&gt;=01_因子設定!$L$5-0.000000001,C1585&lt;=01_因子設定!$M$5+0.000000001,D1585&gt;=01_因子設定!$L$6-0.000000001,D1585&lt;=01_因子設定!$M$6+0.000000001,IF(01_因子設定!$B$20="Box-Behnken",C1585^2+D1585^2&lt;=2+0.000000001,TRUE()))</f>
        <v>1</v>
      </c>
      <c r="Q1585" s="55" t="n">
        <f aca="false">IF(P1585,IF(01_因子設定!$B$13="最大化",N1585-01_因子設定!$B$14,IF(01_因子設定!$B$13="最小化",01_因子設定!$B$15-O1585,MIN(N1585-01_因子設定!$B$14,01_因子設定!$B$15-O1585))),-1E+030)</f>
        <v>-0.0949800325286816</v>
      </c>
      <c r="R1585" s="55" t="n">
        <f aca="false">IF(P1585,IF(01_因子設定!$B$13="最大化",K1585,IF(01_因子設定!$B$13="最小化",-K1585,-ABS(K1585-01_因子設定!$B$16))),-1E+030)</f>
        <v>47.9950775862069</v>
      </c>
      <c r="S1585" s="55" t="n">
        <f aca="false">Q1585+ROW()*0.000000001</f>
        <v>-0.0949784475286816</v>
      </c>
      <c r="T1585" s="55" t="n">
        <f aca="false">R1585+ROW()*0.000000001</f>
        <v>47.9950791712069</v>
      </c>
    </row>
    <row r="1586" customFormat="false" ht="15" hidden="false" customHeight="false" outlineLevel="0" collapsed="false">
      <c r="A1586" s="0" t="n">
        <v>38</v>
      </c>
      <c r="B1586" s="0" t="n">
        <v>23</v>
      </c>
      <c r="C1586" s="0" t="n">
        <f aca="false">-1+A1586*0.05</f>
        <v>0.9</v>
      </c>
      <c r="D1586" s="0" t="n">
        <f aca="false">-1+B1586*0.05</f>
        <v>0.15</v>
      </c>
      <c r="E1586" s="0" t="n">
        <f aca="false">1</f>
        <v>1</v>
      </c>
      <c r="F1586" s="0" t="n">
        <f aca="false">C1586</f>
        <v>0.9</v>
      </c>
      <c r="G1586" s="0" t="n">
        <f aca="false">D1586</f>
        <v>0.15</v>
      </c>
      <c r="H1586" s="0" t="n">
        <f aca="false">C1586*D1586</f>
        <v>0.135</v>
      </c>
      <c r="I1586" s="0" t="n">
        <f aca="false">C1586*C1586</f>
        <v>0.81</v>
      </c>
      <c r="J1586" s="0" t="n">
        <f aca="false">D1586*D1586</f>
        <v>0.0225</v>
      </c>
      <c r="K1586" s="0" t="n">
        <f aca="false">SUMPRODUCT(E1586:J1586,_XtX!$B$53:$G$53)</f>
        <v>48.1119137931034</v>
      </c>
      <c r="L1586" s="0" t="n">
        <f aca="false">SUMPRODUCT(MMULT(E1586:J1586,_XtX!$B$44:$G$49),E1586:J1586)</f>
        <v>0.376187823275862</v>
      </c>
      <c r="M1586" s="0" t="n">
        <f aca="false">04_回帰ANOVA!$K$19*04_回帰ANOVA!$K$14*SQRT(1+L1586)</f>
        <v>1.58970092790052</v>
      </c>
      <c r="N1586" s="0" t="n">
        <f aca="false">K1586-M1586</f>
        <v>46.5222128652029</v>
      </c>
      <c r="O1586" s="0" t="n">
        <f aca="false">K1586+M1586</f>
        <v>49.701614721004</v>
      </c>
      <c r="P1586" s="54" t="b">
        <f aca="false">AND(C1586&gt;=01_因子設定!$L$5-0.000000001,C1586&lt;=01_因子設定!$M$5+0.000000001,D1586&gt;=01_因子設定!$L$6-0.000000001,D1586&lt;=01_因子設定!$M$6+0.000000001,IF(01_因子設定!$B$20="Box-Behnken",C1586^2+D1586^2&lt;=2+0.000000001,TRUE()))</f>
        <v>1</v>
      </c>
      <c r="Q1586" s="55" t="n">
        <f aca="false">IF(P1586,IF(01_因子設定!$B$13="最大化",N1586-01_因子設定!$B$14,IF(01_因子設定!$B$13="最小化",01_因子設定!$B$15-O1586,MIN(N1586-01_因子設定!$B$14,01_因子設定!$B$15-O1586))),-1E+030)</f>
        <v>0.022212865202917</v>
      </c>
      <c r="R1586" s="55" t="n">
        <f aca="false">IF(P1586,IF(01_因子設定!$B$13="最大化",K1586,IF(01_因子設定!$B$13="最小化",-K1586,-ABS(K1586-01_因子設定!$B$16))),-1E+030)</f>
        <v>48.1119137931034</v>
      </c>
      <c r="S1586" s="55" t="n">
        <f aca="false">Q1586+ROW()*0.000000001</f>
        <v>0.022214451202917</v>
      </c>
      <c r="T1586" s="55" t="n">
        <f aca="false">R1586+ROW()*0.000000001</f>
        <v>48.1119153791034</v>
      </c>
    </row>
    <row r="1587" customFormat="false" ht="15" hidden="false" customHeight="false" outlineLevel="0" collapsed="false">
      <c r="A1587" s="0" t="n">
        <v>38</v>
      </c>
      <c r="B1587" s="0" t="n">
        <v>24</v>
      </c>
      <c r="C1587" s="0" t="n">
        <f aca="false">-1+A1587*0.05</f>
        <v>0.9</v>
      </c>
      <c r="D1587" s="0" t="n">
        <f aca="false">-1+B1587*0.05</f>
        <v>0.2</v>
      </c>
      <c r="E1587" s="0" t="n">
        <f aca="false">1</f>
        <v>1</v>
      </c>
      <c r="F1587" s="0" t="n">
        <f aca="false">C1587</f>
        <v>0.9</v>
      </c>
      <c r="G1587" s="0" t="n">
        <f aca="false">D1587</f>
        <v>0.2</v>
      </c>
      <c r="H1587" s="0" t="n">
        <f aca="false">C1587*D1587</f>
        <v>0.18</v>
      </c>
      <c r="I1587" s="0" t="n">
        <f aca="false">C1587*C1587</f>
        <v>0.81</v>
      </c>
      <c r="J1587" s="0" t="n">
        <f aca="false">D1587*D1587</f>
        <v>0.0400000000000001</v>
      </c>
      <c r="K1587" s="0" t="n">
        <f aca="false">SUMPRODUCT(E1587:J1587,_XtX!$B$53:$G$53)</f>
        <v>48.2210344827586</v>
      </c>
      <c r="L1587" s="0" t="n">
        <f aca="false">SUMPRODUCT(MMULT(E1587:J1587,_XtX!$B$44:$G$49),E1587:J1587)</f>
        <v>0.375513218390805</v>
      </c>
      <c r="M1587" s="0" t="n">
        <f aca="false">04_回帰ANOVA!$K$19*04_回帰ANOVA!$K$14*SQRT(1+L1587)</f>
        <v>1.58931124581991</v>
      </c>
      <c r="N1587" s="0" t="n">
        <f aca="false">K1587-M1587</f>
        <v>46.6317232369387</v>
      </c>
      <c r="O1587" s="0" t="n">
        <f aca="false">K1587+M1587</f>
        <v>49.8103457285785</v>
      </c>
      <c r="P1587" s="54" t="b">
        <f aca="false">AND(C1587&gt;=01_因子設定!$L$5-0.000000001,C1587&lt;=01_因子設定!$M$5+0.000000001,D1587&gt;=01_因子設定!$L$6-0.000000001,D1587&lt;=01_因子設定!$M$6+0.000000001,IF(01_因子設定!$B$20="Box-Behnken",C1587^2+D1587^2&lt;=2+0.000000001,TRUE()))</f>
        <v>1</v>
      </c>
      <c r="Q1587" s="55" t="n">
        <f aca="false">IF(P1587,IF(01_因子設定!$B$13="最大化",N1587-01_因子設定!$B$14,IF(01_因子設定!$B$13="最小化",01_因子設定!$B$15-O1587,MIN(N1587-01_因子設定!$B$14,01_因子設定!$B$15-O1587))),-1E+030)</f>
        <v>0.131723236938697</v>
      </c>
      <c r="R1587" s="55" t="n">
        <f aca="false">IF(P1587,IF(01_因子設定!$B$13="最大化",K1587,IF(01_因子設定!$B$13="最小化",-K1587,-ABS(K1587-01_因子設定!$B$16))),-1E+030)</f>
        <v>48.2210344827586</v>
      </c>
      <c r="S1587" s="55" t="n">
        <f aca="false">Q1587+ROW()*0.000000001</f>
        <v>0.131724823938697</v>
      </c>
      <c r="T1587" s="55" t="n">
        <f aca="false">R1587+ROW()*0.000000001</f>
        <v>48.2210360697586</v>
      </c>
    </row>
    <row r="1588" customFormat="false" ht="15" hidden="false" customHeight="false" outlineLevel="0" collapsed="false">
      <c r="A1588" s="0" t="n">
        <v>38</v>
      </c>
      <c r="B1588" s="0" t="n">
        <v>25</v>
      </c>
      <c r="C1588" s="0" t="n">
        <f aca="false">-1+A1588*0.05</f>
        <v>0.9</v>
      </c>
      <c r="D1588" s="0" t="n">
        <f aca="false">-1+B1588*0.05</f>
        <v>0.25</v>
      </c>
      <c r="E1588" s="0" t="n">
        <f aca="false">1</f>
        <v>1</v>
      </c>
      <c r="F1588" s="0" t="n">
        <f aca="false">C1588</f>
        <v>0.9</v>
      </c>
      <c r="G1588" s="0" t="n">
        <f aca="false">D1588</f>
        <v>0.25</v>
      </c>
      <c r="H1588" s="0" t="n">
        <f aca="false">C1588*D1588</f>
        <v>0.225</v>
      </c>
      <c r="I1588" s="0" t="n">
        <f aca="false">C1588*C1588</f>
        <v>0.81</v>
      </c>
      <c r="J1588" s="0" t="n">
        <f aca="false">D1588*D1588</f>
        <v>0.0625</v>
      </c>
      <c r="K1588" s="0" t="n">
        <f aca="false">SUMPRODUCT(E1588:J1588,_XtX!$B$53:$G$53)</f>
        <v>48.3224396551724</v>
      </c>
      <c r="L1588" s="0" t="n">
        <f aca="false">SUMPRODUCT(MMULT(E1588:J1588,_XtX!$B$44:$G$49),E1588:J1588)</f>
        <v>0.374971731321839</v>
      </c>
      <c r="M1588" s="0" t="n">
        <f aca="false">04_回帰ANOVA!$K$19*04_回帰ANOVA!$K$14*SQRT(1+L1588)</f>
        <v>1.58899838942971</v>
      </c>
      <c r="N1588" s="0" t="n">
        <f aca="false">K1588-M1588</f>
        <v>46.7334412657427</v>
      </c>
      <c r="O1588" s="0" t="n">
        <f aca="false">K1588+M1588</f>
        <v>49.9114380446021</v>
      </c>
      <c r="P1588" s="54" t="b">
        <f aca="false">AND(C1588&gt;=01_因子設定!$L$5-0.000000001,C1588&lt;=01_因子設定!$M$5+0.000000001,D1588&gt;=01_因子設定!$L$6-0.000000001,D1588&lt;=01_因子設定!$M$6+0.000000001,IF(01_因子設定!$B$20="Box-Behnken",C1588^2+D1588^2&lt;=2+0.000000001,TRUE()))</f>
        <v>1</v>
      </c>
      <c r="Q1588" s="55" t="n">
        <f aca="false">IF(P1588,IF(01_因子設定!$B$13="最大化",N1588-01_因子設定!$B$14,IF(01_因子設定!$B$13="最小化",01_因子設定!$B$15-O1588,MIN(N1588-01_因子設定!$B$14,01_因子設定!$B$15-O1588))),-1E+030)</f>
        <v>0.233441265742691</v>
      </c>
      <c r="R1588" s="55" t="n">
        <f aca="false">IF(P1588,IF(01_因子設定!$B$13="最大化",K1588,IF(01_因子設定!$B$13="最小化",-K1588,-ABS(K1588-01_因子設定!$B$16))),-1E+030)</f>
        <v>48.3224396551724</v>
      </c>
      <c r="S1588" s="55" t="n">
        <f aca="false">Q1588+ROW()*0.000000001</f>
        <v>0.233442853742691</v>
      </c>
      <c r="T1588" s="55" t="n">
        <f aca="false">R1588+ROW()*0.000000001</f>
        <v>48.3224412431724</v>
      </c>
    </row>
    <row r="1589" customFormat="false" ht="15" hidden="false" customHeight="false" outlineLevel="0" collapsed="false">
      <c r="A1589" s="0" t="n">
        <v>38</v>
      </c>
      <c r="B1589" s="0" t="n">
        <v>26</v>
      </c>
      <c r="C1589" s="0" t="n">
        <f aca="false">-1+A1589*0.05</f>
        <v>0.9</v>
      </c>
      <c r="D1589" s="0" t="n">
        <f aca="false">-1+B1589*0.05</f>
        <v>0.3</v>
      </c>
      <c r="E1589" s="0" t="n">
        <f aca="false">1</f>
        <v>1</v>
      </c>
      <c r="F1589" s="0" t="n">
        <f aca="false">C1589</f>
        <v>0.9</v>
      </c>
      <c r="G1589" s="0" t="n">
        <f aca="false">D1589</f>
        <v>0.3</v>
      </c>
      <c r="H1589" s="0" t="n">
        <f aca="false">C1589*D1589</f>
        <v>0.27</v>
      </c>
      <c r="I1589" s="0" t="n">
        <f aca="false">C1589*C1589</f>
        <v>0.81</v>
      </c>
      <c r="J1589" s="0" t="n">
        <f aca="false">D1589*D1589</f>
        <v>0.09</v>
      </c>
      <c r="K1589" s="0" t="n">
        <f aca="false">SUMPRODUCT(E1589:J1589,_XtX!$B$53:$G$53)</f>
        <v>48.4161293103448</v>
      </c>
      <c r="L1589" s="0" t="n">
        <f aca="false">SUMPRODUCT(MMULT(E1589:J1589,_XtX!$B$44:$G$49),E1589:J1589)</f>
        <v>0.37480775862069</v>
      </c>
      <c r="M1589" s="0" t="n">
        <f aca="false">04_回帰ANOVA!$K$19*04_回帰ANOVA!$K$14*SQRT(1+L1589)</f>
        <v>1.58890363834478</v>
      </c>
      <c r="N1589" s="0" t="n">
        <f aca="false">K1589-M1589</f>
        <v>46.827225672</v>
      </c>
      <c r="O1589" s="0" t="n">
        <f aca="false">K1589+M1589</f>
        <v>50.0050329486896</v>
      </c>
      <c r="P1589" s="54" t="b">
        <f aca="false">AND(C1589&gt;=01_因子設定!$L$5-0.000000001,C1589&lt;=01_因子設定!$M$5+0.000000001,D1589&gt;=01_因子設定!$L$6-0.000000001,D1589&lt;=01_因子設定!$M$6+0.000000001,IF(01_因子設定!$B$20="Box-Behnken",C1589^2+D1589^2&lt;=2+0.000000001,TRUE()))</f>
        <v>1</v>
      </c>
      <c r="Q1589" s="55" t="n">
        <f aca="false">IF(P1589,IF(01_因子設定!$B$13="最大化",N1589-01_因子設定!$B$14,IF(01_因子設定!$B$13="最小化",01_因子設定!$B$15-O1589,MIN(N1589-01_因子設定!$B$14,01_因子設定!$B$15-O1589))),-1E+030)</f>
        <v>0.327225672000026</v>
      </c>
      <c r="R1589" s="55" t="n">
        <f aca="false">IF(P1589,IF(01_因子設定!$B$13="最大化",K1589,IF(01_因子設定!$B$13="最小化",-K1589,-ABS(K1589-01_因子設定!$B$16))),-1E+030)</f>
        <v>48.4161293103448</v>
      </c>
      <c r="S1589" s="55" t="n">
        <f aca="false">Q1589+ROW()*0.000000001</f>
        <v>0.327227261000026</v>
      </c>
      <c r="T1589" s="55" t="n">
        <f aca="false">R1589+ROW()*0.000000001</f>
        <v>48.4161308993448</v>
      </c>
    </row>
    <row r="1590" customFormat="false" ht="15" hidden="false" customHeight="false" outlineLevel="0" collapsed="false">
      <c r="A1590" s="0" t="n">
        <v>38</v>
      </c>
      <c r="B1590" s="0" t="n">
        <v>27</v>
      </c>
      <c r="C1590" s="0" t="n">
        <f aca="false">-1+A1590*0.05</f>
        <v>0.9</v>
      </c>
      <c r="D1590" s="0" t="n">
        <f aca="false">-1+B1590*0.05</f>
        <v>0.35</v>
      </c>
      <c r="E1590" s="0" t="n">
        <f aca="false">1</f>
        <v>1</v>
      </c>
      <c r="F1590" s="0" t="n">
        <f aca="false">C1590</f>
        <v>0.9</v>
      </c>
      <c r="G1590" s="0" t="n">
        <f aca="false">D1590</f>
        <v>0.35</v>
      </c>
      <c r="H1590" s="0" t="n">
        <f aca="false">C1590*D1590</f>
        <v>0.315</v>
      </c>
      <c r="I1590" s="0" t="n">
        <f aca="false">C1590*C1590</f>
        <v>0.81</v>
      </c>
      <c r="J1590" s="0" t="n">
        <f aca="false">D1590*D1590</f>
        <v>0.1225</v>
      </c>
      <c r="K1590" s="0" t="n">
        <f aca="false">SUMPRODUCT(E1590:J1590,_XtX!$B$53:$G$53)</f>
        <v>48.5021034482759</v>
      </c>
      <c r="L1590" s="0" t="n">
        <f aca="false">SUMPRODUCT(MMULT(E1590:J1590,_XtX!$B$44:$G$49),E1590:J1590)</f>
        <v>0.375320007183908</v>
      </c>
      <c r="M1590" s="0" t="n">
        <f aca="false">04_回帰ANOVA!$K$19*04_回帰ANOVA!$K$14*SQRT(1+L1590)</f>
        <v>1.58919962074651</v>
      </c>
      <c r="N1590" s="0" t="n">
        <f aca="false">K1590-M1590</f>
        <v>46.9129038275293</v>
      </c>
      <c r="O1590" s="0" t="n">
        <f aca="false">K1590+M1590</f>
        <v>50.0913030690224</v>
      </c>
      <c r="P1590" s="54" t="b">
        <f aca="false">AND(C1590&gt;=01_因子設定!$L$5-0.000000001,C1590&lt;=01_因子設定!$M$5+0.000000001,D1590&gt;=01_因子設定!$L$6-0.000000001,D1590&lt;=01_因子設定!$M$6+0.000000001,IF(01_因子設定!$B$20="Box-Behnken",C1590^2+D1590^2&lt;=2+0.000000001,TRUE()))</f>
        <v>1</v>
      </c>
      <c r="Q1590" s="55" t="n">
        <f aca="false">IF(P1590,IF(01_因子設定!$B$13="最大化",N1590-01_因子設定!$B$14,IF(01_因子設定!$B$13="最小化",01_因子設定!$B$15-O1590,MIN(N1590-01_因子設定!$B$14,01_因子設定!$B$15-O1590))),-1E+030)</f>
        <v>0.412903827529341</v>
      </c>
      <c r="R1590" s="55" t="n">
        <f aca="false">IF(P1590,IF(01_因子設定!$B$13="最大化",K1590,IF(01_因子設定!$B$13="最小化",-K1590,-ABS(K1590-01_因子設定!$B$16))),-1E+030)</f>
        <v>48.5021034482759</v>
      </c>
      <c r="S1590" s="55" t="n">
        <f aca="false">Q1590+ROW()*0.000000001</f>
        <v>0.412905417529341</v>
      </c>
      <c r="T1590" s="55" t="n">
        <f aca="false">R1590+ROW()*0.000000001</f>
        <v>48.5021050382758</v>
      </c>
    </row>
    <row r="1591" customFormat="false" ht="15" hidden="false" customHeight="false" outlineLevel="0" collapsed="false">
      <c r="A1591" s="0" t="n">
        <v>38</v>
      </c>
      <c r="B1591" s="0" t="n">
        <v>28</v>
      </c>
      <c r="C1591" s="0" t="n">
        <f aca="false">-1+A1591*0.05</f>
        <v>0.9</v>
      </c>
      <c r="D1591" s="0" t="n">
        <f aca="false">-1+B1591*0.05</f>
        <v>0.4</v>
      </c>
      <c r="E1591" s="0" t="n">
        <f aca="false">1</f>
        <v>1</v>
      </c>
      <c r="F1591" s="0" t="n">
        <f aca="false">C1591</f>
        <v>0.9</v>
      </c>
      <c r="G1591" s="0" t="n">
        <f aca="false">D1591</f>
        <v>0.4</v>
      </c>
      <c r="H1591" s="0" t="n">
        <f aca="false">C1591*D1591</f>
        <v>0.36</v>
      </c>
      <c r="I1591" s="0" t="n">
        <f aca="false">C1591*C1591</f>
        <v>0.81</v>
      </c>
      <c r="J1591" s="0" t="n">
        <f aca="false">D1591*D1591</f>
        <v>0.16</v>
      </c>
      <c r="K1591" s="0" t="n">
        <f aca="false">SUMPRODUCT(E1591:J1591,_XtX!$B$53:$G$53)</f>
        <v>48.5803620689655</v>
      </c>
      <c r="L1591" s="0" t="n">
        <f aca="false">SUMPRODUCT(MMULT(E1591:J1591,_XtX!$B$44:$G$49),E1591:J1591)</f>
        <v>0.376861494252874</v>
      </c>
      <c r="M1591" s="0" t="n">
        <f aca="false">04_回帰ANOVA!$K$19*04_回帰ANOVA!$K$14*SQRT(1+L1591)</f>
        <v>1.59008997521304</v>
      </c>
      <c r="N1591" s="0" t="n">
        <f aca="false">K1591-M1591</f>
        <v>46.9902720937525</v>
      </c>
      <c r="O1591" s="0" t="n">
        <f aca="false">K1591+M1591</f>
        <v>50.1704520441785</v>
      </c>
      <c r="P1591" s="54" t="b">
        <f aca="false">AND(C1591&gt;=01_因子設定!$L$5-0.000000001,C1591&lt;=01_因子設定!$M$5+0.000000001,D1591&gt;=01_因子設定!$L$6-0.000000001,D1591&lt;=01_因子設定!$M$6+0.000000001,IF(01_因子設定!$B$20="Box-Behnken",C1591^2+D1591^2&lt;=2+0.000000001,TRUE()))</f>
        <v>1</v>
      </c>
      <c r="Q1591" s="55" t="n">
        <f aca="false">IF(P1591,IF(01_因子設定!$B$13="最大化",N1591-01_因子設定!$B$14,IF(01_因子設定!$B$13="最小化",01_因子設定!$B$15-O1591,MIN(N1591-01_因子設定!$B$14,01_因子設定!$B$15-O1591))),-1E+030)</f>
        <v>0.490272093752459</v>
      </c>
      <c r="R1591" s="55" t="n">
        <f aca="false">IF(P1591,IF(01_因子設定!$B$13="最大化",K1591,IF(01_因子設定!$B$13="最小化",-K1591,-ABS(K1591-01_因子設定!$B$16))),-1E+030)</f>
        <v>48.5803620689655</v>
      </c>
      <c r="S1591" s="55" t="n">
        <f aca="false">Q1591+ROW()*0.000000001</f>
        <v>0.490273684752459</v>
      </c>
      <c r="T1591" s="55" t="n">
        <f aca="false">R1591+ROW()*0.000000001</f>
        <v>48.5803636599655</v>
      </c>
    </row>
    <row r="1592" customFormat="false" ht="15" hidden="false" customHeight="false" outlineLevel="0" collapsed="false">
      <c r="A1592" s="0" t="n">
        <v>38</v>
      </c>
      <c r="B1592" s="0" t="n">
        <v>29</v>
      </c>
      <c r="C1592" s="0" t="n">
        <f aca="false">-1+A1592*0.05</f>
        <v>0.9</v>
      </c>
      <c r="D1592" s="0" t="n">
        <f aca="false">-1+B1592*0.05</f>
        <v>0.45</v>
      </c>
      <c r="E1592" s="0" t="n">
        <f aca="false">1</f>
        <v>1</v>
      </c>
      <c r="F1592" s="0" t="n">
        <f aca="false">C1592</f>
        <v>0.9</v>
      </c>
      <c r="G1592" s="0" t="n">
        <f aca="false">D1592</f>
        <v>0.45</v>
      </c>
      <c r="H1592" s="0" t="n">
        <f aca="false">C1592*D1592</f>
        <v>0.405</v>
      </c>
      <c r="I1592" s="0" t="n">
        <f aca="false">C1592*C1592</f>
        <v>0.81</v>
      </c>
      <c r="J1592" s="0" t="n">
        <f aca="false">D1592*D1592</f>
        <v>0.2025</v>
      </c>
      <c r="K1592" s="0" t="n">
        <f aca="false">SUMPRODUCT(E1592:J1592,_XtX!$B$53:$G$53)</f>
        <v>48.6509051724138</v>
      </c>
      <c r="L1592" s="0" t="n">
        <f aca="false">SUMPRODUCT(MMULT(E1592:J1592,_XtX!$B$44:$G$49),E1592:J1592)</f>
        <v>0.379839547413793</v>
      </c>
      <c r="M1592" s="0" t="n">
        <f aca="false">04_回帰ANOVA!$K$19*04_回帰ANOVA!$K$14*SQRT(1+L1592)</f>
        <v>1.59180867193519</v>
      </c>
      <c r="N1592" s="0" t="n">
        <f aca="false">K1592-M1592</f>
        <v>47.0590965004786</v>
      </c>
      <c r="O1592" s="0" t="n">
        <f aca="false">K1592+M1592</f>
        <v>50.242713844349</v>
      </c>
      <c r="P1592" s="54" t="b">
        <f aca="false">AND(C1592&gt;=01_因子設定!$L$5-0.000000001,C1592&lt;=01_因子設定!$M$5+0.000000001,D1592&gt;=01_因子設定!$L$6-0.000000001,D1592&lt;=01_因子設定!$M$6+0.000000001,IF(01_因子設定!$B$20="Box-Behnken",C1592^2+D1592^2&lt;=2+0.000000001,TRUE()))</f>
        <v>1</v>
      </c>
      <c r="Q1592" s="55" t="n">
        <f aca="false">IF(P1592,IF(01_因子設定!$B$13="最大化",N1592-01_因子設定!$B$14,IF(01_因子設定!$B$13="最小化",01_因子設定!$B$15-O1592,MIN(N1592-01_因子設定!$B$14,01_因子設定!$B$15-O1592))),-1E+030)</f>
        <v>0.559096500478574</v>
      </c>
      <c r="R1592" s="55" t="n">
        <f aca="false">IF(P1592,IF(01_因子設定!$B$13="最大化",K1592,IF(01_因子設定!$B$13="最小化",-K1592,-ABS(K1592-01_因子設定!$B$16))),-1E+030)</f>
        <v>48.6509051724138</v>
      </c>
      <c r="S1592" s="55" t="n">
        <f aca="false">Q1592+ROW()*0.000000001</f>
        <v>0.559098092478574</v>
      </c>
      <c r="T1592" s="55" t="n">
        <f aca="false">R1592+ROW()*0.000000001</f>
        <v>48.6509067644138</v>
      </c>
    </row>
    <row r="1593" customFormat="false" ht="15" hidden="false" customHeight="false" outlineLevel="0" collapsed="false">
      <c r="A1593" s="0" t="n">
        <v>38</v>
      </c>
      <c r="B1593" s="0" t="n">
        <v>30</v>
      </c>
      <c r="C1593" s="0" t="n">
        <f aca="false">-1+A1593*0.05</f>
        <v>0.9</v>
      </c>
      <c r="D1593" s="0" t="n">
        <f aca="false">-1+B1593*0.05</f>
        <v>0.5</v>
      </c>
      <c r="E1593" s="0" t="n">
        <f aca="false">1</f>
        <v>1</v>
      </c>
      <c r="F1593" s="0" t="n">
        <f aca="false">C1593</f>
        <v>0.9</v>
      </c>
      <c r="G1593" s="0" t="n">
        <f aca="false">D1593</f>
        <v>0.5</v>
      </c>
      <c r="H1593" s="0" t="n">
        <f aca="false">C1593*D1593</f>
        <v>0.45</v>
      </c>
      <c r="I1593" s="0" t="n">
        <f aca="false">C1593*C1593</f>
        <v>0.81</v>
      </c>
      <c r="J1593" s="0" t="n">
        <f aca="false">D1593*D1593</f>
        <v>0.25</v>
      </c>
      <c r="K1593" s="0" t="n">
        <f aca="false">SUMPRODUCT(E1593:J1593,_XtX!$B$53:$G$53)</f>
        <v>48.7137327586207</v>
      </c>
      <c r="L1593" s="0" t="n">
        <f aca="false">SUMPRODUCT(MMULT(E1593:J1593,_XtX!$B$44:$G$49),E1593:J1593)</f>
        <v>0.384715804597701</v>
      </c>
      <c r="M1593" s="0" t="n">
        <f aca="false">04_回帰ANOVA!$K$19*04_回帰ANOVA!$K$14*SQRT(1+L1593)</f>
        <v>1.59461886204904</v>
      </c>
      <c r="N1593" s="0" t="n">
        <f aca="false">K1593-M1593</f>
        <v>47.1191138965716</v>
      </c>
      <c r="O1593" s="0" t="n">
        <f aca="false">K1593+M1593</f>
        <v>50.3083516206697</v>
      </c>
      <c r="P1593" s="54" t="b">
        <f aca="false">AND(C1593&gt;=01_因子設定!$L$5-0.000000001,C1593&lt;=01_因子設定!$M$5+0.000000001,D1593&gt;=01_因子設定!$L$6-0.000000001,D1593&lt;=01_因子設定!$M$6+0.000000001,IF(01_因子設定!$B$20="Box-Behnken",C1593^2+D1593^2&lt;=2+0.000000001,TRUE()))</f>
        <v>1</v>
      </c>
      <c r="Q1593" s="55" t="n">
        <f aca="false">IF(P1593,IF(01_因子設定!$B$13="最大化",N1593-01_因子設定!$B$14,IF(01_因子設定!$B$13="最小化",01_因子設定!$B$15-O1593,MIN(N1593-01_因子設定!$B$14,01_因子設定!$B$15-O1593))),-1E+030)</f>
        <v>0.619113896571633</v>
      </c>
      <c r="R1593" s="55" t="n">
        <f aca="false">IF(P1593,IF(01_因子設定!$B$13="最大化",K1593,IF(01_因子設定!$B$13="最小化",-K1593,-ABS(K1593-01_因子設定!$B$16))),-1E+030)</f>
        <v>48.7137327586207</v>
      </c>
      <c r="S1593" s="55" t="n">
        <f aca="false">Q1593+ROW()*0.000000001</f>
        <v>0.619115489571633</v>
      </c>
      <c r="T1593" s="55" t="n">
        <f aca="false">R1593+ROW()*0.000000001</f>
        <v>48.7137343516207</v>
      </c>
    </row>
    <row r="1594" customFormat="false" ht="15" hidden="false" customHeight="false" outlineLevel="0" collapsed="false">
      <c r="A1594" s="0" t="n">
        <v>38</v>
      </c>
      <c r="B1594" s="0" t="n">
        <v>31</v>
      </c>
      <c r="C1594" s="0" t="n">
        <f aca="false">-1+A1594*0.05</f>
        <v>0.9</v>
      </c>
      <c r="D1594" s="0" t="n">
        <f aca="false">-1+B1594*0.05</f>
        <v>0.55</v>
      </c>
      <c r="E1594" s="0" t="n">
        <f aca="false">1</f>
        <v>1</v>
      </c>
      <c r="F1594" s="0" t="n">
        <f aca="false">C1594</f>
        <v>0.9</v>
      </c>
      <c r="G1594" s="0" t="n">
        <f aca="false">D1594</f>
        <v>0.55</v>
      </c>
      <c r="H1594" s="0" t="n">
        <f aca="false">C1594*D1594</f>
        <v>0.495</v>
      </c>
      <c r="I1594" s="0" t="n">
        <f aca="false">C1594*C1594</f>
        <v>0.81</v>
      </c>
      <c r="J1594" s="0" t="n">
        <f aca="false">D1594*D1594</f>
        <v>0.3025</v>
      </c>
      <c r="K1594" s="0" t="n">
        <f aca="false">SUMPRODUCT(E1594:J1594,_XtX!$B$53:$G$53)</f>
        <v>48.7688448275862</v>
      </c>
      <c r="L1594" s="0" t="n">
        <f aca="false">SUMPRODUCT(MMULT(E1594:J1594,_XtX!$B$44:$G$49),E1594:J1594)</f>
        <v>0.39200621408046</v>
      </c>
      <c r="M1594" s="0" t="n">
        <f aca="false">04_回帰ANOVA!$K$19*04_回帰ANOVA!$K$14*SQRT(1+L1594)</f>
        <v>1.59881111683123</v>
      </c>
      <c r="N1594" s="0" t="n">
        <f aca="false">K1594-M1594</f>
        <v>47.170033710755</v>
      </c>
      <c r="O1594" s="0" t="n">
        <f aca="false">K1594+M1594</f>
        <v>50.3676559444174</v>
      </c>
      <c r="P1594" s="54" t="b">
        <f aca="false">AND(C1594&gt;=01_因子設定!$L$5-0.000000001,C1594&lt;=01_因子設定!$M$5+0.000000001,D1594&gt;=01_因子設定!$L$6-0.000000001,D1594&lt;=01_因子設定!$M$6+0.000000001,IF(01_因子設定!$B$20="Box-Behnken",C1594^2+D1594^2&lt;=2+0.000000001,TRUE()))</f>
        <v>1</v>
      </c>
      <c r="Q1594" s="55" t="n">
        <f aca="false">IF(P1594,IF(01_因子設定!$B$13="最大化",N1594-01_因子設定!$B$14,IF(01_因子設定!$B$13="最小化",01_因子設定!$B$15-O1594,MIN(N1594-01_因子設定!$B$14,01_因子設定!$B$15-O1594))),-1E+030)</f>
        <v>0.670033710754957</v>
      </c>
      <c r="R1594" s="55" t="n">
        <f aca="false">IF(P1594,IF(01_因子設定!$B$13="最大化",K1594,IF(01_因子設定!$B$13="最小化",-K1594,-ABS(K1594-01_因子設定!$B$16))),-1E+030)</f>
        <v>48.7688448275862</v>
      </c>
      <c r="S1594" s="55" t="n">
        <f aca="false">Q1594+ROW()*0.000000001</f>
        <v>0.670035304754957</v>
      </c>
      <c r="T1594" s="55" t="n">
        <f aca="false">R1594+ROW()*0.000000001</f>
        <v>48.7688464215862</v>
      </c>
    </row>
    <row r="1595" customFormat="false" ht="15" hidden="false" customHeight="false" outlineLevel="0" collapsed="false">
      <c r="A1595" s="0" t="n">
        <v>38</v>
      </c>
      <c r="B1595" s="0" t="n">
        <v>32</v>
      </c>
      <c r="C1595" s="0" t="n">
        <f aca="false">-1+A1595*0.05</f>
        <v>0.9</v>
      </c>
      <c r="D1595" s="0" t="n">
        <f aca="false">-1+B1595*0.05</f>
        <v>0.6</v>
      </c>
      <c r="E1595" s="0" t="n">
        <f aca="false">1</f>
        <v>1</v>
      </c>
      <c r="F1595" s="0" t="n">
        <f aca="false">C1595</f>
        <v>0.9</v>
      </c>
      <c r="G1595" s="0" t="n">
        <f aca="false">D1595</f>
        <v>0.6</v>
      </c>
      <c r="H1595" s="0" t="n">
        <f aca="false">C1595*D1595</f>
        <v>0.54</v>
      </c>
      <c r="I1595" s="0" t="n">
        <f aca="false">C1595*C1595</f>
        <v>0.81</v>
      </c>
      <c r="J1595" s="0" t="n">
        <f aca="false">D1595*D1595</f>
        <v>0.36</v>
      </c>
      <c r="K1595" s="0" t="n">
        <f aca="false">SUMPRODUCT(E1595:J1595,_XtX!$B$53:$G$53)</f>
        <v>48.8162413793103</v>
      </c>
      <c r="L1595" s="0" t="n">
        <f aca="false">SUMPRODUCT(MMULT(E1595:J1595,_XtX!$B$44:$G$49),E1595:J1595)</f>
        <v>0.402281034482759</v>
      </c>
      <c r="M1595" s="0" t="n">
        <f aca="false">04_回帰ANOVA!$K$19*04_回帰ANOVA!$K$14*SQRT(1+L1595)</f>
        <v>1.60470092328339</v>
      </c>
      <c r="N1595" s="0" t="n">
        <f aca="false">K1595-M1595</f>
        <v>47.2115404560269</v>
      </c>
      <c r="O1595" s="0" t="n">
        <f aca="false">K1595+M1595</f>
        <v>50.4209423025937</v>
      </c>
      <c r="P1595" s="54" t="b">
        <f aca="false">AND(C1595&gt;=01_因子設定!$L$5-0.000000001,C1595&lt;=01_因子設定!$M$5+0.000000001,D1595&gt;=01_因子設定!$L$6-0.000000001,D1595&lt;=01_因子設定!$M$6+0.000000001,IF(01_因子設定!$B$20="Box-Behnken",C1595^2+D1595^2&lt;=2+0.000000001,TRUE()))</f>
        <v>1</v>
      </c>
      <c r="Q1595" s="55" t="n">
        <f aca="false">IF(P1595,IF(01_因子設定!$B$13="最大化",N1595-01_因子設定!$B$14,IF(01_因子設定!$B$13="最小化",01_因子設定!$B$15-O1595,MIN(N1595-01_因子設定!$B$14,01_因子設定!$B$15-O1595))),-1E+030)</f>
        <v>0.711540456026938</v>
      </c>
      <c r="R1595" s="55" t="n">
        <f aca="false">IF(P1595,IF(01_因子設定!$B$13="最大化",K1595,IF(01_因子設定!$B$13="最小化",-K1595,-ABS(K1595-01_因子設定!$B$16))),-1E+030)</f>
        <v>48.8162413793103</v>
      </c>
      <c r="S1595" s="55" t="n">
        <f aca="false">Q1595+ROW()*0.000000001</f>
        <v>0.711542051026938</v>
      </c>
      <c r="T1595" s="55" t="n">
        <f aca="false">R1595+ROW()*0.000000001</f>
        <v>48.8162429743103</v>
      </c>
    </row>
    <row r="1596" customFormat="false" ht="15" hidden="false" customHeight="false" outlineLevel="0" collapsed="false">
      <c r="A1596" s="0" t="n">
        <v>38</v>
      </c>
      <c r="B1596" s="0" t="n">
        <v>33</v>
      </c>
      <c r="C1596" s="0" t="n">
        <f aca="false">-1+A1596*0.05</f>
        <v>0.9</v>
      </c>
      <c r="D1596" s="0" t="n">
        <f aca="false">-1+B1596*0.05</f>
        <v>0.65</v>
      </c>
      <c r="E1596" s="0" t="n">
        <f aca="false">1</f>
        <v>1</v>
      </c>
      <c r="F1596" s="0" t="n">
        <f aca="false">C1596</f>
        <v>0.9</v>
      </c>
      <c r="G1596" s="0" t="n">
        <f aca="false">D1596</f>
        <v>0.65</v>
      </c>
      <c r="H1596" s="0" t="n">
        <f aca="false">C1596*D1596</f>
        <v>0.585</v>
      </c>
      <c r="I1596" s="0" t="n">
        <f aca="false">C1596*C1596</f>
        <v>0.81</v>
      </c>
      <c r="J1596" s="0" t="n">
        <f aca="false">D1596*D1596</f>
        <v>0.4225</v>
      </c>
      <c r="K1596" s="0" t="n">
        <f aca="false">SUMPRODUCT(E1596:J1596,_XtX!$B$53:$G$53)</f>
        <v>48.8559224137931</v>
      </c>
      <c r="L1596" s="0" t="n">
        <f aca="false">SUMPRODUCT(MMULT(E1596:J1596,_XtX!$B$44:$G$49),E1596:J1596)</f>
        <v>0.416164834770115</v>
      </c>
      <c r="M1596" s="0" t="n">
        <f aca="false">04_回帰ANOVA!$K$19*04_回帰ANOVA!$K$14*SQRT(1+L1596)</f>
        <v>1.61262532348959</v>
      </c>
      <c r="N1596" s="0" t="n">
        <f aca="false">K1596-M1596</f>
        <v>47.2432970903035</v>
      </c>
      <c r="O1596" s="0" t="n">
        <f aca="false">K1596+M1596</f>
        <v>50.4685477372827</v>
      </c>
      <c r="P1596" s="54" t="b">
        <f aca="false">AND(C1596&gt;=01_因子設定!$L$5-0.000000001,C1596&lt;=01_因子設定!$M$5+0.000000001,D1596&gt;=01_因子設定!$L$6-0.000000001,D1596&lt;=01_因子設定!$M$6+0.000000001,IF(01_因子設定!$B$20="Box-Behnken",C1596^2+D1596^2&lt;=2+0.000000001,TRUE()))</f>
        <v>1</v>
      </c>
      <c r="Q1596" s="55" t="n">
        <f aca="false">IF(P1596,IF(01_因子設定!$B$13="最大化",N1596-01_因子設定!$B$14,IF(01_因子設定!$B$13="最小化",01_因子設定!$B$15-O1596,MIN(N1596-01_因子設定!$B$14,01_因子設定!$B$15-O1596))),-1E+030)</f>
        <v>0.743297090303493</v>
      </c>
      <c r="R1596" s="55" t="n">
        <f aca="false">IF(P1596,IF(01_因子設定!$B$13="最大化",K1596,IF(01_因子設定!$B$13="最小化",-K1596,-ABS(K1596-01_因子設定!$B$16))),-1E+030)</f>
        <v>48.8559224137931</v>
      </c>
      <c r="S1596" s="55" t="n">
        <f aca="false">Q1596+ROW()*0.000000001</f>
        <v>0.743298686303493</v>
      </c>
      <c r="T1596" s="55" t="n">
        <f aca="false">R1596+ROW()*0.000000001</f>
        <v>48.8559240097931</v>
      </c>
    </row>
    <row r="1597" customFormat="false" ht="15" hidden="false" customHeight="false" outlineLevel="0" collapsed="false">
      <c r="A1597" s="0" t="n">
        <v>38</v>
      </c>
      <c r="B1597" s="0" t="n">
        <v>34</v>
      </c>
      <c r="C1597" s="0" t="n">
        <f aca="false">-1+A1597*0.05</f>
        <v>0.9</v>
      </c>
      <c r="D1597" s="0" t="n">
        <f aca="false">-1+B1597*0.05</f>
        <v>0.7</v>
      </c>
      <c r="E1597" s="0" t="n">
        <f aca="false">1</f>
        <v>1</v>
      </c>
      <c r="F1597" s="0" t="n">
        <f aca="false">C1597</f>
        <v>0.9</v>
      </c>
      <c r="G1597" s="0" t="n">
        <f aca="false">D1597</f>
        <v>0.7</v>
      </c>
      <c r="H1597" s="0" t="n">
        <f aca="false">C1597*D1597</f>
        <v>0.63</v>
      </c>
      <c r="I1597" s="0" t="n">
        <f aca="false">C1597*C1597</f>
        <v>0.81</v>
      </c>
      <c r="J1597" s="0" t="n">
        <f aca="false">D1597*D1597</f>
        <v>0.49</v>
      </c>
      <c r="K1597" s="0" t="n">
        <f aca="false">SUMPRODUCT(E1597:J1597,_XtX!$B$53:$G$53)</f>
        <v>48.8878879310345</v>
      </c>
      <c r="L1597" s="0" t="n">
        <f aca="false">SUMPRODUCT(MMULT(E1597:J1597,_XtX!$B$44:$G$49),E1597:J1597)</f>
        <v>0.434336494252874</v>
      </c>
      <c r="M1597" s="0" t="n">
        <f aca="false">04_回帰ANOVA!$K$19*04_回帰ANOVA!$K$14*SQRT(1+L1597)</f>
        <v>1.62293862576512</v>
      </c>
      <c r="N1597" s="0" t="n">
        <f aca="false">K1597-M1597</f>
        <v>47.2649493052694</v>
      </c>
      <c r="O1597" s="0" t="n">
        <f aca="false">K1597+M1597</f>
        <v>50.5108265567996</v>
      </c>
      <c r="P1597" s="54" t="b">
        <f aca="false">AND(C1597&gt;=01_因子設定!$L$5-0.000000001,C1597&lt;=01_因子設定!$M$5+0.000000001,D1597&gt;=01_因子設定!$L$6-0.000000001,D1597&lt;=01_因子設定!$M$6+0.000000001,IF(01_因子設定!$B$20="Box-Behnken",C1597^2+D1597^2&lt;=2+0.000000001,TRUE()))</f>
        <v>1</v>
      </c>
      <c r="Q1597" s="55" t="n">
        <f aca="false">IF(P1597,IF(01_因子設定!$B$13="最大化",N1597-01_因子設定!$B$14,IF(01_因子設定!$B$13="最小化",01_因子設定!$B$15-O1597,MIN(N1597-01_因子設定!$B$14,01_因子設定!$B$15-O1597))),-1E+030)</f>
        <v>0.764949305269347</v>
      </c>
      <c r="R1597" s="55" t="n">
        <f aca="false">IF(P1597,IF(01_因子設定!$B$13="最大化",K1597,IF(01_因子設定!$B$13="最小化",-K1597,-ABS(K1597-01_因子設定!$B$16))),-1E+030)</f>
        <v>48.8878879310345</v>
      </c>
      <c r="S1597" s="55" t="n">
        <f aca="false">Q1597+ROW()*0.000000001</f>
        <v>0.764950902269347</v>
      </c>
      <c r="T1597" s="55" t="n">
        <f aca="false">R1597+ROW()*0.000000001</f>
        <v>48.8878895280345</v>
      </c>
    </row>
    <row r="1598" customFormat="false" ht="15" hidden="false" customHeight="false" outlineLevel="0" collapsed="false">
      <c r="A1598" s="0" t="n">
        <v>38</v>
      </c>
      <c r="B1598" s="0" t="n">
        <v>35</v>
      </c>
      <c r="C1598" s="0" t="n">
        <f aca="false">-1+A1598*0.05</f>
        <v>0.9</v>
      </c>
      <c r="D1598" s="0" t="n">
        <f aca="false">-1+B1598*0.05</f>
        <v>0.75</v>
      </c>
      <c r="E1598" s="0" t="n">
        <f aca="false">1</f>
        <v>1</v>
      </c>
      <c r="F1598" s="0" t="n">
        <f aca="false">C1598</f>
        <v>0.9</v>
      </c>
      <c r="G1598" s="0" t="n">
        <f aca="false">D1598</f>
        <v>0.75</v>
      </c>
      <c r="H1598" s="0" t="n">
        <f aca="false">C1598*D1598</f>
        <v>0.675</v>
      </c>
      <c r="I1598" s="0" t="n">
        <f aca="false">C1598*C1598</f>
        <v>0.81</v>
      </c>
      <c r="J1598" s="0" t="n">
        <f aca="false">D1598*D1598</f>
        <v>0.5625</v>
      </c>
      <c r="K1598" s="0" t="n">
        <f aca="false">SUMPRODUCT(E1598:J1598,_XtX!$B$53:$G$53)</f>
        <v>48.9121379310345</v>
      </c>
      <c r="L1598" s="0" t="n">
        <f aca="false">SUMPRODUCT(MMULT(E1598:J1598,_XtX!$B$44:$G$49),E1598:J1598)</f>
        <v>0.457529202586207</v>
      </c>
      <c r="M1598" s="0" t="n">
        <f aca="false">04_回帰ANOVA!$K$19*04_回帰ANOVA!$K$14*SQRT(1+L1598)</f>
        <v>1.63600717784344</v>
      </c>
      <c r="N1598" s="0" t="n">
        <f aca="false">K1598-M1598</f>
        <v>47.276130753191</v>
      </c>
      <c r="O1598" s="0" t="n">
        <f aca="false">K1598+M1598</f>
        <v>50.5481451088779</v>
      </c>
      <c r="P1598" s="54" t="b">
        <f aca="false">AND(C1598&gt;=01_因子設定!$L$5-0.000000001,C1598&lt;=01_因子設定!$M$5+0.000000001,D1598&gt;=01_因子設定!$L$6-0.000000001,D1598&lt;=01_因子設定!$M$6+0.000000001,IF(01_因子設定!$B$20="Box-Behnken",C1598^2+D1598^2&lt;=2+0.000000001,TRUE()))</f>
        <v>1</v>
      </c>
      <c r="Q1598" s="55" t="n">
        <f aca="false">IF(P1598,IF(01_因子設定!$B$13="最大化",N1598-01_因子設定!$B$14,IF(01_因子設定!$B$13="最小化",01_因子設定!$B$15-O1598,MIN(N1598-01_因子設定!$B$14,01_因子設定!$B$15-O1598))),-1E+030)</f>
        <v>0.776130753191019</v>
      </c>
      <c r="R1598" s="55" t="n">
        <f aca="false">IF(P1598,IF(01_因子設定!$B$13="最大化",K1598,IF(01_因子設定!$B$13="最小化",-K1598,-ABS(K1598-01_因子設定!$B$16))),-1E+030)</f>
        <v>48.9121379310345</v>
      </c>
      <c r="S1598" s="55" t="n">
        <f aca="false">Q1598+ROW()*0.000000001</f>
        <v>0.776132351191019</v>
      </c>
      <c r="T1598" s="55" t="n">
        <f aca="false">R1598+ROW()*0.000000001</f>
        <v>48.9121395290345</v>
      </c>
    </row>
    <row r="1599" customFormat="false" ht="15" hidden="false" customHeight="false" outlineLevel="0" collapsed="false">
      <c r="A1599" s="0" t="n">
        <v>38</v>
      </c>
      <c r="B1599" s="0" t="n">
        <v>36</v>
      </c>
      <c r="C1599" s="0" t="n">
        <f aca="false">-1+A1599*0.05</f>
        <v>0.9</v>
      </c>
      <c r="D1599" s="0" t="n">
        <f aca="false">-1+B1599*0.05</f>
        <v>0.8</v>
      </c>
      <c r="E1599" s="0" t="n">
        <f aca="false">1</f>
        <v>1</v>
      </c>
      <c r="F1599" s="0" t="n">
        <f aca="false">C1599</f>
        <v>0.9</v>
      </c>
      <c r="G1599" s="0" t="n">
        <f aca="false">D1599</f>
        <v>0.8</v>
      </c>
      <c r="H1599" s="0" t="n">
        <f aca="false">C1599*D1599</f>
        <v>0.72</v>
      </c>
      <c r="I1599" s="0" t="n">
        <f aca="false">C1599*C1599</f>
        <v>0.81</v>
      </c>
      <c r="J1599" s="0" t="n">
        <f aca="false">D1599*D1599</f>
        <v>0.64</v>
      </c>
      <c r="K1599" s="0" t="n">
        <f aca="false">SUMPRODUCT(E1599:J1599,_XtX!$B$53:$G$53)</f>
        <v>48.9286724137931</v>
      </c>
      <c r="L1599" s="0" t="n">
        <f aca="false">SUMPRODUCT(MMULT(E1599:J1599,_XtX!$B$44:$G$49),E1599:J1599)</f>
        <v>0.486530459770115</v>
      </c>
      <c r="M1599" s="0" t="n">
        <f aca="false">04_回帰ANOVA!$K$19*04_回帰ANOVA!$K$14*SQRT(1+L1599)</f>
        <v>1.65220327464334</v>
      </c>
      <c r="N1599" s="0" t="n">
        <f aca="false">K1599-M1599</f>
        <v>47.2764691391498</v>
      </c>
      <c r="O1599" s="0" t="n">
        <f aca="false">K1599+M1599</f>
        <v>50.5808756884364</v>
      </c>
      <c r="P1599" s="54" t="b">
        <f aca="false">AND(C1599&gt;=01_因子設定!$L$5-0.000000001,C1599&lt;=01_因子設定!$M$5+0.000000001,D1599&gt;=01_因子設定!$L$6-0.000000001,D1599&lt;=01_因子設定!$M$6+0.000000001,IF(01_因子設定!$B$20="Box-Behnken",C1599^2+D1599^2&lt;=2+0.000000001,TRUE()))</f>
        <v>1</v>
      </c>
      <c r="Q1599" s="55" t="n">
        <f aca="false">IF(P1599,IF(01_因子設定!$B$13="最大化",N1599-01_因子設定!$B$14,IF(01_因子設定!$B$13="最小化",01_因子設定!$B$15-O1599,MIN(N1599-01_因子設定!$B$14,01_因子設定!$B$15-O1599))),-1E+030)</f>
        <v>0.776469139149754</v>
      </c>
      <c r="R1599" s="55" t="n">
        <f aca="false">IF(P1599,IF(01_因子設定!$B$13="最大化",K1599,IF(01_因子設定!$B$13="最小化",-K1599,-ABS(K1599-01_因子設定!$B$16))),-1E+030)</f>
        <v>48.9286724137931</v>
      </c>
      <c r="S1599" s="55" t="n">
        <f aca="false">Q1599+ROW()*0.000000001</f>
        <v>0.776470738149754</v>
      </c>
      <c r="T1599" s="55" t="n">
        <f aca="false">R1599+ROW()*0.000000001</f>
        <v>48.9286740127931</v>
      </c>
    </row>
    <row r="1600" customFormat="false" ht="15" hidden="false" customHeight="false" outlineLevel="0" collapsed="false">
      <c r="A1600" s="0" t="n">
        <v>38</v>
      </c>
      <c r="B1600" s="0" t="n">
        <v>37</v>
      </c>
      <c r="C1600" s="0" t="n">
        <f aca="false">-1+A1600*0.05</f>
        <v>0.9</v>
      </c>
      <c r="D1600" s="0" t="n">
        <f aca="false">-1+B1600*0.05</f>
        <v>0.85</v>
      </c>
      <c r="E1600" s="0" t="n">
        <f aca="false">1</f>
        <v>1</v>
      </c>
      <c r="F1600" s="0" t="n">
        <f aca="false">C1600</f>
        <v>0.9</v>
      </c>
      <c r="G1600" s="0" t="n">
        <f aca="false">D1600</f>
        <v>0.85</v>
      </c>
      <c r="H1600" s="0" t="n">
        <f aca="false">C1600*D1600</f>
        <v>0.765</v>
      </c>
      <c r="I1600" s="0" t="n">
        <f aca="false">C1600*C1600</f>
        <v>0.81</v>
      </c>
      <c r="J1600" s="0" t="n">
        <f aca="false">D1600*D1600</f>
        <v>0.7225</v>
      </c>
      <c r="K1600" s="0" t="n">
        <f aca="false">SUMPRODUCT(E1600:J1600,_XtX!$B$53:$G$53)</f>
        <v>48.9374913793103</v>
      </c>
      <c r="L1600" s="0" t="n">
        <f aca="false">SUMPRODUCT(MMULT(E1600:J1600,_XtX!$B$44:$G$49),E1600:J1600)</f>
        <v>0.522182076149426</v>
      </c>
      <c r="M1600" s="0" t="n">
        <f aca="false">04_回帰ANOVA!$K$19*04_回帰ANOVA!$K$14*SQRT(1+L1600)</f>
        <v>1.67189836938396</v>
      </c>
      <c r="N1600" s="0" t="n">
        <f aca="false">K1600-M1600</f>
        <v>47.2655930099264</v>
      </c>
      <c r="O1600" s="0" t="n">
        <f aca="false">K1600+M1600</f>
        <v>50.6093897486943</v>
      </c>
      <c r="P1600" s="54" t="b">
        <f aca="false">AND(C1600&gt;=01_因子設定!$L$5-0.000000001,C1600&lt;=01_因子設定!$M$5+0.000000001,D1600&gt;=01_因子設定!$L$6-0.000000001,D1600&lt;=01_因子設定!$M$6+0.000000001,IF(01_因子設定!$B$20="Box-Behnken",C1600^2+D1600^2&lt;=2+0.000000001,TRUE()))</f>
        <v>1</v>
      </c>
      <c r="Q1600" s="55" t="n">
        <f aca="false">IF(P1600,IF(01_因子設定!$B$13="最大化",N1600-01_因子設定!$B$14,IF(01_因子設定!$B$13="最小化",01_因子設定!$B$15-O1600,MIN(N1600-01_因子設定!$B$14,01_因子設定!$B$15-O1600))),-1E+030)</f>
        <v>0.76559300992637</v>
      </c>
      <c r="R1600" s="55" t="n">
        <f aca="false">IF(P1600,IF(01_因子設定!$B$13="最大化",K1600,IF(01_因子設定!$B$13="最小化",-K1600,-ABS(K1600-01_因子設定!$B$16))),-1E+030)</f>
        <v>48.9374913793103</v>
      </c>
      <c r="S1600" s="55" t="n">
        <f aca="false">Q1600+ROW()*0.000000001</f>
        <v>0.76559460992637</v>
      </c>
      <c r="T1600" s="55" t="n">
        <f aca="false">R1600+ROW()*0.000000001</f>
        <v>48.9374929793103</v>
      </c>
    </row>
    <row r="1601" customFormat="false" ht="15" hidden="false" customHeight="false" outlineLevel="0" collapsed="false">
      <c r="A1601" s="0" t="n">
        <v>38</v>
      </c>
      <c r="B1601" s="0" t="n">
        <v>38</v>
      </c>
      <c r="C1601" s="0" t="n">
        <f aca="false">-1+A1601*0.05</f>
        <v>0.9</v>
      </c>
      <c r="D1601" s="0" t="n">
        <f aca="false">-1+B1601*0.05</f>
        <v>0.9</v>
      </c>
      <c r="E1601" s="0" t="n">
        <f aca="false">1</f>
        <v>1</v>
      </c>
      <c r="F1601" s="0" t="n">
        <f aca="false">C1601</f>
        <v>0.9</v>
      </c>
      <c r="G1601" s="0" t="n">
        <f aca="false">D1601</f>
        <v>0.9</v>
      </c>
      <c r="H1601" s="0" t="n">
        <f aca="false">C1601*D1601</f>
        <v>0.81</v>
      </c>
      <c r="I1601" s="0" t="n">
        <f aca="false">C1601*C1601</f>
        <v>0.81</v>
      </c>
      <c r="J1601" s="0" t="n">
        <f aca="false">D1601*D1601</f>
        <v>0.81</v>
      </c>
      <c r="K1601" s="0" t="n">
        <f aca="false">SUMPRODUCT(E1601:J1601,_XtX!$B$53:$G$53)</f>
        <v>48.9385948275862</v>
      </c>
      <c r="L1601" s="0" t="n">
        <f aca="false">SUMPRODUCT(MMULT(E1601:J1601,_XtX!$B$44:$G$49),E1601:J1601)</f>
        <v>0.565380172413793</v>
      </c>
      <c r="M1601" s="0" t="n">
        <f aca="false">04_回帰ANOVA!$K$19*04_回帰ANOVA!$K$14*SQRT(1+L1601)</f>
        <v>1.69545585576061</v>
      </c>
      <c r="N1601" s="0" t="n">
        <f aca="false">K1601-M1601</f>
        <v>47.2431389718256</v>
      </c>
      <c r="O1601" s="0" t="n">
        <f aca="false">K1601+M1601</f>
        <v>50.6340506833468</v>
      </c>
      <c r="P1601" s="54" t="b">
        <f aca="false">AND(C1601&gt;=01_因子設定!$L$5-0.000000001,C1601&lt;=01_因子設定!$M$5+0.000000001,D1601&gt;=01_因子設定!$L$6-0.000000001,D1601&lt;=01_因子設定!$M$6+0.000000001,IF(01_因子設定!$B$20="Box-Behnken",C1601^2+D1601^2&lt;=2+0.000000001,TRUE()))</f>
        <v>1</v>
      </c>
      <c r="Q1601" s="55" t="n">
        <f aca="false">IF(P1601,IF(01_因子設定!$B$13="最大化",N1601-01_因子設定!$B$14,IF(01_因子設定!$B$13="最小化",01_因子設定!$B$15-O1601,MIN(N1601-01_因子設定!$B$14,01_因子設定!$B$15-O1601))),-1E+030)</f>
        <v>0.743138971825587</v>
      </c>
      <c r="R1601" s="55" t="n">
        <f aca="false">IF(P1601,IF(01_因子設定!$B$13="最大化",K1601,IF(01_因子設定!$B$13="最小化",-K1601,-ABS(K1601-01_因子設定!$B$16))),-1E+030)</f>
        <v>48.9385948275862</v>
      </c>
      <c r="S1601" s="55" t="n">
        <f aca="false">Q1601+ROW()*0.000000001</f>
        <v>0.743140572825587</v>
      </c>
      <c r="T1601" s="55" t="n">
        <f aca="false">R1601+ROW()*0.000000001</f>
        <v>48.9385964285862</v>
      </c>
    </row>
    <row r="1602" customFormat="false" ht="15" hidden="false" customHeight="false" outlineLevel="0" collapsed="false">
      <c r="A1602" s="0" t="n">
        <v>38</v>
      </c>
      <c r="B1602" s="0" t="n">
        <v>39</v>
      </c>
      <c r="C1602" s="0" t="n">
        <f aca="false">-1+A1602*0.05</f>
        <v>0.9</v>
      </c>
      <c r="D1602" s="0" t="n">
        <f aca="false">-1+B1602*0.05</f>
        <v>0.95</v>
      </c>
      <c r="E1602" s="0" t="n">
        <f aca="false">1</f>
        <v>1</v>
      </c>
      <c r="F1602" s="0" t="n">
        <f aca="false">C1602</f>
        <v>0.9</v>
      </c>
      <c r="G1602" s="0" t="n">
        <f aca="false">D1602</f>
        <v>0.95</v>
      </c>
      <c r="H1602" s="0" t="n">
        <f aca="false">C1602*D1602</f>
        <v>0.855</v>
      </c>
      <c r="I1602" s="0" t="n">
        <f aca="false">C1602*C1602</f>
        <v>0.81</v>
      </c>
      <c r="J1602" s="0" t="n">
        <f aca="false">D1602*D1602</f>
        <v>0.9025</v>
      </c>
      <c r="K1602" s="0" t="n">
        <f aca="false">SUMPRODUCT(E1602:J1602,_XtX!$B$53:$G$53)</f>
        <v>48.9319827586207</v>
      </c>
      <c r="L1602" s="0" t="n">
        <f aca="false">SUMPRODUCT(MMULT(E1602:J1602,_XtX!$B$44:$G$49),E1602:J1602)</f>
        <v>0.617075179597701</v>
      </c>
      <c r="M1602" s="0" t="n">
        <f aca="false">04_回帰ANOVA!$K$19*04_回帰ANOVA!$K$14*SQRT(1+L1602)</f>
        <v>1.72322377517336</v>
      </c>
      <c r="N1602" s="0" t="n">
        <f aca="false">K1602-M1602</f>
        <v>47.2087589834473</v>
      </c>
      <c r="O1602" s="0" t="n">
        <f aca="false">K1602+M1602</f>
        <v>50.655206533794</v>
      </c>
      <c r="P1602" s="54" t="b">
        <f aca="false">AND(C1602&gt;=01_因子設定!$L$5-0.000000001,C1602&lt;=01_因子設定!$M$5+0.000000001,D1602&gt;=01_因子設定!$L$6-0.000000001,D1602&lt;=01_因子設定!$M$6+0.000000001,IF(01_因子設定!$B$20="Box-Behnken",C1602^2+D1602^2&lt;=2+0.000000001,TRUE()))</f>
        <v>1</v>
      </c>
      <c r="Q1602" s="55" t="n">
        <f aca="false">IF(P1602,IF(01_因子設定!$B$13="最大化",N1602-01_因子設定!$B$14,IF(01_因子設定!$B$13="最小化",01_因子設定!$B$15-O1602,MIN(N1602-01_因子設定!$B$14,01_因子設定!$B$15-O1602))),-1E+030)</f>
        <v>0.708758983447311</v>
      </c>
      <c r="R1602" s="55" t="n">
        <f aca="false">IF(P1602,IF(01_因子設定!$B$13="最大化",K1602,IF(01_因子設定!$B$13="最小化",-K1602,-ABS(K1602-01_因子設定!$B$16))),-1E+030)</f>
        <v>48.9319827586207</v>
      </c>
      <c r="S1602" s="55" t="n">
        <f aca="false">Q1602+ROW()*0.000000001</f>
        <v>0.708760585447311</v>
      </c>
      <c r="T1602" s="55" t="n">
        <f aca="false">R1602+ROW()*0.000000001</f>
        <v>48.9319843606207</v>
      </c>
    </row>
    <row r="1603" customFormat="false" ht="15" hidden="false" customHeight="false" outlineLevel="0" collapsed="false">
      <c r="A1603" s="0" t="n">
        <v>38</v>
      </c>
      <c r="B1603" s="0" t="n">
        <v>40</v>
      </c>
      <c r="C1603" s="0" t="n">
        <f aca="false">-1+A1603*0.05</f>
        <v>0.9</v>
      </c>
      <c r="D1603" s="0" t="n">
        <f aca="false">-1+B1603*0.05</f>
        <v>1</v>
      </c>
      <c r="E1603" s="0" t="n">
        <f aca="false">1</f>
        <v>1</v>
      </c>
      <c r="F1603" s="0" t="n">
        <f aca="false">C1603</f>
        <v>0.9</v>
      </c>
      <c r="G1603" s="0" t="n">
        <f aca="false">D1603</f>
        <v>1</v>
      </c>
      <c r="H1603" s="0" t="n">
        <f aca="false">C1603*D1603</f>
        <v>0.9</v>
      </c>
      <c r="I1603" s="0" t="n">
        <f aca="false">C1603*C1603</f>
        <v>0.81</v>
      </c>
      <c r="J1603" s="0" t="n">
        <f aca="false">D1603*D1603</f>
        <v>1</v>
      </c>
      <c r="K1603" s="0" t="n">
        <f aca="false">SUMPRODUCT(E1603:J1603,_XtX!$B$53:$G$53)</f>
        <v>48.9176551724138</v>
      </c>
      <c r="L1603" s="0" t="n">
        <f aca="false">SUMPRODUCT(MMULT(E1603:J1603,_XtX!$B$44:$G$49),E1603:J1603)</f>
        <v>0.67827183908046</v>
      </c>
      <c r="M1603" s="0" t="n">
        <f aca="false">04_回帰ANOVA!$K$19*04_回帰ANOVA!$K$14*SQRT(1+L1603)</f>
        <v>1.7555278596526</v>
      </c>
      <c r="N1603" s="0" t="n">
        <f aca="false">K1603-M1603</f>
        <v>47.1621273127612</v>
      </c>
      <c r="O1603" s="0" t="n">
        <f aca="false">K1603+M1603</f>
        <v>50.6731830320664</v>
      </c>
      <c r="P1603" s="54" t="b">
        <f aca="false">AND(C1603&gt;=01_因子設定!$L$5-0.000000001,C1603&lt;=01_因子設定!$M$5+0.000000001,D1603&gt;=01_因子設定!$L$6-0.000000001,D1603&lt;=01_因子設定!$M$6+0.000000001,IF(01_因子設定!$B$20="Box-Behnken",C1603^2+D1603^2&lt;=2+0.000000001,TRUE()))</f>
        <v>1</v>
      </c>
      <c r="Q1603" s="55" t="n">
        <f aca="false">IF(P1603,IF(01_因子設定!$B$13="最大化",N1603-01_因子設定!$B$14,IF(01_因子設定!$B$13="最小化",01_因子設定!$B$15-O1603,MIN(N1603-01_因子設定!$B$14,01_因子設定!$B$15-O1603))),-1E+030)</f>
        <v>0.662127312761179</v>
      </c>
      <c r="R1603" s="55" t="n">
        <f aca="false">IF(P1603,IF(01_因子設定!$B$13="最大化",K1603,IF(01_因子設定!$B$13="最小化",-K1603,-ABS(K1603-01_因子設定!$B$16))),-1E+030)</f>
        <v>48.9176551724138</v>
      </c>
      <c r="S1603" s="55" t="n">
        <f aca="false">Q1603+ROW()*0.000000001</f>
        <v>0.662128915761179</v>
      </c>
      <c r="T1603" s="55" t="n">
        <f aca="false">R1603+ROW()*0.000000001</f>
        <v>48.9176567754138</v>
      </c>
    </row>
    <row r="1604" customFormat="false" ht="15" hidden="false" customHeight="false" outlineLevel="0" collapsed="false">
      <c r="A1604" s="0" t="n">
        <v>39</v>
      </c>
      <c r="B1604" s="0" t="n">
        <v>0</v>
      </c>
      <c r="C1604" s="0" t="n">
        <f aca="false">-1+A1604*0.05</f>
        <v>0.95</v>
      </c>
      <c r="D1604" s="0" t="n">
        <f aca="false">-1+B1604*0.05</f>
        <v>-1</v>
      </c>
      <c r="E1604" s="0" t="n">
        <f aca="false">1</f>
        <v>1</v>
      </c>
      <c r="F1604" s="0" t="n">
        <f aca="false">C1604</f>
        <v>0.95</v>
      </c>
      <c r="G1604" s="0" t="n">
        <f aca="false">D1604</f>
        <v>-1</v>
      </c>
      <c r="H1604" s="0" t="n">
        <f aca="false">C1604*D1604</f>
        <v>-0.95</v>
      </c>
      <c r="I1604" s="0" t="n">
        <f aca="false">C1604*C1604</f>
        <v>0.9025</v>
      </c>
      <c r="J1604" s="0" t="n">
        <f aca="false">D1604*D1604</f>
        <v>1</v>
      </c>
      <c r="K1604" s="0" t="n">
        <f aca="false">SUMPRODUCT(E1604:J1604,_XtX!$B$53:$G$53)</f>
        <v>43.2985014367816</v>
      </c>
      <c r="L1604" s="0" t="n">
        <f aca="false">SUMPRODUCT(MMULT(E1604:J1604,_XtX!$B$44:$G$49),E1604:J1604)</f>
        <v>0.729512320402299</v>
      </c>
      <c r="M1604" s="0" t="n">
        <f aca="false">04_回帰ANOVA!$K$19*04_回帰ANOVA!$K$14*SQRT(1+L1604)</f>
        <v>1.78212598387095</v>
      </c>
      <c r="N1604" s="0" t="n">
        <f aca="false">K1604-M1604</f>
        <v>41.5163754529107</v>
      </c>
      <c r="O1604" s="0" t="n">
        <f aca="false">K1604+M1604</f>
        <v>45.0806274206526</v>
      </c>
      <c r="P1604" s="54" t="b">
        <f aca="false">AND(C1604&gt;=01_因子設定!$L$5-0.000000001,C1604&lt;=01_因子設定!$M$5+0.000000001,D1604&gt;=01_因子設定!$L$6-0.000000001,D1604&lt;=01_因子設定!$M$6+0.000000001,IF(01_因子設定!$B$20="Box-Behnken",C1604^2+D1604^2&lt;=2+0.000000001,TRUE()))</f>
        <v>1</v>
      </c>
      <c r="Q1604" s="55" t="n">
        <f aca="false">IF(P1604,IF(01_因子設定!$B$13="最大化",N1604-01_因子設定!$B$14,IF(01_因子設定!$B$13="最小化",01_因子設定!$B$15-O1604,MIN(N1604-01_因子設定!$B$14,01_因子設定!$B$15-O1604))),-1E+030)</f>
        <v>-4.98362454708935</v>
      </c>
      <c r="R1604" s="55" t="n">
        <f aca="false">IF(P1604,IF(01_因子設定!$B$13="最大化",K1604,IF(01_因子設定!$B$13="最小化",-K1604,-ABS(K1604-01_因子設定!$B$16))),-1E+030)</f>
        <v>43.2985014367816</v>
      </c>
      <c r="S1604" s="55" t="n">
        <f aca="false">Q1604+ROW()*0.000000001</f>
        <v>-4.98362294308935</v>
      </c>
      <c r="T1604" s="55" t="n">
        <f aca="false">R1604+ROW()*0.000000001</f>
        <v>43.2985030407816</v>
      </c>
    </row>
    <row r="1605" customFormat="false" ht="15" hidden="false" customHeight="false" outlineLevel="0" collapsed="false">
      <c r="A1605" s="0" t="n">
        <v>39</v>
      </c>
      <c r="B1605" s="0" t="n">
        <v>1</v>
      </c>
      <c r="C1605" s="0" t="n">
        <f aca="false">-1+A1605*0.05</f>
        <v>0.95</v>
      </c>
      <c r="D1605" s="0" t="n">
        <f aca="false">-1+B1605*0.05</f>
        <v>-0.95</v>
      </c>
      <c r="E1605" s="0" t="n">
        <f aca="false">1</f>
        <v>1</v>
      </c>
      <c r="F1605" s="0" t="n">
        <f aca="false">C1605</f>
        <v>0.95</v>
      </c>
      <c r="G1605" s="0" t="n">
        <f aca="false">D1605</f>
        <v>-0.95</v>
      </c>
      <c r="H1605" s="0" t="n">
        <f aca="false">C1605*D1605</f>
        <v>-0.9025</v>
      </c>
      <c r="I1605" s="0" t="n">
        <f aca="false">C1605*C1605</f>
        <v>0.9025</v>
      </c>
      <c r="J1605" s="0" t="n">
        <f aca="false">D1605*D1605</f>
        <v>0.9025</v>
      </c>
      <c r="K1605" s="0" t="n">
        <f aca="false">SUMPRODUCT(E1605:J1605,_XtX!$B$53:$G$53)</f>
        <v>43.5863915229885</v>
      </c>
      <c r="L1605" s="0" t="n">
        <f aca="false">SUMPRODUCT(MMULT(E1605:J1605,_XtX!$B$44:$G$49),E1605:J1605)</f>
        <v>0.668548904454023</v>
      </c>
      <c r="M1605" s="0" t="n">
        <f aca="false">04_回帰ANOVA!$K$19*04_回帰ANOVA!$K$14*SQRT(1+L1605)</f>
        <v>1.75043521736054</v>
      </c>
      <c r="N1605" s="0" t="n">
        <f aca="false">K1605-M1605</f>
        <v>41.835956305628</v>
      </c>
      <c r="O1605" s="0" t="n">
        <f aca="false">K1605+M1605</f>
        <v>45.336826740349</v>
      </c>
      <c r="P1605" s="54" t="b">
        <f aca="false">AND(C1605&gt;=01_因子設定!$L$5-0.000000001,C1605&lt;=01_因子設定!$M$5+0.000000001,D1605&gt;=01_因子設定!$L$6-0.000000001,D1605&lt;=01_因子設定!$M$6+0.000000001,IF(01_因子設定!$B$20="Box-Behnken",C1605^2+D1605^2&lt;=2+0.000000001,TRUE()))</f>
        <v>1</v>
      </c>
      <c r="Q1605" s="55" t="n">
        <f aca="false">IF(P1605,IF(01_因子設定!$B$13="最大化",N1605-01_因子設定!$B$14,IF(01_因子設定!$B$13="最小化",01_因子設定!$B$15-O1605,MIN(N1605-01_因子設定!$B$14,01_因子設定!$B$15-O1605))),-1E+030)</f>
        <v>-4.66404369437205</v>
      </c>
      <c r="R1605" s="55" t="n">
        <f aca="false">IF(P1605,IF(01_因子設定!$B$13="最大化",K1605,IF(01_因子設定!$B$13="最小化",-K1605,-ABS(K1605-01_因子設定!$B$16))),-1E+030)</f>
        <v>43.5863915229885</v>
      </c>
      <c r="S1605" s="55" t="n">
        <f aca="false">Q1605+ROW()*0.000000001</f>
        <v>-4.66404208937205</v>
      </c>
      <c r="T1605" s="55" t="n">
        <f aca="false">R1605+ROW()*0.000000001</f>
        <v>43.5863931279885</v>
      </c>
    </row>
    <row r="1606" customFormat="false" ht="15" hidden="false" customHeight="false" outlineLevel="0" collapsed="false">
      <c r="A1606" s="0" t="n">
        <v>39</v>
      </c>
      <c r="B1606" s="0" t="n">
        <v>2</v>
      </c>
      <c r="C1606" s="0" t="n">
        <f aca="false">-1+A1606*0.05</f>
        <v>0.95</v>
      </c>
      <c r="D1606" s="0" t="n">
        <f aca="false">-1+B1606*0.05</f>
        <v>-0.9</v>
      </c>
      <c r="E1606" s="0" t="n">
        <f aca="false">1</f>
        <v>1</v>
      </c>
      <c r="F1606" s="0" t="n">
        <f aca="false">C1606</f>
        <v>0.95</v>
      </c>
      <c r="G1606" s="0" t="n">
        <f aca="false">D1606</f>
        <v>-0.9</v>
      </c>
      <c r="H1606" s="0" t="n">
        <f aca="false">C1606*D1606</f>
        <v>-0.855</v>
      </c>
      <c r="I1606" s="0" t="n">
        <f aca="false">C1606*C1606</f>
        <v>0.9025</v>
      </c>
      <c r="J1606" s="0" t="n">
        <f aca="false">D1606*D1606</f>
        <v>0.81</v>
      </c>
      <c r="K1606" s="0" t="n">
        <f aca="false">SUMPRODUCT(E1606:J1606,_XtX!$B$53:$G$53)</f>
        <v>43.866566091954</v>
      </c>
      <c r="L1606" s="0" t="n">
        <f aca="false">SUMPRODUCT(MMULT(E1606:J1606,_XtX!$B$44:$G$49),E1606:J1606)</f>
        <v>0.617075179597701</v>
      </c>
      <c r="M1606" s="0" t="n">
        <f aca="false">04_回帰ANOVA!$K$19*04_回帰ANOVA!$K$14*SQRT(1+L1606)</f>
        <v>1.72322377517336</v>
      </c>
      <c r="N1606" s="0" t="n">
        <f aca="false">K1606-M1606</f>
        <v>42.1433423167806</v>
      </c>
      <c r="O1606" s="0" t="n">
        <f aca="false">K1606+M1606</f>
        <v>45.5897898671274</v>
      </c>
      <c r="P1606" s="54" t="b">
        <f aca="false">AND(C1606&gt;=01_因子設定!$L$5-0.000000001,C1606&lt;=01_因子設定!$M$5+0.000000001,D1606&gt;=01_因子設定!$L$6-0.000000001,D1606&lt;=01_因子設定!$M$6+0.000000001,IF(01_因子設定!$B$20="Box-Behnken",C1606^2+D1606^2&lt;=2+0.000000001,TRUE()))</f>
        <v>1</v>
      </c>
      <c r="Q1606" s="55" t="n">
        <f aca="false">IF(P1606,IF(01_因子設定!$B$13="最大化",N1606-01_因子設定!$B$14,IF(01_因子設定!$B$13="最小化",01_因子設定!$B$15-O1606,MIN(N1606-01_因子設定!$B$14,01_因子設定!$B$15-O1606))),-1E+030)</f>
        <v>-4.35665768321936</v>
      </c>
      <c r="R1606" s="55" t="n">
        <f aca="false">IF(P1606,IF(01_因子設定!$B$13="最大化",K1606,IF(01_因子設定!$B$13="最小化",-K1606,-ABS(K1606-01_因子設定!$B$16))),-1E+030)</f>
        <v>43.866566091954</v>
      </c>
      <c r="S1606" s="55" t="n">
        <f aca="false">Q1606+ROW()*0.000000001</f>
        <v>-4.35665607721936</v>
      </c>
      <c r="T1606" s="55" t="n">
        <f aca="false">R1606+ROW()*0.000000001</f>
        <v>43.866567697954</v>
      </c>
    </row>
    <row r="1607" customFormat="false" ht="15" hidden="false" customHeight="false" outlineLevel="0" collapsed="false">
      <c r="A1607" s="0" t="n">
        <v>39</v>
      </c>
      <c r="B1607" s="0" t="n">
        <v>3</v>
      </c>
      <c r="C1607" s="0" t="n">
        <f aca="false">-1+A1607*0.05</f>
        <v>0.95</v>
      </c>
      <c r="D1607" s="0" t="n">
        <f aca="false">-1+B1607*0.05</f>
        <v>-0.85</v>
      </c>
      <c r="E1607" s="0" t="n">
        <f aca="false">1</f>
        <v>1</v>
      </c>
      <c r="F1607" s="0" t="n">
        <f aca="false">C1607</f>
        <v>0.95</v>
      </c>
      <c r="G1607" s="0" t="n">
        <f aca="false">D1607</f>
        <v>-0.85</v>
      </c>
      <c r="H1607" s="0" t="n">
        <f aca="false">C1607*D1607</f>
        <v>-0.8075</v>
      </c>
      <c r="I1607" s="0" t="n">
        <f aca="false">C1607*C1607</f>
        <v>0.9025</v>
      </c>
      <c r="J1607" s="0" t="n">
        <f aca="false">D1607*D1607</f>
        <v>0.7225</v>
      </c>
      <c r="K1607" s="0" t="n">
        <f aca="false">SUMPRODUCT(E1607:J1607,_XtX!$B$53:$G$53)</f>
        <v>44.1390251436782</v>
      </c>
      <c r="L1607" s="0" t="n">
        <f aca="false">SUMPRODUCT(MMULT(E1607:J1607,_XtX!$B$44:$G$49),E1607:J1607)</f>
        <v>0.574086404454023</v>
      </c>
      <c r="M1607" s="0" t="n">
        <f aca="false">04_回帰ANOVA!$K$19*04_回帰ANOVA!$K$14*SQRT(1+L1607)</f>
        <v>1.7001641576124</v>
      </c>
      <c r="N1607" s="0" t="n">
        <f aca="false">K1607-M1607</f>
        <v>42.4388609860658</v>
      </c>
      <c r="O1607" s="0" t="n">
        <f aca="false">K1607+M1607</f>
        <v>45.8391893012905</v>
      </c>
      <c r="P1607" s="54" t="b">
        <f aca="false">AND(C1607&gt;=01_因子設定!$L$5-0.000000001,C1607&lt;=01_因子設定!$M$5+0.000000001,D1607&gt;=01_因子設定!$L$6-0.000000001,D1607&lt;=01_因子設定!$M$6+0.000000001,IF(01_因子設定!$B$20="Box-Behnken",C1607^2+D1607^2&lt;=2+0.000000001,TRUE()))</f>
        <v>1</v>
      </c>
      <c r="Q1607" s="55" t="n">
        <f aca="false">IF(P1607,IF(01_因子設定!$B$13="最大化",N1607-01_因子設定!$B$14,IF(01_因子設定!$B$13="最小化",01_因子設定!$B$15-O1607,MIN(N1607-01_因子設定!$B$14,01_因子設定!$B$15-O1607))),-1E+030)</f>
        <v>-4.06113901393425</v>
      </c>
      <c r="R1607" s="55" t="n">
        <f aca="false">IF(P1607,IF(01_因子設定!$B$13="最大化",K1607,IF(01_因子設定!$B$13="最小化",-K1607,-ABS(K1607-01_因子設定!$B$16))),-1E+030)</f>
        <v>44.1390251436782</v>
      </c>
      <c r="S1607" s="55" t="n">
        <f aca="false">Q1607+ROW()*0.000000001</f>
        <v>-4.06113740693425</v>
      </c>
      <c r="T1607" s="55" t="n">
        <f aca="false">R1607+ROW()*0.000000001</f>
        <v>44.1390267506782</v>
      </c>
    </row>
    <row r="1608" customFormat="false" ht="15" hidden="false" customHeight="false" outlineLevel="0" collapsed="false">
      <c r="A1608" s="0" t="n">
        <v>39</v>
      </c>
      <c r="B1608" s="0" t="n">
        <v>4</v>
      </c>
      <c r="C1608" s="0" t="n">
        <f aca="false">-1+A1608*0.05</f>
        <v>0.95</v>
      </c>
      <c r="D1608" s="0" t="n">
        <f aca="false">-1+B1608*0.05</f>
        <v>-0.8</v>
      </c>
      <c r="E1608" s="0" t="n">
        <f aca="false">1</f>
        <v>1</v>
      </c>
      <c r="F1608" s="0" t="n">
        <f aca="false">C1608</f>
        <v>0.95</v>
      </c>
      <c r="G1608" s="0" t="n">
        <f aca="false">D1608</f>
        <v>-0.8</v>
      </c>
      <c r="H1608" s="0" t="n">
        <f aca="false">C1608*D1608</f>
        <v>-0.76</v>
      </c>
      <c r="I1608" s="0" t="n">
        <f aca="false">C1608*C1608</f>
        <v>0.9025</v>
      </c>
      <c r="J1608" s="0" t="n">
        <f aca="false">D1608*D1608</f>
        <v>0.64</v>
      </c>
      <c r="K1608" s="0" t="n">
        <f aca="false">SUMPRODUCT(E1608:J1608,_XtX!$B$53:$G$53)</f>
        <v>44.4037686781609</v>
      </c>
      <c r="L1608" s="0" t="n">
        <f aca="false">SUMPRODUCT(MMULT(E1608:J1608,_XtX!$B$44:$G$49),E1608:J1608)</f>
        <v>0.538632147988506</v>
      </c>
      <c r="M1608" s="0" t="n">
        <f aca="false">04_回帰ANOVA!$K$19*04_回帰ANOVA!$K$14*SQRT(1+L1608)</f>
        <v>1.68090811348192</v>
      </c>
      <c r="N1608" s="0" t="n">
        <f aca="false">K1608-M1608</f>
        <v>42.722860564679</v>
      </c>
      <c r="O1608" s="0" t="n">
        <f aca="false">K1608+M1608</f>
        <v>46.0846767916428</v>
      </c>
      <c r="P1608" s="54" t="b">
        <f aca="false">AND(C1608&gt;=01_因子設定!$L$5-0.000000001,C1608&lt;=01_因子設定!$M$5+0.000000001,D1608&gt;=01_因子設定!$L$6-0.000000001,D1608&lt;=01_因子設定!$M$6+0.000000001,IF(01_因子設定!$B$20="Box-Behnken",C1608^2+D1608^2&lt;=2+0.000000001,TRUE()))</f>
        <v>1</v>
      </c>
      <c r="Q1608" s="55" t="n">
        <f aca="false">IF(P1608,IF(01_因子設定!$B$13="最大化",N1608-01_因子設定!$B$14,IF(01_因子設定!$B$13="最小化",01_因子設定!$B$15-O1608,MIN(N1608-01_因子設定!$B$14,01_因子設定!$B$15-O1608))),-1E+030)</f>
        <v>-3.77713943532102</v>
      </c>
      <c r="R1608" s="55" t="n">
        <f aca="false">IF(P1608,IF(01_因子設定!$B$13="最大化",K1608,IF(01_因子設定!$B$13="最小化",-K1608,-ABS(K1608-01_因子設定!$B$16))),-1E+030)</f>
        <v>44.4037686781609</v>
      </c>
      <c r="S1608" s="55" t="n">
        <f aca="false">Q1608+ROW()*0.000000001</f>
        <v>-3.77713782732102</v>
      </c>
      <c r="T1608" s="55" t="n">
        <f aca="false">R1608+ROW()*0.000000001</f>
        <v>44.4037702861609</v>
      </c>
    </row>
    <row r="1609" customFormat="false" ht="15" hidden="false" customHeight="false" outlineLevel="0" collapsed="false">
      <c r="A1609" s="0" t="n">
        <v>39</v>
      </c>
      <c r="B1609" s="0" t="n">
        <v>5</v>
      </c>
      <c r="C1609" s="0" t="n">
        <f aca="false">-1+A1609*0.05</f>
        <v>0.95</v>
      </c>
      <c r="D1609" s="0" t="n">
        <f aca="false">-1+B1609*0.05</f>
        <v>-0.75</v>
      </c>
      <c r="E1609" s="0" t="n">
        <f aca="false">1</f>
        <v>1</v>
      </c>
      <c r="F1609" s="0" t="n">
        <f aca="false">C1609</f>
        <v>0.95</v>
      </c>
      <c r="G1609" s="0" t="n">
        <f aca="false">D1609</f>
        <v>-0.75</v>
      </c>
      <c r="H1609" s="0" t="n">
        <f aca="false">C1609*D1609</f>
        <v>-0.7125</v>
      </c>
      <c r="I1609" s="0" t="n">
        <f aca="false">C1609*C1609</f>
        <v>0.9025</v>
      </c>
      <c r="J1609" s="0" t="n">
        <f aca="false">D1609*D1609</f>
        <v>0.5625</v>
      </c>
      <c r="K1609" s="0" t="n">
        <f aca="false">SUMPRODUCT(E1609:J1609,_XtX!$B$53:$G$53)</f>
        <v>44.6607966954023</v>
      </c>
      <c r="L1609" s="0" t="n">
        <f aca="false">SUMPRODUCT(MMULT(E1609:J1609,_XtX!$B$44:$G$49),E1609:J1609)</f>
        <v>0.509816289511494</v>
      </c>
      <c r="M1609" s="0" t="n">
        <f aca="false">04_回帰ANOVA!$K$19*04_回帰ANOVA!$K$14*SQRT(1+L1609)</f>
        <v>1.66509350076304</v>
      </c>
      <c r="N1609" s="0" t="n">
        <f aca="false">K1609-M1609</f>
        <v>42.9957031946392</v>
      </c>
      <c r="O1609" s="0" t="n">
        <f aca="false">K1609+M1609</f>
        <v>46.3258901961653</v>
      </c>
      <c r="P1609" s="54" t="b">
        <f aca="false">AND(C1609&gt;=01_因子設定!$L$5-0.000000001,C1609&lt;=01_因子設定!$M$5+0.000000001,D1609&gt;=01_因子設定!$L$6-0.000000001,D1609&lt;=01_因子設定!$M$6+0.000000001,IF(01_因子設定!$B$20="Box-Behnken",C1609^2+D1609^2&lt;=2+0.000000001,TRUE()))</f>
        <v>1</v>
      </c>
      <c r="Q1609" s="55" t="n">
        <f aca="false">IF(P1609,IF(01_因子設定!$B$13="最大化",N1609-01_因子設定!$B$14,IF(01_因子設定!$B$13="最小化",01_因子設定!$B$15-O1609,MIN(N1609-01_因子設定!$B$14,01_因子設定!$B$15-O1609))),-1E+030)</f>
        <v>-3.50429680536076</v>
      </c>
      <c r="R1609" s="55" t="n">
        <f aca="false">IF(P1609,IF(01_因子設定!$B$13="最大化",K1609,IF(01_因子設定!$B$13="最小化",-K1609,-ABS(K1609-01_因子設定!$B$16))),-1E+030)</f>
        <v>44.6607966954023</v>
      </c>
      <c r="S1609" s="55" t="n">
        <f aca="false">Q1609+ROW()*0.000000001</f>
        <v>-3.50429519636076</v>
      </c>
      <c r="T1609" s="55" t="n">
        <f aca="false">R1609+ROW()*0.000000001</f>
        <v>44.6607983044023</v>
      </c>
    </row>
    <row r="1610" customFormat="false" ht="15" hidden="false" customHeight="false" outlineLevel="0" collapsed="false">
      <c r="A1610" s="0" t="n">
        <v>39</v>
      </c>
      <c r="B1610" s="0" t="n">
        <v>6</v>
      </c>
      <c r="C1610" s="0" t="n">
        <f aca="false">-1+A1610*0.05</f>
        <v>0.95</v>
      </c>
      <c r="D1610" s="0" t="n">
        <f aca="false">-1+B1610*0.05</f>
        <v>-0.7</v>
      </c>
      <c r="E1610" s="0" t="n">
        <f aca="false">1</f>
        <v>1</v>
      </c>
      <c r="F1610" s="0" t="n">
        <f aca="false">C1610</f>
        <v>0.95</v>
      </c>
      <c r="G1610" s="0" t="n">
        <f aca="false">D1610</f>
        <v>-0.7</v>
      </c>
      <c r="H1610" s="0" t="n">
        <f aca="false">C1610*D1610</f>
        <v>-0.665</v>
      </c>
      <c r="I1610" s="0" t="n">
        <f aca="false">C1610*C1610</f>
        <v>0.9025</v>
      </c>
      <c r="J1610" s="0" t="n">
        <f aca="false">D1610*D1610</f>
        <v>0.49</v>
      </c>
      <c r="K1610" s="0" t="n">
        <f aca="false">SUMPRODUCT(E1610:J1610,_XtX!$B$53:$G$53)</f>
        <v>44.9101091954023</v>
      </c>
      <c r="L1610" s="0" t="n">
        <f aca="false">SUMPRODUCT(MMULT(E1610:J1610,_XtX!$B$44:$G$49),E1610:J1610)</f>
        <v>0.486797018678161</v>
      </c>
      <c r="M1610" s="0" t="n">
        <f aca="false">04_回帰ANOVA!$K$19*04_回帰ANOVA!$K$14*SQRT(1+L1610)</f>
        <v>1.65235140136234</v>
      </c>
      <c r="N1610" s="0" t="n">
        <f aca="false">K1610-M1610</f>
        <v>43.25775779404</v>
      </c>
      <c r="O1610" s="0" t="n">
        <f aca="false">K1610+M1610</f>
        <v>46.5624605967646</v>
      </c>
      <c r="P1610" s="54" t="b">
        <f aca="false">AND(C1610&gt;=01_因子設定!$L$5-0.000000001,C1610&lt;=01_因子設定!$M$5+0.000000001,D1610&gt;=01_因子設定!$L$6-0.000000001,D1610&lt;=01_因子設定!$M$6+0.000000001,IF(01_因子設定!$B$20="Box-Behnken",C1610^2+D1610^2&lt;=2+0.000000001,TRUE()))</f>
        <v>1</v>
      </c>
      <c r="Q1610" s="55" t="n">
        <f aca="false">IF(P1610,IF(01_因子設定!$B$13="最大化",N1610-01_因子設定!$B$14,IF(01_因子設定!$B$13="最小化",01_因子設定!$B$15-O1610,MIN(N1610-01_因子設定!$B$14,01_因子設定!$B$15-O1610))),-1E+030)</f>
        <v>-3.24224220596005</v>
      </c>
      <c r="R1610" s="55" t="n">
        <f aca="false">IF(P1610,IF(01_因子設定!$B$13="最大化",K1610,IF(01_因子設定!$B$13="最小化",-K1610,-ABS(K1610-01_因子設定!$B$16))),-1E+030)</f>
        <v>44.9101091954023</v>
      </c>
      <c r="S1610" s="55" t="n">
        <f aca="false">Q1610+ROW()*0.000000001</f>
        <v>-3.24224059596005</v>
      </c>
      <c r="T1610" s="55" t="n">
        <f aca="false">R1610+ROW()*0.000000001</f>
        <v>44.9101108054023</v>
      </c>
    </row>
    <row r="1611" customFormat="false" ht="15" hidden="false" customHeight="false" outlineLevel="0" collapsed="false">
      <c r="A1611" s="0" t="n">
        <v>39</v>
      </c>
      <c r="B1611" s="0" t="n">
        <v>7</v>
      </c>
      <c r="C1611" s="0" t="n">
        <f aca="false">-1+A1611*0.05</f>
        <v>0.95</v>
      </c>
      <c r="D1611" s="0" t="n">
        <f aca="false">-1+B1611*0.05</f>
        <v>-0.65</v>
      </c>
      <c r="E1611" s="0" t="n">
        <f aca="false">1</f>
        <v>1</v>
      </c>
      <c r="F1611" s="0" t="n">
        <f aca="false">C1611</f>
        <v>0.95</v>
      </c>
      <c r="G1611" s="0" t="n">
        <f aca="false">D1611</f>
        <v>-0.65</v>
      </c>
      <c r="H1611" s="0" t="n">
        <f aca="false">C1611*D1611</f>
        <v>-0.6175</v>
      </c>
      <c r="I1611" s="0" t="n">
        <f aca="false">C1611*C1611</f>
        <v>0.9025</v>
      </c>
      <c r="J1611" s="0" t="n">
        <f aca="false">D1611*D1611</f>
        <v>0.4225</v>
      </c>
      <c r="K1611" s="0" t="n">
        <f aca="false">SUMPRODUCT(E1611:J1611,_XtX!$B$53:$G$53)</f>
        <v>45.1517061781609</v>
      </c>
      <c r="L1611" s="0" t="n">
        <f aca="false">SUMPRODUCT(MMULT(E1611:J1611,_XtX!$B$44:$G$49),E1611:J1611)</f>
        <v>0.468786835488506</v>
      </c>
      <c r="M1611" s="0" t="n">
        <f aca="false">04_回帰ANOVA!$K$19*04_回帰ANOVA!$K$14*SQRT(1+L1611)</f>
        <v>1.64231310350799</v>
      </c>
      <c r="N1611" s="0" t="n">
        <f aca="false">K1611-M1611</f>
        <v>43.5093930746529</v>
      </c>
      <c r="O1611" s="0" t="n">
        <f aca="false">K1611+M1611</f>
        <v>46.7940192816689</v>
      </c>
      <c r="P1611" s="54" t="b">
        <f aca="false">AND(C1611&gt;=01_因子設定!$L$5-0.000000001,C1611&lt;=01_因子設定!$M$5+0.000000001,D1611&gt;=01_因子設定!$L$6-0.000000001,D1611&lt;=01_因子設定!$M$6+0.000000001,IF(01_因子設定!$B$20="Box-Behnken",C1611^2+D1611^2&lt;=2+0.000000001,TRUE()))</f>
        <v>1</v>
      </c>
      <c r="Q1611" s="55" t="n">
        <f aca="false">IF(P1611,IF(01_因子設定!$B$13="最大化",N1611-01_因子設定!$B$14,IF(01_因子設定!$B$13="最小化",01_因子設定!$B$15-O1611,MIN(N1611-01_因子設定!$B$14,01_因子設定!$B$15-O1611))),-1E+030)</f>
        <v>-2.99060692534709</v>
      </c>
      <c r="R1611" s="55" t="n">
        <f aca="false">IF(P1611,IF(01_因子設定!$B$13="最大化",K1611,IF(01_因子設定!$B$13="最小化",-K1611,-ABS(K1611-01_因子設定!$B$16))),-1E+030)</f>
        <v>45.1517061781609</v>
      </c>
      <c r="S1611" s="55" t="n">
        <f aca="false">Q1611+ROW()*0.000000001</f>
        <v>-2.99060531434709</v>
      </c>
      <c r="T1611" s="55" t="n">
        <f aca="false">R1611+ROW()*0.000000001</f>
        <v>45.1517077891609</v>
      </c>
    </row>
    <row r="1612" customFormat="false" ht="15" hidden="false" customHeight="false" outlineLevel="0" collapsed="false">
      <c r="A1612" s="0" t="n">
        <v>39</v>
      </c>
      <c r="B1612" s="0" t="n">
        <v>8</v>
      </c>
      <c r="C1612" s="0" t="n">
        <f aca="false">-1+A1612*0.05</f>
        <v>0.95</v>
      </c>
      <c r="D1612" s="0" t="n">
        <f aca="false">-1+B1612*0.05</f>
        <v>-0.6</v>
      </c>
      <c r="E1612" s="0" t="n">
        <f aca="false">1</f>
        <v>1</v>
      </c>
      <c r="F1612" s="0" t="n">
        <f aca="false">C1612</f>
        <v>0.95</v>
      </c>
      <c r="G1612" s="0" t="n">
        <f aca="false">D1612</f>
        <v>-0.6</v>
      </c>
      <c r="H1612" s="0" t="n">
        <f aca="false">C1612*D1612</f>
        <v>-0.57</v>
      </c>
      <c r="I1612" s="0" t="n">
        <f aca="false">C1612*C1612</f>
        <v>0.9025</v>
      </c>
      <c r="J1612" s="0" t="n">
        <f aca="false">D1612*D1612</f>
        <v>0.36</v>
      </c>
      <c r="K1612" s="0" t="n">
        <f aca="false">SUMPRODUCT(E1612:J1612,_XtX!$B$53:$G$53)</f>
        <v>45.3855876436781</v>
      </c>
      <c r="L1612" s="0" t="n">
        <f aca="false">SUMPRODUCT(MMULT(E1612:J1612,_XtX!$B$44:$G$49),E1612:J1612)</f>
        <v>0.455052550287356</v>
      </c>
      <c r="M1612" s="0" t="n">
        <f aca="false">04_回帰ANOVA!$K$19*04_回帰ANOVA!$K$14*SQRT(1+L1612)</f>
        <v>1.63461662470009</v>
      </c>
      <c r="N1612" s="0" t="n">
        <f aca="false">K1612-M1612</f>
        <v>43.7509710189781</v>
      </c>
      <c r="O1612" s="0" t="n">
        <f aca="false">K1612+M1612</f>
        <v>47.0202042683782</v>
      </c>
      <c r="P1612" s="54" t="b">
        <f aca="false">AND(C1612&gt;=01_因子設定!$L$5-0.000000001,C1612&lt;=01_因子設定!$M$5+0.000000001,D1612&gt;=01_因子設定!$L$6-0.000000001,D1612&lt;=01_因子設定!$M$6+0.000000001,IF(01_因子設定!$B$20="Box-Behnken",C1612^2+D1612^2&lt;=2+0.000000001,TRUE()))</f>
        <v>1</v>
      </c>
      <c r="Q1612" s="55" t="n">
        <f aca="false">IF(P1612,IF(01_因子設定!$B$13="最大化",N1612-01_因子設定!$B$14,IF(01_因子設定!$B$13="最小化",01_因子設定!$B$15-O1612,MIN(N1612-01_因子設定!$B$14,01_因子設定!$B$15-O1612))),-1E+030)</f>
        <v>-2.74902898102194</v>
      </c>
      <c r="R1612" s="55" t="n">
        <f aca="false">IF(P1612,IF(01_因子設定!$B$13="最大化",K1612,IF(01_因子設定!$B$13="最小化",-K1612,-ABS(K1612-01_因子設定!$B$16))),-1E+030)</f>
        <v>45.3855876436781</v>
      </c>
      <c r="S1612" s="55" t="n">
        <f aca="false">Q1612+ROW()*0.000000001</f>
        <v>-2.74902736902194</v>
      </c>
      <c r="T1612" s="55" t="n">
        <f aca="false">R1612+ROW()*0.000000001</f>
        <v>45.3855892556781</v>
      </c>
    </row>
    <row r="1613" customFormat="false" ht="15" hidden="false" customHeight="false" outlineLevel="0" collapsed="false">
      <c r="A1613" s="0" t="n">
        <v>39</v>
      </c>
      <c r="B1613" s="0" t="n">
        <v>9</v>
      </c>
      <c r="C1613" s="0" t="n">
        <f aca="false">-1+A1613*0.05</f>
        <v>0.95</v>
      </c>
      <c r="D1613" s="0" t="n">
        <f aca="false">-1+B1613*0.05</f>
        <v>-0.55</v>
      </c>
      <c r="E1613" s="0" t="n">
        <f aca="false">1</f>
        <v>1</v>
      </c>
      <c r="F1613" s="0" t="n">
        <f aca="false">C1613</f>
        <v>0.95</v>
      </c>
      <c r="G1613" s="0" t="n">
        <f aca="false">D1613</f>
        <v>-0.55</v>
      </c>
      <c r="H1613" s="0" t="n">
        <f aca="false">C1613*D1613</f>
        <v>-0.5225</v>
      </c>
      <c r="I1613" s="0" t="n">
        <f aca="false">C1613*C1613</f>
        <v>0.9025</v>
      </c>
      <c r="J1613" s="0" t="n">
        <f aca="false">D1613*D1613</f>
        <v>0.3025</v>
      </c>
      <c r="K1613" s="0" t="n">
        <f aca="false">SUMPRODUCT(E1613:J1613,_XtX!$B$53:$G$53)</f>
        <v>45.611753591954</v>
      </c>
      <c r="L1613" s="0" t="n">
        <f aca="false">SUMPRODUCT(MMULT(E1613:J1613,_XtX!$B$44:$G$49),E1613:J1613)</f>
        <v>0.444915283764368</v>
      </c>
      <c r="M1613" s="0" t="n">
        <f aca="false">04_回帰ANOVA!$K$19*04_回帰ANOVA!$K$14*SQRT(1+L1613)</f>
        <v>1.62891253282135</v>
      </c>
      <c r="N1613" s="0" t="n">
        <f aca="false">K1613-M1613</f>
        <v>43.9828410591327</v>
      </c>
      <c r="O1613" s="0" t="n">
        <f aca="false">K1613+M1613</f>
        <v>47.2406661247754</v>
      </c>
      <c r="P1613" s="54" t="b">
        <f aca="false">AND(C1613&gt;=01_因子設定!$L$5-0.000000001,C1613&lt;=01_因子設定!$M$5+0.000000001,D1613&gt;=01_因子設定!$L$6-0.000000001,D1613&lt;=01_因子設定!$M$6+0.000000001,IF(01_因子設定!$B$20="Box-Behnken",C1613^2+D1613^2&lt;=2+0.000000001,TRUE()))</f>
        <v>1</v>
      </c>
      <c r="Q1613" s="55" t="n">
        <f aca="false">IF(P1613,IF(01_因子設定!$B$13="最大化",N1613-01_因子設定!$B$14,IF(01_因子設定!$B$13="最小化",01_因子設定!$B$15-O1613,MIN(N1613-01_因子設定!$B$14,01_因子設定!$B$15-O1613))),-1E+030)</f>
        <v>-2.51715894086734</v>
      </c>
      <c r="R1613" s="55" t="n">
        <f aca="false">IF(P1613,IF(01_因子設定!$B$13="最大化",K1613,IF(01_因子設定!$B$13="最小化",-K1613,-ABS(K1613-01_因子設定!$B$16))),-1E+030)</f>
        <v>45.611753591954</v>
      </c>
      <c r="S1613" s="55" t="n">
        <f aca="false">Q1613+ROW()*0.000000001</f>
        <v>-2.51715732786734</v>
      </c>
      <c r="T1613" s="55" t="n">
        <f aca="false">R1613+ROW()*0.000000001</f>
        <v>45.611755204954</v>
      </c>
    </row>
    <row r="1614" customFormat="false" ht="15" hidden="false" customHeight="false" outlineLevel="0" collapsed="false">
      <c r="A1614" s="0" t="n">
        <v>39</v>
      </c>
      <c r="B1614" s="0" t="n">
        <v>10</v>
      </c>
      <c r="C1614" s="0" t="n">
        <f aca="false">-1+A1614*0.05</f>
        <v>0.95</v>
      </c>
      <c r="D1614" s="0" t="n">
        <f aca="false">-1+B1614*0.05</f>
        <v>-0.5</v>
      </c>
      <c r="E1614" s="0" t="n">
        <f aca="false">1</f>
        <v>1</v>
      </c>
      <c r="F1614" s="0" t="n">
        <f aca="false">C1614</f>
        <v>0.95</v>
      </c>
      <c r="G1614" s="0" t="n">
        <f aca="false">D1614</f>
        <v>-0.5</v>
      </c>
      <c r="H1614" s="0" t="n">
        <f aca="false">C1614*D1614</f>
        <v>-0.475</v>
      </c>
      <c r="I1614" s="0" t="n">
        <f aca="false">C1614*C1614</f>
        <v>0.9025</v>
      </c>
      <c r="J1614" s="0" t="n">
        <f aca="false">D1614*D1614</f>
        <v>0.25</v>
      </c>
      <c r="K1614" s="0" t="n">
        <f aca="false">SUMPRODUCT(E1614:J1614,_XtX!$B$53:$G$53)</f>
        <v>45.8302040229885</v>
      </c>
      <c r="L1614" s="0" t="n">
        <f aca="false">SUMPRODUCT(MMULT(E1614:J1614,_XtX!$B$44:$G$49),E1614:J1614)</f>
        <v>0.437750466954023</v>
      </c>
      <c r="M1614" s="0" t="n">
        <f aca="false">04_回帰ANOVA!$K$19*04_回帰ANOVA!$K$14*SQRT(1+L1614)</f>
        <v>1.62486891728431</v>
      </c>
      <c r="N1614" s="0" t="n">
        <f aca="false">K1614-M1614</f>
        <v>44.2053351057042</v>
      </c>
      <c r="O1614" s="0" t="n">
        <f aca="false">K1614+M1614</f>
        <v>47.4550729402728</v>
      </c>
      <c r="P1614" s="54" t="b">
        <f aca="false">AND(C1614&gt;=01_因子設定!$L$5-0.000000001,C1614&lt;=01_因子設定!$M$5+0.000000001,D1614&gt;=01_因子設定!$L$6-0.000000001,D1614&lt;=01_因子設定!$M$6+0.000000001,IF(01_因子設定!$B$20="Box-Behnken",C1614^2+D1614^2&lt;=2+0.000000001,TRUE()))</f>
        <v>1</v>
      </c>
      <c r="Q1614" s="55" t="n">
        <f aca="false">IF(P1614,IF(01_因子設定!$B$13="最大化",N1614-01_因子設定!$B$14,IF(01_因子設定!$B$13="最小化",01_因子設定!$B$15-O1614,MIN(N1614-01_因子設定!$B$14,01_因子設定!$B$15-O1614))),-1E+030)</f>
        <v>-2.29466489429582</v>
      </c>
      <c r="R1614" s="55" t="n">
        <f aca="false">IF(P1614,IF(01_因子設定!$B$13="最大化",K1614,IF(01_因子設定!$B$13="最小化",-K1614,-ABS(K1614-01_因子設定!$B$16))),-1E+030)</f>
        <v>45.8302040229885</v>
      </c>
      <c r="S1614" s="55" t="n">
        <f aca="false">Q1614+ROW()*0.000000001</f>
        <v>-2.29466328029582</v>
      </c>
      <c r="T1614" s="55" t="n">
        <f aca="false">R1614+ROW()*0.000000001</f>
        <v>45.8302056369885</v>
      </c>
    </row>
    <row r="1615" customFormat="false" ht="15" hidden="false" customHeight="false" outlineLevel="0" collapsed="false">
      <c r="A1615" s="0" t="n">
        <v>39</v>
      </c>
      <c r="B1615" s="0" t="n">
        <v>11</v>
      </c>
      <c r="C1615" s="0" t="n">
        <f aca="false">-1+A1615*0.05</f>
        <v>0.95</v>
      </c>
      <c r="D1615" s="0" t="n">
        <f aca="false">-1+B1615*0.05</f>
        <v>-0.45</v>
      </c>
      <c r="E1615" s="0" t="n">
        <f aca="false">1</f>
        <v>1</v>
      </c>
      <c r="F1615" s="0" t="n">
        <f aca="false">C1615</f>
        <v>0.95</v>
      </c>
      <c r="G1615" s="0" t="n">
        <f aca="false">D1615</f>
        <v>-0.45</v>
      </c>
      <c r="H1615" s="0" t="n">
        <f aca="false">C1615*D1615</f>
        <v>-0.4275</v>
      </c>
      <c r="I1615" s="0" t="n">
        <f aca="false">C1615*C1615</f>
        <v>0.9025</v>
      </c>
      <c r="J1615" s="0" t="n">
        <f aca="false">D1615*D1615</f>
        <v>0.2025</v>
      </c>
      <c r="K1615" s="0" t="n">
        <f aca="false">SUMPRODUCT(E1615:J1615,_XtX!$B$53:$G$53)</f>
        <v>46.0409389367816</v>
      </c>
      <c r="L1615" s="0" t="n">
        <f aca="false">SUMPRODUCT(MMULT(E1615:J1615,_XtX!$B$44:$G$49),E1615:J1615)</f>
        <v>0.432987841235632</v>
      </c>
      <c r="M1615" s="0" t="n">
        <f aca="false">04_回帰ANOVA!$K$19*04_回帰ANOVA!$K$14*SQRT(1+L1615)</f>
        <v>1.62217545204943</v>
      </c>
      <c r="N1615" s="0" t="n">
        <f aca="false">K1615-M1615</f>
        <v>44.4187634847322</v>
      </c>
      <c r="O1615" s="0" t="n">
        <f aca="false">K1615+M1615</f>
        <v>47.663114388831</v>
      </c>
      <c r="P1615" s="54" t="b">
        <f aca="false">AND(C1615&gt;=01_因子設定!$L$5-0.000000001,C1615&lt;=01_因子設定!$M$5+0.000000001,D1615&gt;=01_因子設定!$L$6-0.000000001,D1615&lt;=01_因子設定!$M$6+0.000000001,IF(01_因子設定!$B$20="Box-Behnken",C1615^2+D1615^2&lt;=2+0.000000001,TRUE()))</f>
        <v>1</v>
      </c>
      <c r="Q1615" s="55" t="n">
        <f aca="false">IF(P1615,IF(01_因子設定!$B$13="最大化",N1615-01_因子設定!$B$14,IF(01_因子設定!$B$13="最小化",01_因子設定!$B$15-O1615,MIN(N1615-01_因子設定!$B$14,01_因子設定!$B$15-O1615))),-1E+030)</f>
        <v>-2.08123651526784</v>
      </c>
      <c r="R1615" s="55" t="n">
        <f aca="false">IF(P1615,IF(01_因子設定!$B$13="最大化",K1615,IF(01_因子設定!$B$13="最小化",-K1615,-ABS(K1615-01_因子設定!$B$16))),-1E+030)</f>
        <v>46.0409389367816</v>
      </c>
      <c r="S1615" s="55" t="n">
        <f aca="false">Q1615+ROW()*0.000000001</f>
        <v>-2.08123490026784</v>
      </c>
      <c r="T1615" s="55" t="n">
        <f aca="false">R1615+ROW()*0.000000001</f>
        <v>46.0409405517816</v>
      </c>
    </row>
    <row r="1616" customFormat="false" ht="15" hidden="false" customHeight="false" outlineLevel="0" collapsed="false">
      <c r="A1616" s="0" t="n">
        <v>39</v>
      </c>
      <c r="B1616" s="0" t="n">
        <v>12</v>
      </c>
      <c r="C1616" s="0" t="n">
        <f aca="false">-1+A1616*0.05</f>
        <v>0.95</v>
      </c>
      <c r="D1616" s="0" t="n">
        <f aca="false">-1+B1616*0.05</f>
        <v>-0.4</v>
      </c>
      <c r="E1616" s="0" t="n">
        <f aca="false">1</f>
        <v>1</v>
      </c>
      <c r="F1616" s="0" t="n">
        <f aca="false">C1616</f>
        <v>0.95</v>
      </c>
      <c r="G1616" s="0" t="n">
        <f aca="false">D1616</f>
        <v>-0.4</v>
      </c>
      <c r="H1616" s="0" t="n">
        <f aca="false">C1616*D1616</f>
        <v>-0.38</v>
      </c>
      <c r="I1616" s="0" t="n">
        <f aca="false">C1616*C1616</f>
        <v>0.9025</v>
      </c>
      <c r="J1616" s="0" t="n">
        <f aca="false">D1616*D1616</f>
        <v>0.16</v>
      </c>
      <c r="K1616" s="0" t="n">
        <f aca="false">SUMPRODUCT(E1616:J1616,_XtX!$B$53:$G$53)</f>
        <v>46.2439583333333</v>
      </c>
      <c r="L1616" s="0" t="n">
        <f aca="false">SUMPRODUCT(MMULT(E1616:J1616,_XtX!$B$44:$G$49),E1616:J1616)</f>
        <v>0.430111458333334</v>
      </c>
      <c r="M1616" s="0" t="n">
        <f aca="false">04_回帰ANOVA!$K$19*04_回帰ANOVA!$K$14*SQRT(1+L1616)</f>
        <v>1.62054656818033</v>
      </c>
      <c r="N1616" s="0" t="n">
        <f aca="false">K1616-M1616</f>
        <v>44.623411765153</v>
      </c>
      <c r="O1616" s="0" t="n">
        <f aca="false">K1616+M1616</f>
        <v>47.8645049015137</v>
      </c>
      <c r="P1616" s="54" t="b">
        <f aca="false">AND(C1616&gt;=01_因子設定!$L$5-0.000000001,C1616&lt;=01_因子設定!$M$5+0.000000001,D1616&gt;=01_因子設定!$L$6-0.000000001,D1616&lt;=01_因子設定!$M$6+0.000000001,IF(01_因子設定!$B$20="Box-Behnken",C1616^2+D1616^2&lt;=2+0.000000001,TRUE()))</f>
        <v>1</v>
      </c>
      <c r="Q1616" s="55" t="n">
        <f aca="false">IF(P1616,IF(01_因子設定!$B$13="最大化",N1616-01_因子設定!$B$14,IF(01_因子設定!$B$13="最小化",01_因子設定!$B$15-O1616,MIN(N1616-01_因子設定!$B$14,01_因子設定!$B$15-O1616))),-1E+030)</f>
        <v>-1.87658823484701</v>
      </c>
      <c r="R1616" s="55" t="n">
        <f aca="false">IF(P1616,IF(01_因子設定!$B$13="最大化",K1616,IF(01_因子設定!$B$13="最小化",-K1616,-ABS(K1616-01_因子設定!$B$16))),-1E+030)</f>
        <v>46.2439583333333</v>
      </c>
      <c r="S1616" s="55" t="n">
        <f aca="false">Q1616+ROW()*0.000000001</f>
        <v>-1.87658661884701</v>
      </c>
      <c r="T1616" s="55" t="n">
        <f aca="false">R1616+ROW()*0.000000001</f>
        <v>46.2439599493333</v>
      </c>
    </row>
    <row r="1617" customFormat="false" ht="15" hidden="false" customHeight="false" outlineLevel="0" collapsed="false">
      <c r="A1617" s="0" t="n">
        <v>39</v>
      </c>
      <c r="B1617" s="0" t="n">
        <v>13</v>
      </c>
      <c r="C1617" s="0" t="n">
        <f aca="false">-1+A1617*0.05</f>
        <v>0.95</v>
      </c>
      <c r="D1617" s="0" t="n">
        <f aca="false">-1+B1617*0.05</f>
        <v>-0.35</v>
      </c>
      <c r="E1617" s="0" t="n">
        <f aca="false">1</f>
        <v>1</v>
      </c>
      <c r="F1617" s="0" t="n">
        <f aca="false">C1617</f>
        <v>0.95</v>
      </c>
      <c r="G1617" s="0" t="n">
        <f aca="false">D1617</f>
        <v>-0.35</v>
      </c>
      <c r="H1617" s="0" t="n">
        <f aca="false">C1617*D1617</f>
        <v>-0.3325</v>
      </c>
      <c r="I1617" s="0" t="n">
        <f aca="false">C1617*C1617</f>
        <v>0.9025</v>
      </c>
      <c r="J1617" s="0" t="n">
        <f aca="false">D1617*D1617</f>
        <v>0.1225</v>
      </c>
      <c r="K1617" s="0" t="n">
        <f aca="false">SUMPRODUCT(E1617:J1617,_XtX!$B$53:$G$53)</f>
        <v>46.4392622126437</v>
      </c>
      <c r="L1617" s="0" t="n">
        <f aca="false">SUMPRODUCT(MMULT(E1617:J1617,_XtX!$B$44:$G$49),E1617:J1617)</f>
        <v>0.428659680316092</v>
      </c>
      <c r="M1617" s="0" t="n">
        <f aca="false">04_回帰ANOVA!$K$19*04_回帰ANOVA!$K$14*SQRT(1+L1617)</f>
        <v>1.6197238101874</v>
      </c>
      <c r="N1617" s="0" t="n">
        <f aca="false">K1617-M1617</f>
        <v>44.8195384024563</v>
      </c>
      <c r="O1617" s="0" t="n">
        <f aca="false">K1617+M1617</f>
        <v>48.0589860228311</v>
      </c>
      <c r="P1617" s="54" t="b">
        <f aca="false">AND(C1617&gt;=01_因子設定!$L$5-0.000000001,C1617&lt;=01_因子設定!$M$5+0.000000001,D1617&gt;=01_因子設定!$L$6-0.000000001,D1617&lt;=01_因子設定!$M$6+0.000000001,IF(01_因子設定!$B$20="Box-Behnken",C1617^2+D1617^2&lt;=2+0.000000001,TRUE()))</f>
        <v>1</v>
      </c>
      <c r="Q1617" s="55" t="n">
        <f aca="false">IF(P1617,IF(01_因子設定!$B$13="最大化",N1617-01_因子設定!$B$14,IF(01_因子設定!$B$13="最小化",01_因子設定!$B$15-O1617,MIN(N1617-01_因子設定!$B$14,01_因子設定!$B$15-O1617))),-1E+030)</f>
        <v>-1.68046159754374</v>
      </c>
      <c r="R1617" s="55" t="n">
        <f aca="false">IF(P1617,IF(01_因子設定!$B$13="最大化",K1617,IF(01_因子設定!$B$13="最小化",-K1617,-ABS(K1617-01_因子設定!$B$16))),-1E+030)</f>
        <v>46.4392622126437</v>
      </c>
      <c r="S1617" s="55" t="n">
        <f aca="false">Q1617+ROW()*0.000000001</f>
        <v>-1.68045998054374</v>
      </c>
      <c r="T1617" s="55" t="n">
        <f aca="false">R1617+ROW()*0.000000001</f>
        <v>46.4392638296437</v>
      </c>
    </row>
    <row r="1618" customFormat="false" ht="15" hidden="false" customHeight="false" outlineLevel="0" collapsed="false">
      <c r="A1618" s="0" t="n">
        <v>39</v>
      </c>
      <c r="B1618" s="0" t="n">
        <v>14</v>
      </c>
      <c r="C1618" s="0" t="n">
        <f aca="false">-1+A1618*0.05</f>
        <v>0.95</v>
      </c>
      <c r="D1618" s="0" t="n">
        <f aca="false">-1+B1618*0.05</f>
        <v>-0.3</v>
      </c>
      <c r="E1618" s="0" t="n">
        <f aca="false">1</f>
        <v>1</v>
      </c>
      <c r="F1618" s="0" t="n">
        <f aca="false">C1618</f>
        <v>0.95</v>
      </c>
      <c r="G1618" s="0" t="n">
        <f aca="false">D1618</f>
        <v>-0.3</v>
      </c>
      <c r="H1618" s="0" t="n">
        <f aca="false">C1618*D1618</f>
        <v>-0.285</v>
      </c>
      <c r="I1618" s="0" t="n">
        <f aca="false">C1618*C1618</f>
        <v>0.9025</v>
      </c>
      <c r="J1618" s="0" t="n">
        <f aca="false">D1618*D1618</f>
        <v>0.09</v>
      </c>
      <c r="K1618" s="0" t="n">
        <f aca="false">SUMPRODUCT(E1618:J1618,_XtX!$B$53:$G$53)</f>
        <v>46.6268505747126</v>
      </c>
      <c r="L1618" s="0" t="n">
        <f aca="false">SUMPRODUCT(MMULT(E1618:J1618,_XtX!$B$44:$G$49),E1618:J1618)</f>
        <v>0.428225179597701</v>
      </c>
      <c r="M1618" s="0" t="n">
        <f aca="false">04_回帰ANOVA!$K$19*04_回帰ANOVA!$K$14*SQRT(1+L1618)</f>
        <v>1.61947748676737</v>
      </c>
      <c r="N1618" s="0" t="n">
        <f aca="false">K1618-M1618</f>
        <v>45.0073730879453</v>
      </c>
      <c r="O1618" s="0" t="n">
        <f aca="false">K1618+M1618</f>
        <v>48.24632806148</v>
      </c>
      <c r="P1618" s="54" t="b">
        <f aca="false">AND(C1618&gt;=01_因子設定!$L$5-0.000000001,C1618&lt;=01_因子設定!$M$5+0.000000001,D1618&gt;=01_因子設定!$L$6-0.000000001,D1618&lt;=01_因子設定!$M$6+0.000000001,IF(01_因子設定!$B$20="Box-Behnken",C1618^2+D1618^2&lt;=2+0.000000001,TRUE()))</f>
        <v>1</v>
      </c>
      <c r="Q1618" s="55" t="n">
        <f aca="false">IF(P1618,IF(01_因子設定!$B$13="最大化",N1618-01_因子設定!$B$14,IF(01_因子設定!$B$13="最小化",01_因子設定!$B$15-O1618,MIN(N1618-01_因子設定!$B$14,01_因子設定!$B$15-O1618))),-1E+030)</f>
        <v>-1.49262691205474</v>
      </c>
      <c r="R1618" s="55" t="n">
        <f aca="false">IF(P1618,IF(01_因子設定!$B$13="最大化",K1618,IF(01_因子設定!$B$13="最小化",-K1618,-ABS(K1618-01_因子設定!$B$16))),-1E+030)</f>
        <v>46.6268505747126</v>
      </c>
      <c r="S1618" s="55" t="n">
        <f aca="false">Q1618+ROW()*0.000000001</f>
        <v>-1.49262529405474</v>
      </c>
      <c r="T1618" s="55" t="n">
        <f aca="false">R1618+ROW()*0.000000001</f>
        <v>46.6268521927126</v>
      </c>
    </row>
    <row r="1619" customFormat="false" ht="15" hidden="false" customHeight="false" outlineLevel="0" collapsed="false">
      <c r="A1619" s="0" t="n">
        <v>39</v>
      </c>
      <c r="B1619" s="0" t="n">
        <v>15</v>
      </c>
      <c r="C1619" s="0" t="n">
        <f aca="false">-1+A1619*0.05</f>
        <v>0.95</v>
      </c>
      <c r="D1619" s="0" t="n">
        <f aca="false">-1+B1619*0.05</f>
        <v>-0.25</v>
      </c>
      <c r="E1619" s="0" t="n">
        <f aca="false">1</f>
        <v>1</v>
      </c>
      <c r="F1619" s="0" t="n">
        <f aca="false">C1619</f>
        <v>0.95</v>
      </c>
      <c r="G1619" s="0" t="n">
        <f aca="false">D1619</f>
        <v>-0.25</v>
      </c>
      <c r="H1619" s="0" t="n">
        <f aca="false">C1619*D1619</f>
        <v>-0.2375</v>
      </c>
      <c r="I1619" s="0" t="n">
        <f aca="false">C1619*C1619</f>
        <v>0.9025</v>
      </c>
      <c r="J1619" s="0" t="n">
        <f aca="false">D1619*D1619</f>
        <v>0.0625</v>
      </c>
      <c r="K1619" s="0" t="n">
        <f aca="false">SUMPRODUCT(E1619:J1619,_XtX!$B$53:$G$53)</f>
        <v>46.8067234195402</v>
      </c>
      <c r="L1619" s="0" t="n">
        <f aca="false">SUMPRODUCT(MMULT(E1619:J1619,_XtX!$B$44:$G$49),E1619:J1619)</f>
        <v>0.428454938936782</v>
      </c>
      <c r="M1619" s="0" t="n">
        <f aca="false">04_回帰ANOVA!$K$19*04_回帰ANOVA!$K$14*SQRT(1+L1619)</f>
        <v>1.6196077446283</v>
      </c>
      <c r="N1619" s="0" t="n">
        <f aca="false">K1619-M1619</f>
        <v>45.1871156749119</v>
      </c>
      <c r="O1619" s="0" t="n">
        <f aca="false">K1619+M1619</f>
        <v>48.4263311641685</v>
      </c>
      <c r="P1619" s="54" t="b">
        <f aca="false">AND(C1619&gt;=01_因子設定!$L$5-0.000000001,C1619&lt;=01_因子設定!$M$5+0.000000001,D1619&gt;=01_因子設定!$L$6-0.000000001,D1619&lt;=01_因子設定!$M$6+0.000000001,IF(01_因子設定!$B$20="Box-Behnken",C1619^2+D1619^2&lt;=2+0.000000001,TRUE()))</f>
        <v>1</v>
      </c>
      <c r="Q1619" s="55" t="n">
        <f aca="false">IF(P1619,IF(01_因子設定!$B$13="最大化",N1619-01_因子設定!$B$14,IF(01_因子設定!$B$13="最小化",01_因子設定!$B$15-O1619,MIN(N1619-01_因子設定!$B$14,01_因子設定!$B$15-O1619))),-1E+030)</f>
        <v>-1.31288432508808</v>
      </c>
      <c r="R1619" s="55" t="n">
        <f aca="false">IF(P1619,IF(01_因子設定!$B$13="最大化",K1619,IF(01_因子設定!$B$13="最小化",-K1619,-ABS(K1619-01_因子設定!$B$16))),-1E+030)</f>
        <v>46.8067234195402</v>
      </c>
      <c r="S1619" s="55" t="n">
        <f aca="false">Q1619+ROW()*0.000000001</f>
        <v>-1.31288270608808</v>
      </c>
      <c r="T1619" s="55" t="n">
        <f aca="false">R1619+ROW()*0.000000001</f>
        <v>46.8067250385402</v>
      </c>
    </row>
    <row r="1620" customFormat="false" ht="15" hidden="false" customHeight="false" outlineLevel="0" collapsed="false">
      <c r="A1620" s="0" t="n">
        <v>39</v>
      </c>
      <c r="B1620" s="0" t="n">
        <v>16</v>
      </c>
      <c r="C1620" s="0" t="n">
        <f aca="false">-1+A1620*0.05</f>
        <v>0.95</v>
      </c>
      <c r="D1620" s="0" t="n">
        <f aca="false">-1+B1620*0.05</f>
        <v>-0.2</v>
      </c>
      <c r="E1620" s="0" t="n">
        <f aca="false">1</f>
        <v>1</v>
      </c>
      <c r="F1620" s="0" t="n">
        <f aca="false">C1620</f>
        <v>0.95</v>
      </c>
      <c r="G1620" s="0" t="n">
        <f aca="false">D1620</f>
        <v>-0.2</v>
      </c>
      <c r="H1620" s="0" t="n">
        <f aca="false">C1620*D1620</f>
        <v>-0.19</v>
      </c>
      <c r="I1620" s="0" t="n">
        <f aca="false">C1620*C1620</f>
        <v>0.9025</v>
      </c>
      <c r="J1620" s="0" t="n">
        <f aca="false">D1620*D1620</f>
        <v>0.04</v>
      </c>
      <c r="K1620" s="0" t="n">
        <f aca="false">SUMPRODUCT(E1620:J1620,_XtX!$B$53:$G$53)</f>
        <v>46.9788807471264</v>
      </c>
      <c r="L1620" s="0" t="n">
        <f aca="false">SUMPRODUCT(MMULT(E1620:J1620,_XtX!$B$44:$G$49),E1620:J1620)</f>
        <v>0.429050251436782</v>
      </c>
      <c r="M1620" s="0" t="n">
        <f aca="false">04_回帰ANOVA!$K$19*04_回帰ANOVA!$K$14*SQRT(1+L1620)</f>
        <v>1.61994519745048</v>
      </c>
      <c r="N1620" s="0" t="n">
        <f aca="false">K1620-M1620</f>
        <v>45.3589355496759</v>
      </c>
      <c r="O1620" s="0" t="n">
        <f aca="false">K1620+M1620</f>
        <v>48.5988259445769</v>
      </c>
      <c r="P1620" s="54" t="b">
        <f aca="false">AND(C1620&gt;=01_因子設定!$L$5-0.000000001,C1620&lt;=01_因子設定!$M$5+0.000000001,D1620&gt;=01_因子設定!$L$6-0.000000001,D1620&lt;=01_因子設定!$M$6+0.000000001,IF(01_因子設定!$B$20="Box-Behnken",C1620^2+D1620^2&lt;=2+0.000000001,TRUE()))</f>
        <v>1</v>
      </c>
      <c r="Q1620" s="55" t="n">
        <f aca="false">IF(P1620,IF(01_因子設定!$B$13="最大化",N1620-01_因子設定!$B$14,IF(01_因子設定!$B$13="最小化",01_因子設定!$B$15-O1620,MIN(N1620-01_因子設定!$B$14,01_因子設定!$B$15-O1620))),-1E+030)</f>
        <v>-1.14106445032406</v>
      </c>
      <c r="R1620" s="55" t="n">
        <f aca="false">IF(P1620,IF(01_因子設定!$B$13="最大化",K1620,IF(01_因子設定!$B$13="最小化",-K1620,-ABS(K1620-01_因子設定!$B$16))),-1E+030)</f>
        <v>46.9788807471264</v>
      </c>
      <c r="S1620" s="55" t="n">
        <f aca="false">Q1620+ROW()*0.000000001</f>
        <v>-1.14106283032406</v>
      </c>
      <c r="T1620" s="55" t="n">
        <f aca="false">R1620+ROW()*0.000000001</f>
        <v>46.9788823671264</v>
      </c>
    </row>
    <row r="1621" customFormat="false" ht="15" hidden="false" customHeight="false" outlineLevel="0" collapsed="false">
      <c r="A1621" s="0" t="n">
        <v>39</v>
      </c>
      <c r="B1621" s="0" t="n">
        <v>17</v>
      </c>
      <c r="C1621" s="0" t="n">
        <f aca="false">-1+A1621*0.05</f>
        <v>0.95</v>
      </c>
      <c r="D1621" s="0" t="n">
        <f aca="false">-1+B1621*0.05</f>
        <v>-0.15</v>
      </c>
      <c r="E1621" s="0" t="n">
        <f aca="false">1</f>
        <v>1</v>
      </c>
      <c r="F1621" s="0" t="n">
        <f aca="false">C1621</f>
        <v>0.95</v>
      </c>
      <c r="G1621" s="0" t="n">
        <f aca="false">D1621</f>
        <v>-0.15</v>
      </c>
      <c r="H1621" s="0" t="n">
        <f aca="false">C1621*D1621</f>
        <v>-0.1425</v>
      </c>
      <c r="I1621" s="0" t="n">
        <f aca="false">C1621*C1621</f>
        <v>0.9025</v>
      </c>
      <c r="J1621" s="0" t="n">
        <f aca="false">D1621*D1621</f>
        <v>0.0225</v>
      </c>
      <c r="K1621" s="0" t="n">
        <f aca="false">SUMPRODUCT(E1621:J1621,_XtX!$B$53:$G$53)</f>
        <v>47.1433225574712</v>
      </c>
      <c r="L1621" s="0" t="n">
        <f aca="false">SUMPRODUCT(MMULT(E1621:J1621,_XtX!$B$44:$G$49),E1621:J1621)</f>
        <v>0.429766720545977</v>
      </c>
      <c r="M1621" s="0" t="n">
        <f aca="false">04_回帰ANOVA!$K$19*04_回帰ANOVA!$K$14*SQRT(1+L1621)</f>
        <v>1.62035123469551</v>
      </c>
      <c r="N1621" s="0" t="n">
        <f aca="false">K1621-M1621</f>
        <v>45.5229713227757</v>
      </c>
      <c r="O1621" s="0" t="n">
        <f aca="false">K1621+M1621</f>
        <v>48.7636737921668</v>
      </c>
      <c r="P1621" s="54" t="b">
        <f aca="false">AND(C1621&gt;=01_因子設定!$L$5-0.000000001,C1621&lt;=01_因子設定!$M$5+0.000000001,D1621&gt;=01_因子設定!$L$6-0.000000001,D1621&lt;=01_因子設定!$M$6+0.000000001,IF(01_因子設定!$B$20="Box-Behnken",C1621^2+D1621^2&lt;=2+0.000000001,TRUE()))</f>
        <v>1</v>
      </c>
      <c r="Q1621" s="55" t="n">
        <f aca="false">IF(P1621,IF(01_因子設定!$B$13="最大化",N1621-01_因子設定!$B$14,IF(01_因子設定!$B$13="最小化",01_因子設定!$B$15-O1621,MIN(N1621-01_因子設定!$B$14,01_因子設定!$B$15-O1621))),-1E+030)</f>
        <v>-0.977028677224268</v>
      </c>
      <c r="R1621" s="55" t="n">
        <f aca="false">IF(P1621,IF(01_因子設定!$B$13="最大化",K1621,IF(01_因子設定!$B$13="最小化",-K1621,-ABS(K1621-01_因子設定!$B$16))),-1E+030)</f>
        <v>47.1433225574712</v>
      </c>
      <c r="S1621" s="55" t="n">
        <f aca="false">Q1621+ROW()*0.000000001</f>
        <v>-0.977027056224268</v>
      </c>
      <c r="T1621" s="55" t="n">
        <f aca="false">R1621+ROW()*0.000000001</f>
        <v>47.1433241784713</v>
      </c>
    </row>
    <row r="1622" customFormat="false" ht="15" hidden="false" customHeight="false" outlineLevel="0" collapsed="false">
      <c r="A1622" s="0" t="n">
        <v>39</v>
      </c>
      <c r="B1622" s="0" t="n">
        <v>18</v>
      </c>
      <c r="C1622" s="0" t="n">
        <f aca="false">-1+A1622*0.05</f>
        <v>0.95</v>
      </c>
      <c r="D1622" s="0" t="n">
        <f aca="false">-1+B1622*0.05</f>
        <v>-0.1</v>
      </c>
      <c r="E1622" s="0" t="n">
        <f aca="false">1</f>
        <v>1</v>
      </c>
      <c r="F1622" s="0" t="n">
        <f aca="false">C1622</f>
        <v>0.95</v>
      </c>
      <c r="G1622" s="0" t="n">
        <f aca="false">D1622</f>
        <v>-0.1</v>
      </c>
      <c r="H1622" s="0" t="n">
        <f aca="false">C1622*D1622</f>
        <v>-0.095</v>
      </c>
      <c r="I1622" s="0" t="n">
        <f aca="false">C1622*C1622</f>
        <v>0.9025</v>
      </c>
      <c r="J1622" s="0" t="n">
        <f aca="false">D1622*D1622</f>
        <v>0.01</v>
      </c>
      <c r="K1622" s="0" t="n">
        <f aca="false">SUMPRODUCT(E1622:J1622,_XtX!$B$53:$G$53)</f>
        <v>47.3000488505747</v>
      </c>
      <c r="L1622" s="0" t="n">
        <f aca="false">SUMPRODUCT(MMULT(E1622:J1622,_XtX!$B$44:$G$49),E1622:J1622)</f>
        <v>0.430414260057471</v>
      </c>
      <c r="M1622" s="0" t="n">
        <f aca="false">04_回帰ANOVA!$K$19*04_回帰ANOVA!$K$14*SQRT(1+L1622)</f>
        <v>1.62071812065626</v>
      </c>
      <c r="N1622" s="0" t="n">
        <f aca="false">K1622-M1622</f>
        <v>45.6793307299184</v>
      </c>
      <c r="O1622" s="0" t="n">
        <f aca="false">K1622+M1622</f>
        <v>48.920766971231</v>
      </c>
      <c r="P1622" s="54" t="b">
        <f aca="false">AND(C1622&gt;=01_因子設定!$L$5-0.000000001,C1622&lt;=01_因子設定!$M$5+0.000000001,D1622&gt;=01_因子設定!$L$6-0.000000001,D1622&lt;=01_因子設定!$M$6+0.000000001,IF(01_因子設定!$B$20="Box-Behnken",C1622^2+D1622^2&lt;=2+0.000000001,TRUE()))</f>
        <v>1</v>
      </c>
      <c r="Q1622" s="55" t="n">
        <f aca="false">IF(P1622,IF(01_因子設定!$B$13="最大化",N1622-01_因子設定!$B$14,IF(01_因子設定!$B$13="最小化",01_因子設定!$B$15-O1622,MIN(N1622-01_因子設定!$B$14,01_因子設定!$B$15-O1622))),-1E+030)</f>
        <v>-0.820669270081567</v>
      </c>
      <c r="R1622" s="55" t="n">
        <f aca="false">IF(P1622,IF(01_因子設定!$B$13="最大化",K1622,IF(01_因子設定!$B$13="最小化",-K1622,-ABS(K1622-01_因子設定!$B$16))),-1E+030)</f>
        <v>47.3000488505747</v>
      </c>
      <c r="S1622" s="55" t="n">
        <f aca="false">Q1622+ROW()*0.000000001</f>
        <v>-0.820667648081567</v>
      </c>
      <c r="T1622" s="55" t="n">
        <f aca="false">R1622+ROW()*0.000000001</f>
        <v>47.3000504725747</v>
      </c>
    </row>
    <row r="1623" customFormat="false" ht="15" hidden="false" customHeight="false" outlineLevel="0" collapsed="false">
      <c r="A1623" s="0" t="n">
        <v>39</v>
      </c>
      <c r="B1623" s="0" t="n">
        <v>19</v>
      </c>
      <c r="C1623" s="0" t="n">
        <f aca="false">-1+A1623*0.05</f>
        <v>0.95</v>
      </c>
      <c r="D1623" s="0" t="n">
        <f aca="false">-1+B1623*0.05</f>
        <v>-0.0499999999999999</v>
      </c>
      <c r="E1623" s="0" t="n">
        <f aca="false">1</f>
        <v>1</v>
      </c>
      <c r="F1623" s="0" t="n">
        <f aca="false">C1623</f>
        <v>0.95</v>
      </c>
      <c r="G1623" s="0" t="n">
        <f aca="false">D1623</f>
        <v>-0.0499999999999999</v>
      </c>
      <c r="H1623" s="0" t="n">
        <f aca="false">C1623*D1623</f>
        <v>-0.0474999999999999</v>
      </c>
      <c r="I1623" s="0" t="n">
        <f aca="false">C1623*C1623</f>
        <v>0.9025</v>
      </c>
      <c r="J1623" s="0" t="n">
        <f aca="false">D1623*D1623</f>
        <v>0.00249999999999999</v>
      </c>
      <c r="K1623" s="0" t="n">
        <f aca="false">SUMPRODUCT(E1623:J1623,_XtX!$B$53:$G$53)</f>
        <v>47.4490596264368</v>
      </c>
      <c r="L1623" s="0" t="n">
        <f aca="false">SUMPRODUCT(MMULT(E1623:J1623,_XtX!$B$44:$G$49),E1623:J1623)</f>
        <v>0.430857094109196</v>
      </c>
      <c r="M1623" s="0" t="n">
        <f aca="false">04_回帰ANOVA!$K$19*04_回帰ANOVA!$K$14*SQRT(1+L1623)</f>
        <v>1.62096897582906</v>
      </c>
      <c r="N1623" s="0" t="n">
        <f aca="false">K1623-M1623</f>
        <v>45.8280906506077</v>
      </c>
      <c r="O1623" s="0" t="n">
        <f aca="false">K1623+M1623</f>
        <v>49.0700286022658</v>
      </c>
      <c r="P1623" s="54" t="b">
        <f aca="false">AND(C1623&gt;=01_因子設定!$L$5-0.000000001,C1623&lt;=01_因子設定!$M$5+0.000000001,D1623&gt;=01_因子設定!$L$6-0.000000001,D1623&lt;=01_因子設定!$M$6+0.000000001,IF(01_因子設定!$B$20="Box-Behnken",C1623^2+D1623^2&lt;=2+0.000000001,TRUE()))</f>
        <v>1</v>
      </c>
      <c r="Q1623" s="55" t="n">
        <f aca="false">IF(P1623,IF(01_因子設定!$B$13="最大化",N1623-01_因子設定!$B$14,IF(01_因子設定!$B$13="最小化",01_因子設定!$B$15-O1623,MIN(N1623-01_因子設定!$B$14,01_因子設定!$B$15-O1623))),-1E+030)</f>
        <v>-0.671909349392294</v>
      </c>
      <c r="R1623" s="55" t="n">
        <f aca="false">IF(P1623,IF(01_因子設定!$B$13="最大化",K1623,IF(01_因子設定!$B$13="最小化",-K1623,-ABS(K1623-01_因子設定!$B$16))),-1E+030)</f>
        <v>47.4490596264368</v>
      </c>
      <c r="S1623" s="55" t="n">
        <f aca="false">Q1623+ROW()*0.000000001</f>
        <v>-0.671907726392294</v>
      </c>
      <c r="T1623" s="55" t="n">
        <f aca="false">R1623+ROW()*0.000000001</f>
        <v>47.4490612494368</v>
      </c>
    </row>
    <row r="1624" customFormat="false" ht="15" hidden="false" customHeight="false" outlineLevel="0" collapsed="false">
      <c r="A1624" s="0" t="n">
        <v>39</v>
      </c>
      <c r="B1624" s="0" t="n">
        <v>20</v>
      </c>
      <c r="C1624" s="0" t="n">
        <f aca="false">-1+A1624*0.05</f>
        <v>0.95</v>
      </c>
      <c r="D1624" s="0" t="n">
        <f aca="false">-1+B1624*0.05</f>
        <v>0</v>
      </c>
      <c r="E1624" s="0" t="n">
        <f aca="false">1</f>
        <v>1</v>
      </c>
      <c r="F1624" s="0" t="n">
        <f aca="false">C1624</f>
        <v>0.95</v>
      </c>
      <c r="G1624" s="0" t="n">
        <f aca="false">D1624</f>
        <v>0</v>
      </c>
      <c r="H1624" s="0" t="n">
        <f aca="false">C1624*D1624</f>
        <v>0</v>
      </c>
      <c r="I1624" s="0" t="n">
        <f aca="false">C1624*C1624</f>
        <v>0.9025</v>
      </c>
      <c r="J1624" s="0" t="n">
        <f aca="false">D1624*D1624</f>
        <v>0</v>
      </c>
      <c r="K1624" s="0" t="n">
        <f aca="false">SUMPRODUCT(E1624:J1624,_XtX!$B$53:$G$53)</f>
        <v>47.5903548850575</v>
      </c>
      <c r="L1624" s="0" t="n">
        <f aca="false">SUMPRODUCT(MMULT(E1624:J1624,_XtX!$B$44:$G$49),E1624:J1624)</f>
        <v>0.431013757183908</v>
      </c>
      <c r="M1624" s="0" t="n">
        <f aca="false">04_回帰ANOVA!$K$19*04_回帰ANOVA!$K$14*SQRT(1+L1624)</f>
        <v>1.62105771251497</v>
      </c>
      <c r="N1624" s="0" t="n">
        <f aca="false">K1624-M1624</f>
        <v>45.9692971725425</v>
      </c>
      <c r="O1624" s="0" t="n">
        <f aca="false">K1624+M1624</f>
        <v>49.2114125975724</v>
      </c>
      <c r="P1624" s="54" t="b">
        <f aca="false">AND(C1624&gt;=01_因子設定!$L$5-0.000000001,C1624&lt;=01_因子設定!$M$5+0.000000001,D1624&gt;=01_因子設定!$L$6-0.000000001,D1624&lt;=01_因子設定!$M$6+0.000000001,IF(01_因子設定!$B$20="Box-Behnken",C1624^2+D1624^2&lt;=2+0.000000001,TRUE()))</f>
        <v>1</v>
      </c>
      <c r="Q1624" s="55" t="n">
        <f aca="false">IF(P1624,IF(01_因子設定!$B$13="最大化",N1624-01_因子設定!$B$14,IF(01_因子設定!$B$13="最小化",01_因子設定!$B$15-O1624,MIN(N1624-01_因子設定!$B$14,01_因子設定!$B$15-O1624))),-1E+030)</f>
        <v>-0.530702827457517</v>
      </c>
      <c r="R1624" s="55" t="n">
        <f aca="false">IF(P1624,IF(01_因子設定!$B$13="最大化",K1624,IF(01_因子設定!$B$13="最小化",-K1624,-ABS(K1624-01_因子設定!$B$16))),-1E+030)</f>
        <v>47.5903548850575</v>
      </c>
      <c r="S1624" s="55" t="n">
        <f aca="false">Q1624+ROW()*0.000000001</f>
        <v>-0.530701203457517</v>
      </c>
      <c r="T1624" s="55" t="n">
        <f aca="false">R1624+ROW()*0.000000001</f>
        <v>47.5903565090575</v>
      </c>
    </row>
    <row r="1625" customFormat="false" ht="15" hidden="false" customHeight="false" outlineLevel="0" collapsed="false">
      <c r="A1625" s="0" t="n">
        <v>39</v>
      </c>
      <c r="B1625" s="0" t="n">
        <v>21</v>
      </c>
      <c r="C1625" s="0" t="n">
        <f aca="false">-1+A1625*0.05</f>
        <v>0.95</v>
      </c>
      <c r="D1625" s="0" t="n">
        <f aca="false">-1+B1625*0.05</f>
        <v>0.05</v>
      </c>
      <c r="E1625" s="0" t="n">
        <f aca="false">1</f>
        <v>1</v>
      </c>
      <c r="F1625" s="0" t="n">
        <f aca="false">C1625</f>
        <v>0.95</v>
      </c>
      <c r="G1625" s="0" t="n">
        <f aca="false">D1625</f>
        <v>0.05</v>
      </c>
      <c r="H1625" s="0" t="n">
        <f aca="false">C1625*D1625</f>
        <v>0.0475000000000001</v>
      </c>
      <c r="I1625" s="0" t="n">
        <f aca="false">C1625*C1625</f>
        <v>0.9025</v>
      </c>
      <c r="J1625" s="0" t="n">
        <f aca="false">D1625*D1625</f>
        <v>0.0025</v>
      </c>
      <c r="K1625" s="0" t="n">
        <f aca="false">SUMPRODUCT(E1625:J1625,_XtX!$B$53:$G$53)</f>
        <v>47.7239346264368</v>
      </c>
      <c r="L1625" s="0" t="n">
        <f aca="false">SUMPRODUCT(MMULT(E1625:J1625,_XtX!$B$44:$G$49),E1625:J1625)</f>
        <v>0.430857094109196</v>
      </c>
      <c r="M1625" s="0" t="n">
        <f aca="false">04_回帰ANOVA!$K$19*04_回帰ANOVA!$K$14*SQRT(1+L1625)</f>
        <v>1.62096897582906</v>
      </c>
      <c r="N1625" s="0" t="n">
        <f aca="false">K1625-M1625</f>
        <v>46.1029656506077</v>
      </c>
      <c r="O1625" s="0" t="n">
        <f aca="false">K1625+M1625</f>
        <v>49.3449036022658</v>
      </c>
      <c r="P1625" s="54" t="b">
        <f aca="false">AND(C1625&gt;=01_因子設定!$L$5-0.000000001,C1625&lt;=01_因子設定!$M$5+0.000000001,D1625&gt;=01_因子設定!$L$6-0.000000001,D1625&lt;=01_因子設定!$M$6+0.000000001,IF(01_因子設定!$B$20="Box-Behnken",C1625^2+D1625^2&lt;=2+0.000000001,TRUE()))</f>
        <v>1</v>
      </c>
      <c r="Q1625" s="55" t="n">
        <f aca="false">IF(P1625,IF(01_因子設定!$B$13="最大化",N1625-01_因子設定!$B$14,IF(01_因子設定!$B$13="最小化",01_因子設定!$B$15-O1625,MIN(N1625-01_因子設定!$B$14,01_因子設定!$B$15-O1625))),-1E+030)</f>
        <v>-0.397034349392293</v>
      </c>
      <c r="R1625" s="55" t="n">
        <f aca="false">IF(P1625,IF(01_因子設定!$B$13="最大化",K1625,IF(01_因子設定!$B$13="最小化",-K1625,-ABS(K1625-01_因子設定!$B$16))),-1E+030)</f>
        <v>47.7239346264368</v>
      </c>
      <c r="S1625" s="55" t="n">
        <f aca="false">Q1625+ROW()*0.000000001</f>
        <v>-0.397032724392293</v>
      </c>
      <c r="T1625" s="55" t="n">
        <f aca="false">R1625+ROW()*0.000000001</f>
        <v>47.7239362514368</v>
      </c>
    </row>
    <row r="1626" customFormat="false" ht="15" hidden="false" customHeight="false" outlineLevel="0" collapsed="false">
      <c r="A1626" s="0" t="n">
        <v>39</v>
      </c>
      <c r="B1626" s="0" t="n">
        <v>22</v>
      </c>
      <c r="C1626" s="0" t="n">
        <f aca="false">-1+A1626*0.05</f>
        <v>0.95</v>
      </c>
      <c r="D1626" s="0" t="n">
        <f aca="false">-1+B1626*0.05</f>
        <v>0.1</v>
      </c>
      <c r="E1626" s="0" t="n">
        <f aca="false">1</f>
        <v>1</v>
      </c>
      <c r="F1626" s="0" t="n">
        <f aca="false">C1626</f>
        <v>0.95</v>
      </c>
      <c r="G1626" s="0" t="n">
        <f aca="false">D1626</f>
        <v>0.1</v>
      </c>
      <c r="H1626" s="0" t="n">
        <f aca="false">C1626*D1626</f>
        <v>0.0950000000000001</v>
      </c>
      <c r="I1626" s="0" t="n">
        <f aca="false">C1626*C1626</f>
        <v>0.9025</v>
      </c>
      <c r="J1626" s="0" t="n">
        <f aca="false">D1626*D1626</f>
        <v>0.01</v>
      </c>
      <c r="K1626" s="0" t="n">
        <f aca="false">SUMPRODUCT(E1626:J1626,_XtX!$B$53:$G$53)</f>
        <v>47.8497988505747</v>
      </c>
      <c r="L1626" s="0" t="n">
        <f aca="false">SUMPRODUCT(MMULT(E1626:J1626,_XtX!$B$44:$G$49),E1626:J1626)</f>
        <v>0.430414260057471</v>
      </c>
      <c r="M1626" s="0" t="n">
        <f aca="false">04_回帰ANOVA!$K$19*04_回帰ANOVA!$K$14*SQRT(1+L1626)</f>
        <v>1.62071812065626</v>
      </c>
      <c r="N1626" s="0" t="n">
        <f aca="false">K1626-M1626</f>
        <v>46.2290807299184</v>
      </c>
      <c r="O1626" s="0" t="n">
        <f aca="false">K1626+M1626</f>
        <v>49.470516971231</v>
      </c>
      <c r="P1626" s="54" t="b">
        <f aca="false">AND(C1626&gt;=01_因子設定!$L$5-0.000000001,C1626&lt;=01_因子設定!$M$5+0.000000001,D1626&gt;=01_因子設定!$L$6-0.000000001,D1626&lt;=01_因子設定!$M$6+0.000000001,IF(01_因子設定!$B$20="Box-Behnken",C1626^2+D1626^2&lt;=2+0.000000001,TRUE()))</f>
        <v>1</v>
      </c>
      <c r="Q1626" s="55" t="n">
        <f aca="false">IF(P1626,IF(01_因子設定!$B$13="最大化",N1626-01_因子設定!$B$14,IF(01_因子設定!$B$13="最小化",01_因子設定!$B$15-O1626,MIN(N1626-01_因子設定!$B$14,01_因子設定!$B$15-O1626))),-1E+030)</f>
        <v>-0.270919270081563</v>
      </c>
      <c r="R1626" s="55" t="n">
        <f aca="false">IF(P1626,IF(01_因子設定!$B$13="最大化",K1626,IF(01_因子設定!$B$13="最小化",-K1626,-ABS(K1626-01_因子設定!$B$16))),-1E+030)</f>
        <v>47.8497988505747</v>
      </c>
      <c r="S1626" s="55" t="n">
        <f aca="false">Q1626+ROW()*0.000000001</f>
        <v>-0.270917644081564</v>
      </c>
      <c r="T1626" s="55" t="n">
        <f aca="false">R1626+ROW()*0.000000001</f>
        <v>47.8498004765747</v>
      </c>
    </row>
    <row r="1627" customFormat="false" ht="15" hidden="false" customHeight="false" outlineLevel="0" collapsed="false">
      <c r="A1627" s="0" t="n">
        <v>39</v>
      </c>
      <c r="B1627" s="0" t="n">
        <v>23</v>
      </c>
      <c r="C1627" s="0" t="n">
        <f aca="false">-1+A1627*0.05</f>
        <v>0.95</v>
      </c>
      <c r="D1627" s="0" t="n">
        <f aca="false">-1+B1627*0.05</f>
        <v>0.15</v>
      </c>
      <c r="E1627" s="0" t="n">
        <f aca="false">1</f>
        <v>1</v>
      </c>
      <c r="F1627" s="0" t="n">
        <f aca="false">C1627</f>
        <v>0.95</v>
      </c>
      <c r="G1627" s="0" t="n">
        <f aca="false">D1627</f>
        <v>0.15</v>
      </c>
      <c r="H1627" s="0" t="n">
        <f aca="false">C1627*D1627</f>
        <v>0.1425</v>
      </c>
      <c r="I1627" s="0" t="n">
        <f aca="false">C1627*C1627</f>
        <v>0.9025</v>
      </c>
      <c r="J1627" s="0" t="n">
        <f aca="false">D1627*D1627</f>
        <v>0.0225</v>
      </c>
      <c r="K1627" s="0" t="n">
        <f aca="false">SUMPRODUCT(E1627:J1627,_XtX!$B$53:$G$53)</f>
        <v>47.9679475574713</v>
      </c>
      <c r="L1627" s="0" t="n">
        <f aca="false">SUMPRODUCT(MMULT(E1627:J1627,_XtX!$B$44:$G$49),E1627:J1627)</f>
        <v>0.429766720545977</v>
      </c>
      <c r="M1627" s="0" t="n">
        <f aca="false">04_回帰ANOVA!$K$19*04_回帰ANOVA!$K$14*SQRT(1+L1627)</f>
        <v>1.62035123469551</v>
      </c>
      <c r="N1627" s="0" t="n">
        <f aca="false">K1627-M1627</f>
        <v>46.3475963227757</v>
      </c>
      <c r="O1627" s="0" t="n">
        <f aca="false">K1627+M1627</f>
        <v>49.5882987921668</v>
      </c>
      <c r="P1627" s="54" t="b">
        <f aca="false">AND(C1627&gt;=01_因子設定!$L$5-0.000000001,C1627&lt;=01_因子設定!$M$5+0.000000001,D1627&gt;=01_因子設定!$L$6-0.000000001,D1627&lt;=01_因子設定!$M$6+0.000000001,IF(01_因子設定!$B$20="Box-Behnken",C1627^2+D1627^2&lt;=2+0.000000001,TRUE()))</f>
        <v>1</v>
      </c>
      <c r="Q1627" s="55" t="n">
        <f aca="false">IF(P1627,IF(01_因子設定!$B$13="最大化",N1627-01_因子設定!$B$14,IF(01_因子設定!$B$13="最小化",01_因子設定!$B$15-O1627,MIN(N1627-01_因子設定!$B$14,01_因子設定!$B$15-O1627))),-1E+030)</f>
        <v>-0.152403677224264</v>
      </c>
      <c r="R1627" s="55" t="n">
        <f aca="false">IF(P1627,IF(01_因子設定!$B$13="最大化",K1627,IF(01_因子設定!$B$13="最小化",-K1627,-ABS(K1627-01_因子設定!$B$16))),-1E+030)</f>
        <v>47.9679475574713</v>
      </c>
      <c r="S1627" s="55" t="n">
        <f aca="false">Q1627+ROW()*0.000000001</f>
        <v>-0.152402050224264</v>
      </c>
      <c r="T1627" s="55" t="n">
        <f aca="false">R1627+ROW()*0.000000001</f>
        <v>47.9679491844713</v>
      </c>
    </row>
    <row r="1628" customFormat="false" ht="15" hidden="false" customHeight="false" outlineLevel="0" collapsed="false">
      <c r="A1628" s="0" t="n">
        <v>39</v>
      </c>
      <c r="B1628" s="0" t="n">
        <v>24</v>
      </c>
      <c r="C1628" s="0" t="n">
        <f aca="false">-1+A1628*0.05</f>
        <v>0.95</v>
      </c>
      <c r="D1628" s="0" t="n">
        <f aca="false">-1+B1628*0.05</f>
        <v>0.2</v>
      </c>
      <c r="E1628" s="0" t="n">
        <f aca="false">1</f>
        <v>1</v>
      </c>
      <c r="F1628" s="0" t="n">
        <f aca="false">C1628</f>
        <v>0.95</v>
      </c>
      <c r="G1628" s="0" t="n">
        <f aca="false">D1628</f>
        <v>0.2</v>
      </c>
      <c r="H1628" s="0" t="n">
        <f aca="false">C1628*D1628</f>
        <v>0.19</v>
      </c>
      <c r="I1628" s="0" t="n">
        <f aca="false">C1628*C1628</f>
        <v>0.9025</v>
      </c>
      <c r="J1628" s="0" t="n">
        <f aca="false">D1628*D1628</f>
        <v>0.0400000000000001</v>
      </c>
      <c r="K1628" s="0" t="n">
        <f aca="false">SUMPRODUCT(E1628:J1628,_XtX!$B$53:$G$53)</f>
        <v>48.0783807471264</v>
      </c>
      <c r="L1628" s="0" t="n">
        <f aca="false">SUMPRODUCT(MMULT(E1628:J1628,_XtX!$B$44:$G$49),E1628:J1628)</f>
        <v>0.429050251436782</v>
      </c>
      <c r="M1628" s="0" t="n">
        <f aca="false">04_回帰ANOVA!$K$19*04_回帰ANOVA!$K$14*SQRT(1+L1628)</f>
        <v>1.61994519745048</v>
      </c>
      <c r="N1628" s="0" t="n">
        <f aca="false">K1628-M1628</f>
        <v>46.4584355496759</v>
      </c>
      <c r="O1628" s="0" t="n">
        <f aca="false">K1628+M1628</f>
        <v>49.6983259445769</v>
      </c>
      <c r="P1628" s="54" t="b">
        <f aca="false">AND(C1628&gt;=01_因子設定!$L$5-0.000000001,C1628&lt;=01_因子設定!$M$5+0.000000001,D1628&gt;=01_因子設定!$L$6-0.000000001,D1628&lt;=01_因子設定!$M$6+0.000000001,IF(01_因子設定!$B$20="Box-Behnken",C1628^2+D1628^2&lt;=2+0.000000001,TRUE()))</f>
        <v>1</v>
      </c>
      <c r="Q1628" s="55" t="n">
        <f aca="false">IF(P1628,IF(01_因子設定!$B$13="最大化",N1628-01_因子設定!$B$14,IF(01_因子設定!$B$13="最小化",01_因子設定!$B$15-O1628,MIN(N1628-01_因子設定!$B$14,01_因子設定!$B$15-O1628))),-1E+030)</f>
        <v>-0.04156445032406</v>
      </c>
      <c r="R1628" s="55" t="n">
        <f aca="false">IF(P1628,IF(01_因子設定!$B$13="最大化",K1628,IF(01_因子設定!$B$13="最小化",-K1628,-ABS(K1628-01_因子設定!$B$16))),-1E+030)</f>
        <v>48.0783807471264</v>
      </c>
      <c r="S1628" s="55" t="n">
        <f aca="false">Q1628+ROW()*0.000000001</f>
        <v>-0.04156282232406</v>
      </c>
      <c r="T1628" s="55" t="n">
        <f aca="false">R1628+ROW()*0.000000001</f>
        <v>48.0783823751264</v>
      </c>
    </row>
    <row r="1629" customFormat="false" ht="15" hidden="false" customHeight="false" outlineLevel="0" collapsed="false">
      <c r="A1629" s="0" t="n">
        <v>39</v>
      </c>
      <c r="B1629" s="0" t="n">
        <v>25</v>
      </c>
      <c r="C1629" s="0" t="n">
        <f aca="false">-1+A1629*0.05</f>
        <v>0.95</v>
      </c>
      <c r="D1629" s="0" t="n">
        <f aca="false">-1+B1629*0.05</f>
        <v>0.25</v>
      </c>
      <c r="E1629" s="0" t="n">
        <f aca="false">1</f>
        <v>1</v>
      </c>
      <c r="F1629" s="0" t="n">
        <f aca="false">C1629</f>
        <v>0.95</v>
      </c>
      <c r="G1629" s="0" t="n">
        <f aca="false">D1629</f>
        <v>0.25</v>
      </c>
      <c r="H1629" s="0" t="n">
        <f aca="false">C1629*D1629</f>
        <v>0.2375</v>
      </c>
      <c r="I1629" s="0" t="n">
        <f aca="false">C1629*C1629</f>
        <v>0.9025</v>
      </c>
      <c r="J1629" s="0" t="n">
        <f aca="false">D1629*D1629</f>
        <v>0.0625</v>
      </c>
      <c r="K1629" s="0" t="n">
        <f aca="false">SUMPRODUCT(E1629:J1629,_XtX!$B$53:$G$53)</f>
        <v>48.1810984195402</v>
      </c>
      <c r="L1629" s="0" t="n">
        <f aca="false">SUMPRODUCT(MMULT(E1629:J1629,_XtX!$B$44:$G$49),E1629:J1629)</f>
        <v>0.428454938936782</v>
      </c>
      <c r="M1629" s="0" t="n">
        <f aca="false">04_回帰ANOVA!$K$19*04_回帰ANOVA!$K$14*SQRT(1+L1629)</f>
        <v>1.6196077446283</v>
      </c>
      <c r="N1629" s="0" t="n">
        <f aca="false">K1629-M1629</f>
        <v>46.5614906749119</v>
      </c>
      <c r="O1629" s="0" t="n">
        <f aca="false">K1629+M1629</f>
        <v>49.8007061641685</v>
      </c>
      <c r="P1629" s="54" t="b">
        <f aca="false">AND(C1629&gt;=01_因子設定!$L$5-0.000000001,C1629&lt;=01_因子設定!$M$5+0.000000001,D1629&gt;=01_因子設定!$L$6-0.000000001,D1629&lt;=01_因子設定!$M$6+0.000000001,IF(01_因子設定!$B$20="Box-Behnken",C1629^2+D1629^2&lt;=2+0.000000001,TRUE()))</f>
        <v>1</v>
      </c>
      <c r="Q1629" s="55" t="n">
        <f aca="false">IF(P1629,IF(01_因子設定!$B$13="最大化",N1629-01_因子設定!$B$14,IF(01_因子設定!$B$13="最小化",01_因子設定!$B$15-O1629,MIN(N1629-01_因子設定!$B$14,01_因子設定!$B$15-O1629))),-1E+030)</f>
        <v>0.0614906749119157</v>
      </c>
      <c r="R1629" s="55" t="n">
        <f aca="false">IF(P1629,IF(01_因子設定!$B$13="最大化",K1629,IF(01_因子設定!$B$13="最小化",-K1629,-ABS(K1629-01_因子設定!$B$16))),-1E+030)</f>
        <v>48.1810984195402</v>
      </c>
      <c r="S1629" s="55" t="n">
        <f aca="false">Q1629+ROW()*0.000000001</f>
        <v>0.0614923039119157</v>
      </c>
      <c r="T1629" s="55" t="n">
        <f aca="false">R1629+ROW()*0.000000001</f>
        <v>48.1811000485402</v>
      </c>
    </row>
    <row r="1630" customFormat="false" ht="15" hidden="false" customHeight="false" outlineLevel="0" collapsed="false">
      <c r="A1630" s="0" t="n">
        <v>39</v>
      </c>
      <c r="B1630" s="0" t="n">
        <v>26</v>
      </c>
      <c r="C1630" s="0" t="n">
        <f aca="false">-1+A1630*0.05</f>
        <v>0.95</v>
      </c>
      <c r="D1630" s="0" t="n">
        <f aca="false">-1+B1630*0.05</f>
        <v>0.3</v>
      </c>
      <c r="E1630" s="0" t="n">
        <f aca="false">1</f>
        <v>1</v>
      </c>
      <c r="F1630" s="0" t="n">
        <f aca="false">C1630</f>
        <v>0.95</v>
      </c>
      <c r="G1630" s="0" t="n">
        <f aca="false">D1630</f>
        <v>0.3</v>
      </c>
      <c r="H1630" s="0" t="n">
        <f aca="false">C1630*D1630</f>
        <v>0.285</v>
      </c>
      <c r="I1630" s="0" t="n">
        <f aca="false">C1630*C1630</f>
        <v>0.9025</v>
      </c>
      <c r="J1630" s="0" t="n">
        <f aca="false">D1630*D1630</f>
        <v>0.09</v>
      </c>
      <c r="K1630" s="0" t="n">
        <f aca="false">SUMPRODUCT(E1630:J1630,_XtX!$B$53:$G$53)</f>
        <v>48.2761005747126</v>
      </c>
      <c r="L1630" s="0" t="n">
        <f aca="false">SUMPRODUCT(MMULT(E1630:J1630,_XtX!$B$44:$G$49),E1630:J1630)</f>
        <v>0.428225179597701</v>
      </c>
      <c r="M1630" s="0" t="n">
        <f aca="false">04_回帰ANOVA!$K$19*04_回帰ANOVA!$K$14*SQRT(1+L1630)</f>
        <v>1.61947748676737</v>
      </c>
      <c r="N1630" s="0" t="n">
        <f aca="false">K1630-M1630</f>
        <v>46.6566230879453</v>
      </c>
      <c r="O1630" s="0" t="n">
        <f aca="false">K1630+M1630</f>
        <v>49.89557806148</v>
      </c>
      <c r="P1630" s="54" t="b">
        <f aca="false">AND(C1630&gt;=01_因子設定!$L$5-0.000000001,C1630&lt;=01_因子設定!$M$5+0.000000001,D1630&gt;=01_因子設定!$L$6-0.000000001,D1630&lt;=01_因子設定!$M$6+0.000000001,IF(01_因子設定!$B$20="Box-Behnken",C1630^2+D1630^2&lt;=2+0.000000001,TRUE()))</f>
        <v>1</v>
      </c>
      <c r="Q1630" s="55" t="n">
        <f aca="false">IF(P1630,IF(01_因子設定!$B$13="最大化",N1630-01_因子設定!$B$14,IF(01_因子設定!$B$13="最小化",01_因子設定!$B$15-O1630,MIN(N1630-01_因子設定!$B$14,01_因子設定!$B$15-O1630))),-1E+030)</f>
        <v>0.156623087945256</v>
      </c>
      <c r="R1630" s="55" t="n">
        <f aca="false">IF(P1630,IF(01_因子設定!$B$13="最大化",K1630,IF(01_因子設定!$B$13="最小化",-K1630,-ABS(K1630-01_因子設定!$B$16))),-1E+030)</f>
        <v>48.2761005747126</v>
      </c>
      <c r="S1630" s="55" t="n">
        <f aca="false">Q1630+ROW()*0.000000001</f>
        <v>0.156624717945256</v>
      </c>
      <c r="T1630" s="55" t="n">
        <f aca="false">R1630+ROW()*0.000000001</f>
        <v>48.2761022047126</v>
      </c>
    </row>
    <row r="1631" customFormat="false" ht="15" hidden="false" customHeight="false" outlineLevel="0" collapsed="false">
      <c r="A1631" s="0" t="n">
        <v>39</v>
      </c>
      <c r="B1631" s="0" t="n">
        <v>27</v>
      </c>
      <c r="C1631" s="0" t="n">
        <f aca="false">-1+A1631*0.05</f>
        <v>0.95</v>
      </c>
      <c r="D1631" s="0" t="n">
        <f aca="false">-1+B1631*0.05</f>
        <v>0.35</v>
      </c>
      <c r="E1631" s="0" t="n">
        <f aca="false">1</f>
        <v>1</v>
      </c>
      <c r="F1631" s="0" t="n">
        <f aca="false">C1631</f>
        <v>0.95</v>
      </c>
      <c r="G1631" s="0" t="n">
        <f aca="false">D1631</f>
        <v>0.35</v>
      </c>
      <c r="H1631" s="0" t="n">
        <f aca="false">C1631*D1631</f>
        <v>0.3325</v>
      </c>
      <c r="I1631" s="0" t="n">
        <f aca="false">C1631*C1631</f>
        <v>0.9025</v>
      </c>
      <c r="J1631" s="0" t="n">
        <f aca="false">D1631*D1631</f>
        <v>0.1225</v>
      </c>
      <c r="K1631" s="0" t="n">
        <f aca="false">SUMPRODUCT(E1631:J1631,_XtX!$B$53:$G$53)</f>
        <v>48.3633872126437</v>
      </c>
      <c r="L1631" s="0" t="n">
        <f aca="false">SUMPRODUCT(MMULT(E1631:J1631,_XtX!$B$44:$G$49),E1631:J1631)</f>
        <v>0.428659680316092</v>
      </c>
      <c r="M1631" s="0" t="n">
        <f aca="false">04_回帰ANOVA!$K$19*04_回帰ANOVA!$K$14*SQRT(1+L1631)</f>
        <v>1.6197238101874</v>
      </c>
      <c r="N1631" s="0" t="n">
        <f aca="false">K1631-M1631</f>
        <v>46.7436634024563</v>
      </c>
      <c r="O1631" s="0" t="n">
        <f aca="false">K1631+M1631</f>
        <v>49.9831110228311</v>
      </c>
      <c r="P1631" s="54" t="b">
        <f aca="false">AND(C1631&gt;=01_因子設定!$L$5-0.000000001,C1631&lt;=01_因子設定!$M$5+0.000000001,D1631&gt;=01_因子設定!$L$6-0.000000001,D1631&lt;=01_因子設定!$M$6+0.000000001,IF(01_因子設定!$B$20="Box-Behnken",C1631^2+D1631^2&lt;=2+0.000000001,TRUE()))</f>
        <v>1</v>
      </c>
      <c r="Q1631" s="55" t="n">
        <f aca="false">IF(P1631,IF(01_因子設定!$B$13="最大化",N1631-01_因子設定!$B$14,IF(01_因子設定!$B$13="最小化",01_因子設定!$B$15-O1631,MIN(N1631-01_因子設定!$B$14,01_因子設定!$B$15-O1631))),-1E+030)</f>
        <v>0.243663402456257</v>
      </c>
      <c r="R1631" s="55" t="n">
        <f aca="false">IF(P1631,IF(01_因子設定!$B$13="最大化",K1631,IF(01_因子設定!$B$13="最小化",-K1631,-ABS(K1631-01_因子設定!$B$16))),-1E+030)</f>
        <v>48.3633872126437</v>
      </c>
      <c r="S1631" s="55" t="n">
        <f aca="false">Q1631+ROW()*0.000000001</f>
        <v>0.243665033456257</v>
      </c>
      <c r="T1631" s="55" t="n">
        <f aca="false">R1631+ROW()*0.000000001</f>
        <v>48.3633888436437</v>
      </c>
    </row>
    <row r="1632" customFormat="false" ht="15" hidden="false" customHeight="false" outlineLevel="0" collapsed="false">
      <c r="A1632" s="0" t="n">
        <v>39</v>
      </c>
      <c r="B1632" s="0" t="n">
        <v>28</v>
      </c>
      <c r="C1632" s="0" t="n">
        <f aca="false">-1+A1632*0.05</f>
        <v>0.95</v>
      </c>
      <c r="D1632" s="0" t="n">
        <f aca="false">-1+B1632*0.05</f>
        <v>0.4</v>
      </c>
      <c r="E1632" s="0" t="n">
        <f aca="false">1</f>
        <v>1</v>
      </c>
      <c r="F1632" s="0" t="n">
        <f aca="false">C1632</f>
        <v>0.95</v>
      </c>
      <c r="G1632" s="0" t="n">
        <f aca="false">D1632</f>
        <v>0.4</v>
      </c>
      <c r="H1632" s="0" t="n">
        <f aca="false">C1632*D1632</f>
        <v>0.38</v>
      </c>
      <c r="I1632" s="0" t="n">
        <f aca="false">C1632*C1632</f>
        <v>0.9025</v>
      </c>
      <c r="J1632" s="0" t="n">
        <f aca="false">D1632*D1632</f>
        <v>0.16</v>
      </c>
      <c r="K1632" s="0" t="n">
        <f aca="false">SUMPRODUCT(E1632:J1632,_XtX!$B$53:$G$53)</f>
        <v>48.4429583333333</v>
      </c>
      <c r="L1632" s="0" t="n">
        <f aca="false">SUMPRODUCT(MMULT(E1632:J1632,_XtX!$B$44:$G$49),E1632:J1632)</f>
        <v>0.430111458333334</v>
      </c>
      <c r="M1632" s="0" t="n">
        <f aca="false">04_回帰ANOVA!$K$19*04_回帰ANOVA!$K$14*SQRT(1+L1632)</f>
        <v>1.62054656818033</v>
      </c>
      <c r="N1632" s="0" t="n">
        <f aca="false">K1632-M1632</f>
        <v>46.822411765153</v>
      </c>
      <c r="O1632" s="0" t="n">
        <f aca="false">K1632+M1632</f>
        <v>50.0635049015136</v>
      </c>
      <c r="P1632" s="54" t="b">
        <f aca="false">AND(C1632&gt;=01_因子設定!$L$5-0.000000001,C1632&lt;=01_因子設定!$M$5+0.000000001,D1632&gt;=01_因子設定!$L$6-0.000000001,D1632&lt;=01_因子設定!$M$6+0.000000001,IF(01_因子設定!$B$20="Box-Behnken",C1632^2+D1632^2&lt;=2+0.000000001,TRUE()))</f>
        <v>1</v>
      </c>
      <c r="Q1632" s="55" t="n">
        <f aca="false">IF(P1632,IF(01_因子設定!$B$13="最大化",N1632-01_因子設定!$B$14,IF(01_因子設定!$B$13="最小化",01_因子設定!$B$15-O1632,MIN(N1632-01_因子設定!$B$14,01_因子設定!$B$15-O1632))),-1E+030)</f>
        <v>0.322411765152985</v>
      </c>
      <c r="R1632" s="55" t="n">
        <f aca="false">IF(P1632,IF(01_因子設定!$B$13="最大化",K1632,IF(01_因子設定!$B$13="最小化",-K1632,-ABS(K1632-01_因子設定!$B$16))),-1E+030)</f>
        <v>48.4429583333333</v>
      </c>
      <c r="S1632" s="55" t="n">
        <f aca="false">Q1632+ROW()*0.000000001</f>
        <v>0.322413397152985</v>
      </c>
      <c r="T1632" s="55" t="n">
        <f aca="false">R1632+ROW()*0.000000001</f>
        <v>48.4429599653333</v>
      </c>
    </row>
    <row r="1633" customFormat="false" ht="15" hidden="false" customHeight="false" outlineLevel="0" collapsed="false">
      <c r="A1633" s="0" t="n">
        <v>39</v>
      </c>
      <c r="B1633" s="0" t="n">
        <v>29</v>
      </c>
      <c r="C1633" s="0" t="n">
        <f aca="false">-1+A1633*0.05</f>
        <v>0.95</v>
      </c>
      <c r="D1633" s="0" t="n">
        <f aca="false">-1+B1633*0.05</f>
        <v>0.45</v>
      </c>
      <c r="E1633" s="0" t="n">
        <f aca="false">1</f>
        <v>1</v>
      </c>
      <c r="F1633" s="0" t="n">
        <f aca="false">C1633</f>
        <v>0.95</v>
      </c>
      <c r="G1633" s="0" t="n">
        <f aca="false">D1633</f>
        <v>0.45</v>
      </c>
      <c r="H1633" s="0" t="n">
        <f aca="false">C1633*D1633</f>
        <v>0.4275</v>
      </c>
      <c r="I1633" s="0" t="n">
        <f aca="false">C1633*C1633</f>
        <v>0.9025</v>
      </c>
      <c r="J1633" s="0" t="n">
        <f aca="false">D1633*D1633</f>
        <v>0.2025</v>
      </c>
      <c r="K1633" s="0" t="n">
        <f aca="false">SUMPRODUCT(E1633:J1633,_XtX!$B$53:$G$53)</f>
        <v>48.5148139367816</v>
      </c>
      <c r="L1633" s="0" t="n">
        <f aca="false">SUMPRODUCT(MMULT(E1633:J1633,_XtX!$B$44:$G$49),E1633:J1633)</f>
        <v>0.432987841235632</v>
      </c>
      <c r="M1633" s="0" t="n">
        <f aca="false">04_回帰ANOVA!$K$19*04_回帰ANOVA!$K$14*SQRT(1+L1633)</f>
        <v>1.62217545204943</v>
      </c>
      <c r="N1633" s="0" t="n">
        <f aca="false">K1633-M1633</f>
        <v>46.8926384847322</v>
      </c>
      <c r="O1633" s="0" t="n">
        <f aca="false">K1633+M1633</f>
        <v>50.136989388831</v>
      </c>
      <c r="P1633" s="54" t="b">
        <f aca="false">AND(C1633&gt;=01_因子設定!$L$5-0.000000001,C1633&lt;=01_因子設定!$M$5+0.000000001,D1633&gt;=01_因子設定!$L$6-0.000000001,D1633&lt;=01_因子設定!$M$6+0.000000001,IF(01_因子設定!$B$20="Box-Behnken",C1633^2+D1633^2&lt;=2+0.000000001,TRUE()))</f>
        <v>1</v>
      </c>
      <c r="Q1633" s="55" t="n">
        <f aca="false">IF(P1633,IF(01_因子設定!$B$13="最大化",N1633-01_因子設定!$B$14,IF(01_因子設定!$B$13="最小化",01_因子設定!$B$15-O1633,MIN(N1633-01_因子設定!$B$14,01_因子設定!$B$15-O1633))),-1E+030)</f>
        <v>0.39263848473216</v>
      </c>
      <c r="R1633" s="55" t="n">
        <f aca="false">IF(P1633,IF(01_因子設定!$B$13="最大化",K1633,IF(01_因子設定!$B$13="最小化",-K1633,-ABS(K1633-01_因子設定!$B$16))),-1E+030)</f>
        <v>48.5148139367816</v>
      </c>
      <c r="S1633" s="55" t="n">
        <f aca="false">Q1633+ROW()*0.000000001</f>
        <v>0.39264011773216</v>
      </c>
      <c r="T1633" s="55" t="n">
        <f aca="false">R1633+ROW()*0.000000001</f>
        <v>48.5148155697816</v>
      </c>
    </row>
    <row r="1634" customFormat="false" ht="15" hidden="false" customHeight="false" outlineLevel="0" collapsed="false">
      <c r="A1634" s="0" t="n">
        <v>39</v>
      </c>
      <c r="B1634" s="0" t="n">
        <v>30</v>
      </c>
      <c r="C1634" s="0" t="n">
        <f aca="false">-1+A1634*0.05</f>
        <v>0.95</v>
      </c>
      <c r="D1634" s="0" t="n">
        <f aca="false">-1+B1634*0.05</f>
        <v>0.5</v>
      </c>
      <c r="E1634" s="0" t="n">
        <f aca="false">1</f>
        <v>1</v>
      </c>
      <c r="F1634" s="0" t="n">
        <f aca="false">C1634</f>
        <v>0.95</v>
      </c>
      <c r="G1634" s="0" t="n">
        <f aca="false">D1634</f>
        <v>0.5</v>
      </c>
      <c r="H1634" s="0" t="n">
        <f aca="false">C1634*D1634</f>
        <v>0.475</v>
      </c>
      <c r="I1634" s="0" t="n">
        <f aca="false">C1634*C1634</f>
        <v>0.9025</v>
      </c>
      <c r="J1634" s="0" t="n">
        <f aca="false">D1634*D1634</f>
        <v>0.25</v>
      </c>
      <c r="K1634" s="0" t="n">
        <f aca="false">SUMPRODUCT(E1634:J1634,_XtX!$B$53:$G$53)</f>
        <v>48.5789540229885</v>
      </c>
      <c r="L1634" s="0" t="n">
        <f aca="false">SUMPRODUCT(MMULT(E1634:J1634,_XtX!$B$44:$G$49),E1634:J1634)</f>
        <v>0.437750466954023</v>
      </c>
      <c r="M1634" s="0" t="n">
        <f aca="false">04_回帰ANOVA!$K$19*04_回帰ANOVA!$K$14*SQRT(1+L1634)</f>
        <v>1.62486891728431</v>
      </c>
      <c r="N1634" s="0" t="n">
        <f aca="false">K1634-M1634</f>
        <v>46.9540851057042</v>
      </c>
      <c r="O1634" s="0" t="n">
        <f aca="false">K1634+M1634</f>
        <v>50.2038229402728</v>
      </c>
      <c r="P1634" s="54" t="b">
        <f aca="false">AND(C1634&gt;=01_因子設定!$L$5-0.000000001,C1634&lt;=01_因子設定!$M$5+0.000000001,D1634&gt;=01_因子設定!$L$6-0.000000001,D1634&lt;=01_因子設定!$M$6+0.000000001,IF(01_因子設定!$B$20="Box-Behnken",C1634^2+D1634^2&lt;=2+0.000000001,TRUE()))</f>
        <v>1</v>
      </c>
      <c r="Q1634" s="55" t="n">
        <f aca="false">IF(P1634,IF(01_因子設定!$B$13="最大化",N1634-01_因子設定!$B$14,IF(01_因子設定!$B$13="最小化",01_因子設定!$B$15-O1634,MIN(N1634-01_因子設定!$B$14,01_因子設定!$B$15-O1634))),-1E+030)</f>
        <v>0.454085105704174</v>
      </c>
      <c r="R1634" s="55" t="n">
        <f aca="false">IF(P1634,IF(01_因子設定!$B$13="最大化",K1634,IF(01_因子設定!$B$13="最小化",-K1634,-ABS(K1634-01_因子設定!$B$16))),-1E+030)</f>
        <v>48.5789540229885</v>
      </c>
      <c r="S1634" s="55" t="n">
        <f aca="false">Q1634+ROW()*0.000000001</f>
        <v>0.454086739704173</v>
      </c>
      <c r="T1634" s="55" t="n">
        <f aca="false">R1634+ROW()*0.000000001</f>
        <v>48.5789556569885</v>
      </c>
    </row>
    <row r="1635" customFormat="false" ht="15" hidden="false" customHeight="false" outlineLevel="0" collapsed="false">
      <c r="A1635" s="0" t="n">
        <v>39</v>
      </c>
      <c r="B1635" s="0" t="n">
        <v>31</v>
      </c>
      <c r="C1635" s="0" t="n">
        <f aca="false">-1+A1635*0.05</f>
        <v>0.95</v>
      </c>
      <c r="D1635" s="0" t="n">
        <f aca="false">-1+B1635*0.05</f>
        <v>0.55</v>
      </c>
      <c r="E1635" s="0" t="n">
        <f aca="false">1</f>
        <v>1</v>
      </c>
      <c r="F1635" s="0" t="n">
        <f aca="false">C1635</f>
        <v>0.95</v>
      </c>
      <c r="G1635" s="0" t="n">
        <f aca="false">D1635</f>
        <v>0.55</v>
      </c>
      <c r="H1635" s="0" t="n">
        <f aca="false">C1635*D1635</f>
        <v>0.5225</v>
      </c>
      <c r="I1635" s="0" t="n">
        <f aca="false">C1635*C1635</f>
        <v>0.9025</v>
      </c>
      <c r="J1635" s="0" t="n">
        <f aca="false">D1635*D1635</f>
        <v>0.3025</v>
      </c>
      <c r="K1635" s="0" t="n">
        <f aca="false">SUMPRODUCT(E1635:J1635,_XtX!$B$53:$G$53)</f>
        <v>48.635378591954</v>
      </c>
      <c r="L1635" s="0" t="n">
        <f aca="false">SUMPRODUCT(MMULT(E1635:J1635,_XtX!$B$44:$G$49),E1635:J1635)</f>
        <v>0.444915283764368</v>
      </c>
      <c r="M1635" s="0" t="n">
        <f aca="false">04_回帰ANOVA!$K$19*04_回帰ANOVA!$K$14*SQRT(1+L1635)</f>
        <v>1.62891253282135</v>
      </c>
      <c r="N1635" s="0" t="n">
        <f aca="false">K1635-M1635</f>
        <v>47.0064660591327</v>
      </c>
      <c r="O1635" s="0" t="n">
        <f aca="false">K1635+M1635</f>
        <v>50.2642911247754</v>
      </c>
      <c r="P1635" s="54" t="b">
        <f aca="false">AND(C1635&gt;=01_因子設定!$L$5-0.000000001,C1635&lt;=01_因子設定!$M$5+0.000000001,D1635&gt;=01_因子設定!$L$6-0.000000001,D1635&lt;=01_因子設定!$M$6+0.000000001,IF(01_因子設定!$B$20="Box-Behnken",C1635^2+D1635^2&lt;=2+0.000000001,TRUE()))</f>
        <v>1</v>
      </c>
      <c r="Q1635" s="55" t="n">
        <f aca="false">IF(P1635,IF(01_因子設定!$B$13="最大化",N1635-01_因子設定!$B$14,IF(01_因子設定!$B$13="最小化",01_因子設定!$B$15-O1635,MIN(N1635-01_因子設定!$B$14,01_因子設定!$B$15-O1635))),-1E+030)</f>
        <v>0.506466059132656</v>
      </c>
      <c r="R1635" s="55" t="n">
        <f aca="false">IF(P1635,IF(01_因子設定!$B$13="最大化",K1635,IF(01_因子設定!$B$13="最小化",-K1635,-ABS(K1635-01_因子設定!$B$16))),-1E+030)</f>
        <v>48.635378591954</v>
      </c>
      <c r="S1635" s="55" t="n">
        <f aca="false">Q1635+ROW()*0.000000001</f>
        <v>0.506467694132656</v>
      </c>
      <c r="T1635" s="55" t="n">
        <f aca="false">R1635+ROW()*0.000000001</f>
        <v>48.635380226954</v>
      </c>
    </row>
    <row r="1636" customFormat="false" ht="15" hidden="false" customHeight="false" outlineLevel="0" collapsed="false">
      <c r="A1636" s="0" t="n">
        <v>39</v>
      </c>
      <c r="B1636" s="0" t="n">
        <v>32</v>
      </c>
      <c r="C1636" s="0" t="n">
        <f aca="false">-1+A1636*0.05</f>
        <v>0.95</v>
      </c>
      <c r="D1636" s="0" t="n">
        <f aca="false">-1+B1636*0.05</f>
        <v>0.6</v>
      </c>
      <c r="E1636" s="0" t="n">
        <f aca="false">1</f>
        <v>1</v>
      </c>
      <c r="F1636" s="0" t="n">
        <f aca="false">C1636</f>
        <v>0.95</v>
      </c>
      <c r="G1636" s="0" t="n">
        <f aca="false">D1636</f>
        <v>0.6</v>
      </c>
      <c r="H1636" s="0" t="n">
        <f aca="false">C1636*D1636</f>
        <v>0.57</v>
      </c>
      <c r="I1636" s="0" t="n">
        <f aca="false">C1636*C1636</f>
        <v>0.9025</v>
      </c>
      <c r="J1636" s="0" t="n">
        <f aca="false">D1636*D1636</f>
        <v>0.36</v>
      </c>
      <c r="K1636" s="0" t="n">
        <f aca="false">SUMPRODUCT(E1636:J1636,_XtX!$B$53:$G$53)</f>
        <v>48.6840876436781</v>
      </c>
      <c r="L1636" s="0" t="n">
        <f aca="false">SUMPRODUCT(MMULT(E1636:J1636,_XtX!$B$44:$G$49),E1636:J1636)</f>
        <v>0.455052550287356</v>
      </c>
      <c r="M1636" s="0" t="n">
        <f aca="false">04_回帰ANOVA!$K$19*04_回帰ANOVA!$K$14*SQRT(1+L1636)</f>
        <v>1.63461662470009</v>
      </c>
      <c r="N1636" s="0" t="n">
        <f aca="false">K1636-M1636</f>
        <v>47.0494710189781</v>
      </c>
      <c r="O1636" s="0" t="n">
        <f aca="false">K1636+M1636</f>
        <v>50.3187042683782</v>
      </c>
      <c r="P1636" s="54" t="b">
        <f aca="false">AND(C1636&gt;=01_因子設定!$L$5-0.000000001,C1636&lt;=01_因子設定!$M$5+0.000000001,D1636&gt;=01_因子設定!$L$6-0.000000001,D1636&lt;=01_因子設定!$M$6+0.000000001,IF(01_因子設定!$B$20="Box-Behnken",C1636^2+D1636^2&lt;=2+0.000000001,TRUE()))</f>
        <v>1</v>
      </c>
      <c r="Q1636" s="55" t="n">
        <f aca="false">IF(P1636,IF(01_因子設定!$B$13="最大化",N1636-01_因子設定!$B$14,IF(01_因子設定!$B$13="最小化",01_因子設定!$B$15-O1636,MIN(N1636-01_因子設定!$B$14,01_因子設定!$B$15-O1636))),-1E+030)</f>
        <v>0.549471018978053</v>
      </c>
      <c r="R1636" s="55" t="n">
        <f aca="false">IF(P1636,IF(01_因子設定!$B$13="最大化",K1636,IF(01_因子設定!$B$13="最小化",-K1636,-ABS(K1636-01_因子設定!$B$16))),-1E+030)</f>
        <v>48.6840876436781</v>
      </c>
      <c r="S1636" s="55" t="n">
        <f aca="false">Q1636+ROW()*0.000000001</f>
        <v>0.549472654978053</v>
      </c>
      <c r="T1636" s="55" t="n">
        <f aca="false">R1636+ROW()*0.000000001</f>
        <v>48.6840892796781</v>
      </c>
    </row>
    <row r="1637" customFormat="false" ht="15" hidden="false" customHeight="false" outlineLevel="0" collapsed="false">
      <c r="A1637" s="0" t="n">
        <v>39</v>
      </c>
      <c r="B1637" s="0" t="n">
        <v>33</v>
      </c>
      <c r="C1637" s="0" t="n">
        <f aca="false">-1+A1637*0.05</f>
        <v>0.95</v>
      </c>
      <c r="D1637" s="0" t="n">
        <f aca="false">-1+B1637*0.05</f>
        <v>0.65</v>
      </c>
      <c r="E1637" s="0" t="n">
        <f aca="false">1</f>
        <v>1</v>
      </c>
      <c r="F1637" s="0" t="n">
        <f aca="false">C1637</f>
        <v>0.95</v>
      </c>
      <c r="G1637" s="0" t="n">
        <f aca="false">D1637</f>
        <v>0.65</v>
      </c>
      <c r="H1637" s="0" t="n">
        <f aca="false">C1637*D1637</f>
        <v>0.6175</v>
      </c>
      <c r="I1637" s="0" t="n">
        <f aca="false">C1637*C1637</f>
        <v>0.9025</v>
      </c>
      <c r="J1637" s="0" t="n">
        <f aca="false">D1637*D1637</f>
        <v>0.4225</v>
      </c>
      <c r="K1637" s="0" t="n">
        <f aca="false">SUMPRODUCT(E1637:J1637,_XtX!$B$53:$G$53)</f>
        <v>48.7250811781609</v>
      </c>
      <c r="L1637" s="0" t="n">
        <f aca="false">SUMPRODUCT(MMULT(E1637:J1637,_XtX!$B$44:$G$49),E1637:J1637)</f>
        <v>0.468786835488506</v>
      </c>
      <c r="M1637" s="0" t="n">
        <f aca="false">04_回帰ANOVA!$K$19*04_回帰ANOVA!$K$14*SQRT(1+L1637)</f>
        <v>1.64231310350799</v>
      </c>
      <c r="N1637" s="0" t="n">
        <f aca="false">K1637-M1637</f>
        <v>47.0827680746529</v>
      </c>
      <c r="O1637" s="0" t="n">
        <f aca="false">K1637+M1637</f>
        <v>50.3673942816689</v>
      </c>
      <c r="P1637" s="54" t="b">
        <f aca="false">AND(C1637&gt;=01_因子設定!$L$5-0.000000001,C1637&lt;=01_因子設定!$M$5+0.000000001,D1637&gt;=01_因子設定!$L$6-0.000000001,D1637&lt;=01_因子設定!$M$6+0.000000001,IF(01_因子設定!$B$20="Box-Behnken",C1637^2+D1637^2&lt;=2+0.000000001,TRUE()))</f>
        <v>1</v>
      </c>
      <c r="Q1637" s="55" t="n">
        <f aca="false">IF(P1637,IF(01_因子設定!$B$13="最大化",N1637-01_因子設定!$B$14,IF(01_因子設定!$B$13="最小化",01_因子設定!$B$15-O1637,MIN(N1637-01_因子設定!$B$14,01_因子設定!$B$15-O1637))),-1E+030)</f>
        <v>0.582768074652904</v>
      </c>
      <c r="R1637" s="55" t="n">
        <f aca="false">IF(P1637,IF(01_因子設定!$B$13="最大化",K1637,IF(01_因子設定!$B$13="最小化",-K1637,-ABS(K1637-01_因子設定!$B$16))),-1E+030)</f>
        <v>48.7250811781609</v>
      </c>
      <c r="S1637" s="55" t="n">
        <f aca="false">Q1637+ROW()*0.000000001</f>
        <v>0.582769711652904</v>
      </c>
      <c r="T1637" s="55" t="n">
        <f aca="false">R1637+ROW()*0.000000001</f>
        <v>48.7250828151609</v>
      </c>
    </row>
    <row r="1638" customFormat="false" ht="15" hidden="false" customHeight="false" outlineLevel="0" collapsed="false">
      <c r="A1638" s="0" t="n">
        <v>39</v>
      </c>
      <c r="B1638" s="0" t="n">
        <v>34</v>
      </c>
      <c r="C1638" s="0" t="n">
        <f aca="false">-1+A1638*0.05</f>
        <v>0.95</v>
      </c>
      <c r="D1638" s="0" t="n">
        <f aca="false">-1+B1638*0.05</f>
        <v>0.7</v>
      </c>
      <c r="E1638" s="0" t="n">
        <f aca="false">1</f>
        <v>1</v>
      </c>
      <c r="F1638" s="0" t="n">
        <f aca="false">C1638</f>
        <v>0.95</v>
      </c>
      <c r="G1638" s="0" t="n">
        <f aca="false">D1638</f>
        <v>0.7</v>
      </c>
      <c r="H1638" s="0" t="n">
        <f aca="false">C1638*D1638</f>
        <v>0.665</v>
      </c>
      <c r="I1638" s="0" t="n">
        <f aca="false">C1638*C1638</f>
        <v>0.9025</v>
      </c>
      <c r="J1638" s="0" t="n">
        <f aca="false">D1638*D1638</f>
        <v>0.49</v>
      </c>
      <c r="K1638" s="0" t="n">
        <f aca="false">SUMPRODUCT(E1638:J1638,_XtX!$B$53:$G$53)</f>
        <v>48.7583591954023</v>
      </c>
      <c r="L1638" s="0" t="n">
        <f aca="false">SUMPRODUCT(MMULT(E1638:J1638,_XtX!$B$44:$G$49),E1638:J1638)</f>
        <v>0.486797018678161</v>
      </c>
      <c r="M1638" s="0" t="n">
        <f aca="false">04_回帰ANOVA!$K$19*04_回帰ANOVA!$K$14*SQRT(1+L1638)</f>
        <v>1.65235140136234</v>
      </c>
      <c r="N1638" s="0" t="n">
        <f aca="false">K1638-M1638</f>
        <v>47.1060077940399</v>
      </c>
      <c r="O1638" s="0" t="n">
        <f aca="false">K1638+M1638</f>
        <v>50.4107105967646</v>
      </c>
      <c r="P1638" s="54" t="b">
        <f aca="false">AND(C1638&gt;=01_因子設定!$L$5-0.000000001,C1638&lt;=01_因子設定!$M$5+0.000000001,D1638&gt;=01_因子設定!$L$6-0.000000001,D1638&lt;=01_因子設定!$M$6+0.000000001,IF(01_因子設定!$B$20="Box-Behnken",C1638^2+D1638^2&lt;=2+0.000000001,TRUE()))</f>
        <v>1</v>
      </c>
      <c r="Q1638" s="55" t="n">
        <f aca="false">IF(P1638,IF(01_因子設定!$B$13="最大化",N1638-01_因子設定!$B$14,IF(01_因子設定!$B$13="最小化",01_因子設定!$B$15-O1638,MIN(N1638-01_因子設定!$B$14,01_因子設定!$B$15-O1638))),-1E+030)</f>
        <v>0.60600779403994</v>
      </c>
      <c r="R1638" s="55" t="n">
        <f aca="false">IF(P1638,IF(01_因子設定!$B$13="最大化",K1638,IF(01_因子設定!$B$13="最小化",-K1638,-ABS(K1638-01_因子設定!$B$16))),-1E+030)</f>
        <v>48.7583591954023</v>
      </c>
      <c r="S1638" s="55" t="n">
        <f aca="false">Q1638+ROW()*0.000000001</f>
        <v>0.60600943203994</v>
      </c>
      <c r="T1638" s="55" t="n">
        <f aca="false">R1638+ROW()*0.000000001</f>
        <v>48.7583608334023</v>
      </c>
    </row>
    <row r="1639" customFormat="false" ht="15" hidden="false" customHeight="false" outlineLevel="0" collapsed="false">
      <c r="A1639" s="0" t="n">
        <v>39</v>
      </c>
      <c r="B1639" s="0" t="n">
        <v>35</v>
      </c>
      <c r="C1639" s="0" t="n">
        <f aca="false">-1+A1639*0.05</f>
        <v>0.95</v>
      </c>
      <c r="D1639" s="0" t="n">
        <f aca="false">-1+B1639*0.05</f>
        <v>0.75</v>
      </c>
      <c r="E1639" s="0" t="n">
        <f aca="false">1</f>
        <v>1</v>
      </c>
      <c r="F1639" s="0" t="n">
        <f aca="false">C1639</f>
        <v>0.95</v>
      </c>
      <c r="G1639" s="0" t="n">
        <f aca="false">D1639</f>
        <v>0.75</v>
      </c>
      <c r="H1639" s="0" t="n">
        <f aca="false">C1639*D1639</f>
        <v>0.7125</v>
      </c>
      <c r="I1639" s="0" t="n">
        <f aca="false">C1639*C1639</f>
        <v>0.9025</v>
      </c>
      <c r="J1639" s="0" t="n">
        <f aca="false">D1639*D1639</f>
        <v>0.5625</v>
      </c>
      <c r="K1639" s="0" t="n">
        <f aca="false">SUMPRODUCT(E1639:J1639,_XtX!$B$53:$G$53)</f>
        <v>48.7839216954023</v>
      </c>
      <c r="L1639" s="0" t="n">
        <f aca="false">SUMPRODUCT(MMULT(E1639:J1639,_XtX!$B$44:$G$49),E1639:J1639)</f>
        <v>0.509816289511494</v>
      </c>
      <c r="M1639" s="0" t="n">
        <f aca="false">04_回帰ANOVA!$K$19*04_回帰ANOVA!$K$14*SQRT(1+L1639)</f>
        <v>1.66509350076304</v>
      </c>
      <c r="N1639" s="0" t="n">
        <f aca="false">K1639-M1639</f>
        <v>47.1188281946392</v>
      </c>
      <c r="O1639" s="0" t="n">
        <f aca="false">K1639+M1639</f>
        <v>50.4490151961653</v>
      </c>
      <c r="P1639" s="54" t="b">
        <f aca="false">AND(C1639&gt;=01_因子設定!$L$5-0.000000001,C1639&lt;=01_因子設定!$M$5+0.000000001,D1639&gt;=01_因子設定!$L$6-0.000000001,D1639&lt;=01_因子設定!$M$6+0.000000001,IF(01_因子設定!$B$20="Box-Behnken",C1639^2+D1639^2&lt;=2+0.000000001,TRUE()))</f>
        <v>1</v>
      </c>
      <c r="Q1639" s="55" t="n">
        <f aca="false">IF(P1639,IF(01_因子設定!$B$13="最大化",N1639-01_因子設定!$B$14,IF(01_因子設定!$B$13="最小化",01_因子設定!$B$15-O1639,MIN(N1639-01_因子設定!$B$14,01_因子設定!$B$15-O1639))),-1E+030)</f>
        <v>0.618828194639235</v>
      </c>
      <c r="R1639" s="55" t="n">
        <f aca="false">IF(P1639,IF(01_因子設定!$B$13="最大化",K1639,IF(01_因子設定!$B$13="最小化",-K1639,-ABS(K1639-01_因子設定!$B$16))),-1E+030)</f>
        <v>48.7839216954023</v>
      </c>
      <c r="S1639" s="55" t="n">
        <f aca="false">Q1639+ROW()*0.000000001</f>
        <v>0.618829833639235</v>
      </c>
      <c r="T1639" s="55" t="n">
        <f aca="false">R1639+ROW()*0.000000001</f>
        <v>48.7839233344023</v>
      </c>
    </row>
    <row r="1640" customFormat="false" ht="15" hidden="false" customHeight="false" outlineLevel="0" collapsed="false">
      <c r="A1640" s="0" t="n">
        <v>39</v>
      </c>
      <c r="B1640" s="0" t="n">
        <v>36</v>
      </c>
      <c r="C1640" s="0" t="n">
        <f aca="false">-1+A1640*0.05</f>
        <v>0.95</v>
      </c>
      <c r="D1640" s="0" t="n">
        <f aca="false">-1+B1640*0.05</f>
        <v>0.8</v>
      </c>
      <c r="E1640" s="0" t="n">
        <f aca="false">1</f>
        <v>1</v>
      </c>
      <c r="F1640" s="0" t="n">
        <f aca="false">C1640</f>
        <v>0.95</v>
      </c>
      <c r="G1640" s="0" t="n">
        <f aca="false">D1640</f>
        <v>0.8</v>
      </c>
      <c r="H1640" s="0" t="n">
        <f aca="false">C1640*D1640</f>
        <v>0.76</v>
      </c>
      <c r="I1640" s="0" t="n">
        <f aca="false">C1640*C1640</f>
        <v>0.9025</v>
      </c>
      <c r="J1640" s="0" t="n">
        <f aca="false">D1640*D1640</f>
        <v>0.64</v>
      </c>
      <c r="K1640" s="0" t="n">
        <f aca="false">SUMPRODUCT(E1640:J1640,_XtX!$B$53:$G$53)</f>
        <v>48.8017686781609</v>
      </c>
      <c r="L1640" s="0" t="n">
        <f aca="false">SUMPRODUCT(MMULT(E1640:J1640,_XtX!$B$44:$G$49),E1640:J1640)</f>
        <v>0.538632147988506</v>
      </c>
      <c r="M1640" s="0" t="n">
        <f aca="false">04_回帰ANOVA!$K$19*04_回帰ANOVA!$K$14*SQRT(1+L1640)</f>
        <v>1.68090811348192</v>
      </c>
      <c r="N1640" s="0" t="n">
        <f aca="false">K1640-M1640</f>
        <v>47.120860564679</v>
      </c>
      <c r="O1640" s="0" t="n">
        <f aca="false">K1640+M1640</f>
        <v>50.4826767916428</v>
      </c>
      <c r="P1640" s="54" t="b">
        <f aca="false">AND(C1640&gt;=01_因子設定!$L$5-0.000000001,C1640&lt;=01_因子設定!$M$5+0.000000001,D1640&gt;=01_因子設定!$L$6-0.000000001,D1640&lt;=01_因子設定!$M$6+0.000000001,IF(01_因子設定!$B$20="Box-Behnken",C1640^2+D1640^2&lt;=2+0.000000001,TRUE()))</f>
        <v>1</v>
      </c>
      <c r="Q1640" s="55" t="n">
        <f aca="false">IF(P1640,IF(01_因子設定!$B$13="最大化",N1640-01_因子設定!$B$14,IF(01_因子設定!$B$13="最小化",01_因子設定!$B$15-O1640,MIN(N1640-01_因子設定!$B$14,01_因子設定!$B$15-O1640))),-1E+030)</f>
        <v>0.620860564678971</v>
      </c>
      <c r="R1640" s="55" t="n">
        <f aca="false">IF(P1640,IF(01_因子設定!$B$13="最大化",K1640,IF(01_因子設定!$B$13="最小化",-K1640,-ABS(K1640-01_因子設定!$B$16))),-1E+030)</f>
        <v>48.8017686781609</v>
      </c>
      <c r="S1640" s="55" t="n">
        <f aca="false">Q1640+ROW()*0.000000001</f>
        <v>0.620862204678971</v>
      </c>
      <c r="T1640" s="55" t="n">
        <f aca="false">R1640+ROW()*0.000000001</f>
        <v>48.8017703181609</v>
      </c>
    </row>
    <row r="1641" customFormat="false" ht="15" hidden="false" customHeight="false" outlineLevel="0" collapsed="false">
      <c r="A1641" s="0" t="n">
        <v>39</v>
      </c>
      <c r="B1641" s="0" t="n">
        <v>37</v>
      </c>
      <c r="C1641" s="0" t="n">
        <f aca="false">-1+A1641*0.05</f>
        <v>0.95</v>
      </c>
      <c r="D1641" s="0" t="n">
        <f aca="false">-1+B1641*0.05</f>
        <v>0.85</v>
      </c>
      <c r="E1641" s="0" t="n">
        <f aca="false">1</f>
        <v>1</v>
      </c>
      <c r="F1641" s="0" t="n">
        <f aca="false">C1641</f>
        <v>0.95</v>
      </c>
      <c r="G1641" s="0" t="n">
        <f aca="false">D1641</f>
        <v>0.85</v>
      </c>
      <c r="H1641" s="0" t="n">
        <f aca="false">C1641*D1641</f>
        <v>0.8075</v>
      </c>
      <c r="I1641" s="0" t="n">
        <f aca="false">C1641*C1641</f>
        <v>0.9025</v>
      </c>
      <c r="J1641" s="0" t="n">
        <f aca="false">D1641*D1641</f>
        <v>0.7225</v>
      </c>
      <c r="K1641" s="0" t="n">
        <f aca="false">SUMPRODUCT(E1641:J1641,_XtX!$B$53:$G$53)</f>
        <v>48.8119001436781</v>
      </c>
      <c r="L1641" s="0" t="n">
        <f aca="false">SUMPRODUCT(MMULT(E1641:J1641,_XtX!$B$44:$G$49),E1641:J1641)</f>
        <v>0.574086404454023</v>
      </c>
      <c r="M1641" s="0" t="n">
        <f aca="false">04_回帰ANOVA!$K$19*04_回帰ANOVA!$K$14*SQRT(1+L1641)</f>
        <v>1.7001641576124</v>
      </c>
      <c r="N1641" s="0" t="n">
        <f aca="false">K1641-M1641</f>
        <v>47.1117359860658</v>
      </c>
      <c r="O1641" s="0" t="n">
        <f aca="false">K1641+M1641</f>
        <v>50.5120643012905</v>
      </c>
      <c r="P1641" s="54" t="b">
        <f aca="false">AND(C1641&gt;=01_因子設定!$L$5-0.000000001,C1641&lt;=01_因子設定!$M$5+0.000000001,D1641&gt;=01_因子設定!$L$6-0.000000001,D1641&lt;=01_因子設定!$M$6+0.000000001,IF(01_因子設定!$B$20="Box-Behnken",C1641^2+D1641^2&lt;=2+0.000000001,TRUE()))</f>
        <v>1</v>
      </c>
      <c r="Q1641" s="55" t="n">
        <f aca="false">IF(P1641,IF(01_因子設定!$B$13="最大化",N1641-01_因子設定!$B$14,IF(01_因子設定!$B$13="最小化",01_因子設定!$B$15-O1641,MIN(N1641-01_因子設定!$B$14,01_因子設定!$B$15-O1641))),-1E+030)</f>
        <v>0.611735986065753</v>
      </c>
      <c r="R1641" s="55" t="n">
        <f aca="false">IF(P1641,IF(01_因子設定!$B$13="最大化",K1641,IF(01_因子設定!$B$13="最小化",-K1641,-ABS(K1641-01_因子設定!$B$16))),-1E+030)</f>
        <v>48.8119001436781</v>
      </c>
      <c r="S1641" s="55" t="n">
        <f aca="false">Q1641+ROW()*0.000000001</f>
        <v>0.611737627065753</v>
      </c>
      <c r="T1641" s="55" t="n">
        <f aca="false">R1641+ROW()*0.000000001</f>
        <v>48.8119017846781</v>
      </c>
    </row>
    <row r="1642" customFormat="false" ht="15" hidden="false" customHeight="false" outlineLevel="0" collapsed="false">
      <c r="A1642" s="0" t="n">
        <v>39</v>
      </c>
      <c r="B1642" s="0" t="n">
        <v>38</v>
      </c>
      <c r="C1642" s="0" t="n">
        <f aca="false">-1+A1642*0.05</f>
        <v>0.95</v>
      </c>
      <c r="D1642" s="0" t="n">
        <f aca="false">-1+B1642*0.05</f>
        <v>0.9</v>
      </c>
      <c r="E1642" s="0" t="n">
        <f aca="false">1</f>
        <v>1</v>
      </c>
      <c r="F1642" s="0" t="n">
        <f aca="false">C1642</f>
        <v>0.95</v>
      </c>
      <c r="G1642" s="0" t="n">
        <f aca="false">D1642</f>
        <v>0.9</v>
      </c>
      <c r="H1642" s="0" t="n">
        <f aca="false">C1642*D1642</f>
        <v>0.855</v>
      </c>
      <c r="I1642" s="0" t="n">
        <f aca="false">C1642*C1642</f>
        <v>0.9025</v>
      </c>
      <c r="J1642" s="0" t="n">
        <f aca="false">D1642*D1642</f>
        <v>0.81</v>
      </c>
      <c r="K1642" s="0" t="n">
        <f aca="false">SUMPRODUCT(E1642:J1642,_XtX!$B$53:$G$53)</f>
        <v>48.814316091954</v>
      </c>
      <c r="L1642" s="0" t="n">
        <f aca="false">SUMPRODUCT(MMULT(E1642:J1642,_XtX!$B$44:$G$49),E1642:J1642)</f>
        <v>0.617075179597701</v>
      </c>
      <c r="M1642" s="0" t="n">
        <f aca="false">04_回帰ANOVA!$K$19*04_回帰ANOVA!$K$14*SQRT(1+L1642)</f>
        <v>1.72322377517336</v>
      </c>
      <c r="N1642" s="0" t="n">
        <f aca="false">K1642-M1642</f>
        <v>47.0910923167806</v>
      </c>
      <c r="O1642" s="0" t="n">
        <f aca="false">K1642+M1642</f>
        <v>50.5375398671274</v>
      </c>
      <c r="P1642" s="54" t="b">
        <f aca="false">AND(C1642&gt;=01_因子設定!$L$5-0.000000001,C1642&lt;=01_因子設定!$M$5+0.000000001,D1642&gt;=01_因子設定!$L$6-0.000000001,D1642&lt;=01_因子設定!$M$6+0.000000001,IF(01_因子設定!$B$20="Box-Behnken",C1642^2+D1642^2&lt;=2+0.000000001,TRUE()))</f>
        <v>1</v>
      </c>
      <c r="Q1642" s="55" t="n">
        <f aca="false">IF(P1642,IF(01_因子設定!$B$13="最大化",N1642-01_因子設定!$B$14,IF(01_因子設定!$B$13="最小化",01_因子設定!$B$15-O1642,MIN(N1642-01_因子設定!$B$14,01_因子設定!$B$15-O1642))),-1E+030)</f>
        <v>0.591092316780639</v>
      </c>
      <c r="R1642" s="55" t="n">
        <f aca="false">IF(P1642,IF(01_因子設定!$B$13="最大化",K1642,IF(01_因子設定!$B$13="最小化",-K1642,-ABS(K1642-01_因子設定!$B$16))),-1E+030)</f>
        <v>48.814316091954</v>
      </c>
      <c r="S1642" s="55" t="n">
        <f aca="false">Q1642+ROW()*0.000000001</f>
        <v>0.591093958780639</v>
      </c>
      <c r="T1642" s="55" t="n">
        <f aca="false">R1642+ROW()*0.000000001</f>
        <v>48.814317733954</v>
      </c>
    </row>
    <row r="1643" customFormat="false" ht="15" hidden="false" customHeight="false" outlineLevel="0" collapsed="false">
      <c r="A1643" s="0" t="n">
        <v>39</v>
      </c>
      <c r="B1643" s="0" t="n">
        <v>39</v>
      </c>
      <c r="C1643" s="0" t="n">
        <f aca="false">-1+A1643*0.05</f>
        <v>0.95</v>
      </c>
      <c r="D1643" s="0" t="n">
        <f aca="false">-1+B1643*0.05</f>
        <v>0.95</v>
      </c>
      <c r="E1643" s="0" t="n">
        <f aca="false">1</f>
        <v>1</v>
      </c>
      <c r="F1643" s="0" t="n">
        <f aca="false">C1643</f>
        <v>0.95</v>
      </c>
      <c r="G1643" s="0" t="n">
        <f aca="false">D1643</f>
        <v>0.95</v>
      </c>
      <c r="H1643" s="0" t="n">
        <f aca="false">C1643*D1643</f>
        <v>0.9025</v>
      </c>
      <c r="I1643" s="0" t="n">
        <f aca="false">C1643*C1643</f>
        <v>0.9025</v>
      </c>
      <c r="J1643" s="0" t="n">
        <f aca="false">D1643*D1643</f>
        <v>0.9025</v>
      </c>
      <c r="K1643" s="0" t="n">
        <f aca="false">SUMPRODUCT(E1643:J1643,_XtX!$B$53:$G$53)</f>
        <v>48.8090165229885</v>
      </c>
      <c r="L1643" s="0" t="n">
        <f aca="false">SUMPRODUCT(MMULT(E1643:J1643,_XtX!$B$44:$G$49),E1643:J1643)</f>
        <v>0.668548904454023</v>
      </c>
      <c r="M1643" s="0" t="n">
        <f aca="false">04_回帰ANOVA!$K$19*04_回帰ANOVA!$K$14*SQRT(1+L1643)</f>
        <v>1.75043521736054</v>
      </c>
      <c r="N1643" s="0" t="n">
        <f aca="false">K1643-M1643</f>
        <v>47.0585813056279</v>
      </c>
      <c r="O1643" s="0" t="n">
        <f aca="false">K1643+M1643</f>
        <v>50.559451740349</v>
      </c>
      <c r="P1643" s="54" t="b">
        <f aca="false">AND(C1643&gt;=01_因子設定!$L$5-0.000000001,C1643&lt;=01_因子設定!$M$5+0.000000001,D1643&gt;=01_因子設定!$L$6-0.000000001,D1643&lt;=01_因子設定!$M$6+0.000000001,IF(01_因子設定!$B$20="Box-Behnken",C1643^2+D1643^2&lt;=2+0.000000001,TRUE()))</f>
        <v>1</v>
      </c>
      <c r="Q1643" s="55" t="n">
        <f aca="false">IF(P1643,IF(01_因子設定!$B$13="最大化",N1643-01_因子設定!$B$14,IF(01_因子設定!$B$13="最小化",01_因子設定!$B$15-O1643,MIN(N1643-01_因子設定!$B$14,01_因子設定!$B$15-O1643))),-1E+030)</f>
        <v>0.558581305627946</v>
      </c>
      <c r="R1643" s="55" t="n">
        <f aca="false">IF(P1643,IF(01_因子設定!$B$13="最大化",K1643,IF(01_因子設定!$B$13="最小化",-K1643,-ABS(K1643-01_因子設定!$B$16))),-1E+030)</f>
        <v>48.8090165229885</v>
      </c>
      <c r="S1643" s="55" t="n">
        <f aca="false">Q1643+ROW()*0.000000001</f>
        <v>0.558582948627946</v>
      </c>
      <c r="T1643" s="55" t="n">
        <f aca="false">R1643+ROW()*0.000000001</f>
        <v>48.8090181659885</v>
      </c>
    </row>
    <row r="1644" customFormat="false" ht="15" hidden="false" customHeight="false" outlineLevel="0" collapsed="false">
      <c r="A1644" s="0" t="n">
        <v>39</v>
      </c>
      <c r="B1644" s="0" t="n">
        <v>40</v>
      </c>
      <c r="C1644" s="0" t="n">
        <f aca="false">-1+A1644*0.05</f>
        <v>0.95</v>
      </c>
      <c r="D1644" s="0" t="n">
        <f aca="false">-1+B1644*0.05</f>
        <v>1</v>
      </c>
      <c r="E1644" s="0" t="n">
        <f aca="false">1</f>
        <v>1</v>
      </c>
      <c r="F1644" s="0" t="n">
        <f aca="false">C1644</f>
        <v>0.95</v>
      </c>
      <c r="G1644" s="0" t="n">
        <f aca="false">D1644</f>
        <v>1</v>
      </c>
      <c r="H1644" s="0" t="n">
        <f aca="false">C1644*D1644</f>
        <v>0.95</v>
      </c>
      <c r="I1644" s="0" t="n">
        <f aca="false">C1644*C1644</f>
        <v>0.9025</v>
      </c>
      <c r="J1644" s="0" t="n">
        <f aca="false">D1644*D1644</f>
        <v>1</v>
      </c>
      <c r="K1644" s="0" t="n">
        <f aca="false">SUMPRODUCT(E1644:J1644,_XtX!$B$53:$G$53)</f>
        <v>48.7960014367816</v>
      </c>
      <c r="L1644" s="0" t="n">
        <f aca="false">SUMPRODUCT(MMULT(E1644:J1644,_XtX!$B$44:$G$49),E1644:J1644)</f>
        <v>0.729512320402299</v>
      </c>
      <c r="M1644" s="0" t="n">
        <f aca="false">04_回帰ANOVA!$K$19*04_回帰ANOVA!$K$14*SQRT(1+L1644)</f>
        <v>1.78212598387095</v>
      </c>
      <c r="N1644" s="0" t="n">
        <f aca="false">K1644-M1644</f>
        <v>47.0138754529106</v>
      </c>
      <c r="O1644" s="0" t="n">
        <f aca="false">K1644+M1644</f>
        <v>50.5781274206525</v>
      </c>
      <c r="P1644" s="54" t="b">
        <f aca="false">AND(C1644&gt;=01_因子設定!$L$5-0.000000001,C1644&lt;=01_因子設定!$M$5+0.000000001,D1644&gt;=01_因子設定!$L$6-0.000000001,D1644&lt;=01_因子設定!$M$6+0.000000001,IF(01_因子設定!$B$20="Box-Behnken",C1644^2+D1644^2&lt;=2+0.000000001,TRUE()))</f>
        <v>1</v>
      </c>
      <c r="Q1644" s="55" t="n">
        <f aca="false">IF(P1644,IF(01_因子設定!$B$13="最大化",N1644-01_因子設定!$B$14,IF(01_因子設定!$B$13="最小化",01_因子設定!$B$15-O1644,MIN(N1644-01_因子設定!$B$14,01_因子設定!$B$15-O1644))),-1E+030)</f>
        <v>0.513875452910646</v>
      </c>
      <c r="R1644" s="55" t="n">
        <f aca="false">IF(P1644,IF(01_因子設定!$B$13="最大化",K1644,IF(01_因子設定!$B$13="最小化",-K1644,-ABS(K1644-01_因子設定!$B$16))),-1E+030)</f>
        <v>48.7960014367816</v>
      </c>
      <c r="S1644" s="55" t="n">
        <f aca="false">Q1644+ROW()*0.000000001</f>
        <v>0.513877096910646</v>
      </c>
      <c r="T1644" s="55" t="n">
        <f aca="false">R1644+ROW()*0.000000001</f>
        <v>48.7960030807816</v>
      </c>
    </row>
    <row r="1645" customFormat="false" ht="15" hidden="false" customHeight="false" outlineLevel="0" collapsed="false">
      <c r="A1645" s="0" t="n">
        <v>40</v>
      </c>
      <c r="B1645" s="0" t="n">
        <v>0</v>
      </c>
      <c r="C1645" s="0" t="n">
        <f aca="false">-1+A1645*0.05</f>
        <v>1</v>
      </c>
      <c r="D1645" s="0" t="n">
        <f aca="false">-1+B1645*0.05</f>
        <v>-1</v>
      </c>
      <c r="E1645" s="0" t="n">
        <f aca="false">1</f>
        <v>1</v>
      </c>
      <c r="F1645" s="0" t="n">
        <f aca="false">C1645</f>
        <v>1</v>
      </c>
      <c r="G1645" s="0" t="n">
        <f aca="false">D1645</f>
        <v>-1</v>
      </c>
      <c r="H1645" s="0" t="n">
        <f aca="false">C1645*D1645</f>
        <v>-1</v>
      </c>
      <c r="I1645" s="0" t="n">
        <f aca="false">C1645*C1645</f>
        <v>1</v>
      </c>
      <c r="J1645" s="0" t="n">
        <f aca="false">D1645*D1645</f>
        <v>1</v>
      </c>
      <c r="K1645" s="0" t="n">
        <f aca="false">SUMPRODUCT(E1645:J1645,_XtX!$B$53:$G$53)</f>
        <v>43.110632183908</v>
      </c>
      <c r="L1645" s="0" t="n">
        <f aca="false">SUMPRODUCT(MMULT(E1645:J1645,_XtX!$B$44:$G$49),E1645:J1645)</f>
        <v>0.790229885057471</v>
      </c>
      <c r="M1645" s="0" t="n">
        <f aca="false">04_回帰ANOVA!$K$19*04_回帰ANOVA!$K$14*SQRT(1+L1645)</f>
        <v>1.81313847457497</v>
      </c>
      <c r="N1645" s="0" t="n">
        <f aca="false">K1645-M1645</f>
        <v>41.2974937093331</v>
      </c>
      <c r="O1645" s="0" t="n">
        <f aca="false">K1645+M1645</f>
        <v>44.923770658483</v>
      </c>
      <c r="P1645" s="54" t="b">
        <f aca="false">AND(C1645&gt;=01_因子設定!$L$5-0.000000001,C1645&lt;=01_因子設定!$M$5+0.000000001,D1645&gt;=01_因子設定!$L$6-0.000000001,D1645&lt;=01_因子設定!$M$6+0.000000001,IF(01_因子設定!$B$20="Box-Behnken",C1645^2+D1645^2&lt;=2+0.000000001,TRUE()))</f>
        <v>1</v>
      </c>
      <c r="Q1645" s="55" t="n">
        <f aca="false">IF(P1645,IF(01_因子設定!$B$13="最大化",N1645-01_因子設定!$B$14,IF(01_因子設定!$B$13="最小化",01_因子設定!$B$15-O1645,MIN(N1645-01_因子設定!$B$14,01_因子設定!$B$15-O1645))),-1E+030)</f>
        <v>-5.20250629066695</v>
      </c>
      <c r="R1645" s="55" t="n">
        <f aca="false">IF(P1645,IF(01_因子設定!$B$13="最大化",K1645,IF(01_因子設定!$B$13="最小化",-K1645,-ABS(K1645-01_因子設定!$B$16))),-1E+030)</f>
        <v>43.110632183908</v>
      </c>
      <c r="S1645" s="55" t="n">
        <f aca="false">Q1645+ROW()*0.000000001</f>
        <v>-5.20250464566695</v>
      </c>
      <c r="T1645" s="55" t="n">
        <f aca="false">R1645+ROW()*0.000000001</f>
        <v>43.110633828908</v>
      </c>
    </row>
    <row r="1646" customFormat="false" ht="15" hidden="false" customHeight="false" outlineLevel="0" collapsed="false">
      <c r="A1646" s="0" t="n">
        <v>40</v>
      </c>
      <c r="B1646" s="0" t="n">
        <v>1</v>
      </c>
      <c r="C1646" s="0" t="n">
        <f aca="false">-1+A1646*0.05</f>
        <v>1</v>
      </c>
      <c r="D1646" s="0" t="n">
        <f aca="false">-1+B1646*0.05</f>
        <v>-0.95</v>
      </c>
      <c r="E1646" s="0" t="n">
        <f aca="false">1</f>
        <v>1</v>
      </c>
      <c r="F1646" s="0" t="n">
        <f aca="false">C1646</f>
        <v>1</v>
      </c>
      <c r="G1646" s="0" t="n">
        <f aca="false">D1646</f>
        <v>-0.95</v>
      </c>
      <c r="H1646" s="0" t="n">
        <f aca="false">C1646*D1646</f>
        <v>-0.95</v>
      </c>
      <c r="I1646" s="0" t="n">
        <f aca="false">C1646*C1646</f>
        <v>1</v>
      </c>
      <c r="J1646" s="0" t="n">
        <f aca="false">D1646*D1646</f>
        <v>0.9025</v>
      </c>
      <c r="K1646" s="0" t="n">
        <f aca="false">SUMPRODUCT(E1646:J1646,_XtX!$B$53:$G$53)</f>
        <v>43.3998347701149</v>
      </c>
      <c r="L1646" s="0" t="n">
        <f aca="false">SUMPRODUCT(MMULT(E1646:J1646,_XtX!$B$44:$G$49),E1646:J1646)</f>
        <v>0.729512320402299</v>
      </c>
      <c r="M1646" s="0" t="n">
        <f aca="false">04_回帰ANOVA!$K$19*04_回帰ANOVA!$K$14*SQRT(1+L1646)</f>
        <v>1.78212598387095</v>
      </c>
      <c r="N1646" s="0" t="n">
        <f aca="false">K1646-M1646</f>
        <v>41.617708786244</v>
      </c>
      <c r="O1646" s="0" t="n">
        <f aca="false">K1646+M1646</f>
        <v>45.1819607539859</v>
      </c>
      <c r="P1646" s="54" t="b">
        <f aca="false">AND(C1646&gt;=01_因子設定!$L$5-0.000000001,C1646&lt;=01_因子設定!$M$5+0.000000001,D1646&gt;=01_因子設定!$L$6-0.000000001,D1646&lt;=01_因子設定!$M$6+0.000000001,IF(01_因子設定!$B$20="Box-Behnken",C1646^2+D1646^2&lt;=2+0.000000001,TRUE()))</f>
        <v>1</v>
      </c>
      <c r="Q1646" s="55" t="n">
        <f aca="false">IF(P1646,IF(01_因子設定!$B$13="最大化",N1646-01_因子設定!$B$14,IF(01_因子設定!$B$13="最小化",01_因子設定!$B$15-O1646,MIN(N1646-01_因子設定!$B$14,01_因子設定!$B$15-O1646))),-1E+030)</f>
        <v>-4.88229121375602</v>
      </c>
      <c r="R1646" s="55" t="n">
        <f aca="false">IF(P1646,IF(01_因子設定!$B$13="最大化",K1646,IF(01_因子設定!$B$13="最小化",-K1646,-ABS(K1646-01_因子設定!$B$16))),-1E+030)</f>
        <v>43.3998347701149</v>
      </c>
      <c r="S1646" s="55" t="n">
        <f aca="false">Q1646+ROW()*0.000000001</f>
        <v>-4.88228956775602</v>
      </c>
      <c r="T1646" s="55" t="n">
        <f aca="false">R1646+ROW()*0.000000001</f>
        <v>43.3998364161149</v>
      </c>
    </row>
    <row r="1647" customFormat="false" ht="15" hidden="false" customHeight="false" outlineLevel="0" collapsed="false">
      <c r="A1647" s="0" t="n">
        <v>40</v>
      </c>
      <c r="B1647" s="0" t="n">
        <v>2</v>
      </c>
      <c r="C1647" s="0" t="n">
        <f aca="false">-1+A1647*0.05</f>
        <v>1</v>
      </c>
      <c r="D1647" s="0" t="n">
        <f aca="false">-1+B1647*0.05</f>
        <v>-0.9</v>
      </c>
      <c r="E1647" s="0" t="n">
        <f aca="false">1</f>
        <v>1</v>
      </c>
      <c r="F1647" s="0" t="n">
        <f aca="false">C1647</f>
        <v>1</v>
      </c>
      <c r="G1647" s="0" t="n">
        <f aca="false">D1647</f>
        <v>-0.9</v>
      </c>
      <c r="H1647" s="0" t="n">
        <f aca="false">C1647*D1647</f>
        <v>-0.9</v>
      </c>
      <c r="I1647" s="0" t="n">
        <f aca="false">C1647*C1647</f>
        <v>1</v>
      </c>
      <c r="J1647" s="0" t="n">
        <f aca="false">D1647*D1647</f>
        <v>0.81</v>
      </c>
      <c r="K1647" s="0" t="n">
        <f aca="false">SUMPRODUCT(E1647:J1647,_XtX!$B$53:$G$53)</f>
        <v>43.6813218390805</v>
      </c>
      <c r="L1647" s="0" t="n">
        <f aca="false">SUMPRODUCT(MMULT(E1647:J1647,_XtX!$B$44:$G$49),E1647:J1647)</f>
        <v>0.67827183908046</v>
      </c>
      <c r="M1647" s="0" t="n">
        <f aca="false">04_回帰ANOVA!$K$19*04_回帰ANOVA!$K$14*SQRT(1+L1647)</f>
        <v>1.7555278596526</v>
      </c>
      <c r="N1647" s="0" t="n">
        <f aca="false">K1647-M1647</f>
        <v>41.9257939794279</v>
      </c>
      <c r="O1647" s="0" t="n">
        <f aca="false">K1647+M1647</f>
        <v>45.436849698733</v>
      </c>
      <c r="P1647" s="54" t="b">
        <f aca="false">AND(C1647&gt;=01_因子設定!$L$5-0.000000001,C1647&lt;=01_因子設定!$M$5+0.000000001,D1647&gt;=01_因子設定!$L$6-0.000000001,D1647&lt;=01_因子設定!$M$6+0.000000001,IF(01_因子設定!$B$20="Box-Behnken",C1647^2+D1647^2&lt;=2+0.000000001,TRUE()))</f>
        <v>1</v>
      </c>
      <c r="Q1647" s="55" t="n">
        <f aca="false">IF(P1647,IF(01_因子設定!$B$13="最大化",N1647-01_因子設定!$B$14,IF(01_因子設定!$B$13="最小化",01_因子設定!$B$15-O1647,MIN(N1647-01_因子設定!$B$14,01_因子設定!$B$15-O1647))),-1E+030)</f>
        <v>-4.57420602057215</v>
      </c>
      <c r="R1647" s="55" t="n">
        <f aca="false">IF(P1647,IF(01_因子設定!$B$13="最大化",K1647,IF(01_因子設定!$B$13="最小化",-K1647,-ABS(K1647-01_因子設定!$B$16))),-1E+030)</f>
        <v>43.6813218390805</v>
      </c>
      <c r="S1647" s="55" t="n">
        <f aca="false">Q1647+ROW()*0.000000001</f>
        <v>-4.57420437357215</v>
      </c>
      <c r="T1647" s="55" t="n">
        <f aca="false">R1647+ROW()*0.000000001</f>
        <v>43.6813234860804</v>
      </c>
    </row>
    <row r="1648" customFormat="false" ht="15" hidden="false" customHeight="false" outlineLevel="0" collapsed="false">
      <c r="A1648" s="0" t="n">
        <v>40</v>
      </c>
      <c r="B1648" s="0" t="n">
        <v>3</v>
      </c>
      <c r="C1648" s="0" t="n">
        <f aca="false">-1+A1648*0.05</f>
        <v>1</v>
      </c>
      <c r="D1648" s="0" t="n">
        <f aca="false">-1+B1648*0.05</f>
        <v>-0.85</v>
      </c>
      <c r="E1648" s="0" t="n">
        <f aca="false">1</f>
        <v>1</v>
      </c>
      <c r="F1648" s="0" t="n">
        <f aca="false">C1648</f>
        <v>1</v>
      </c>
      <c r="G1648" s="0" t="n">
        <f aca="false">D1648</f>
        <v>-0.85</v>
      </c>
      <c r="H1648" s="0" t="n">
        <f aca="false">C1648*D1648</f>
        <v>-0.85</v>
      </c>
      <c r="I1648" s="0" t="n">
        <f aca="false">C1648*C1648</f>
        <v>1</v>
      </c>
      <c r="J1648" s="0" t="n">
        <f aca="false">D1648*D1648</f>
        <v>0.7225</v>
      </c>
      <c r="K1648" s="0" t="n">
        <f aca="false">SUMPRODUCT(E1648:J1648,_XtX!$B$53:$G$53)</f>
        <v>43.9550933908046</v>
      </c>
      <c r="L1648" s="0" t="n">
        <f aca="false">SUMPRODUCT(MMULT(E1648:J1648,_XtX!$B$44:$G$49),E1648:J1648)</f>
        <v>0.635503699712644</v>
      </c>
      <c r="M1648" s="0" t="n">
        <f aca="false">04_回帰ANOVA!$K$19*04_回帰ANOVA!$K$14*SQRT(1+L1648)</f>
        <v>1.73301506394813</v>
      </c>
      <c r="N1648" s="0" t="n">
        <f aca="false">K1648-M1648</f>
        <v>42.2220783268565</v>
      </c>
      <c r="O1648" s="0" t="n">
        <f aca="false">K1648+M1648</f>
        <v>45.6881084547527</v>
      </c>
      <c r="P1648" s="54" t="b">
        <f aca="false">AND(C1648&gt;=01_因子設定!$L$5-0.000000001,C1648&lt;=01_因子設定!$M$5+0.000000001,D1648&gt;=01_因子設定!$L$6-0.000000001,D1648&lt;=01_因子設定!$M$6+0.000000001,IF(01_因子設定!$B$20="Box-Behnken",C1648^2+D1648^2&lt;=2+0.000000001,TRUE()))</f>
        <v>1</v>
      </c>
      <c r="Q1648" s="55" t="n">
        <f aca="false">IF(P1648,IF(01_因子設定!$B$13="最大化",N1648-01_因子設定!$B$14,IF(01_因子設定!$B$13="最小化",01_因子設定!$B$15-O1648,MIN(N1648-01_因子設定!$B$14,01_因子設定!$B$15-O1648))),-1E+030)</f>
        <v>-4.27792167314355</v>
      </c>
      <c r="R1648" s="55" t="n">
        <f aca="false">IF(P1648,IF(01_因子設定!$B$13="最大化",K1648,IF(01_因子設定!$B$13="最小化",-K1648,-ABS(K1648-01_因子設定!$B$16))),-1E+030)</f>
        <v>43.9550933908046</v>
      </c>
      <c r="S1648" s="55" t="n">
        <f aca="false">Q1648+ROW()*0.000000001</f>
        <v>-4.27792002514355</v>
      </c>
      <c r="T1648" s="55" t="n">
        <f aca="false">R1648+ROW()*0.000000001</f>
        <v>43.9550950388046</v>
      </c>
    </row>
    <row r="1649" customFormat="false" ht="15" hidden="false" customHeight="false" outlineLevel="0" collapsed="false">
      <c r="A1649" s="0" t="n">
        <v>40</v>
      </c>
      <c r="B1649" s="0" t="n">
        <v>4</v>
      </c>
      <c r="C1649" s="0" t="n">
        <f aca="false">-1+A1649*0.05</f>
        <v>1</v>
      </c>
      <c r="D1649" s="0" t="n">
        <f aca="false">-1+B1649*0.05</f>
        <v>-0.8</v>
      </c>
      <c r="E1649" s="0" t="n">
        <f aca="false">1</f>
        <v>1</v>
      </c>
      <c r="F1649" s="0" t="n">
        <f aca="false">C1649</f>
        <v>1</v>
      </c>
      <c r="G1649" s="0" t="n">
        <f aca="false">D1649</f>
        <v>-0.8</v>
      </c>
      <c r="H1649" s="0" t="n">
        <f aca="false">C1649*D1649</f>
        <v>-0.8</v>
      </c>
      <c r="I1649" s="0" t="n">
        <f aca="false">C1649*C1649</f>
        <v>1</v>
      </c>
      <c r="J1649" s="0" t="n">
        <f aca="false">D1649*D1649</f>
        <v>0.64</v>
      </c>
      <c r="K1649" s="0" t="n">
        <f aca="false">SUMPRODUCT(E1649:J1649,_XtX!$B$53:$G$53)</f>
        <v>44.2211494252873</v>
      </c>
      <c r="L1649" s="0" t="n">
        <f aca="false">SUMPRODUCT(MMULT(E1649:J1649,_XtX!$B$44:$G$49),E1649:J1649)</f>
        <v>0.600257471264368</v>
      </c>
      <c r="M1649" s="0" t="n">
        <f aca="false">04_回帰ANOVA!$K$19*04_回帰ANOVA!$K$14*SQRT(1+L1649)</f>
        <v>1.71423952387759</v>
      </c>
      <c r="N1649" s="0" t="n">
        <f aca="false">K1649-M1649</f>
        <v>42.5069099014098</v>
      </c>
      <c r="O1649" s="0" t="n">
        <f aca="false">K1649+M1649</f>
        <v>45.9353889491649</v>
      </c>
      <c r="P1649" s="54" t="b">
        <f aca="false">AND(C1649&gt;=01_因子設定!$L$5-0.000000001,C1649&lt;=01_因子設定!$M$5+0.000000001,D1649&gt;=01_因子設定!$L$6-0.000000001,D1649&lt;=01_因子設定!$M$6+0.000000001,IF(01_因子設定!$B$20="Box-Behnken",C1649^2+D1649^2&lt;=2+0.000000001,TRUE()))</f>
        <v>1</v>
      </c>
      <c r="Q1649" s="55" t="n">
        <f aca="false">IF(P1649,IF(01_因子設定!$B$13="最大化",N1649-01_因子設定!$B$14,IF(01_因子設定!$B$13="最小化",01_因子設定!$B$15-O1649,MIN(N1649-01_因子設定!$B$14,01_因子設定!$B$15-O1649))),-1E+030)</f>
        <v>-3.99309009859024</v>
      </c>
      <c r="R1649" s="55" t="n">
        <f aca="false">IF(P1649,IF(01_因子設定!$B$13="最大化",K1649,IF(01_因子設定!$B$13="最小化",-K1649,-ABS(K1649-01_因子設定!$B$16))),-1E+030)</f>
        <v>44.2211494252873</v>
      </c>
      <c r="S1649" s="55" t="n">
        <f aca="false">Q1649+ROW()*0.000000001</f>
        <v>-3.99308844959024</v>
      </c>
      <c r="T1649" s="55" t="n">
        <f aca="false">R1649+ROW()*0.000000001</f>
        <v>44.2211510742873</v>
      </c>
    </row>
    <row r="1650" customFormat="false" ht="15" hidden="false" customHeight="false" outlineLevel="0" collapsed="false">
      <c r="A1650" s="0" t="n">
        <v>40</v>
      </c>
      <c r="B1650" s="0" t="n">
        <v>5</v>
      </c>
      <c r="C1650" s="0" t="n">
        <f aca="false">-1+A1650*0.05</f>
        <v>1</v>
      </c>
      <c r="D1650" s="0" t="n">
        <f aca="false">-1+B1650*0.05</f>
        <v>-0.75</v>
      </c>
      <c r="E1650" s="0" t="n">
        <f aca="false">1</f>
        <v>1</v>
      </c>
      <c r="F1650" s="0" t="n">
        <f aca="false">C1650</f>
        <v>1</v>
      </c>
      <c r="G1650" s="0" t="n">
        <f aca="false">D1650</f>
        <v>-0.75</v>
      </c>
      <c r="H1650" s="0" t="n">
        <f aca="false">C1650*D1650</f>
        <v>-0.75</v>
      </c>
      <c r="I1650" s="0" t="n">
        <f aca="false">C1650*C1650</f>
        <v>1</v>
      </c>
      <c r="J1650" s="0" t="n">
        <f aca="false">D1650*D1650</f>
        <v>0.5625</v>
      </c>
      <c r="K1650" s="0" t="n">
        <f aca="false">SUMPRODUCT(E1650:J1650,_XtX!$B$53:$G$53)</f>
        <v>44.4794899425287</v>
      </c>
      <c r="L1650" s="0" t="n">
        <f aca="false">SUMPRODUCT(MMULT(E1650:J1650,_XtX!$B$44:$G$49),E1650:J1650)</f>
        <v>0.571637033045977</v>
      </c>
      <c r="M1650" s="0" t="n">
        <f aca="false">04_回帰ANOVA!$K$19*04_回帰ANOVA!$K$14*SQRT(1+L1650)</f>
        <v>1.69884086471256</v>
      </c>
      <c r="N1650" s="0" t="n">
        <f aca="false">K1650-M1650</f>
        <v>42.7806490778162</v>
      </c>
      <c r="O1650" s="0" t="n">
        <f aca="false">K1650+M1650</f>
        <v>46.1783308072413</v>
      </c>
      <c r="P1650" s="54" t="b">
        <f aca="false">AND(C1650&gt;=01_因子設定!$L$5-0.000000001,C1650&lt;=01_因子設定!$M$5+0.000000001,D1650&gt;=01_因子設定!$L$6-0.000000001,D1650&lt;=01_因子設定!$M$6+0.000000001,IF(01_因子設定!$B$20="Box-Behnken",C1650^2+D1650^2&lt;=2+0.000000001,TRUE()))</f>
        <v>1</v>
      </c>
      <c r="Q1650" s="55" t="n">
        <f aca="false">IF(P1650,IF(01_因子設定!$B$13="最大化",N1650-01_因子設定!$B$14,IF(01_因子設定!$B$13="最小化",01_因子設定!$B$15-O1650,MIN(N1650-01_因子設定!$B$14,01_因子設定!$B$15-O1650))),-1E+030)</f>
        <v>-3.71935092218385</v>
      </c>
      <c r="R1650" s="55" t="n">
        <f aca="false">IF(P1650,IF(01_因子設定!$B$13="最大化",K1650,IF(01_因子設定!$B$13="最小化",-K1650,-ABS(K1650-01_因子設定!$B$16))),-1E+030)</f>
        <v>44.4794899425287</v>
      </c>
      <c r="S1650" s="55" t="n">
        <f aca="false">Q1650+ROW()*0.000000001</f>
        <v>-3.71934927218385</v>
      </c>
      <c r="T1650" s="55" t="n">
        <f aca="false">R1650+ROW()*0.000000001</f>
        <v>44.4794915925287</v>
      </c>
    </row>
    <row r="1651" customFormat="false" ht="15" hidden="false" customHeight="false" outlineLevel="0" collapsed="false">
      <c r="A1651" s="0" t="n">
        <v>40</v>
      </c>
      <c r="B1651" s="0" t="n">
        <v>6</v>
      </c>
      <c r="C1651" s="0" t="n">
        <f aca="false">-1+A1651*0.05</f>
        <v>1</v>
      </c>
      <c r="D1651" s="0" t="n">
        <f aca="false">-1+B1651*0.05</f>
        <v>-0.7</v>
      </c>
      <c r="E1651" s="0" t="n">
        <f aca="false">1</f>
        <v>1</v>
      </c>
      <c r="F1651" s="0" t="n">
        <f aca="false">C1651</f>
        <v>1</v>
      </c>
      <c r="G1651" s="0" t="n">
        <f aca="false">D1651</f>
        <v>-0.7</v>
      </c>
      <c r="H1651" s="0" t="n">
        <f aca="false">C1651*D1651</f>
        <v>-0.7</v>
      </c>
      <c r="I1651" s="0" t="n">
        <f aca="false">C1651*C1651</f>
        <v>1</v>
      </c>
      <c r="J1651" s="0" t="n">
        <f aca="false">D1651*D1651</f>
        <v>0.49</v>
      </c>
      <c r="K1651" s="0" t="n">
        <f aca="false">SUMPRODUCT(E1651:J1651,_XtX!$B$53:$G$53)</f>
        <v>44.7301149425287</v>
      </c>
      <c r="L1651" s="0" t="n">
        <f aca="false">SUMPRODUCT(MMULT(E1651:J1651,_XtX!$B$44:$G$49),E1651:J1651)</f>
        <v>0.548800574712644</v>
      </c>
      <c r="M1651" s="0" t="n">
        <f aca="false">04_回帰ANOVA!$K$19*04_回帰ANOVA!$K$14*SQRT(1+L1651)</f>
        <v>1.68645331298059</v>
      </c>
      <c r="N1651" s="0" t="n">
        <f aca="false">K1651-M1651</f>
        <v>43.0436616295481</v>
      </c>
      <c r="O1651" s="0" t="n">
        <f aca="false">K1651+M1651</f>
        <v>46.4165682555093</v>
      </c>
      <c r="P1651" s="54" t="b">
        <f aca="false">AND(C1651&gt;=01_因子設定!$L$5-0.000000001,C1651&lt;=01_因子設定!$M$5+0.000000001,D1651&gt;=01_因子設定!$L$6-0.000000001,D1651&lt;=01_因子設定!$M$6+0.000000001,IF(01_因子設定!$B$20="Box-Behnken",C1651^2+D1651^2&lt;=2+0.000000001,TRUE()))</f>
        <v>1</v>
      </c>
      <c r="Q1651" s="55" t="n">
        <f aca="false">IF(P1651,IF(01_因子設定!$B$13="最大化",N1651-01_因子設定!$B$14,IF(01_因子設定!$B$13="最小化",01_因子設定!$B$15-O1651,MIN(N1651-01_因子設定!$B$14,01_因子設定!$B$15-O1651))),-1E+030)</f>
        <v>-3.45633837045187</v>
      </c>
      <c r="R1651" s="55" t="n">
        <f aca="false">IF(P1651,IF(01_因子設定!$B$13="最大化",K1651,IF(01_因子設定!$B$13="最小化",-K1651,-ABS(K1651-01_因子設定!$B$16))),-1E+030)</f>
        <v>44.7301149425287</v>
      </c>
      <c r="S1651" s="55" t="n">
        <f aca="false">Q1651+ROW()*0.000000001</f>
        <v>-3.45633671945187</v>
      </c>
      <c r="T1651" s="55" t="n">
        <f aca="false">R1651+ROW()*0.000000001</f>
        <v>44.7301165935287</v>
      </c>
    </row>
    <row r="1652" customFormat="false" ht="15" hidden="false" customHeight="false" outlineLevel="0" collapsed="false">
      <c r="A1652" s="0" t="n">
        <v>40</v>
      </c>
      <c r="B1652" s="0" t="n">
        <v>7</v>
      </c>
      <c r="C1652" s="0" t="n">
        <f aca="false">-1+A1652*0.05</f>
        <v>1</v>
      </c>
      <c r="D1652" s="0" t="n">
        <f aca="false">-1+B1652*0.05</f>
        <v>-0.65</v>
      </c>
      <c r="E1652" s="0" t="n">
        <f aca="false">1</f>
        <v>1</v>
      </c>
      <c r="F1652" s="0" t="n">
        <f aca="false">C1652</f>
        <v>1</v>
      </c>
      <c r="G1652" s="0" t="n">
        <f aca="false">D1652</f>
        <v>-0.65</v>
      </c>
      <c r="H1652" s="0" t="n">
        <f aca="false">C1652*D1652</f>
        <v>-0.65</v>
      </c>
      <c r="I1652" s="0" t="n">
        <f aca="false">C1652*C1652</f>
        <v>1</v>
      </c>
      <c r="J1652" s="0" t="n">
        <f aca="false">D1652*D1652</f>
        <v>0.4225</v>
      </c>
      <c r="K1652" s="0" t="n">
        <f aca="false">SUMPRODUCT(E1652:J1652,_XtX!$B$53:$G$53)</f>
        <v>44.9730244252873</v>
      </c>
      <c r="L1652" s="0" t="n">
        <f aca="false">SUMPRODUCT(MMULT(E1652:J1652,_XtX!$B$44:$G$49),E1652:J1652)</f>
        <v>0.530960596264368</v>
      </c>
      <c r="M1652" s="0" t="n">
        <f aca="false">04_回帰ANOVA!$K$19*04_回帰ANOVA!$K$14*SQRT(1+L1652)</f>
        <v>1.6767124103567</v>
      </c>
      <c r="N1652" s="0" t="n">
        <f aca="false">K1652-M1652</f>
        <v>43.2963120149306</v>
      </c>
      <c r="O1652" s="0" t="n">
        <f aca="false">K1652+M1652</f>
        <v>46.6497368356441</v>
      </c>
      <c r="P1652" s="54" t="b">
        <f aca="false">AND(C1652&gt;=01_因子設定!$L$5-0.000000001,C1652&lt;=01_因子設定!$M$5+0.000000001,D1652&gt;=01_因子設定!$L$6-0.000000001,D1652&lt;=01_因子設定!$M$6+0.000000001,IF(01_因子設定!$B$20="Box-Behnken",C1652^2+D1652^2&lt;=2+0.000000001,TRUE()))</f>
        <v>1</v>
      </c>
      <c r="Q1652" s="55" t="n">
        <f aca="false">IF(P1652,IF(01_因子設定!$B$13="最大化",N1652-01_因子設定!$B$14,IF(01_因子設定!$B$13="最小化",01_因子設定!$B$15-O1652,MIN(N1652-01_因子設定!$B$14,01_因子設定!$B$15-O1652))),-1E+030)</f>
        <v>-3.20368798506937</v>
      </c>
      <c r="R1652" s="55" t="n">
        <f aca="false">IF(P1652,IF(01_因子設定!$B$13="最大化",K1652,IF(01_因子設定!$B$13="最小化",-K1652,-ABS(K1652-01_因子設定!$B$16))),-1E+030)</f>
        <v>44.9730244252873</v>
      </c>
      <c r="S1652" s="55" t="n">
        <f aca="false">Q1652+ROW()*0.000000001</f>
        <v>-3.20368633306937</v>
      </c>
      <c r="T1652" s="55" t="n">
        <f aca="false">R1652+ROW()*0.000000001</f>
        <v>44.9730260772873</v>
      </c>
    </row>
    <row r="1653" customFormat="false" ht="15" hidden="false" customHeight="false" outlineLevel="0" collapsed="false">
      <c r="A1653" s="0" t="n">
        <v>40</v>
      </c>
      <c r="B1653" s="0" t="n">
        <v>8</v>
      </c>
      <c r="C1653" s="0" t="n">
        <f aca="false">-1+A1653*0.05</f>
        <v>1</v>
      </c>
      <c r="D1653" s="0" t="n">
        <f aca="false">-1+B1653*0.05</f>
        <v>-0.6</v>
      </c>
      <c r="E1653" s="0" t="n">
        <f aca="false">1</f>
        <v>1</v>
      </c>
      <c r="F1653" s="0" t="n">
        <f aca="false">C1653</f>
        <v>1</v>
      </c>
      <c r="G1653" s="0" t="n">
        <f aca="false">D1653</f>
        <v>-0.6</v>
      </c>
      <c r="H1653" s="0" t="n">
        <f aca="false">C1653*D1653</f>
        <v>-0.6</v>
      </c>
      <c r="I1653" s="0" t="n">
        <f aca="false">C1653*C1653</f>
        <v>1</v>
      </c>
      <c r="J1653" s="0" t="n">
        <f aca="false">D1653*D1653</f>
        <v>0.36</v>
      </c>
      <c r="K1653" s="0" t="n">
        <f aca="false">SUMPRODUCT(E1653:J1653,_XtX!$B$53:$G$53)</f>
        <v>45.2082183908046</v>
      </c>
      <c r="L1653" s="0" t="n">
        <f aca="false">SUMPRODUCT(MMULT(E1653:J1653,_XtX!$B$44:$G$49),E1653:J1653)</f>
        <v>0.517383908045977</v>
      </c>
      <c r="M1653" s="0" t="n">
        <f aca="false">04_回帰ANOVA!$K$19*04_回帰ANOVA!$K$14*SQRT(1+L1653)</f>
        <v>1.66926124034343</v>
      </c>
      <c r="N1653" s="0" t="n">
        <f aca="false">K1653-M1653</f>
        <v>43.5389571504612</v>
      </c>
      <c r="O1653" s="0" t="n">
        <f aca="false">K1653+M1653</f>
        <v>46.877479631148</v>
      </c>
      <c r="P1653" s="54" t="b">
        <f aca="false">AND(C1653&gt;=01_因子設定!$L$5-0.000000001,C1653&lt;=01_因子設定!$M$5+0.000000001,D1653&gt;=01_因子設定!$L$6-0.000000001,D1653&lt;=01_因子設定!$M$6+0.000000001,IF(01_因子設定!$B$20="Box-Behnken",C1653^2+D1653^2&lt;=2+0.000000001,TRUE()))</f>
        <v>1</v>
      </c>
      <c r="Q1653" s="55" t="n">
        <f aca="false">IF(P1653,IF(01_因子設定!$B$13="最大化",N1653-01_因子設定!$B$14,IF(01_因子設定!$B$13="最小化",01_因子設定!$B$15-O1653,MIN(N1653-01_因子設定!$B$14,01_因子設定!$B$15-O1653))),-1E+030)</f>
        <v>-2.96104284953885</v>
      </c>
      <c r="R1653" s="55" t="n">
        <f aca="false">IF(P1653,IF(01_因子設定!$B$13="最大化",K1653,IF(01_因子設定!$B$13="最小化",-K1653,-ABS(K1653-01_因子設定!$B$16))),-1E+030)</f>
        <v>45.2082183908046</v>
      </c>
      <c r="S1653" s="55" t="n">
        <f aca="false">Q1653+ROW()*0.000000001</f>
        <v>-2.96104119653885</v>
      </c>
      <c r="T1653" s="55" t="n">
        <f aca="false">R1653+ROW()*0.000000001</f>
        <v>45.2082200438046</v>
      </c>
    </row>
    <row r="1654" customFormat="false" ht="15" hidden="false" customHeight="false" outlineLevel="0" collapsed="false">
      <c r="A1654" s="0" t="n">
        <v>40</v>
      </c>
      <c r="B1654" s="0" t="n">
        <v>9</v>
      </c>
      <c r="C1654" s="0" t="n">
        <f aca="false">-1+A1654*0.05</f>
        <v>1</v>
      </c>
      <c r="D1654" s="0" t="n">
        <f aca="false">-1+B1654*0.05</f>
        <v>-0.55</v>
      </c>
      <c r="E1654" s="0" t="n">
        <f aca="false">1</f>
        <v>1</v>
      </c>
      <c r="F1654" s="0" t="n">
        <f aca="false">C1654</f>
        <v>1</v>
      </c>
      <c r="G1654" s="0" t="n">
        <f aca="false">D1654</f>
        <v>-0.55</v>
      </c>
      <c r="H1654" s="0" t="n">
        <f aca="false">C1654*D1654</f>
        <v>-0.55</v>
      </c>
      <c r="I1654" s="0" t="n">
        <f aca="false">C1654*C1654</f>
        <v>1</v>
      </c>
      <c r="J1654" s="0" t="n">
        <f aca="false">D1654*D1654</f>
        <v>0.3025</v>
      </c>
      <c r="K1654" s="0" t="n">
        <f aca="false">SUMPRODUCT(E1654:J1654,_XtX!$B$53:$G$53)</f>
        <v>45.4356968390804</v>
      </c>
      <c r="L1654" s="0" t="n">
        <f aca="false">SUMPRODUCT(MMULT(E1654:J1654,_XtX!$B$44:$G$49),E1654:J1654)</f>
        <v>0.507391630747127</v>
      </c>
      <c r="M1654" s="0" t="n">
        <f aca="false">04_回帰ANOVA!$K$19*04_回帰ANOVA!$K$14*SQRT(1+L1654)</f>
        <v>1.66375595202306</v>
      </c>
      <c r="N1654" s="0" t="n">
        <f aca="false">K1654-M1654</f>
        <v>43.7719408870574</v>
      </c>
      <c r="O1654" s="0" t="n">
        <f aca="false">K1654+M1654</f>
        <v>47.0994527911035</v>
      </c>
      <c r="P1654" s="54" t="b">
        <f aca="false">AND(C1654&gt;=01_因子設定!$L$5-0.000000001,C1654&lt;=01_因子設定!$M$5+0.000000001,D1654&gt;=01_因子設定!$L$6-0.000000001,D1654&lt;=01_因子設定!$M$6+0.000000001,IF(01_因子設定!$B$20="Box-Behnken",C1654^2+D1654^2&lt;=2+0.000000001,TRUE()))</f>
        <v>1</v>
      </c>
      <c r="Q1654" s="55" t="n">
        <f aca="false">IF(P1654,IF(01_因子設定!$B$13="最大化",N1654-01_因子設定!$B$14,IF(01_因子設定!$B$13="最小化",01_因子設定!$B$15-O1654,MIN(N1654-01_因子設定!$B$14,01_因子設定!$B$15-O1654))),-1E+030)</f>
        <v>-2.72805911294261</v>
      </c>
      <c r="R1654" s="55" t="n">
        <f aca="false">IF(P1654,IF(01_因子設定!$B$13="最大化",K1654,IF(01_因子設定!$B$13="最小化",-K1654,-ABS(K1654-01_因子設定!$B$16))),-1E+030)</f>
        <v>45.4356968390804</v>
      </c>
      <c r="S1654" s="55" t="n">
        <f aca="false">Q1654+ROW()*0.000000001</f>
        <v>-2.72805745894261</v>
      </c>
      <c r="T1654" s="55" t="n">
        <f aca="false">R1654+ROW()*0.000000001</f>
        <v>45.4356984930804</v>
      </c>
    </row>
    <row r="1655" customFormat="false" ht="15" hidden="false" customHeight="false" outlineLevel="0" collapsed="false">
      <c r="A1655" s="0" t="n">
        <v>40</v>
      </c>
      <c r="B1655" s="0" t="n">
        <v>10</v>
      </c>
      <c r="C1655" s="0" t="n">
        <f aca="false">-1+A1655*0.05</f>
        <v>1</v>
      </c>
      <c r="D1655" s="0" t="n">
        <f aca="false">-1+B1655*0.05</f>
        <v>-0.5</v>
      </c>
      <c r="E1655" s="0" t="n">
        <f aca="false">1</f>
        <v>1</v>
      </c>
      <c r="F1655" s="0" t="n">
        <f aca="false">C1655</f>
        <v>1</v>
      </c>
      <c r="G1655" s="0" t="n">
        <f aca="false">D1655</f>
        <v>-0.5</v>
      </c>
      <c r="H1655" s="0" t="n">
        <f aca="false">C1655*D1655</f>
        <v>-0.5</v>
      </c>
      <c r="I1655" s="0" t="n">
        <f aca="false">C1655*C1655</f>
        <v>1</v>
      </c>
      <c r="J1655" s="0" t="n">
        <f aca="false">D1655*D1655</f>
        <v>0.25</v>
      </c>
      <c r="K1655" s="0" t="n">
        <f aca="false">SUMPRODUCT(E1655:J1655,_XtX!$B$53:$G$53)</f>
        <v>45.6554597701149</v>
      </c>
      <c r="L1655" s="0" t="n">
        <f aca="false">SUMPRODUCT(MMULT(E1655:J1655,_XtX!$B$44:$G$49),E1655:J1655)</f>
        <v>0.500359195402299</v>
      </c>
      <c r="M1655" s="0" t="n">
        <f aca="false">04_回帰ANOVA!$K$19*04_回帰ANOVA!$K$14*SQRT(1+L1655)</f>
        <v>1.65987045400384</v>
      </c>
      <c r="N1655" s="0" t="n">
        <f aca="false">K1655-M1655</f>
        <v>43.9955893161111</v>
      </c>
      <c r="O1655" s="0" t="n">
        <f aca="false">K1655+M1655</f>
        <v>47.3153302241188</v>
      </c>
      <c r="P1655" s="54" t="b">
        <f aca="false">AND(C1655&gt;=01_因子設定!$L$5-0.000000001,C1655&lt;=01_因子設定!$M$5+0.000000001,D1655&gt;=01_因子設定!$L$6-0.000000001,D1655&lt;=01_因子設定!$M$6+0.000000001,IF(01_因子設定!$B$20="Box-Behnken",C1655^2+D1655^2&lt;=2+0.000000001,TRUE()))</f>
        <v>1</v>
      </c>
      <c r="Q1655" s="55" t="n">
        <f aca="false">IF(P1655,IF(01_因子設定!$B$13="最大化",N1655-01_因子設定!$B$14,IF(01_因子設定!$B$13="最小化",01_因子設定!$B$15-O1655,MIN(N1655-01_因子設定!$B$14,01_因子設定!$B$15-O1655))),-1E+030)</f>
        <v>-2.50441068388892</v>
      </c>
      <c r="R1655" s="55" t="n">
        <f aca="false">IF(P1655,IF(01_因子設定!$B$13="最大化",K1655,IF(01_因子設定!$B$13="最小化",-K1655,-ABS(K1655-01_因子設定!$B$16))),-1E+030)</f>
        <v>45.6554597701149</v>
      </c>
      <c r="S1655" s="55" t="n">
        <f aca="false">Q1655+ROW()*0.000000001</f>
        <v>-2.50440902888892</v>
      </c>
      <c r="T1655" s="55" t="n">
        <f aca="false">R1655+ROW()*0.000000001</f>
        <v>45.6554614251149</v>
      </c>
    </row>
    <row r="1656" customFormat="false" ht="15" hidden="false" customHeight="false" outlineLevel="0" collapsed="false">
      <c r="A1656" s="0" t="n">
        <v>40</v>
      </c>
      <c r="B1656" s="0" t="n">
        <v>11</v>
      </c>
      <c r="C1656" s="0" t="n">
        <f aca="false">-1+A1656*0.05</f>
        <v>1</v>
      </c>
      <c r="D1656" s="0" t="n">
        <f aca="false">-1+B1656*0.05</f>
        <v>-0.45</v>
      </c>
      <c r="E1656" s="0" t="n">
        <f aca="false">1</f>
        <v>1</v>
      </c>
      <c r="F1656" s="0" t="n">
        <f aca="false">C1656</f>
        <v>1</v>
      </c>
      <c r="G1656" s="0" t="n">
        <f aca="false">D1656</f>
        <v>-0.45</v>
      </c>
      <c r="H1656" s="0" t="n">
        <f aca="false">C1656*D1656</f>
        <v>-0.45</v>
      </c>
      <c r="I1656" s="0" t="n">
        <f aca="false">C1656*C1656</f>
        <v>1</v>
      </c>
      <c r="J1656" s="0" t="n">
        <f aca="false">D1656*D1656</f>
        <v>0.2025</v>
      </c>
      <c r="K1656" s="0" t="n">
        <f aca="false">SUMPRODUCT(E1656:J1656,_XtX!$B$53:$G$53)</f>
        <v>45.867507183908</v>
      </c>
      <c r="L1656" s="0" t="n">
        <f aca="false">SUMPRODUCT(MMULT(E1656:J1656,_XtX!$B$44:$G$49),E1656:J1656)</f>
        <v>0.495716343390805</v>
      </c>
      <c r="M1656" s="0" t="n">
        <f aca="false">04_回帰ANOVA!$K$19*04_回帰ANOVA!$K$14*SQRT(1+L1656)</f>
        <v>1.65730023478681</v>
      </c>
      <c r="N1656" s="0" t="n">
        <f aca="false">K1656-M1656</f>
        <v>44.2102069491212</v>
      </c>
      <c r="O1656" s="0" t="n">
        <f aca="false">K1656+M1656</f>
        <v>47.5248074186948</v>
      </c>
      <c r="P1656" s="54" t="b">
        <f aca="false">AND(C1656&gt;=01_因子設定!$L$5-0.000000001,C1656&lt;=01_因子設定!$M$5+0.000000001,D1656&gt;=01_因子設定!$L$6-0.000000001,D1656&lt;=01_因子設定!$M$6+0.000000001,IF(01_因子設定!$B$20="Box-Behnken",C1656^2+D1656^2&lt;=2+0.000000001,TRUE()))</f>
        <v>1</v>
      </c>
      <c r="Q1656" s="55" t="n">
        <f aca="false">IF(P1656,IF(01_因子設定!$B$13="最大化",N1656-01_因子設定!$B$14,IF(01_因子設定!$B$13="最小化",01_因子設定!$B$15-O1656,MIN(N1656-01_因子設定!$B$14,01_因子設定!$B$15-O1656))),-1E+030)</f>
        <v>-2.28979305087879</v>
      </c>
      <c r="R1656" s="55" t="n">
        <f aca="false">IF(P1656,IF(01_因子設定!$B$13="最大化",K1656,IF(01_因子設定!$B$13="最小化",-K1656,-ABS(K1656-01_因子設定!$B$16))),-1E+030)</f>
        <v>45.867507183908</v>
      </c>
      <c r="S1656" s="55" t="n">
        <f aca="false">Q1656+ROW()*0.000000001</f>
        <v>-2.28979139487879</v>
      </c>
      <c r="T1656" s="55" t="n">
        <f aca="false">R1656+ROW()*0.000000001</f>
        <v>45.867508839908</v>
      </c>
    </row>
    <row r="1657" customFormat="false" ht="15" hidden="false" customHeight="false" outlineLevel="0" collapsed="false">
      <c r="A1657" s="0" t="n">
        <v>40</v>
      </c>
      <c r="B1657" s="0" t="n">
        <v>12</v>
      </c>
      <c r="C1657" s="0" t="n">
        <f aca="false">-1+A1657*0.05</f>
        <v>1</v>
      </c>
      <c r="D1657" s="0" t="n">
        <f aca="false">-1+B1657*0.05</f>
        <v>-0.4</v>
      </c>
      <c r="E1657" s="0" t="n">
        <f aca="false">1</f>
        <v>1</v>
      </c>
      <c r="F1657" s="0" t="n">
        <f aca="false">C1657</f>
        <v>1</v>
      </c>
      <c r="G1657" s="0" t="n">
        <f aca="false">D1657</f>
        <v>-0.4</v>
      </c>
      <c r="H1657" s="0" t="n">
        <f aca="false">C1657*D1657</f>
        <v>-0.4</v>
      </c>
      <c r="I1657" s="0" t="n">
        <f aca="false">C1657*C1657</f>
        <v>1</v>
      </c>
      <c r="J1657" s="0" t="n">
        <f aca="false">D1657*D1657</f>
        <v>0.16</v>
      </c>
      <c r="K1657" s="0" t="n">
        <f aca="false">SUMPRODUCT(E1657:J1657,_XtX!$B$53:$G$53)</f>
        <v>46.0718390804598</v>
      </c>
      <c r="L1657" s="0" t="n">
        <f aca="false">SUMPRODUCT(MMULT(E1657:J1657,_XtX!$B$44:$G$49),E1657:J1657)</f>
        <v>0.492947126436782</v>
      </c>
      <c r="M1657" s="0" t="n">
        <f aca="false">04_回帰ANOVA!$K$19*04_回帰ANOVA!$K$14*SQRT(1+L1657)</f>
        <v>1.65576533475427</v>
      </c>
      <c r="N1657" s="0" t="n">
        <f aca="false">K1657-M1657</f>
        <v>44.4160737457055</v>
      </c>
      <c r="O1657" s="0" t="n">
        <f aca="false">K1657+M1657</f>
        <v>47.727604415214</v>
      </c>
      <c r="P1657" s="54" t="b">
        <f aca="false">AND(C1657&gt;=01_因子設定!$L$5-0.000000001,C1657&lt;=01_因子設定!$M$5+0.000000001,D1657&gt;=01_因子設定!$L$6-0.000000001,D1657&lt;=01_因子設定!$M$6+0.000000001,IF(01_因子設定!$B$20="Box-Behnken",C1657^2+D1657^2&lt;=2+0.000000001,TRUE()))</f>
        <v>1</v>
      </c>
      <c r="Q1657" s="55" t="n">
        <f aca="false">IF(P1657,IF(01_因子設定!$B$13="最大化",N1657-01_因子設定!$B$14,IF(01_因子設定!$B$13="最小化",01_因子設定!$B$15-O1657,MIN(N1657-01_因子設定!$B$14,01_因子設定!$B$15-O1657))),-1E+030)</f>
        <v>-2.08392625429452</v>
      </c>
      <c r="R1657" s="55" t="n">
        <f aca="false">IF(P1657,IF(01_因子設定!$B$13="最大化",K1657,IF(01_因子設定!$B$13="最小化",-K1657,-ABS(K1657-01_因子設定!$B$16))),-1E+030)</f>
        <v>46.0718390804598</v>
      </c>
      <c r="S1657" s="55" t="n">
        <f aca="false">Q1657+ROW()*0.000000001</f>
        <v>-2.08392459729452</v>
      </c>
      <c r="T1657" s="55" t="n">
        <f aca="false">R1657+ROW()*0.000000001</f>
        <v>46.0718407374598</v>
      </c>
    </row>
    <row r="1658" customFormat="false" ht="15" hidden="false" customHeight="false" outlineLevel="0" collapsed="false">
      <c r="A1658" s="0" t="n">
        <v>40</v>
      </c>
      <c r="B1658" s="0" t="n">
        <v>13</v>
      </c>
      <c r="C1658" s="0" t="n">
        <f aca="false">-1+A1658*0.05</f>
        <v>1</v>
      </c>
      <c r="D1658" s="0" t="n">
        <f aca="false">-1+B1658*0.05</f>
        <v>-0.35</v>
      </c>
      <c r="E1658" s="0" t="n">
        <f aca="false">1</f>
        <v>1</v>
      </c>
      <c r="F1658" s="0" t="n">
        <f aca="false">C1658</f>
        <v>1</v>
      </c>
      <c r="G1658" s="0" t="n">
        <f aca="false">D1658</f>
        <v>-0.35</v>
      </c>
      <c r="H1658" s="0" t="n">
        <f aca="false">C1658*D1658</f>
        <v>-0.35</v>
      </c>
      <c r="I1658" s="0" t="n">
        <f aca="false">C1658*C1658</f>
        <v>1</v>
      </c>
      <c r="J1658" s="0" t="n">
        <f aca="false">D1658*D1658</f>
        <v>0.1225</v>
      </c>
      <c r="K1658" s="0" t="n">
        <f aca="false">SUMPRODUCT(E1658:J1658,_XtX!$B$53:$G$53)</f>
        <v>46.2684554597701</v>
      </c>
      <c r="L1658" s="0" t="n">
        <f aca="false">SUMPRODUCT(MMULT(E1658:J1658,_XtX!$B$44:$G$49),E1658:J1658)</f>
        <v>0.491589906609195</v>
      </c>
      <c r="M1658" s="0" t="n">
        <f aca="false">04_回帰ANOVA!$K$19*04_回帰ANOVA!$K$14*SQRT(1+L1658)</f>
        <v>1.65501254570079</v>
      </c>
      <c r="N1658" s="0" t="n">
        <f aca="false">K1658-M1658</f>
        <v>44.6134429140693</v>
      </c>
      <c r="O1658" s="0" t="n">
        <f aca="false">K1658+M1658</f>
        <v>47.9234680054709</v>
      </c>
      <c r="P1658" s="54" t="b">
        <f aca="false">AND(C1658&gt;=01_因子設定!$L$5-0.000000001,C1658&lt;=01_因子設定!$M$5+0.000000001,D1658&gt;=01_因子設定!$L$6-0.000000001,D1658&lt;=01_因子設定!$M$6+0.000000001,IF(01_因子設定!$B$20="Box-Behnken",C1658^2+D1658^2&lt;=2+0.000000001,TRUE()))</f>
        <v>1</v>
      </c>
      <c r="Q1658" s="55" t="n">
        <f aca="false">IF(P1658,IF(01_因子設定!$B$13="最大化",N1658-01_因子設定!$B$14,IF(01_因子設定!$B$13="最小化",01_因子設定!$B$15-O1658,MIN(N1658-01_因子設定!$B$14,01_因子設定!$B$15-O1658))),-1E+030)</f>
        <v>-1.88655708593069</v>
      </c>
      <c r="R1658" s="55" t="n">
        <f aca="false">IF(P1658,IF(01_因子設定!$B$13="最大化",K1658,IF(01_因子設定!$B$13="最小化",-K1658,-ABS(K1658-01_因子設定!$B$16))),-1E+030)</f>
        <v>46.2684554597701</v>
      </c>
      <c r="S1658" s="55" t="n">
        <f aca="false">Q1658+ROW()*0.000000001</f>
        <v>-1.88655542793069</v>
      </c>
      <c r="T1658" s="55" t="n">
        <f aca="false">R1658+ROW()*0.000000001</f>
        <v>46.2684571177701</v>
      </c>
    </row>
    <row r="1659" customFormat="false" ht="15" hidden="false" customHeight="false" outlineLevel="0" collapsed="false">
      <c r="A1659" s="0" t="n">
        <v>40</v>
      </c>
      <c r="B1659" s="0" t="n">
        <v>14</v>
      </c>
      <c r="C1659" s="0" t="n">
        <f aca="false">-1+A1659*0.05</f>
        <v>1</v>
      </c>
      <c r="D1659" s="0" t="n">
        <f aca="false">-1+B1659*0.05</f>
        <v>-0.3</v>
      </c>
      <c r="E1659" s="0" t="n">
        <f aca="false">1</f>
        <v>1</v>
      </c>
      <c r="F1659" s="0" t="n">
        <f aca="false">C1659</f>
        <v>1</v>
      </c>
      <c r="G1659" s="0" t="n">
        <f aca="false">D1659</f>
        <v>-0.3</v>
      </c>
      <c r="H1659" s="0" t="n">
        <f aca="false">C1659*D1659</f>
        <v>-0.3</v>
      </c>
      <c r="I1659" s="0" t="n">
        <f aca="false">C1659*C1659</f>
        <v>1</v>
      </c>
      <c r="J1659" s="0" t="n">
        <f aca="false">D1659*D1659</f>
        <v>0.09</v>
      </c>
      <c r="K1659" s="0" t="n">
        <f aca="false">SUMPRODUCT(E1659:J1659,_XtX!$B$53:$G$53)</f>
        <v>46.4573563218391</v>
      </c>
      <c r="L1659" s="0" t="n">
        <f aca="false">SUMPRODUCT(MMULT(E1659:J1659,_XtX!$B$44:$G$49),E1659:J1659)</f>
        <v>0.491237356321839</v>
      </c>
      <c r="M1659" s="0" t="n">
        <f aca="false">04_回帰ANOVA!$K$19*04_回帰ANOVA!$K$14*SQRT(1+L1659)</f>
        <v>1.65481694581525</v>
      </c>
      <c r="N1659" s="0" t="n">
        <f aca="false">K1659-M1659</f>
        <v>44.8025393760238</v>
      </c>
      <c r="O1659" s="0" t="n">
        <f aca="false">K1659+M1659</f>
        <v>48.1121732676543</v>
      </c>
      <c r="P1659" s="54" t="b">
        <f aca="false">AND(C1659&gt;=01_因子設定!$L$5-0.000000001,C1659&lt;=01_因子設定!$M$5+0.000000001,D1659&gt;=01_因子設定!$L$6-0.000000001,D1659&lt;=01_因子設定!$M$6+0.000000001,IF(01_因子設定!$B$20="Box-Behnken",C1659^2+D1659^2&lt;=2+0.000000001,TRUE()))</f>
        <v>1</v>
      </c>
      <c r="Q1659" s="55" t="n">
        <f aca="false">IF(P1659,IF(01_因子設定!$B$13="最大化",N1659-01_因子設定!$B$14,IF(01_因子設定!$B$13="最小化",01_因子設定!$B$15-O1659,MIN(N1659-01_因子設定!$B$14,01_因子設定!$B$15-O1659))),-1E+030)</f>
        <v>-1.69746062397619</v>
      </c>
      <c r="R1659" s="55" t="n">
        <f aca="false">IF(P1659,IF(01_因子設定!$B$13="最大化",K1659,IF(01_因子設定!$B$13="最小化",-K1659,-ABS(K1659-01_因子設定!$B$16))),-1E+030)</f>
        <v>46.4573563218391</v>
      </c>
      <c r="S1659" s="55" t="n">
        <f aca="false">Q1659+ROW()*0.000000001</f>
        <v>-1.69745896497619</v>
      </c>
      <c r="T1659" s="55" t="n">
        <f aca="false">R1659+ROW()*0.000000001</f>
        <v>46.4573579808391</v>
      </c>
    </row>
    <row r="1660" customFormat="false" ht="15" hidden="false" customHeight="false" outlineLevel="0" collapsed="false">
      <c r="A1660" s="0" t="n">
        <v>40</v>
      </c>
      <c r="B1660" s="0" t="n">
        <v>15</v>
      </c>
      <c r="C1660" s="0" t="n">
        <f aca="false">-1+A1660*0.05</f>
        <v>1</v>
      </c>
      <c r="D1660" s="0" t="n">
        <f aca="false">-1+B1660*0.05</f>
        <v>-0.25</v>
      </c>
      <c r="E1660" s="0" t="n">
        <f aca="false">1</f>
        <v>1</v>
      </c>
      <c r="F1660" s="0" t="n">
        <f aca="false">C1660</f>
        <v>1</v>
      </c>
      <c r="G1660" s="0" t="n">
        <f aca="false">D1660</f>
        <v>-0.25</v>
      </c>
      <c r="H1660" s="0" t="n">
        <f aca="false">C1660*D1660</f>
        <v>-0.25</v>
      </c>
      <c r="I1660" s="0" t="n">
        <f aca="false">C1660*C1660</f>
        <v>1</v>
      </c>
      <c r="J1660" s="0" t="n">
        <f aca="false">D1660*D1660</f>
        <v>0.0625</v>
      </c>
      <c r="K1660" s="0" t="n">
        <f aca="false">SUMPRODUCT(E1660:J1660,_XtX!$B$53:$G$53)</f>
        <v>46.6385416666667</v>
      </c>
      <c r="L1660" s="0" t="n">
        <f aca="false">SUMPRODUCT(MMULT(E1660:J1660,_XtX!$B$44:$G$49),E1660:J1660)</f>
        <v>0.491536458333333</v>
      </c>
      <c r="M1660" s="0" t="n">
        <f aca="false">04_回帰ANOVA!$K$19*04_回帰ANOVA!$K$14*SQRT(1+L1660)</f>
        <v>1.65498289332813</v>
      </c>
      <c r="N1660" s="0" t="n">
        <f aca="false">K1660-M1660</f>
        <v>44.9835587733385</v>
      </c>
      <c r="O1660" s="0" t="n">
        <f aca="false">K1660+M1660</f>
        <v>48.2935245599948</v>
      </c>
      <c r="P1660" s="54" t="b">
        <f aca="false">AND(C1660&gt;=01_因子設定!$L$5-0.000000001,C1660&lt;=01_因子設定!$M$5+0.000000001,D1660&gt;=01_因子設定!$L$6-0.000000001,D1660&lt;=01_因子設定!$M$6+0.000000001,IF(01_因子設定!$B$20="Box-Behnken",C1660^2+D1660^2&lt;=2+0.000000001,TRUE()))</f>
        <v>1</v>
      </c>
      <c r="Q1660" s="55" t="n">
        <f aca="false">IF(P1660,IF(01_因子設定!$B$13="最大化",N1660-01_因子設定!$B$14,IF(01_因子設定!$B$13="最小化",01_因子設定!$B$15-O1660,MIN(N1660-01_因子設定!$B$14,01_因子設定!$B$15-O1660))),-1E+030)</f>
        <v>-1.51644122666148</v>
      </c>
      <c r="R1660" s="55" t="n">
        <f aca="false">IF(P1660,IF(01_因子設定!$B$13="最大化",K1660,IF(01_因子設定!$B$13="最小化",-K1660,-ABS(K1660-01_因子設定!$B$16))),-1E+030)</f>
        <v>46.6385416666667</v>
      </c>
      <c r="S1660" s="55" t="n">
        <f aca="false">Q1660+ROW()*0.000000001</f>
        <v>-1.51643956666148</v>
      </c>
      <c r="T1660" s="55" t="n">
        <f aca="false">R1660+ROW()*0.000000001</f>
        <v>46.6385433266667</v>
      </c>
    </row>
    <row r="1661" customFormat="false" ht="15" hidden="false" customHeight="false" outlineLevel="0" collapsed="false">
      <c r="A1661" s="0" t="n">
        <v>40</v>
      </c>
      <c r="B1661" s="0" t="n">
        <v>16</v>
      </c>
      <c r="C1661" s="0" t="n">
        <f aca="false">-1+A1661*0.05</f>
        <v>1</v>
      </c>
      <c r="D1661" s="0" t="n">
        <f aca="false">-1+B1661*0.05</f>
        <v>-0.2</v>
      </c>
      <c r="E1661" s="0" t="n">
        <f aca="false">1</f>
        <v>1</v>
      </c>
      <c r="F1661" s="0" t="n">
        <f aca="false">C1661</f>
        <v>1</v>
      </c>
      <c r="G1661" s="0" t="n">
        <f aca="false">D1661</f>
        <v>-0.2</v>
      </c>
      <c r="H1661" s="0" t="n">
        <f aca="false">C1661*D1661</f>
        <v>-0.2</v>
      </c>
      <c r="I1661" s="0" t="n">
        <f aca="false">C1661*C1661</f>
        <v>1</v>
      </c>
      <c r="J1661" s="0" t="n">
        <f aca="false">D1661*D1661</f>
        <v>0.04</v>
      </c>
      <c r="K1661" s="0" t="n">
        <f aca="false">SUMPRODUCT(E1661:J1661,_XtX!$B$53:$G$53)</f>
        <v>46.8120114942529</v>
      </c>
      <c r="L1661" s="0" t="n">
        <f aca="false">SUMPRODUCT(MMULT(E1661:J1661,_XtX!$B$44:$G$49),E1661:J1661)</f>
        <v>0.492188505747126</v>
      </c>
      <c r="M1661" s="0" t="n">
        <f aca="false">04_回帰ANOVA!$K$19*04_回帰ANOVA!$K$14*SQRT(1+L1661)</f>
        <v>1.65534460403123</v>
      </c>
      <c r="N1661" s="0" t="n">
        <f aca="false">K1661-M1661</f>
        <v>45.1566668902216</v>
      </c>
      <c r="O1661" s="0" t="n">
        <f aca="false">K1661+M1661</f>
        <v>48.4673560982841</v>
      </c>
      <c r="P1661" s="54" t="b">
        <f aca="false">AND(C1661&gt;=01_因子設定!$L$5-0.000000001,C1661&lt;=01_因子設定!$M$5+0.000000001,D1661&gt;=01_因子設定!$L$6-0.000000001,D1661&lt;=01_因子設定!$M$6+0.000000001,IF(01_因子設定!$B$20="Box-Behnken",C1661^2+D1661^2&lt;=2+0.000000001,TRUE()))</f>
        <v>1</v>
      </c>
      <c r="Q1661" s="55" t="n">
        <f aca="false">IF(P1661,IF(01_因子設定!$B$13="最大化",N1661-01_因子設定!$B$14,IF(01_因子設定!$B$13="最小化",01_因子設定!$B$15-O1661,MIN(N1661-01_因子設定!$B$14,01_因子設定!$B$15-O1661))),-1E+030)</f>
        <v>-1.34333310977838</v>
      </c>
      <c r="R1661" s="55" t="n">
        <f aca="false">IF(P1661,IF(01_因子設定!$B$13="最大化",K1661,IF(01_因子設定!$B$13="最小化",-K1661,-ABS(K1661-01_因子設定!$B$16))),-1E+030)</f>
        <v>46.8120114942529</v>
      </c>
      <c r="S1661" s="55" t="n">
        <f aca="false">Q1661+ROW()*0.000000001</f>
        <v>-1.34333144877838</v>
      </c>
      <c r="T1661" s="55" t="n">
        <f aca="false">R1661+ROW()*0.000000001</f>
        <v>46.8120131552529</v>
      </c>
    </row>
    <row r="1662" customFormat="false" ht="15" hidden="false" customHeight="false" outlineLevel="0" collapsed="false">
      <c r="A1662" s="0" t="n">
        <v>40</v>
      </c>
      <c r="B1662" s="0" t="n">
        <v>17</v>
      </c>
      <c r="C1662" s="0" t="n">
        <f aca="false">-1+A1662*0.05</f>
        <v>1</v>
      </c>
      <c r="D1662" s="0" t="n">
        <f aca="false">-1+B1662*0.05</f>
        <v>-0.15</v>
      </c>
      <c r="E1662" s="0" t="n">
        <f aca="false">1</f>
        <v>1</v>
      </c>
      <c r="F1662" s="0" t="n">
        <f aca="false">C1662</f>
        <v>1</v>
      </c>
      <c r="G1662" s="0" t="n">
        <f aca="false">D1662</f>
        <v>-0.15</v>
      </c>
      <c r="H1662" s="0" t="n">
        <f aca="false">C1662*D1662</f>
        <v>-0.15</v>
      </c>
      <c r="I1662" s="0" t="n">
        <f aca="false">C1662*C1662</f>
        <v>1</v>
      </c>
      <c r="J1662" s="0" t="n">
        <f aca="false">D1662*D1662</f>
        <v>0.0225</v>
      </c>
      <c r="K1662" s="0" t="n">
        <f aca="false">SUMPRODUCT(E1662:J1662,_XtX!$B$53:$G$53)</f>
        <v>46.9777658045977</v>
      </c>
      <c r="L1662" s="0" t="n">
        <f aca="false">SUMPRODUCT(MMULT(E1662:J1662,_XtX!$B$44:$G$49),E1662:J1662)</f>
        <v>0.492949102011494</v>
      </c>
      <c r="M1662" s="0" t="n">
        <f aca="false">04_回帰ANOVA!$K$19*04_回帰ANOVA!$K$14*SQRT(1+L1662)</f>
        <v>1.65576643026763</v>
      </c>
      <c r="N1662" s="0" t="n">
        <f aca="false">K1662-M1662</f>
        <v>45.3219993743301</v>
      </c>
      <c r="O1662" s="0" t="n">
        <f aca="false">K1662+M1662</f>
        <v>48.6335322348653</v>
      </c>
      <c r="P1662" s="54" t="b">
        <f aca="false">AND(C1662&gt;=01_因子設定!$L$5-0.000000001,C1662&lt;=01_因子設定!$M$5+0.000000001,D1662&gt;=01_因子設定!$L$6-0.000000001,D1662&lt;=01_因子設定!$M$6+0.000000001,IF(01_因子設定!$B$20="Box-Behnken",C1662^2+D1662^2&lt;=2+0.000000001,TRUE()))</f>
        <v>1</v>
      </c>
      <c r="Q1662" s="55" t="n">
        <f aca="false">IF(P1662,IF(01_因子設定!$B$13="最大化",N1662-01_因子設定!$B$14,IF(01_因子設定!$B$13="最小化",01_因子設定!$B$15-O1662,MIN(N1662-01_因子設定!$B$14,01_因子設定!$B$15-O1662))),-1E+030)</f>
        <v>-1.17800062566995</v>
      </c>
      <c r="R1662" s="55" t="n">
        <f aca="false">IF(P1662,IF(01_因子設定!$B$13="最大化",K1662,IF(01_因子設定!$B$13="最小化",-K1662,-ABS(K1662-01_因子設定!$B$16))),-1E+030)</f>
        <v>46.9777658045977</v>
      </c>
      <c r="S1662" s="55" t="n">
        <f aca="false">Q1662+ROW()*0.000000001</f>
        <v>-1.17799896366995</v>
      </c>
      <c r="T1662" s="55" t="n">
        <f aca="false">R1662+ROW()*0.000000001</f>
        <v>46.9777674665977</v>
      </c>
    </row>
    <row r="1663" customFormat="false" ht="15" hidden="false" customHeight="false" outlineLevel="0" collapsed="false">
      <c r="A1663" s="0" t="n">
        <v>40</v>
      </c>
      <c r="B1663" s="0" t="n">
        <v>18</v>
      </c>
      <c r="C1663" s="0" t="n">
        <f aca="false">-1+A1663*0.05</f>
        <v>1</v>
      </c>
      <c r="D1663" s="0" t="n">
        <f aca="false">-1+B1663*0.05</f>
        <v>-0.1</v>
      </c>
      <c r="E1663" s="0" t="n">
        <f aca="false">1</f>
        <v>1</v>
      </c>
      <c r="F1663" s="0" t="n">
        <f aca="false">C1663</f>
        <v>1</v>
      </c>
      <c r="G1663" s="0" t="n">
        <f aca="false">D1663</f>
        <v>-0.1</v>
      </c>
      <c r="H1663" s="0" t="n">
        <f aca="false">C1663*D1663</f>
        <v>-0.1</v>
      </c>
      <c r="I1663" s="0" t="n">
        <f aca="false">C1663*C1663</f>
        <v>1</v>
      </c>
      <c r="J1663" s="0" t="n">
        <f aca="false">D1663*D1663</f>
        <v>0.01</v>
      </c>
      <c r="K1663" s="0" t="n">
        <f aca="false">SUMPRODUCT(E1663:J1663,_XtX!$B$53:$G$53)</f>
        <v>47.1358045977011</v>
      </c>
      <c r="L1663" s="0" t="n">
        <f aca="false">SUMPRODUCT(MMULT(E1663:J1663,_XtX!$B$44:$G$49),E1663:J1663)</f>
        <v>0.49362816091954</v>
      </c>
      <c r="M1663" s="0" t="n">
        <f aca="false">04_回帰ANOVA!$K$19*04_回帰ANOVA!$K$14*SQRT(1+L1663)</f>
        <v>1.65614294515325</v>
      </c>
      <c r="N1663" s="0" t="n">
        <f aca="false">K1663-M1663</f>
        <v>45.4796616525479</v>
      </c>
      <c r="O1663" s="0" t="n">
        <f aca="false">K1663+M1663</f>
        <v>48.7919475428544</v>
      </c>
      <c r="P1663" s="54" t="b">
        <f aca="false">AND(C1663&gt;=01_因子設定!$L$5-0.000000001,C1663&lt;=01_因子設定!$M$5+0.000000001,D1663&gt;=01_因子設定!$L$6-0.000000001,D1663&lt;=01_因子設定!$M$6+0.000000001,IF(01_因子設定!$B$20="Box-Behnken",C1663^2+D1663^2&lt;=2+0.000000001,TRUE()))</f>
        <v>1</v>
      </c>
      <c r="Q1663" s="55" t="n">
        <f aca="false">IF(P1663,IF(01_因子設定!$B$13="最大化",N1663-01_因子設定!$B$14,IF(01_因子設定!$B$13="最小化",01_因子設定!$B$15-O1663,MIN(N1663-01_因子設定!$B$14,01_因子設定!$B$15-O1663))),-1E+030)</f>
        <v>-1.02033834745212</v>
      </c>
      <c r="R1663" s="55" t="n">
        <f aca="false">IF(P1663,IF(01_因子設定!$B$13="最大化",K1663,IF(01_因子設定!$B$13="最小化",-K1663,-ABS(K1663-01_因子設定!$B$16))),-1E+030)</f>
        <v>47.1358045977011</v>
      </c>
      <c r="S1663" s="55" t="n">
        <f aca="false">Q1663+ROW()*0.000000001</f>
        <v>-1.02033668445212</v>
      </c>
      <c r="T1663" s="55" t="n">
        <f aca="false">R1663+ROW()*0.000000001</f>
        <v>47.1358062607011</v>
      </c>
    </row>
    <row r="1664" customFormat="false" ht="15" hidden="false" customHeight="false" outlineLevel="0" collapsed="false">
      <c r="A1664" s="0" t="n">
        <v>40</v>
      </c>
      <c r="B1664" s="0" t="n">
        <v>19</v>
      </c>
      <c r="C1664" s="0" t="n">
        <f aca="false">-1+A1664*0.05</f>
        <v>1</v>
      </c>
      <c r="D1664" s="0" t="n">
        <f aca="false">-1+B1664*0.05</f>
        <v>-0.0499999999999999</v>
      </c>
      <c r="E1664" s="0" t="n">
        <f aca="false">1</f>
        <v>1</v>
      </c>
      <c r="F1664" s="0" t="n">
        <f aca="false">C1664</f>
        <v>1</v>
      </c>
      <c r="G1664" s="0" t="n">
        <f aca="false">D1664</f>
        <v>-0.0499999999999999</v>
      </c>
      <c r="H1664" s="0" t="n">
        <f aca="false">C1664*D1664</f>
        <v>-0.0499999999999999</v>
      </c>
      <c r="I1664" s="0" t="n">
        <f aca="false">C1664*C1664</f>
        <v>1</v>
      </c>
      <c r="J1664" s="0" t="n">
        <f aca="false">D1664*D1664</f>
        <v>0.00249999999999999</v>
      </c>
      <c r="K1664" s="0" t="n">
        <f aca="false">SUMPRODUCT(E1664:J1664,_XtX!$B$53:$G$53)</f>
        <v>47.2861278735632</v>
      </c>
      <c r="L1664" s="0" t="n">
        <f aca="false">SUMPRODUCT(MMULT(E1664:J1664,_XtX!$B$44:$G$49),E1664:J1664)</f>
        <v>0.494089906609195</v>
      </c>
      <c r="M1664" s="0" t="n">
        <f aca="false">04_回帰ANOVA!$K$19*04_回帰ANOVA!$K$14*SQRT(1+L1664)</f>
        <v>1.6563989184248</v>
      </c>
      <c r="N1664" s="0" t="n">
        <f aca="false">K1664-M1664</f>
        <v>45.6297289551384</v>
      </c>
      <c r="O1664" s="0" t="n">
        <f aca="false">K1664+M1664</f>
        <v>48.942526791988</v>
      </c>
      <c r="P1664" s="54" t="b">
        <f aca="false">AND(C1664&gt;=01_因子設定!$L$5-0.000000001,C1664&lt;=01_因子設定!$M$5+0.000000001,D1664&gt;=01_因子設定!$L$6-0.000000001,D1664&lt;=01_因子設定!$M$6+0.000000001,IF(01_因子設定!$B$20="Box-Behnken",C1664^2+D1664^2&lt;=2+0.000000001,TRUE()))</f>
        <v>1</v>
      </c>
      <c r="Q1664" s="55" t="n">
        <f aca="false">IF(P1664,IF(01_因子設定!$B$13="最大化",N1664-01_因子設定!$B$14,IF(01_因子設定!$B$13="最小化",01_因子設定!$B$15-O1664,MIN(N1664-01_因子設定!$B$14,01_因子設定!$B$15-O1664))),-1E+030)</f>
        <v>-0.87027104486161</v>
      </c>
      <c r="R1664" s="55" t="n">
        <f aca="false">IF(P1664,IF(01_因子設定!$B$13="最大化",K1664,IF(01_因子設定!$B$13="最小化",-K1664,-ABS(K1664-01_因子設定!$B$16))),-1E+030)</f>
        <v>47.2861278735632</v>
      </c>
      <c r="S1664" s="55" t="n">
        <f aca="false">Q1664+ROW()*0.000000001</f>
        <v>-0.87026938086161</v>
      </c>
      <c r="T1664" s="55" t="n">
        <f aca="false">R1664+ROW()*0.000000001</f>
        <v>47.2861295375632</v>
      </c>
    </row>
    <row r="1665" customFormat="false" ht="15" hidden="false" customHeight="false" outlineLevel="0" collapsed="false">
      <c r="A1665" s="0" t="n">
        <v>40</v>
      </c>
      <c r="B1665" s="0" t="n">
        <v>20</v>
      </c>
      <c r="C1665" s="0" t="n">
        <f aca="false">-1+A1665*0.05</f>
        <v>1</v>
      </c>
      <c r="D1665" s="0" t="n">
        <f aca="false">-1+B1665*0.05</f>
        <v>0</v>
      </c>
      <c r="E1665" s="0" t="n">
        <f aca="false">1</f>
        <v>1</v>
      </c>
      <c r="F1665" s="0" t="n">
        <f aca="false">C1665</f>
        <v>1</v>
      </c>
      <c r="G1665" s="0" t="n">
        <f aca="false">D1665</f>
        <v>0</v>
      </c>
      <c r="H1665" s="0" t="n">
        <f aca="false">C1665*D1665</f>
        <v>0</v>
      </c>
      <c r="I1665" s="0" t="n">
        <f aca="false">C1665*C1665</f>
        <v>1</v>
      </c>
      <c r="J1665" s="0" t="n">
        <f aca="false">D1665*D1665</f>
        <v>0</v>
      </c>
      <c r="K1665" s="0" t="n">
        <f aca="false">SUMPRODUCT(E1665:J1665,_XtX!$B$53:$G$53)</f>
        <v>47.4287356321839</v>
      </c>
      <c r="L1665" s="0" t="n">
        <f aca="false">SUMPRODUCT(MMULT(E1665:J1665,_XtX!$B$44:$G$49),E1665:J1665)</f>
        <v>0.494252873563218</v>
      </c>
      <c r="M1665" s="0" t="n">
        <f aca="false">04_回帰ANOVA!$K$19*04_回帰ANOVA!$K$14*SQRT(1+L1665)</f>
        <v>1.65648925131734</v>
      </c>
      <c r="N1665" s="0" t="n">
        <f aca="false">K1665-M1665</f>
        <v>45.7722463808666</v>
      </c>
      <c r="O1665" s="0" t="n">
        <f aca="false">K1665+M1665</f>
        <v>49.0852248835012</v>
      </c>
      <c r="P1665" s="54" t="b">
        <f aca="false">AND(C1665&gt;=01_因子設定!$L$5-0.000000001,C1665&lt;=01_因子設定!$M$5+0.000000001,D1665&gt;=01_因子設定!$L$6-0.000000001,D1665&lt;=01_因子設定!$M$6+0.000000001,IF(01_因子設定!$B$20="Box-Behnken",C1665^2+D1665^2&lt;=2+0.000000001,TRUE()))</f>
        <v>1</v>
      </c>
      <c r="Q1665" s="55" t="n">
        <f aca="false">IF(P1665,IF(01_因子設定!$B$13="最大化",N1665-01_因子設定!$B$14,IF(01_因子設定!$B$13="最小化",01_因子設定!$B$15-O1665,MIN(N1665-01_因子設定!$B$14,01_因子設定!$B$15-O1665))),-1E+030)</f>
        <v>-0.727753619133452</v>
      </c>
      <c r="R1665" s="55" t="n">
        <f aca="false">IF(P1665,IF(01_因子設定!$B$13="最大化",K1665,IF(01_因子設定!$B$13="最小化",-K1665,-ABS(K1665-01_因子設定!$B$16))),-1E+030)</f>
        <v>47.4287356321839</v>
      </c>
      <c r="S1665" s="55" t="n">
        <f aca="false">Q1665+ROW()*0.000000001</f>
        <v>-0.727751954133452</v>
      </c>
      <c r="T1665" s="55" t="n">
        <f aca="false">R1665+ROW()*0.000000001</f>
        <v>47.4287372971839</v>
      </c>
    </row>
    <row r="1666" customFormat="false" ht="15" hidden="false" customHeight="false" outlineLevel="0" collapsed="false">
      <c r="A1666" s="0" t="n">
        <v>40</v>
      </c>
      <c r="B1666" s="0" t="n">
        <v>21</v>
      </c>
      <c r="C1666" s="0" t="n">
        <f aca="false">-1+A1666*0.05</f>
        <v>1</v>
      </c>
      <c r="D1666" s="0" t="n">
        <f aca="false">-1+B1666*0.05</f>
        <v>0.05</v>
      </c>
      <c r="E1666" s="0" t="n">
        <f aca="false">1</f>
        <v>1</v>
      </c>
      <c r="F1666" s="0" t="n">
        <f aca="false">C1666</f>
        <v>1</v>
      </c>
      <c r="G1666" s="0" t="n">
        <f aca="false">D1666</f>
        <v>0.05</v>
      </c>
      <c r="H1666" s="0" t="n">
        <f aca="false">C1666*D1666</f>
        <v>0.05</v>
      </c>
      <c r="I1666" s="0" t="n">
        <f aca="false">C1666*C1666</f>
        <v>1</v>
      </c>
      <c r="J1666" s="0" t="n">
        <f aca="false">D1666*D1666</f>
        <v>0.0025</v>
      </c>
      <c r="K1666" s="0" t="n">
        <f aca="false">SUMPRODUCT(E1666:J1666,_XtX!$B$53:$G$53)</f>
        <v>47.5636278735632</v>
      </c>
      <c r="L1666" s="0" t="n">
        <f aca="false">SUMPRODUCT(MMULT(E1666:J1666,_XtX!$B$44:$G$49),E1666:J1666)</f>
        <v>0.494089906609195</v>
      </c>
      <c r="M1666" s="0" t="n">
        <f aca="false">04_回帰ANOVA!$K$19*04_回帰ANOVA!$K$14*SQRT(1+L1666)</f>
        <v>1.6563989184248</v>
      </c>
      <c r="N1666" s="0" t="n">
        <f aca="false">K1666-M1666</f>
        <v>45.9072289551384</v>
      </c>
      <c r="O1666" s="0" t="n">
        <f aca="false">K1666+M1666</f>
        <v>49.220026791988</v>
      </c>
      <c r="P1666" s="54" t="b">
        <f aca="false">AND(C1666&gt;=01_因子設定!$L$5-0.000000001,C1666&lt;=01_因子設定!$M$5+0.000000001,D1666&gt;=01_因子設定!$L$6-0.000000001,D1666&lt;=01_因子設定!$M$6+0.000000001,IF(01_因子設定!$B$20="Box-Behnken",C1666^2+D1666^2&lt;=2+0.000000001,TRUE()))</f>
        <v>1</v>
      </c>
      <c r="Q1666" s="55" t="n">
        <f aca="false">IF(P1666,IF(01_因子設定!$B$13="最大化",N1666-01_因子設定!$B$14,IF(01_因子設定!$B$13="最小化",01_因子設定!$B$15-O1666,MIN(N1666-01_因子設定!$B$14,01_因子設定!$B$15-O1666))),-1E+030)</f>
        <v>-0.592771044861607</v>
      </c>
      <c r="R1666" s="55" t="n">
        <f aca="false">IF(P1666,IF(01_因子設定!$B$13="最大化",K1666,IF(01_因子設定!$B$13="最小化",-K1666,-ABS(K1666-01_因子設定!$B$16))),-1E+030)</f>
        <v>47.5636278735632</v>
      </c>
      <c r="S1666" s="55" t="n">
        <f aca="false">Q1666+ROW()*0.000000001</f>
        <v>-0.592769378861607</v>
      </c>
      <c r="T1666" s="55" t="n">
        <f aca="false">R1666+ROW()*0.000000001</f>
        <v>47.5636295395632</v>
      </c>
    </row>
    <row r="1667" customFormat="false" ht="15" hidden="false" customHeight="false" outlineLevel="0" collapsed="false">
      <c r="A1667" s="0" t="n">
        <v>40</v>
      </c>
      <c r="B1667" s="0" t="n">
        <v>22</v>
      </c>
      <c r="C1667" s="0" t="n">
        <f aca="false">-1+A1667*0.05</f>
        <v>1</v>
      </c>
      <c r="D1667" s="0" t="n">
        <f aca="false">-1+B1667*0.05</f>
        <v>0.1</v>
      </c>
      <c r="E1667" s="0" t="n">
        <f aca="false">1</f>
        <v>1</v>
      </c>
      <c r="F1667" s="0" t="n">
        <f aca="false">C1667</f>
        <v>1</v>
      </c>
      <c r="G1667" s="0" t="n">
        <f aca="false">D1667</f>
        <v>0.1</v>
      </c>
      <c r="H1667" s="0" t="n">
        <f aca="false">C1667*D1667</f>
        <v>0.1</v>
      </c>
      <c r="I1667" s="0" t="n">
        <f aca="false">C1667*C1667</f>
        <v>1</v>
      </c>
      <c r="J1667" s="0" t="n">
        <f aca="false">D1667*D1667</f>
        <v>0.01</v>
      </c>
      <c r="K1667" s="0" t="n">
        <f aca="false">SUMPRODUCT(E1667:J1667,_XtX!$B$53:$G$53)</f>
        <v>47.6908045977011</v>
      </c>
      <c r="L1667" s="0" t="n">
        <f aca="false">SUMPRODUCT(MMULT(E1667:J1667,_XtX!$B$44:$G$49),E1667:J1667)</f>
        <v>0.49362816091954</v>
      </c>
      <c r="M1667" s="0" t="n">
        <f aca="false">04_回帰ANOVA!$K$19*04_回帰ANOVA!$K$14*SQRT(1+L1667)</f>
        <v>1.65614294515325</v>
      </c>
      <c r="N1667" s="0" t="n">
        <f aca="false">K1667-M1667</f>
        <v>46.0346616525479</v>
      </c>
      <c r="O1667" s="0" t="n">
        <f aca="false">K1667+M1667</f>
        <v>49.3469475428544</v>
      </c>
      <c r="P1667" s="54" t="b">
        <f aca="false">AND(C1667&gt;=01_因子設定!$L$5-0.000000001,C1667&lt;=01_因子設定!$M$5+0.000000001,D1667&gt;=01_因子設定!$L$6-0.000000001,D1667&lt;=01_因子設定!$M$6+0.000000001,IF(01_因子設定!$B$20="Box-Behnken",C1667^2+D1667^2&lt;=2+0.000000001,TRUE()))</f>
        <v>1</v>
      </c>
      <c r="Q1667" s="55" t="n">
        <f aca="false">IF(P1667,IF(01_因子設定!$B$13="最大化",N1667-01_因子設定!$B$14,IF(01_因子設定!$B$13="最小化",01_因子設定!$B$15-O1667,MIN(N1667-01_因子設定!$B$14,01_因子設定!$B$15-O1667))),-1E+030)</f>
        <v>-0.465338347452118</v>
      </c>
      <c r="R1667" s="55" t="n">
        <f aca="false">IF(P1667,IF(01_因子設定!$B$13="最大化",K1667,IF(01_因子設定!$B$13="最小化",-K1667,-ABS(K1667-01_因子設定!$B$16))),-1E+030)</f>
        <v>47.6908045977011</v>
      </c>
      <c r="S1667" s="55" t="n">
        <f aca="false">Q1667+ROW()*0.000000001</f>
        <v>-0.465336680452118</v>
      </c>
      <c r="T1667" s="55" t="n">
        <f aca="false">R1667+ROW()*0.000000001</f>
        <v>47.6908062647011</v>
      </c>
    </row>
    <row r="1668" customFormat="false" ht="15" hidden="false" customHeight="false" outlineLevel="0" collapsed="false">
      <c r="A1668" s="0" t="n">
        <v>40</v>
      </c>
      <c r="B1668" s="0" t="n">
        <v>23</v>
      </c>
      <c r="C1668" s="0" t="n">
        <f aca="false">-1+A1668*0.05</f>
        <v>1</v>
      </c>
      <c r="D1668" s="0" t="n">
        <f aca="false">-1+B1668*0.05</f>
        <v>0.15</v>
      </c>
      <c r="E1668" s="0" t="n">
        <f aca="false">1</f>
        <v>1</v>
      </c>
      <c r="F1668" s="0" t="n">
        <f aca="false">C1668</f>
        <v>1</v>
      </c>
      <c r="G1668" s="0" t="n">
        <f aca="false">D1668</f>
        <v>0.15</v>
      </c>
      <c r="H1668" s="0" t="n">
        <f aca="false">C1668*D1668</f>
        <v>0.15</v>
      </c>
      <c r="I1668" s="0" t="n">
        <f aca="false">C1668*C1668</f>
        <v>1</v>
      </c>
      <c r="J1668" s="0" t="n">
        <f aca="false">D1668*D1668</f>
        <v>0.0225</v>
      </c>
      <c r="K1668" s="0" t="n">
        <f aca="false">SUMPRODUCT(E1668:J1668,_XtX!$B$53:$G$53)</f>
        <v>47.8102658045977</v>
      </c>
      <c r="L1668" s="0" t="n">
        <f aca="false">SUMPRODUCT(MMULT(E1668:J1668,_XtX!$B$44:$G$49),E1668:J1668)</f>
        <v>0.492949102011494</v>
      </c>
      <c r="M1668" s="0" t="n">
        <f aca="false">04_回帰ANOVA!$K$19*04_回帰ANOVA!$K$14*SQRT(1+L1668)</f>
        <v>1.65576643026763</v>
      </c>
      <c r="N1668" s="0" t="n">
        <f aca="false">K1668-M1668</f>
        <v>46.15449937433</v>
      </c>
      <c r="O1668" s="0" t="n">
        <f aca="false">K1668+M1668</f>
        <v>49.4660322348653</v>
      </c>
      <c r="P1668" s="54" t="b">
        <f aca="false">AND(C1668&gt;=01_因子設定!$L$5-0.000000001,C1668&lt;=01_因子設定!$M$5+0.000000001,D1668&gt;=01_因子設定!$L$6-0.000000001,D1668&lt;=01_因子設定!$M$6+0.000000001,IF(01_因子設定!$B$20="Box-Behnken",C1668^2+D1668^2&lt;=2+0.000000001,TRUE()))</f>
        <v>1</v>
      </c>
      <c r="Q1668" s="55" t="n">
        <f aca="false">IF(P1668,IF(01_因子設定!$B$13="最大化",N1668-01_因子設定!$B$14,IF(01_因子設定!$B$13="最小化",01_因子設定!$B$15-O1668,MIN(N1668-01_因子設定!$B$14,01_因子設定!$B$15-O1668))),-1E+030)</f>
        <v>-0.345500625669956</v>
      </c>
      <c r="R1668" s="55" t="n">
        <f aca="false">IF(P1668,IF(01_因子設定!$B$13="最大化",K1668,IF(01_因子設定!$B$13="最小化",-K1668,-ABS(K1668-01_因子設定!$B$16))),-1E+030)</f>
        <v>47.8102658045977</v>
      </c>
      <c r="S1668" s="55" t="n">
        <f aca="false">Q1668+ROW()*0.000000001</f>
        <v>-0.345498957669956</v>
      </c>
      <c r="T1668" s="55" t="n">
        <f aca="false">R1668+ROW()*0.000000001</f>
        <v>47.8102674725977</v>
      </c>
    </row>
    <row r="1669" customFormat="false" ht="15" hidden="false" customHeight="false" outlineLevel="0" collapsed="false">
      <c r="A1669" s="0" t="n">
        <v>40</v>
      </c>
      <c r="B1669" s="0" t="n">
        <v>24</v>
      </c>
      <c r="C1669" s="0" t="n">
        <f aca="false">-1+A1669*0.05</f>
        <v>1</v>
      </c>
      <c r="D1669" s="0" t="n">
        <f aca="false">-1+B1669*0.05</f>
        <v>0.2</v>
      </c>
      <c r="E1669" s="0" t="n">
        <f aca="false">1</f>
        <v>1</v>
      </c>
      <c r="F1669" s="0" t="n">
        <f aca="false">C1669</f>
        <v>1</v>
      </c>
      <c r="G1669" s="0" t="n">
        <f aca="false">D1669</f>
        <v>0.2</v>
      </c>
      <c r="H1669" s="0" t="n">
        <f aca="false">C1669*D1669</f>
        <v>0.2</v>
      </c>
      <c r="I1669" s="0" t="n">
        <f aca="false">C1669*C1669</f>
        <v>1</v>
      </c>
      <c r="J1669" s="0" t="n">
        <f aca="false">D1669*D1669</f>
        <v>0.0400000000000001</v>
      </c>
      <c r="K1669" s="0" t="n">
        <f aca="false">SUMPRODUCT(E1669:J1669,_XtX!$B$53:$G$53)</f>
        <v>47.9220114942529</v>
      </c>
      <c r="L1669" s="0" t="n">
        <f aca="false">SUMPRODUCT(MMULT(E1669:J1669,_XtX!$B$44:$G$49),E1669:J1669)</f>
        <v>0.492188505747126</v>
      </c>
      <c r="M1669" s="0" t="n">
        <f aca="false">04_回帰ANOVA!$K$19*04_回帰ANOVA!$K$14*SQRT(1+L1669)</f>
        <v>1.65534460403123</v>
      </c>
      <c r="N1669" s="0" t="n">
        <f aca="false">K1669-M1669</f>
        <v>46.2666668902216</v>
      </c>
      <c r="O1669" s="0" t="n">
        <f aca="false">K1669+M1669</f>
        <v>49.5773560982841</v>
      </c>
      <c r="P1669" s="54" t="b">
        <f aca="false">AND(C1669&gt;=01_因子設定!$L$5-0.000000001,C1669&lt;=01_因子設定!$M$5+0.000000001,D1669&gt;=01_因子設定!$L$6-0.000000001,D1669&lt;=01_因子設定!$M$6+0.000000001,IF(01_因子設定!$B$20="Box-Behnken",C1669^2+D1669^2&lt;=2+0.000000001,TRUE()))</f>
        <v>1</v>
      </c>
      <c r="Q1669" s="55" t="n">
        <f aca="false">IF(P1669,IF(01_因子設定!$B$13="最大化",N1669-01_因子設定!$B$14,IF(01_因子設定!$B$13="最小化",01_因子設定!$B$15-O1669,MIN(N1669-01_因子設定!$B$14,01_因子設定!$B$15-O1669))),-1E+030)</f>
        <v>-0.233333109778378</v>
      </c>
      <c r="R1669" s="55" t="n">
        <f aca="false">IF(P1669,IF(01_因子設定!$B$13="最大化",K1669,IF(01_因子設定!$B$13="最小化",-K1669,-ABS(K1669-01_因子設定!$B$16))),-1E+030)</f>
        <v>47.9220114942529</v>
      </c>
      <c r="S1669" s="55" t="n">
        <f aca="false">Q1669+ROW()*0.000000001</f>
        <v>-0.233331440778378</v>
      </c>
      <c r="T1669" s="55" t="n">
        <f aca="false">R1669+ROW()*0.000000001</f>
        <v>47.9220131632529</v>
      </c>
    </row>
    <row r="1670" customFormat="false" ht="15" hidden="false" customHeight="false" outlineLevel="0" collapsed="false">
      <c r="A1670" s="0" t="n">
        <v>40</v>
      </c>
      <c r="B1670" s="0" t="n">
        <v>25</v>
      </c>
      <c r="C1670" s="0" t="n">
        <f aca="false">-1+A1670*0.05</f>
        <v>1</v>
      </c>
      <c r="D1670" s="0" t="n">
        <f aca="false">-1+B1670*0.05</f>
        <v>0.25</v>
      </c>
      <c r="E1670" s="0" t="n">
        <f aca="false">1</f>
        <v>1</v>
      </c>
      <c r="F1670" s="0" t="n">
        <f aca="false">C1670</f>
        <v>1</v>
      </c>
      <c r="G1670" s="0" t="n">
        <f aca="false">D1670</f>
        <v>0.25</v>
      </c>
      <c r="H1670" s="0" t="n">
        <f aca="false">C1670*D1670</f>
        <v>0.25</v>
      </c>
      <c r="I1670" s="0" t="n">
        <f aca="false">C1670*C1670</f>
        <v>1</v>
      </c>
      <c r="J1670" s="0" t="n">
        <f aca="false">D1670*D1670</f>
        <v>0.0625</v>
      </c>
      <c r="K1670" s="0" t="n">
        <f aca="false">SUMPRODUCT(E1670:J1670,_XtX!$B$53:$G$53)</f>
        <v>48.0260416666666</v>
      </c>
      <c r="L1670" s="0" t="n">
        <f aca="false">SUMPRODUCT(MMULT(E1670:J1670,_XtX!$B$44:$G$49),E1670:J1670)</f>
        <v>0.491536458333333</v>
      </c>
      <c r="M1670" s="0" t="n">
        <f aca="false">04_回帰ANOVA!$K$19*04_回帰ANOVA!$K$14*SQRT(1+L1670)</f>
        <v>1.65498289332813</v>
      </c>
      <c r="N1670" s="0" t="n">
        <f aca="false">K1670-M1670</f>
        <v>46.3710587733385</v>
      </c>
      <c r="O1670" s="0" t="n">
        <f aca="false">K1670+M1670</f>
        <v>49.6810245599948</v>
      </c>
      <c r="P1670" s="54" t="b">
        <f aca="false">AND(C1670&gt;=01_因子設定!$L$5-0.000000001,C1670&lt;=01_因子設定!$M$5+0.000000001,D1670&gt;=01_因子設定!$L$6-0.000000001,D1670&lt;=01_因子設定!$M$6+0.000000001,IF(01_因子設定!$B$20="Box-Behnken",C1670^2+D1670^2&lt;=2+0.000000001,TRUE()))</f>
        <v>1</v>
      </c>
      <c r="Q1670" s="55" t="n">
        <f aca="false">IF(P1670,IF(01_因子設定!$B$13="最大化",N1670-01_因子設定!$B$14,IF(01_因子設定!$B$13="最小化",01_因子設定!$B$15-O1670,MIN(N1670-01_因子設定!$B$14,01_因子設定!$B$15-O1670))),-1E+030)</f>
        <v>-0.128941226661482</v>
      </c>
      <c r="R1670" s="55" t="n">
        <f aca="false">IF(P1670,IF(01_因子設定!$B$13="最大化",K1670,IF(01_因子設定!$B$13="最小化",-K1670,-ABS(K1670-01_因子設定!$B$16))),-1E+030)</f>
        <v>48.0260416666666</v>
      </c>
      <c r="S1670" s="55" t="n">
        <f aca="false">Q1670+ROW()*0.000000001</f>
        <v>-0.128939556661482</v>
      </c>
      <c r="T1670" s="55" t="n">
        <f aca="false">R1670+ROW()*0.000000001</f>
        <v>48.0260433366666</v>
      </c>
    </row>
    <row r="1671" customFormat="false" ht="15" hidden="false" customHeight="false" outlineLevel="0" collapsed="false">
      <c r="A1671" s="0" t="n">
        <v>40</v>
      </c>
      <c r="B1671" s="0" t="n">
        <v>26</v>
      </c>
      <c r="C1671" s="0" t="n">
        <f aca="false">-1+A1671*0.05</f>
        <v>1</v>
      </c>
      <c r="D1671" s="0" t="n">
        <f aca="false">-1+B1671*0.05</f>
        <v>0.3</v>
      </c>
      <c r="E1671" s="0" t="n">
        <f aca="false">1</f>
        <v>1</v>
      </c>
      <c r="F1671" s="0" t="n">
        <f aca="false">C1671</f>
        <v>1</v>
      </c>
      <c r="G1671" s="0" t="n">
        <f aca="false">D1671</f>
        <v>0.3</v>
      </c>
      <c r="H1671" s="0" t="n">
        <f aca="false">C1671*D1671</f>
        <v>0.3</v>
      </c>
      <c r="I1671" s="0" t="n">
        <f aca="false">C1671*C1671</f>
        <v>1</v>
      </c>
      <c r="J1671" s="0" t="n">
        <f aca="false">D1671*D1671</f>
        <v>0.09</v>
      </c>
      <c r="K1671" s="0" t="n">
        <f aca="false">SUMPRODUCT(E1671:J1671,_XtX!$B$53:$G$53)</f>
        <v>48.1223563218391</v>
      </c>
      <c r="L1671" s="0" t="n">
        <f aca="false">SUMPRODUCT(MMULT(E1671:J1671,_XtX!$B$44:$G$49),E1671:J1671)</f>
        <v>0.491237356321839</v>
      </c>
      <c r="M1671" s="0" t="n">
        <f aca="false">04_回帰ANOVA!$K$19*04_回帰ANOVA!$K$14*SQRT(1+L1671)</f>
        <v>1.65481694581525</v>
      </c>
      <c r="N1671" s="0" t="n">
        <f aca="false">K1671-M1671</f>
        <v>46.4675393760238</v>
      </c>
      <c r="O1671" s="0" t="n">
        <f aca="false">K1671+M1671</f>
        <v>49.7771732676543</v>
      </c>
      <c r="P1671" s="54" t="b">
        <f aca="false">AND(C1671&gt;=01_因子設定!$L$5-0.000000001,C1671&lt;=01_因子設定!$M$5+0.000000001,D1671&gt;=01_因子設定!$L$6-0.000000001,D1671&lt;=01_因子設定!$M$6+0.000000001,IF(01_因子設定!$B$20="Box-Behnken",C1671^2+D1671^2&lt;=2+0.000000001,TRUE()))</f>
        <v>1</v>
      </c>
      <c r="Q1671" s="55" t="n">
        <f aca="false">IF(P1671,IF(01_因子設定!$B$13="最大化",N1671-01_因子設定!$B$14,IF(01_因子設定!$B$13="最小化",01_因子設定!$B$15-O1671,MIN(N1671-01_因子設定!$B$14,01_因子設定!$B$15-O1671))),-1E+030)</f>
        <v>-0.032460623976192</v>
      </c>
      <c r="R1671" s="55" t="n">
        <f aca="false">IF(P1671,IF(01_因子設定!$B$13="最大化",K1671,IF(01_因子設定!$B$13="最小化",-K1671,-ABS(K1671-01_因子設定!$B$16))),-1E+030)</f>
        <v>48.1223563218391</v>
      </c>
      <c r="S1671" s="55" t="n">
        <f aca="false">Q1671+ROW()*0.000000001</f>
        <v>-0.032458952976192</v>
      </c>
      <c r="T1671" s="55" t="n">
        <f aca="false">R1671+ROW()*0.000000001</f>
        <v>48.1223579928391</v>
      </c>
    </row>
    <row r="1672" customFormat="false" ht="15" hidden="false" customHeight="false" outlineLevel="0" collapsed="false">
      <c r="A1672" s="0" t="n">
        <v>40</v>
      </c>
      <c r="B1672" s="0" t="n">
        <v>27</v>
      </c>
      <c r="C1672" s="0" t="n">
        <f aca="false">-1+A1672*0.05</f>
        <v>1</v>
      </c>
      <c r="D1672" s="0" t="n">
        <f aca="false">-1+B1672*0.05</f>
        <v>0.35</v>
      </c>
      <c r="E1672" s="0" t="n">
        <f aca="false">1</f>
        <v>1</v>
      </c>
      <c r="F1672" s="0" t="n">
        <f aca="false">C1672</f>
        <v>1</v>
      </c>
      <c r="G1672" s="0" t="n">
        <f aca="false">D1672</f>
        <v>0.35</v>
      </c>
      <c r="H1672" s="0" t="n">
        <f aca="false">C1672*D1672</f>
        <v>0.35</v>
      </c>
      <c r="I1672" s="0" t="n">
        <f aca="false">C1672*C1672</f>
        <v>1</v>
      </c>
      <c r="J1672" s="0" t="n">
        <f aca="false">D1672*D1672</f>
        <v>0.1225</v>
      </c>
      <c r="K1672" s="0" t="n">
        <f aca="false">SUMPRODUCT(E1672:J1672,_XtX!$B$53:$G$53)</f>
        <v>48.2109554597701</v>
      </c>
      <c r="L1672" s="0" t="n">
        <f aca="false">SUMPRODUCT(MMULT(E1672:J1672,_XtX!$B$44:$G$49),E1672:J1672)</f>
        <v>0.491589906609195</v>
      </c>
      <c r="M1672" s="0" t="n">
        <f aca="false">04_回帰ANOVA!$K$19*04_回帰ANOVA!$K$14*SQRT(1+L1672)</f>
        <v>1.65501254570079</v>
      </c>
      <c r="N1672" s="0" t="n">
        <f aca="false">K1672-M1672</f>
        <v>46.5559429140693</v>
      </c>
      <c r="O1672" s="0" t="n">
        <f aca="false">K1672+M1672</f>
        <v>49.8659680054709</v>
      </c>
      <c r="P1672" s="54" t="b">
        <f aca="false">AND(C1672&gt;=01_因子設定!$L$5-0.000000001,C1672&lt;=01_因子設定!$M$5+0.000000001,D1672&gt;=01_因子設定!$L$6-0.000000001,D1672&lt;=01_因子設定!$M$6+0.000000001,IF(01_因子設定!$B$20="Box-Behnken",C1672^2+D1672^2&lt;=2+0.000000001,TRUE()))</f>
        <v>1</v>
      </c>
      <c r="Q1672" s="55" t="n">
        <f aca="false">IF(P1672,IF(01_因子設定!$B$13="最大化",N1672-01_因子設定!$B$14,IF(01_因子設定!$B$13="最小化",01_因子設定!$B$15-O1672,MIN(N1672-01_因子設定!$B$14,01_因子設定!$B$15-O1672))),-1E+030)</f>
        <v>0.0559429140693055</v>
      </c>
      <c r="R1672" s="55" t="n">
        <f aca="false">IF(P1672,IF(01_因子設定!$B$13="最大化",K1672,IF(01_因子設定!$B$13="最小化",-K1672,-ABS(K1672-01_因子設定!$B$16))),-1E+030)</f>
        <v>48.2109554597701</v>
      </c>
      <c r="S1672" s="55" t="n">
        <f aca="false">Q1672+ROW()*0.000000001</f>
        <v>0.0559445860693055</v>
      </c>
      <c r="T1672" s="55" t="n">
        <f aca="false">R1672+ROW()*0.000000001</f>
        <v>48.2109571317701</v>
      </c>
    </row>
    <row r="1673" customFormat="false" ht="15" hidden="false" customHeight="false" outlineLevel="0" collapsed="false">
      <c r="A1673" s="0" t="n">
        <v>40</v>
      </c>
      <c r="B1673" s="0" t="n">
        <v>28</v>
      </c>
      <c r="C1673" s="0" t="n">
        <f aca="false">-1+A1673*0.05</f>
        <v>1</v>
      </c>
      <c r="D1673" s="0" t="n">
        <f aca="false">-1+B1673*0.05</f>
        <v>0.4</v>
      </c>
      <c r="E1673" s="0" t="n">
        <f aca="false">1</f>
        <v>1</v>
      </c>
      <c r="F1673" s="0" t="n">
        <f aca="false">C1673</f>
        <v>1</v>
      </c>
      <c r="G1673" s="0" t="n">
        <f aca="false">D1673</f>
        <v>0.4</v>
      </c>
      <c r="H1673" s="0" t="n">
        <f aca="false">C1673*D1673</f>
        <v>0.4</v>
      </c>
      <c r="I1673" s="0" t="n">
        <f aca="false">C1673*C1673</f>
        <v>1</v>
      </c>
      <c r="J1673" s="0" t="n">
        <f aca="false">D1673*D1673</f>
        <v>0.16</v>
      </c>
      <c r="K1673" s="0" t="n">
        <f aca="false">SUMPRODUCT(E1673:J1673,_XtX!$B$53:$G$53)</f>
        <v>48.2918390804598</v>
      </c>
      <c r="L1673" s="0" t="n">
        <f aca="false">SUMPRODUCT(MMULT(E1673:J1673,_XtX!$B$44:$G$49),E1673:J1673)</f>
        <v>0.492947126436782</v>
      </c>
      <c r="M1673" s="0" t="n">
        <f aca="false">04_回帰ANOVA!$K$19*04_回帰ANOVA!$K$14*SQRT(1+L1673)</f>
        <v>1.65576533475427</v>
      </c>
      <c r="N1673" s="0" t="n">
        <f aca="false">K1673-M1673</f>
        <v>46.6360737457055</v>
      </c>
      <c r="O1673" s="0" t="n">
        <f aca="false">K1673+M1673</f>
        <v>49.947604415214</v>
      </c>
      <c r="P1673" s="54" t="b">
        <f aca="false">AND(C1673&gt;=01_因子設定!$L$5-0.000000001,C1673&lt;=01_因子設定!$M$5+0.000000001,D1673&gt;=01_因子設定!$L$6-0.000000001,D1673&lt;=01_因子設定!$M$6+0.000000001,IF(01_因子設定!$B$20="Box-Behnken",C1673^2+D1673^2&lt;=2+0.000000001,TRUE()))</f>
        <v>1</v>
      </c>
      <c r="Q1673" s="55" t="n">
        <f aca="false">IF(P1673,IF(01_因子設定!$B$13="最大化",N1673-01_因子設定!$B$14,IF(01_因子設定!$B$13="最小化",01_因子設定!$B$15-O1673,MIN(N1673-01_因子設定!$B$14,01_因子設定!$B$15-O1673))),-1E+030)</f>
        <v>0.136073745705481</v>
      </c>
      <c r="R1673" s="55" t="n">
        <f aca="false">IF(P1673,IF(01_因子設定!$B$13="最大化",K1673,IF(01_因子設定!$B$13="最小化",-K1673,-ABS(K1673-01_因子設定!$B$16))),-1E+030)</f>
        <v>48.2918390804598</v>
      </c>
      <c r="S1673" s="55" t="n">
        <f aca="false">Q1673+ROW()*0.000000001</f>
        <v>0.136075418705481</v>
      </c>
      <c r="T1673" s="55" t="n">
        <f aca="false">R1673+ROW()*0.000000001</f>
        <v>48.2918407534598</v>
      </c>
    </row>
    <row r="1674" customFormat="false" ht="15" hidden="false" customHeight="false" outlineLevel="0" collapsed="false">
      <c r="A1674" s="0" t="n">
        <v>40</v>
      </c>
      <c r="B1674" s="0" t="n">
        <v>29</v>
      </c>
      <c r="C1674" s="0" t="n">
        <f aca="false">-1+A1674*0.05</f>
        <v>1</v>
      </c>
      <c r="D1674" s="0" t="n">
        <f aca="false">-1+B1674*0.05</f>
        <v>0.45</v>
      </c>
      <c r="E1674" s="0" t="n">
        <f aca="false">1</f>
        <v>1</v>
      </c>
      <c r="F1674" s="0" t="n">
        <f aca="false">C1674</f>
        <v>1</v>
      </c>
      <c r="G1674" s="0" t="n">
        <f aca="false">D1674</f>
        <v>0.45</v>
      </c>
      <c r="H1674" s="0" t="n">
        <f aca="false">C1674*D1674</f>
        <v>0.45</v>
      </c>
      <c r="I1674" s="0" t="n">
        <f aca="false">C1674*C1674</f>
        <v>1</v>
      </c>
      <c r="J1674" s="0" t="n">
        <f aca="false">D1674*D1674</f>
        <v>0.2025</v>
      </c>
      <c r="K1674" s="0" t="n">
        <f aca="false">SUMPRODUCT(E1674:J1674,_XtX!$B$53:$G$53)</f>
        <v>48.365007183908</v>
      </c>
      <c r="L1674" s="0" t="n">
        <f aca="false">SUMPRODUCT(MMULT(E1674:J1674,_XtX!$B$44:$G$49),E1674:J1674)</f>
        <v>0.495716343390805</v>
      </c>
      <c r="M1674" s="0" t="n">
        <f aca="false">04_回帰ANOVA!$K$19*04_回帰ANOVA!$K$14*SQRT(1+L1674)</f>
        <v>1.65730023478681</v>
      </c>
      <c r="N1674" s="0" t="n">
        <f aca="false">K1674-M1674</f>
        <v>46.7077069491212</v>
      </c>
      <c r="O1674" s="0" t="n">
        <f aca="false">K1674+M1674</f>
        <v>50.0223074186948</v>
      </c>
      <c r="P1674" s="54" t="b">
        <f aca="false">AND(C1674&gt;=01_因子設定!$L$5-0.000000001,C1674&lt;=01_因子設定!$M$5+0.000000001,D1674&gt;=01_因子設定!$L$6-0.000000001,D1674&lt;=01_因子設定!$M$6+0.000000001,IF(01_因子設定!$B$20="Box-Behnken",C1674^2+D1674^2&lt;=2+0.000000001,TRUE()))</f>
        <v>1</v>
      </c>
      <c r="Q1674" s="55" t="n">
        <f aca="false">IF(P1674,IF(01_因子設定!$B$13="最大化",N1674-01_因子設定!$B$14,IF(01_因子設定!$B$13="最小化",01_因子設定!$B$15-O1674,MIN(N1674-01_因子設定!$B$14,01_因子設定!$B$15-O1674))),-1E+030)</f>
        <v>0.207706949121217</v>
      </c>
      <c r="R1674" s="55" t="n">
        <f aca="false">IF(P1674,IF(01_因子設定!$B$13="最大化",K1674,IF(01_因子設定!$B$13="最小化",-K1674,-ABS(K1674-01_因子設定!$B$16))),-1E+030)</f>
        <v>48.365007183908</v>
      </c>
      <c r="S1674" s="55" t="n">
        <f aca="false">Q1674+ROW()*0.000000001</f>
        <v>0.207708623121217</v>
      </c>
      <c r="T1674" s="55" t="n">
        <f aca="false">R1674+ROW()*0.000000001</f>
        <v>48.365008857908</v>
      </c>
    </row>
    <row r="1675" customFormat="false" ht="15" hidden="false" customHeight="false" outlineLevel="0" collapsed="false">
      <c r="A1675" s="0" t="n">
        <v>40</v>
      </c>
      <c r="B1675" s="0" t="n">
        <v>30</v>
      </c>
      <c r="C1675" s="0" t="n">
        <f aca="false">-1+A1675*0.05</f>
        <v>1</v>
      </c>
      <c r="D1675" s="0" t="n">
        <f aca="false">-1+B1675*0.05</f>
        <v>0.5</v>
      </c>
      <c r="E1675" s="0" t="n">
        <f aca="false">1</f>
        <v>1</v>
      </c>
      <c r="F1675" s="0" t="n">
        <f aca="false">C1675</f>
        <v>1</v>
      </c>
      <c r="G1675" s="0" t="n">
        <f aca="false">D1675</f>
        <v>0.5</v>
      </c>
      <c r="H1675" s="0" t="n">
        <f aca="false">C1675*D1675</f>
        <v>0.5</v>
      </c>
      <c r="I1675" s="0" t="n">
        <f aca="false">C1675*C1675</f>
        <v>1</v>
      </c>
      <c r="J1675" s="0" t="n">
        <f aca="false">D1675*D1675</f>
        <v>0.25</v>
      </c>
      <c r="K1675" s="0" t="n">
        <f aca="false">SUMPRODUCT(E1675:J1675,_XtX!$B$53:$G$53)</f>
        <v>48.4304597701149</v>
      </c>
      <c r="L1675" s="0" t="n">
        <f aca="false">SUMPRODUCT(MMULT(E1675:J1675,_XtX!$B$44:$G$49),E1675:J1675)</f>
        <v>0.500359195402299</v>
      </c>
      <c r="M1675" s="0" t="n">
        <f aca="false">04_回帰ANOVA!$K$19*04_回帰ANOVA!$K$14*SQRT(1+L1675)</f>
        <v>1.65987045400384</v>
      </c>
      <c r="N1675" s="0" t="n">
        <f aca="false">K1675-M1675</f>
        <v>46.7705893161111</v>
      </c>
      <c r="O1675" s="0" t="n">
        <f aca="false">K1675+M1675</f>
        <v>50.0903302241188</v>
      </c>
      <c r="P1675" s="54" t="b">
        <f aca="false">AND(C1675&gt;=01_因子設定!$L$5-0.000000001,C1675&lt;=01_因子設定!$M$5+0.000000001,D1675&gt;=01_因子設定!$L$6-0.000000001,D1675&lt;=01_因子設定!$M$6+0.000000001,IF(01_因子設定!$B$20="Box-Behnken",C1675^2+D1675^2&lt;=2+0.000000001,TRUE()))</f>
        <v>1</v>
      </c>
      <c r="Q1675" s="55" t="n">
        <f aca="false">IF(P1675,IF(01_因子設定!$B$13="最大化",N1675-01_因子設定!$B$14,IF(01_因子設定!$B$13="最小化",01_因子設定!$B$15-O1675,MIN(N1675-01_因子設定!$B$14,01_因子設定!$B$15-O1675))),-1E+030)</f>
        <v>0.270589316111078</v>
      </c>
      <c r="R1675" s="55" t="n">
        <f aca="false">IF(P1675,IF(01_因子設定!$B$13="最大化",K1675,IF(01_因子設定!$B$13="最小化",-K1675,-ABS(K1675-01_因子設定!$B$16))),-1E+030)</f>
        <v>48.4304597701149</v>
      </c>
      <c r="S1675" s="55" t="n">
        <f aca="false">Q1675+ROW()*0.000000001</f>
        <v>0.270590991111078</v>
      </c>
      <c r="T1675" s="55" t="n">
        <f aca="false">R1675+ROW()*0.000000001</f>
        <v>48.4304614451149</v>
      </c>
    </row>
    <row r="1676" customFormat="false" ht="15" hidden="false" customHeight="false" outlineLevel="0" collapsed="false">
      <c r="A1676" s="0" t="n">
        <v>40</v>
      </c>
      <c r="B1676" s="0" t="n">
        <v>31</v>
      </c>
      <c r="C1676" s="0" t="n">
        <f aca="false">-1+A1676*0.05</f>
        <v>1</v>
      </c>
      <c r="D1676" s="0" t="n">
        <f aca="false">-1+B1676*0.05</f>
        <v>0.55</v>
      </c>
      <c r="E1676" s="0" t="n">
        <f aca="false">1</f>
        <v>1</v>
      </c>
      <c r="F1676" s="0" t="n">
        <f aca="false">C1676</f>
        <v>1</v>
      </c>
      <c r="G1676" s="0" t="n">
        <f aca="false">D1676</f>
        <v>0.55</v>
      </c>
      <c r="H1676" s="0" t="n">
        <f aca="false">C1676*D1676</f>
        <v>0.55</v>
      </c>
      <c r="I1676" s="0" t="n">
        <f aca="false">C1676*C1676</f>
        <v>1</v>
      </c>
      <c r="J1676" s="0" t="n">
        <f aca="false">D1676*D1676</f>
        <v>0.3025</v>
      </c>
      <c r="K1676" s="0" t="n">
        <f aca="false">SUMPRODUCT(E1676:J1676,_XtX!$B$53:$G$53)</f>
        <v>48.4881968390804</v>
      </c>
      <c r="L1676" s="0" t="n">
        <f aca="false">SUMPRODUCT(MMULT(E1676:J1676,_XtX!$B$44:$G$49),E1676:J1676)</f>
        <v>0.507391630747127</v>
      </c>
      <c r="M1676" s="0" t="n">
        <f aca="false">04_回帰ANOVA!$K$19*04_回帰ANOVA!$K$14*SQRT(1+L1676)</f>
        <v>1.66375595202306</v>
      </c>
      <c r="N1676" s="0" t="n">
        <f aca="false">K1676-M1676</f>
        <v>46.8244408870574</v>
      </c>
      <c r="O1676" s="0" t="n">
        <f aca="false">K1676+M1676</f>
        <v>50.1519527911035</v>
      </c>
      <c r="P1676" s="54" t="b">
        <f aca="false">AND(C1676&gt;=01_因子設定!$L$5-0.000000001,C1676&lt;=01_因子設定!$M$5+0.000000001,D1676&gt;=01_因子設定!$L$6-0.000000001,D1676&lt;=01_因子設定!$M$6+0.000000001,IF(01_因子設定!$B$20="Box-Behnken",C1676^2+D1676^2&lt;=2+0.000000001,TRUE()))</f>
        <v>1</v>
      </c>
      <c r="Q1676" s="55" t="n">
        <f aca="false">IF(P1676,IF(01_因子設定!$B$13="最大化",N1676-01_因子設定!$B$14,IF(01_因子設定!$B$13="最小化",01_因子設定!$B$15-O1676,MIN(N1676-01_因子設定!$B$14,01_因子設定!$B$15-O1676))),-1E+030)</f>
        <v>0.324440887057385</v>
      </c>
      <c r="R1676" s="55" t="n">
        <f aca="false">IF(P1676,IF(01_因子設定!$B$13="最大化",K1676,IF(01_因子設定!$B$13="最小化",-K1676,-ABS(K1676-01_因子設定!$B$16))),-1E+030)</f>
        <v>48.4881968390804</v>
      </c>
      <c r="S1676" s="55" t="n">
        <f aca="false">Q1676+ROW()*0.000000001</f>
        <v>0.324442563057385</v>
      </c>
      <c r="T1676" s="55" t="n">
        <f aca="false">R1676+ROW()*0.000000001</f>
        <v>48.4881985150804</v>
      </c>
    </row>
    <row r="1677" customFormat="false" ht="15" hidden="false" customHeight="false" outlineLevel="0" collapsed="false">
      <c r="A1677" s="0" t="n">
        <v>40</v>
      </c>
      <c r="B1677" s="0" t="n">
        <v>32</v>
      </c>
      <c r="C1677" s="0" t="n">
        <f aca="false">-1+A1677*0.05</f>
        <v>1</v>
      </c>
      <c r="D1677" s="0" t="n">
        <f aca="false">-1+B1677*0.05</f>
        <v>0.6</v>
      </c>
      <c r="E1677" s="0" t="n">
        <f aca="false">1</f>
        <v>1</v>
      </c>
      <c r="F1677" s="0" t="n">
        <f aca="false">C1677</f>
        <v>1</v>
      </c>
      <c r="G1677" s="0" t="n">
        <f aca="false">D1677</f>
        <v>0.6</v>
      </c>
      <c r="H1677" s="0" t="n">
        <f aca="false">C1677*D1677</f>
        <v>0.6</v>
      </c>
      <c r="I1677" s="0" t="n">
        <f aca="false">C1677*C1677</f>
        <v>1</v>
      </c>
      <c r="J1677" s="0" t="n">
        <f aca="false">D1677*D1677</f>
        <v>0.36</v>
      </c>
      <c r="K1677" s="0" t="n">
        <f aca="false">SUMPRODUCT(E1677:J1677,_XtX!$B$53:$G$53)</f>
        <v>48.5382183908046</v>
      </c>
      <c r="L1677" s="0" t="n">
        <f aca="false">SUMPRODUCT(MMULT(E1677:J1677,_XtX!$B$44:$G$49),E1677:J1677)</f>
        <v>0.517383908045977</v>
      </c>
      <c r="M1677" s="0" t="n">
        <f aca="false">04_回帰ANOVA!$K$19*04_回帰ANOVA!$K$14*SQRT(1+L1677)</f>
        <v>1.66926124034343</v>
      </c>
      <c r="N1677" s="0" t="n">
        <f aca="false">K1677-M1677</f>
        <v>46.8689571504611</v>
      </c>
      <c r="O1677" s="0" t="n">
        <f aca="false">K1677+M1677</f>
        <v>50.207479631148</v>
      </c>
      <c r="P1677" s="54" t="b">
        <f aca="false">AND(C1677&gt;=01_因子設定!$L$5-0.000000001,C1677&lt;=01_因子設定!$M$5+0.000000001,D1677&gt;=01_因子設定!$L$6-0.000000001,D1677&lt;=01_因子設定!$M$6+0.000000001,IF(01_因子設定!$B$20="Box-Behnken",C1677^2+D1677^2&lt;=2+0.000000001,TRUE()))</f>
        <v>1</v>
      </c>
      <c r="Q1677" s="55" t="n">
        <f aca="false">IF(P1677,IF(01_因子設定!$B$13="最大化",N1677-01_因子設定!$B$14,IF(01_因子設定!$B$13="最小化",01_因子設定!$B$15-O1677,MIN(N1677-01_因子設定!$B$14,01_因子設定!$B$15-O1677))),-1E+030)</f>
        <v>0.368957150461142</v>
      </c>
      <c r="R1677" s="55" t="n">
        <f aca="false">IF(P1677,IF(01_因子設定!$B$13="最大化",K1677,IF(01_因子設定!$B$13="最小化",-K1677,-ABS(K1677-01_因子設定!$B$16))),-1E+030)</f>
        <v>48.5382183908046</v>
      </c>
      <c r="S1677" s="55" t="n">
        <f aca="false">Q1677+ROW()*0.000000001</f>
        <v>0.368958827461142</v>
      </c>
      <c r="T1677" s="55" t="n">
        <f aca="false">R1677+ROW()*0.000000001</f>
        <v>48.5382200678046</v>
      </c>
    </row>
    <row r="1678" customFormat="false" ht="15" hidden="false" customHeight="false" outlineLevel="0" collapsed="false">
      <c r="A1678" s="0" t="n">
        <v>40</v>
      </c>
      <c r="B1678" s="0" t="n">
        <v>33</v>
      </c>
      <c r="C1678" s="0" t="n">
        <f aca="false">-1+A1678*0.05</f>
        <v>1</v>
      </c>
      <c r="D1678" s="0" t="n">
        <f aca="false">-1+B1678*0.05</f>
        <v>0.65</v>
      </c>
      <c r="E1678" s="0" t="n">
        <f aca="false">1</f>
        <v>1</v>
      </c>
      <c r="F1678" s="0" t="n">
        <f aca="false">C1678</f>
        <v>1</v>
      </c>
      <c r="G1678" s="0" t="n">
        <f aca="false">D1678</f>
        <v>0.65</v>
      </c>
      <c r="H1678" s="0" t="n">
        <f aca="false">C1678*D1678</f>
        <v>0.65</v>
      </c>
      <c r="I1678" s="0" t="n">
        <f aca="false">C1678*C1678</f>
        <v>1</v>
      </c>
      <c r="J1678" s="0" t="n">
        <f aca="false">D1678*D1678</f>
        <v>0.4225</v>
      </c>
      <c r="K1678" s="0" t="n">
        <f aca="false">SUMPRODUCT(E1678:J1678,_XtX!$B$53:$G$53)</f>
        <v>48.5805244252873</v>
      </c>
      <c r="L1678" s="0" t="n">
        <f aca="false">SUMPRODUCT(MMULT(E1678:J1678,_XtX!$B$44:$G$49),E1678:J1678)</f>
        <v>0.530960596264368</v>
      </c>
      <c r="M1678" s="0" t="n">
        <f aca="false">04_回帰ANOVA!$K$19*04_回帰ANOVA!$K$14*SQRT(1+L1678)</f>
        <v>1.6767124103567</v>
      </c>
      <c r="N1678" s="0" t="n">
        <f aca="false">K1678-M1678</f>
        <v>46.9038120149306</v>
      </c>
      <c r="O1678" s="0" t="n">
        <f aca="false">K1678+M1678</f>
        <v>50.257236835644</v>
      </c>
      <c r="P1678" s="54" t="b">
        <f aca="false">AND(C1678&gt;=01_因子設定!$L$5-0.000000001,C1678&lt;=01_因子設定!$M$5+0.000000001,D1678&gt;=01_因子設定!$L$6-0.000000001,D1678&lt;=01_因子設定!$M$6+0.000000001,IF(01_因子設定!$B$20="Box-Behnken",C1678^2+D1678^2&lt;=2+0.000000001,TRUE()))</f>
        <v>1</v>
      </c>
      <c r="Q1678" s="55" t="n">
        <f aca="false">IF(P1678,IF(01_因子設定!$B$13="最大化",N1678-01_因子設定!$B$14,IF(01_因子設定!$B$13="最小化",01_因子設定!$B$15-O1678,MIN(N1678-01_因子設定!$B$14,01_因子設定!$B$15-O1678))),-1E+030)</f>
        <v>0.403812014930629</v>
      </c>
      <c r="R1678" s="55" t="n">
        <f aca="false">IF(P1678,IF(01_因子設定!$B$13="最大化",K1678,IF(01_因子設定!$B$13="最小化",-K1678,-ABS(K1678-01_因子設定!$B$16))),-1E+030)</f>
        <v>48.5805244252873</v>
      </c>
      <c r="S1678" s="55" t="n">
        <f aca="false">Q1678+ROW()*0.000000001</f>
        <v>0.403813692930629</v>
      </c>
      <c r="T1678" s="55" t="n">
        <f aca="false">R1678+ROW()*0.000000001</f>
        <v>48.5805261032873</v>
      </c>
    </row>
    <row r="1679" customFormat="false" ht="15" hidden="false" customHeight="false" outlineLevel="0" collapsed="false">
      <c r="A1679" s="0" t="n">
        <v>40</v>
      </c>
      <c r="B1679" s="0" t="n">
        <v>34</v>
      </c>
      <c r="C1679" s="0" t="n">
        <f aca="false">-1+A1679*0.05</f>
        <v>1</v>
      </c>
      <c r="D1679" s="0" t="n">
        <f aca="false">-1+B1679*0.05</f>
        <v>0.7</v>
      </c>
      <c r="E1679" s="0" t="n">
        <f aca="false">1</f>
        <v>1</v>
      </c>
      <c r="F1679" s="0" t="n">
        <f aca="false">C1679</f>
        <v>1</v>
      </c>
      <c r="G1679" s="0" t="n">
        <f aca="false">D1679</f>
        <v>0.7</v>
      </c>
      <c r="H1679" s="0" t="n">
        <f aca="false">C1679*D1679</f>
        <v>0.7</v>
      </c>
      <c r="I1679" s="0" t="n">
        <f aca="false">C1679*C1679</f>
        <v>1</v>
      </c>
      <c r="J1679" s="0" t="n">
        <f aca="false">D1679*D1679</f>
        <v>0.49</v>
      </c>
      <c r="K1679" s="0" t="n">
        <f aca="false">SUMPRODUCT(E1679:J1679,_XtX!$B$53:$G$53)</f>
        <v>48.6151149425287</v>
      </c>
      <c r="L1679" s="0" t="n">
        <f aca="false">SUMPRODUCT(MMULT(E1679:J1679,_XtX!$B$44:$G$49),E1679:J1679)</f>
        <v>0.548800574712644</v>
      </c>
      <c r="M1679" s="0" t="n">
        <f aca="false">04_回帰ANOVA!$K$19*04_回帰ANOVA!$K$14*SQRT(1+L1679)</f>
        <v>1.68645331298059</v>
      </c>
      <c r="N1679" s="0" t="n">
        <f aca="false">K1679-M1679</f>
        <v>46.9286616295481</v>
      </c>
      <c r="O1679" s="0" t="n">
        <f aca="false">K1679+M1679</f>
        <v>50.3015682555093</v>
      </c>
      <c r="P1679" s="54" t="b">
        <f aca="false">AND(C1679&gt;=01_因子設定!$L$5-0.000000001,C1679&lt;=01_因子設定!$M$5+0.000000001,D1679&gt;=01_因子設定!$L$6-0.000000001,D1679&lt;=01_因子設定!$M$6+0.000000001,IF(01_因子設定!$B$20="Box-Behnken",C1679^2+D1679^2&lt;=2+0.000000001,TRUE()))</f>
        <v>1</v>
      </c>
      <c r="Q1679" s="55" t="n">
        <f aca="false">IF(P1679,IF(01_因子設定!$B$13="最大化",N1679-01_因子設定!$B$14,IF(01_因子設定!$B$13="最小化",01_因子設定!$B$15-O1679,MIN(N1679-01_因子設定!$B$14,01_因子設定!$B$15-O1679))),-1E+030)</f>
        <v>0.428661629548124</v>
      </c>
      <c r="R1679" s="55" t="n">
        <f aca="false">IF(P1679,IF(01_因子設定!$B$13="最大化",K1679,IF(01_因子設定!$B$13="最小化",-K1679,-ABS(K1679-01_因子設定!$B$16))),-1E+030)</f>
        <v>48.6151149425287</v>
      </c>
      <c r="S1679" s="55" t="n">
        <f aca="false">Q1679+ROW()*0.000000001</f>
        <v>0.428663308548124</v>
      </c>
      <c r="T1679" s="55" t="n">
        <f aca="false">R1679+ROW()*0.000000001</f>
        <v>48.6151166215287</v>
      </c>
    </row>
    <row r="1680" customFormat="false" ht="15" hidden="false" customHeight="false" outlineLevel="0" collapsed="false">
      <c r="A1680" s="0" t="n">
        <v>40</v>
      </c>
      <c r="B1680" s="0" t="n">
        <v>35</v>
      </c>
      <c r="C1680" s="0" t="n">
        <f aca="false">-1+A1680*0.05</f>
        <v>1</v>
      </c>
      <c r="D1680" s="0" t="n">
        <f aca="false">-1+B1680*0.05</f>
        <v>0.75</v>
      </c>
      <c r="E1680" s="0" t="n">
        <f aca="false">1</f>
        <v>1</v>
      </c>
      <c r="F1680" s="0" t="n">
        <f aca="false">C1680</f>
        <v>1</v>
      </c>
      <c r="G1680" s="0" t="n">
        <f aca="false">D1680</f>
        <v>0.75</v>
      </c>
      <c r="H1680" s="0" t="n">
        <f aca="false">C1680*D1680</f>
        <v>0.75</v>
      </c>
      <c r="I1680" s="0" t="n">
        <f aca="false">C1680*C1680</f>
        <v>1</v>
      </c>
      <c r="J1680" s="0" t="n">
        <f aca="false">D1680*D1680</f>
        <v>0.5625</v>
      </c>
      <c r="K1680" s="0" t="n">
        <f aca="false">SUMPRODUCT(E1680:J1680,_XtX!$B$53:$G$53)</f>
        <v>48.6419899425287</v>
      </c>
      <c r="L1680" s="0" t="n">
        <f aca="false">SUMPRODUCT(MMULT(E1680:J1680,_XtX!$B$44:$G$49),E1680:J1680)</f>
        <v>0.571637033045977</v>
      </c>
      <c r="M1680" s="0" t="n">
        <f aca="false">04_回帰ANOVA!$K$19*04_回帰ANOVA!$K$14*SQRT(1+L1680)</f>
        <v>1.69884086471256</v>
      </c>
      <c r="N1680" s="0" t="n">
        <f aca="false">K1680-M1680</f>
        <v>46.9431490778162</v>
      </c>
      <c r="O1680" s="0" t="n">
        <f aca="false">K1680+M1680</f>
        <v>50.3408308072413</v>
      </c>
      <c r="P1680" s="54" t="b">
        <f aca="false">AND(C1680&gt;=01_因子設定!$L$5-0.000000001,C1680&lt;=01_因子設定!$M$5+0.000000001,D1680&gt;=01_因子設定!$L$6-0.000000001,D1680&lt;=01_因子設定!$M$6+0.000000001,IF(01_因子設定!$B$20="Box-Behnken",C1680^2+D1680^2&lt;=2+0.000000001,TRUE()))</f>
        <v>1</v>
      </c>
      <c r="Q1680" s="55" t="n">
        <f aca="false">IF(P1680,IF(01_因子設定!$B$13="最大化",N1680-01_因子設定!$B$14,IF(01_因子設定!$B$13="最小化",01_因子設定!$B$15-O1680,MIN(N1680-01_因子設定!$B$14,01_因子設定!$B$15-O1680))),-1E+030)</f>
        <v>0.443149077816152</v>
      </c>
      <c r="R1680" s="55" t="n">
        <f aca="false">IF(P1680,IF(01_因子設定!$B$13="最大化",K1680,IF(01_因子設定!$B$13="最小化",-K1680,-ABS(K1680-01_因子設定!$B$16))),-1E+030)</f>
        <v>48.6419899425287</v>
      </c>
      <c r="S1680" s="55" t="n">
        <f aca="false">Q1680+ROW()*0.000000001</f>
        <v>0.443150757816152</v>
      </c>
      <c r="T1680" s="55" t="n">
        <f aca="false">R1680+ROW()*0.000000001</f>
        <v>48.6419916225287</v>
      </c>
    </row>
    <row r="1681" customFormat="false" ht="15" hidden="false" customHeight="false" outlineLevel="0" collapsed="false">
      <c r="A1681" s="0" t="n">
        <v>40</v>
      </c>
      <c r="B1681" s="0" t="n">
        <v>36</v>
      </c>
      <c r="C1681" s="0" t="n">
        <f aca="false">-1+A1681*0.05</f>
        <v>1</v>
      </c>
      <c r="D1681" s="0" t="n">
        <f aca="false">-1+B1681*0.05</f>
        <v>0.8</v>
      </c>
      <c r="E1681" s="0" t="n">
        <f aca="false">1</f>
        <v>1</v>
      </c>
      <c r="F1681" s="0" t="n">
        <f aca="false">C1681</f>
        <v>1</v>
      </c>
      <c r="G1681" s="0" t="n">
        <f aca="false">D1681</f>
        <v>0.8</v>
      </c>
      <c r="H1681" s="0" t="n">
        <f aca="false">C1681*D1681</f>
        <v>0.8</v>
      </c>
      <c r="I1681" s="0" t="n">
        <f aca="false">C1681*C1681</f>
        <v>1</v>
      </c>
      <c r="J1681" s="0" t="n">
        <f aca="false">D1681*D1681</f>
        <v>0.64</v>
      </c>
      <c r="K1681" s="0" t="n">
        <f aca="false">SUMPRODUCT(E1681:J1681,_XtX!$B$53:$G$53)</f>
        <v>48.6611494252873</v>
      </c>
      <c r="L1681" s="0" t="n">
        <f aca="false">SUMPRODUCT(MMULT(E1681:J1681,_XtX!$B$44:$G$49),E1681:J1681)</f>
        <v>0.600257471264368</v>
      </c>
      <c r="M1681" s="0" t="n">
        <f aca="false">04_回帰ANOVA!$K$19*04_回帰ANOVA!$K$14*SQRT(1+L1681)</f>
        <v>1.71423952387759</v>
      </c>
      <c r="N1681" s="0" t="n">
        <f aca="false">K1681-M1681</f>
        <v>46.9469099014098</v>
      </c>
      <c r="O1681" s="0" t="n">
        <f aca="false">K1681+M1681</f>
        <v>50.3753889491649</v>
      </c>
      <c r="P1681" s="54" t="b">
        <f aca="false">AND(C1681&gt;=01_因子設定!$L$5-0.000000001,C1681&lt;=01_因子設定!$M$5+0.000000001,D1681&gt;=01_因子設定!$L$6-0.000000001,D1681&lt;=01_因子設定!$M$6+0.000000001,IF(01_因子設定!$B$20="Box-Behnken",C1681^2+D1681^2&lt;=2+0.000000001,TRUE()))</f>
        <v>1</v>
      </c>
      <c r="Q1681" s="55" t="n">
        <f aca="false">IF(P1681,IF(01_因子設定!$B$13="最大化",N1681-01_因子設定!$B$14,IF(01_因子設定!$B$13="最小化",01_因子設定!$B$15-O1681,MIN(N1681-01_因子設定!$B$14,01_因子設定!$B$15-O1681))),-1E+030)</f>
        <v>0.446909901409747</v>
      </c>
      <c r="R1681" s="55" t="n">
        <f aca="false">IF(P1681,IF(01_因子設定!$B$13="最大化",K1681,IF(01_因子設定!$B$13="最小化",-K1681,-ABS(K1681-01_因子設定!$B$16))),-1E+030)</f>
        <v>48.6611494252873</v>
      </c>
      <c r="S1681" s="55" t="n">
        <f aca="false">Q1681+ROW()*0.000000001</f>
        <v>0.446911582409747</v>
      </c>
      <c r="T1681" s="55" t="n">
        <f aca="false">R1681+ROW()*0.000000001</f>
        <v>48.6611511062873</v>
      </c>
    </row>
    <row r="1682" customFormat="false" ht="15" hidden="false" customHeight="false" outlineLevel="0" collapsed="false">
      <c r="A1682" s="0" t="n">
        <v>40</v>
      </c>
      <c r="B1682" s="0" t="n">
        <v>37</v>
      </c>
      <c r="C1682" s="0" t="n">
        <f aca="false">-1+A1682*0.05</f>
        <v>1</v>
      </c>
      <c r="D1682" s="0" t="n">
        <f aca="false">-1+B1682*0.05</f>
        <v>0.85</v>
      </c>
      <c r="E1682" s="0" t="n">
        <f aca="false">1</f>
        <v>1</v>
      </c>
      <c r="F1682" s="0" t="n">
        <f aca="false">C1682</f>
        <v>1</v>
      </c>
      <c r="G1682" s="0" t="n">
        <f aca="false">D1682</f>
        <v>0.85</v>
      </c>
      <c r="H1682" s="0" t="n">
        <f aca="false">C1682*D1682</f>
        <v>0.85</v>
      </c>
      <c r="I1682" s="0" t="n">
        <f aca="false">C1682*C1682</f>
        <v>1</v>
      </c>
      <c r="J1682" s="0" t="n">
        <f aca="false">D1682*D1682</f>
        <v>0.7225</v>
      </c>
      <c r="K1682" s="0" t="n">
        <f aca="false">SUMPRODUCT(E1682:J1682,_XtX!$B$53:$G$53)</f>
        <v>48.6725933908046</v>
      </c>
      <c r="L1682" s="0" t="n">
        <f aca="false">SUMPRODUCT(MMULT(E1682:J1682,_XtX!$B$44:$G$49),E1682:J1682)</f>
        <v>0.635503699712644</v>
      </c>
      <c r="M1682" s="0" t="n">
        <f aca="false">04_回帰ANOVA!$K$19*04_回帰ANOVA!$K$14*SQRT(1+L1682)</f>
        <v>1.73301506394813</v>
      </c>
      <c r="N1682" s="0" t="n">
        <f aca="false">K1682-M1682</f>
        <v>46.9395783268565</v>
      </c>
      <c r="O1682" s="0" t="n">
        <f aca="false">K1682+M1682</f>
        <v>50.4056084547527</v>
      </c>
      <c r="P1682" s="54" t="b">
        <f aca="false">AND(C1682&gt;=01_因子設定!$L$5-0.000000001,C1682&lt;=01_因子設定!$M$5+0.000000001,D1682&gt;=01_因子設定!$L$6-0.000000001,D1682&lt;=01_因子設定!$M$6+0.000000001,IF(01_因子設定!$B$20="Box-Behnken",C1682^2+D1682^2&lt;=2+0.000000001,TRUE()))</f>
        <v>1</v>
      </c>
      <c r="Q1682" s="55" t="n">
        <f aca="false">IF(P1682,IF(01_因子設定!$B$13="最大化",N1682-01_因子設定!$B$14,IF(01_因子設定!$B$13="最小化",01_因子設定!$B$15-O1682,MIN(N1682-01_因子設定!$B$14,01_因子設定!$B$15-O1682))),-1E+030)</f>
        <v>0.439578326856449</v>
      </c>
      <c r="R1682" s="55" t="n">
        <f aca="false">IF(P1682,IF(01_因子設定!$B$13="最大化",K1682,IF(01_因子設定!$B$13="最小化",-K1682,-ABS(K1682-01_因子設定!$B$16))),-1E+030)</f>
        <v>48.6725933908046</v>
      </c>
      <c r="S1682" s="55" t="n">
        <f aca="false">Q1682+ROW()*0.000000001</f>
        <v>0.439580008856449</v>
      </c>
      <c r="T1682" s="55" t="n">
        <f aca="false">R1682+ROW()*0.000000001</f>
        <v>48.6725950728046</v>
      </c>
    </row>
    <row r="1683" customFormat="false" ht="15" hidden="false" customHeight="false" outlineLevel="0" collapsed="false">
      <c r="A1683" s="0" t="n">
        <v>40</v>
      </c>
      <c r="B1683" s="0" t="n">
        <v>38</v>
      </c>
      <c r="C1683" s="0" t="n">
        <f aca="false">-1+A1683*0.05</f>
        <v>1</v>
      </c>
      <c r="D1683" s="0" t="n">
        <f aca="false">-1+B1683*0.05</f>
        <v>0.9</v>
      </c>
      <c r="E1683" s="0" t="n">
        <f aca="false">1</f>
        <v>1</v>
      </c>
      <c r="F1683" s="0" t="n">
        <f aca="false">C1683</f>
        <v>1</v>
      </c>
      <c r="G1683" s="0" t="n">
        <f aca="false">D1683</f>
        <v>0.9</v>
      </c>
      <c r="H1683" s="0" t="n">
        <f aca="false">C1683*D1683</f>
        <v>0.9</v>
      </c>
      <c r="I1683" s="0" t="n">
        <f aca="false">C1683*C1683</f>
        <v>1</v>
      </c>
      <c r="J1683" s="0" t="n">
        <f aca="false">D1683*D1683</f>
        <v>0.81</v>
      </c>
      <c r="K1683" s="0" t="n">
        <f aca="false">SUMPRODUCT(E1683:J1683,_XtX!$B$53:$G$53)</f>
        <v>48.6763218390804</v>
      </c>
      <c r="L1683" s="0" t="n">
        <f aca="false">SUMPRODUCT(MMULT(E1683:J1683,_XtX!$B$44:$G$49),E1683:J1683)</f>
        <v>0.67827183908046</v>
      </c>
      <c r="M1683" s="0" t="n">
        <f aca="false">04_回帰ANOVA!$K$19*04_回帰ANOVA!$K$14*SQRT(1+L1683)</f>
        <v>1.7555278596526</v>
      </c>
      <c r="N1683" s="0" t="n">
        <f aca="false">K1683-M1683</f>
        <v>46.9207939794278</v>
      </c>
      <c r="O1683" s="0" t="n">
        <f aca="false">K1683+M1683</f>
        <v>50.431849698733</v>
      </c>
      <c r="P1683" s="54" t="b">
        <f aca="false">AND(C1683&gt;=01_因子設定!$L$5-0.000000001,C1683&lt;=01_因子設定!$M$5+0.000000001,D1683&gt;=01_因子設定!$L$6-0.000000001,D1683&lt;=01_因子設定!$M$6+0.000000001,IF(01_因子設定!$B$20="Box-Behnken",C1683^2+D1683^2&lt;=2+0.000000001,TRUE()))</f>
        <v>1</v>
      </c>
      <c r="Q1683" s="55" t="n">
        <f aca="false">IF(P1683,IF(01_因子設定!$B$13="最大化",N1683-01_因子設定!$B$14,IF(01_因子設定!$B$13="最小化",01_因子設定!$B$15-O1683,MIN(N1683-01_因子設定!$B$14,01_因子設定!$B$15-O1683))),-1E+030)</f>
        <v>0.420793979427842</v>
      </c>
      <c r="R1683" s="55" t="n">
        <f aca="false">IF(P1683,IF(01_因子設定!$B$13="最大化",K1683,IF(01_因子設定!$B$13="最小化",-K1683,-ABS(K1683-01_因子設定!$B$16))),-1E+030)</f>
        <v>48.6763218390804</v>
      </c>
      <c r="S1683" s="55" t="n">
        <f aca="false">Q1683+ROW()*0.000000001</f>
        <v>0.420795662427842</v>
      </c>
      <c r="T1683" s="55" t="n">
        <f aca="false">R1683+ROW()*0.000000001</f>
        <v>48.6763235220804</v>
      </c>
    </row>
    <row r="1684" customFormat="false" ht="15" hidden="false" customHeight="false" outlineLevel="0" collapsed="false">
      <c r="A1684" s="0" t="n">
        <v>40</v>
      </c>
      <c r="B1684" s="0" t="n">
        <v>39</v>
      </c>
      <c r="C1684" s="0" t="n">
        <f aca="false">-1+A1684*0.05</f>
        <v>1</v>
      </c>
      <c r="D1684" s="0" t="n">
        <f aca="false">-1+B1684*0.05</f>
        <v>0.95</v>
      </c>
      <c r="E1684" s="0" t="n">
        <f aca="false">1</f>
        <v>1</v>
      </c>
      <c r="F1684" s="0" t="n">
        <f aca="false">C1684</f>
        <v>1</v>
      </c>
      <c r="G1684" s="0" t="n">
        <f aca="false">D1684</f>
        <v>0.95</v>
      </c>
      <c r="H1684" s="0" t="n">
        <f aca="false">C1684*D1684</f>
        <v>0.95</v>
      </c>
      <c r="I1684" s="0" t="n">
        <f aca="false">C1684*C1684</f>
        <v>1</v>
      </c>
      <c r="J1684" s="0" t="n">
        <f aca="false">D1684*D1684</f>
        <v>0.9025</v>
      </c>
      <c r="K1684" s="0" t="n">
        <f aca="false">SUMPRODUCT(E1684:J1684,_XtX!$B$53:$G$53)</f>
        <v>48.6723347701149</v>
      </c>
      <c r="L1684" s="0" t="n">
        <f aca="false">SUMPRODUCT(MMULT(E1684:J1684,_XtX!$B$44:$G$49),E1684:J1684)</f>
        <v>0.729512320402299</v>
      </c>
      <c r="M1684" s="0" t="n">
        <f aca="false">04_回帰ANOVA!$K$19*04_回帰ANOVA!$K$14*SQRT(1+L1684)</f>
        <v>1.78212598387095</v>
      </c>
      <c r="N1684" s="0" t="n">
        <f aca="false">K1684-M1684</f>
        <v>46.890208786244</v>
      </c>
      <c r="O1684" s="0" t="n">
        <f aca="false">K1684+M1684</f>
        <v>50.4544607539859</v>
      </c>
      <c r="P1684" s="54" t="b">
        <f aca="false">AND(C1684&gt;=01_因子設定!$L$5-0.000000001,C1684&lt;=01_因子設定!$M$5+0.000000001,D1684&gt;=01_因子設定!$L$6-0.000000001,D1684&lt;=01_因子設定!$M$6+0.000000001,IF(01_因子設定!$B$20="Box-Behnken",C1684^2+D1684^2&lt;=2+0.000000001,TRUE()))</f>
        <v>1</v>
      </c>
      <c r="Q1684" s="55" t="n">
        <f aca="false">IF(P1684,IF(01_因子設定!$B$13="最大化",N1684-01_因子設定!$B$14,IF(01_因子設定!$B$13="最小化",01_因子設定!$B$15-O1684,MIN(N1684-01_因子設定!$B$14,01_因子設定!$B$15-O1684))),-1E+030)</f>
        <v>0.390208786243974</v>
      </c>
      <c r="R1684" s="55" t="n">
        <f aca="false">IF(P1684,IF(01_因子設定!$B$13="最大化",K1684,IF(01_因子設定!$B$13="最小化",-K1684,-ABS(K1684-01_因子設定!$B$16))),-1E+030)</f>
        <v>48.6723347701149</v>
      </c>
      <c r="S1684" s="55" t="n">
        <f aca="false">Q1684+ROW()*0.000000001</f>
        <v>0.390210470243974</v>
      </c>
      <c r="T1684" s="55" t="n">
        <f aca="false">R1684+ROW()*0.000000001</f>
        <v>48.6723364541149</v>
      </c>
    </row>
    <row r="1685" customFormat="false" ht="15" hidden="false" customHeight="false" outlineLevel="0" collapsed="false">
      <c r="A1685" s="0" t="n">
        <v>40</v>
      </c>
      <c r="B1685" s="0" t="n">
        <v>40</v>
      </c>
      <c r="C1685" s="0" t="n">
        <f aca="false">-1+A1685*0.05</f>
        <v>1</v>
      </c>
      <c r="D1685" s="0" t="n">
        <f aca="false">-1+B1685*0.05</f>
        <v>1</v>
      </c>
      <c r="E1685" s="0" t="n">
        <f aca="false">1</f>
        <v>1</v>
      </c>
      <c r="F1685" s="0" t="n">
        <f aca="false">C1685</f>
        <v>1</v>
      </c>
      <c r="G1685" s="0" t="n">
        <f aca="false">D1685</f>
        <v>1</v>
      </c>
      <c r="H1685" s="0" t="n">
        <f aca="false">C1685*D1685</f>
        <v>1</v>
      </c>
      <c r="I1685" s="0" t="n">
        <f aca="false">C1685*C1685</f>
        <v>1</v>
      </c>
      <c r="J1685" s="0" t="n">
        <f aca="false">D1685*D1685</f>
        <v>1</v>
      </c>
      <c r="K1685" s="0" t="n">
        <f aca="false">SUMPRODUCT(E1685:J1685,_XtX!$B$53:$G$53)</f>
        <v>48.660632183908</v>
      </c>
      <c r="L1685" s="0" t="n">
        <f aca="false">SUMPRODUCT(MMULT(E1685:J1685,_XtX!$B$44:$G$49),E1685:J1685)</f>
        <v>0.790229885057471</v>
      </c>
      <c r="M1685" s="0" t="n">
        <f aca="false">04_回帰ANOVA!$K$19*04_回帰ANOVA!$K$14*SQRT(1+L1685)</f>
        <v>1.81313847457497</v>
      </c>
      <c r="N1685" s="0" t="n">
        <f aca="false">K1685-M1685</f>
        <v>46.8474937093331</v>
      </c>
      <c r="O1685" s="0" t="n">
        <f aca="false">K1685+M1685</f>
        <v>50.473770658483</v>
      </c>
      <c r="P1685" s="54" t="b">
        <f aca="false">AND(C1685&gt;=01_因子設定!$L$5-0.000000001,C1685&lt;=01_因子設定!$M$5+0.000000001,D1685&gt;=01_因子設定!$L$6-0.000000001,D1685&lt;=01_因子設定!$M$6+0.000000001,IF(01_因子設定!$B$20="Box-Behnken",C1685^2+D1685^2&lt;=2+0.000000001,TRUE()))</f>
        <v>1</v>
      </c>
      <c r="Q1685" s="55" t="n">
        <f aca="false">IF(P1685,IF(01_因子設定!$B$13="最大化",N1685-01_因子設定!$B$14,IF(01_因子設定!$B$13="最小化",01_因子設定!$B$15-O1685,MIN(N1685-01_因子設定!$B$14,01_因子設定!$B$15-O1685))),-1E+030)</f>
        <v>0.347493709333051</v>
      </c>
      <c r="R1685" s="55" t="n">
        <f aca="false">IF(P1685,IF(01_因子設定!$B$13="最大化",K1685,IF(01_因子設定!$B$13="最小化",-K1685,-ABS(K1685-01_因子設定!$B$16))),-1E+030)</f>
        <v>48.660632183908</v>
      </c>
      <c r="S1685" s="55" t="n">
        <f aca="false">Q1685+ROW()*0.000000001</f>
        <v>0.347495394333051</v>
      </c>
      <c r="T1685" s="55" t="n">
        <f aca="false">R1685+ROW()*0.000000001</f>
        <v>48.660633868908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6A6A6"/>
    <pageSetUpPr fitToPage="false"/>
  </sheetPr>
  <dimension ref="A1:G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21.6" hidden="false" customHeight="false" outlineLevel="0" collapsed="false">
      <c r="A1" s="1" t="s">
        <v>281</v>
      </c>
    </row>
    <row r="5" customFormat="false" ht="15" hidden="false" customHeight="false" outlineLevel="0" collapsed="false">
      <c r="B5" s="56" t="n">
        <f aca="false">06_正準解析!B6</f>
        <v>-2.74310344827588</v>
      </c>
      <c r="C5" s="56" t="n">
        <f aca="false">06_正準解析!C6</f>
        <v>0.262499999999999</v>
      </c>
    </row>
    <row r="6" customFormat="false" ht="15" hidden="false" customHeight="false" outlineLevel="0" collapsed="false">
      <c r="B6" s="56" t="n">
        <f aca="false">06_正準解析!B7</f>
        <v>0.262499999999999</v>
      </c>
      <c r="C6" s="56" t="n">
        <f aca="false">06_正準解析!C7</f>
        <v>-1.54310344827586</v>
      </c>
    </row>
    <row r="9" customFormat="false" ht="15" hidden="false" customHeight="false" outlineLevel="0" collapsed="false">
      <c r="A9" s="26" t="s">
        <v>282</v>
      </c>
      <c r="B9" s="56" t="n">
        <f aca="false">$F$9^2*B5-2*$G$9*$F$9*C5+$G$9^2*C6</f>
        <v>-2.79801279314737</v>
      </c>
      <c r="C9" s="56" t="n">
        <f aca="false">0</f>
        <v>0</v>
      </c>
      <c r="E9" s="56" t="n">
        <f aca="false">IF(ABS(C5)&lt;0.00000000000001,0,0.5*ATAN2(C6-B5,2*C5))</f>
        <v>0.206205220798689</v>
      </c>
      <c r="F9" s="56" t="n">
        <f aca="false">COS(E9)</f>
        <v>0.978814930132911</v>
      </c>
      <c r="G9" s="56" t="n">
        <f aca="false">SIN(E9)</f>
        <v>0.204746996434389</v>
      </c>
    </row>
    <row r="10" customFormat="false" ht="15" hidden="false" customHeight="false" outlineLevel="0" collapsed="false">
      <c r="B10" s="56" t="n">
        <f aca="false">0</f>
        <v>0</v>
      </c>
      <c r="C10" s="56" t="n">
        <f aca="false">$G$9^2*B5+2*$G$9*$F$9*C5+$F$9^2*C6</f>
        <v>-1.48819410340437</v>
      </c>
    </row>
    <row r="13" customFormat="false" ht="15" hidden="false" customHeight="false" outlineLevel="0" collapsed="false">
      <c r="A13" s="26" t="s">
        <v>283</v>
      </c>
      <c r="B13" s="56" t="n">
        <f aca="false">$F$13^2*B9-2*$G$13*$F$13*C9+$G$13^2*C10</f>
        <v>-2.79801279314737</v>
      </c>
      <c r="C13" s="56" t="n">
        <f aca="false">0</f>
        <v>0</v>
      </c>
      <c r="E13" s="56" t="n">
        <f aca="false">IF(ABS(C9)&lt;0.00000000000001,0,0.5*ATAN2(C10-B9,2*C9))</f>
        <v>0</v>
      </c>
      <c r="F13" s="56" t="n">
        <f aca="false">COS(E13)</f>
        <v>1</v>
      </c>
      <c r="G13" s="56" t="n">
        <f aca="false">SIN(E13)</f>
        <v>0</v>
      </c>
    </row>
    <row r="14" customFormat="false" ht="15" hidden="false" customHeight="false" outlineLevel="0" collapsed="false">
      <c r="B14" s="56" t="n">
        <f aca="false">0</f>
        <v>0</v>
      </c>
      <c r="C14" s="56" t="n">
        <f aca="false">$G$13^2*B9+2*$G$13*$F$13*C9+$F$13^2*C10</f>
        <v>-1.48819410340437</v>
      </c>
    </row>
    <row r="17" customFormat="false" ht="15" hidden="false" customHeight="false" outlineLevel="0" collapsed="false">
      <c r="A17" s="26" t="s">
        <v>284</v>
      </c>
      <c r="B17" s="56" t="n">
        <f aca="false">$F$17^2*B13-2*$G$17*$F$17*C13+$G$17^2*C14</f>
        <v>-2.79801279314737</v>
      </c>
      <c r="C17" s="56" t="n">
        <f aca="false">0</f>
        <v>0</v>
      </c>
      <c r="E17" s="56" t="n">
        <f aca="false">IF(ABS(C13)&lt;0.00000000000001,0,0.5*ATAN2(C14-B13,2*C13))</f>
        <v>0</v>
      </c>
      <c r="F17" s="56" t="n">
        <f aca="false">COS(E17)</f>
        <v>1</v>
      </c>
      <c r="G17" s="56" t="n">
        <f aca="false">SIN(E17)</f>
        <v>0</v>
      </c>
    </row>
    <row r="18" customFormat="false" ht="15" hidden="false" customHeight="false" outlineLevel="0" collapsed="false">
      <c r="B18" s="56" t="n">
        <f aca="false">0</f>
        <v>0</v>
      </c>
      <c r="C18" s="56" t="n">
        <f aca="false">$G$17^2*B13+2*$G$17*$F$17*C13+$F$17^2*C14</f>
        <v>-1.48819410340437</v>
      </c>
    </row>
    <row r="21" customFormat="false" ht="15" hidden="false" customHeight="false" outlineLevel="0" collapsed="false">
      <c r="A21" s="26" t="s">
        <v>285</v>
      </c>
      <c r="B21" s="56" t="n">
        <f aca="false">$F$21^2*B17-2*$G$21*$F$21*C17+$G$21^2*C18</f>
        <v>-2.79801279314737</v>
      </c>
      <c r="C21" s="56" t="n">
        <f aca="false">0</f>
        <v>0</v>
      </c>
      <c r="E21" s="56" t="n">
        <f aca="false">IF(ABS(C17)&lt;0.00000000000001,0,0.5*ATAN2(C18-B17,2*C17))</f>
        <v>0</v>
      </c>
      <c r="F21" s="56" t="n">
        <f aca="false">COS(E21)</f>
        <v>1</v>
      </c>
      <c r="G21" s="56" t="n">
        <f aca="false">SIN(E21)</f>
        <v>0</v>
      </c>
    </row>
    <row r="22" customFormat="false" ht="15" hidden="false" customHeight="false" outlineLevel="0" collapsed="false">
      <c r="B22" s="56" t="n">
        <f aca="false">0</f>
        <v>0</v>
      </c>
      <c r="C22" s="56" t="n">
        <f aca="false">$G$21^2*B17+2*$G$21*$F$21*C17+$F$21^2*C18</f>
        <v>-1.48819410340437</v>
      </c>
    </row>
    <row r="25" customFormat="false" ht="15" hidden="false" customHeight="false" outlineLevel="0" collapsed="false">
      <c r="A25" s="26" t="s">
        <v>286</v>
      </c>
      <c r="B25" s="56" t="n">
        <f aca="false">$F$25^2*B21-2*$G$25*$F$25*C21+$G$25^2*C22</f>
        <v>-2.79801279314737</v>
      </c>
      <c r="C25" s="56" t="n">
        <f aca="false">0</f>
        <v>0</v>
      </c>
      <c r="E25" s="56" t="n">
        <f aca="false">IF(ABS(C21)&lt;0.00000000000001,0,0.5*ATAN2(C22-B21,2*C21))</f>
        <v>0</v>
      </c>
      <c r="F25" s="56" t="n">
        <f aca="false">COS(E25)</f>
        <v>1</v>
      </c>
      <c r="G25" s="56" t="n">
        <f aca="false">SIN(E25)</f>
        <v>0</v>
      </c>
    </row>
    <row r="26" customFormat="false" ht="15" hidden="false" customHeight="false" outlineLevel="0" collapsed="false">
      <c r="B26" s="56" t="n">
        <f aca="false">0</f>
        <v>0</v>
      </c>
      <c r="C26" s="56" t="n">
        <f aca="false">$G$25^2*B21+2*$G$25*$F$25*C21+$F$25^2*C22</f>
        <v>-1.48819410340437</v>
      </c>
    </row>
    <row r="29" customFormat="false" ht="15" hidden="false" customHeight="false" outlineLevel="0" collapsed="false">
      <c r="A29" s="26" t="s">
        <v>287</v>
      </c>
      <c r="B29" s="56" t="n">
        <f aca="false">$F$29^2*B25-2*$G$29*$F$29*C25+$G$29^2*C26</f>
        <v>-2.79801279314737</v>
      </c>
      <c r="C29" s="56" t="n">
        <f aca="false">0</f>
        <v>0</v>
      </c>
      <c r="E29" s="56" t="n">
        <f aca="false">IF(ABS(C25)&lt;0.00000000000001,0,0.5*ATAN2(C26-B25,2*C25))</f>
        <v>0</v>
      </c>
      <c r="F29" s="56" t="n">
        <f aca="false">COS(E29)</f>
        <v>1</v>
      </c>
      <c r="G29" s="56" t="n">
        <f aca="false">SIN(E29)</f>
        <v>0</v>
      </c>
    </row>
    <row r="30" customFormat="false" ht="15" hidden="false" customHeight="false" outlineLevel="0" collapsed="false">
      <c r="B30" s="56" t="n">
        <f aca="false">0</f>
        <v>0</v>
      </c>
      <c r="C30" s="56" t="n">
        <f aca="false">$G$29^2*B25+2*$G$29*$F$29*C25+$F$29^2*C26</f>
        <v>-1.48819410340437</v>
      </c>
    </row>
    <row r="33" customFormat="false" ht="15" hidden="false" customHeight="false" outlineLevel="0" collapsed="false">
      <c r="A33" s="26" t="s">
        <v>288</v>
      </c>
      <c r="B33" s="56" t="n">
        <f aca="false">$F$33^2*B29-2*$G$33*$F$33*C29+$G$33^2*C30</f>
        <v>-2.79801279314737</v>
      </c>
      <c r="C33" s="56" t="n">
        <f aca="false">0</f>
        <v>0</v>
      </c>
      <c r="E33" s="56" t="n">
        <f aca="false">IF(ABS(C29)&lt;0.00000000000001,0,0.5*ATAN2(C30-B29,2*C29))</f>
        <v>0</v>
      </c>
      <c r="F33" s="56" t="n">
        <f aca="false">COS(E33)</f>
        <v>1</v>
      </c>
      <c r="G33" s="56" t="n">
        <f aca="false">SIN(E33)</f>
        <v>0</v>
      </c>
    </row>
    <row r="34" customFormat="false" ht="15" hidden="false" customHeight="false" outlineLevel="0" collapsed="false">
      <c r="B34" s="56" t="n">
        <f aca="false">0</f>
        <v>0</v>
      </c>
      <c r="C34" s="56" t="n">
        <f aca="false">$G$33^2*B29+2*$G$33*$F$33*C29+$F$33^2*C30</f>
        <v>-1.48819410340437</v>
      </c>
    </row>
    <row r="37" customFormat="false" ht="15" hidden="false" customHeight="false" outlineLevel="0" collapsed="false">
      <c r="A37" s="26" t="s">
        <v>289</v>
      </c>
      <c r="B37" s="56" t="n">
        <f aca="false">$F$37^2*B33-2*$G$37*$F$37*C33+$G$37^2*C34</f>
        <v>-2.79801279314737</v>
      </c>
      <c r="C37" s="56" t="n">
        <f aca="false">0</f>
        <v>0</v>
      </c>
      <c r="E37" s="56" t="n">
        <f aca="false">IF(ABS(C33)&lt;0.00000000000001,0,0.5*ATAN2(C34-B33,2*C33))</f>
        <v>0</v>
      </c>
      <c r="F37" s="56" t="n">
        <f aca="false">COS(E37)</f>
        <v>1</v>
      </c>
      <c r="G37" s="56" t="n">
        <f aca="false">SIN(E37)</f>
        <v>0</v>
      </c>
    </row>
    <row r="38" customFormat="false" ht="15" hidden="false" customHeight="false" outlineLevel="0" collapsed="false">
      <c r="B38" s="56" t="n">
        <f aca="false">0</f>
        <v>0</v>
      </c>
      <c r="C38" s="56" t="n">
        <f aca="false">$G$37^2*B33+2*$G$37*$F$37*C33+$F$37^2*C34</f>
        <v>-1.48819410340437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6A6A6"/>
    <pageSetUpPr fitToPage="false"/>
  </sheetPr>
  <dimension ref="A1:W1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21.6" hidden="false" customHeight="false" outlineLevel="0" collapsed="false">
      <c r="A1" s="1" t="s">
        <v>290</v>
      </c>
    </row>
    <row r="4" customFormat="false" ht="26.85" hidden="false" customHeight="false" outlineLevel="0" collapsed="false">
      <c r="A4" s="9" t="s">
        <v>185</v>
      </c>
      <c r="B4" s="10" t="s">
        <v>291</v>
      </c>
      <c r="C4" s="9" t="s">
        <v>292</v>
      </c>
      <c r="D4" s="9" t="s">
        <v>293</v>
      </c>
      <c r="E4" s="10" t="s">
        <v>294</v>
      </c>
    </row>
    <row r="5" customFormat="false" ht="15" hidden="false" customHeight="false" outlineLevel="0" collapsed="false">
      <c r="A5" s="24" t="n">
        <v>1</v>
      </c>
      <c r="B5" s="24" t="n">
        <f aca="false">IF(OR(08_工程窓!$C$4=1,08_工程窓!$C$5=1),0,08_工程窓!C9)</f>
        <v>0</v>
      </c>
      <c r="C5" s="24" t="n">
        <f aca="false">IF(08_工程窓!$C$4=1,1,0)</f>
        <v>1</v>
      </c>
      <c r="D5" s="24" t="n">
        <f aca="false">IF(08_工程窓!$C$5=1,1,0)</f>
        <v>0</v>
      </c>
      <c r="E5" s="24" t="n">
        <f aca="false">IF(C5+D5&gt;0,1,IF(AND(B5&gt;=01_因子設定!L5-0.000000001,B5&lt;=01_因子設定!M5+0.000000001),1,0))</f>
        <v>1</v>
      </c>
      <c r="G5" s="39" t="s">
        <v>295</v>
      </c>
      <c r="H5" s="39" t="n">
        <f aca="false">PRODUCT(E5:E6)</f>
        <v>1</v>
      </c>
    </row>
    <row r="6" customFormat="false" ht="15" hidden="false" customHeight="false" outlineLevel="0" collapsed="false">
      <c r="A6" s="39" t="n">
        <v>2</v>
      </c>
      <c r="B6" s="39" t="n">
        <f aca="false">IF(OR(08_工程窓!$C$4=2,08_工程窓!$C$5=2),0,08_工程窓!C10)</f>
        <v>0</v>
      </c>
      <c r="C6" s="39" t="n">
        <f aca="false">IF(08_工程窓!$C$4=2,1,0)</f>
        <v>0</v>
      </c>
      <c r="D6" s="39" t="n">
        <f aca="false">IF(08_工程窓!$C$5=2,1,0)</f>
        <v>1</v>
      </c>
      <c r="E6" s="39" t="n">
        <f aca="false">IF(C6+D6&gt;0,1,IF(AND(B6&gt;=01_因子設定!L6-0.000000001,B6&lt;=01_因子設定!M6+0.000000001),1,0))</f>
        <v>1</v>
      </c>
      <c r="G6" s="39" t="s">
        <v>296</v>
      </c>
      <c r="H6" s="16" t="n">
        <f aca="false">INDEX(01_因子設定!$L$5:$L$6,08_工程窓!$C$4)</f>
        <v>-99</v>
      </c>
      <c r="I6" s="16" t="n">
        <f aca="false">INDEX(01_因子設定!$M$5:$M$6,08_工程窓!$C$4)</f>
        <v>1.5</v>
      </c>
    </row>
    <row r="7" customFormat="false" ht="15" hidden="false" customHeight="false" outlineLevel="0" collapsed="false">
      <c r="G7" s="39" t="s">
        <v>297</v>
      </c>
      <c r="H7" s="16" t="n">
        <f aca="false">INDEX(01_因子設定!$L$5:$L$6,08_工程窓!$C$5)</f>
        <v>-2</v>
      </c>
      <c r="I7" s="16" t="n">
        <f aca="false">INDEX(01_因子設定!$M$5:$M$6,08_工程窓!$C$5)</f>
        <v>99</v>
      </c>
    </row>
    <row r="8" customFormat="false" ht="15" hidden="false" customHeight="false" outlineLevel="0" collapsed="false">
      <c r="G8" s="39" t="s">
        <v>298</v>
      </c>
      <c r="H8" s="39" t="n">
        <f aca="false">SUMSQ(B5:B6)</f>
        <v>0</v>
      </c>
    </row>
    <row r="11" customFormat="false" ht="15" hidden="false" customHeight="false" outlineLevel="0" collapsed="false">
      <c r="A11" s="10" t="s">
        <v>126</v>
      </c>
      <c r="B11" s="9" t="s">
        <v>299</v>
      </c>
      <c r="C11" s="9" t="s">
        <v>300</v>
      </c>
      <c r="D11" s="9" t="s">
        <v>301</v>
      </c>
      <c r="E11" s="9" t="s">
        <v>302</v>
      </c>
      <c r="F11" s="9" t="s">
        <v>303</v>
      </c>
      <c r="G11" s="9" t="s">
        <v>304</v>
      </c>
    </row>
    <row r="12" customFormat="false" ht="15" hidden="false" customHeight="false" outlineLevel="0" collapsed="false">
      <c r="A12" s="39" t="s">
        <v>136</v>
      </c>
      <c r="B12" s="39" t="n">
        <f aca="false">1</f>
        <v>1</v>
      </c>
      <c r="C12" s="39" t="n">
        <f aca="false">0</f>
        <v>0</v>
      </c>
      <c r="D12" s="39" t="n">
        <f aca="false">0</f>
        <v>0</v>
      </c>
      <c r="E12" s="39" t="n">
        <f aca="false">0</f>
        <v>0</v>
      </c>
      <c r="F12" s="39" t="n">
        <f aca="false">0</f>
        <v>0</v>
      </c>
      <c r="G12" s="39" t="n">
        <f aca="false">0</f>
        <v>0</v>
      </c>
    </row>
    <row r="13" customFormat="false" ht="15" hidden="false" customHeight="false" outlineLevel="0" collapsed="false">
      <c r="A13" s="24" t="s">
        <v>64</v>
      </c>
      <c r="B13" s="39" t="n">
        <f aca="false">$B$5</f>
        <v>0</v>
      </c>
      <c r="C13" s="39" t="n">
        <f aca="false">$C$5</f>
        <v>1</v>
      </c>
      <c r="D13" s="39" t="n">
        <f aca="false">$D$5</f>
        <v>0</v>
      </c>
      <c r="E13" s="39" t="n">
        <f aca="false">0</f>
        <v>0</v>
      </c>
      <c r="F13" s="39" t="n">
        <f aca="false">0</f>
        <v>0</v>
      </c>
      <c r="G13" s="39" t="n">
        <f aca="false">0</f>
        <v>0</v>
      </c>
    </row>
    <row r="14" customFormat="false" ht="15" hidden="false" customHeight="false" outlineLevel="0" collapsed="false">
      <c r="A14" s="24" t="s">
        <v>69</v>
      </c>
      <c r="B14" s="39" t="n">
        <f aca="false">$B$6</f>
        <v>0</v>
      </c>
      <c r="C14" s="39" t="n">
        <f aca="false">$C$6</f>
        <v>0</v>
      </c>
      <c r="D14" s="39" t="n">
        <f aca="false">$D$6</f>
        <v>1</v>
      </c>
      <c r="E14" s="39" t="n">
        <f aca="false">0</f>
        <v>0</v>
      </c>
      <c r="F14" s="39" t="n">
        <f aca="false">0</f>
        <v>0</v>
      </c>
      <c r="G14" s="39" t="n">
        <f aca="false">0</f>
        <v>0</v>
      </c>
    </row>
    <row r="15" customFormat="false" ht="15" hidden="false" customHeight="false" outlineLevel="0" collapsed="false">
      <c r="A15" s="24" t="s">
        <v>140</v>
      </c>
      <c r="B15" s="39" t="n">
        <f aca="false">$B$5*$B$6</f>
        <v>0</v>
      </c>
      <c r="C15" s="39" t="n">
        <f aca="false">$B$5*$C$6+$B$6*$C$5</f>
        <v>0</v>
      </c>
      <c r="D15" s="39" t="n">
        <f aca="false">$B$5*$D$6+$B$6*$D$5</f>
        <v>0</v>
      </c>
      <c r="E15" s="39" t="n">
        <f aca="false">$C$5*$D$6+$C$6*$D$5</f>
        <v>1</v>
      </c>
      <c r="F15" s="39" t="n">
        <f aca="false">$C$5*$C$6</f>
        <v>0</v>
      </c>
      <c r="G15" s="39" t="n">
        <f aca="false">$D$5*$D$6</f>
        <v>0</v>
      </c>
    </row>
    <row r="16" customFormat="false" ht="15" hidden="false" customHeight="false" outlineLevel="0" collapsed="false">
      <c r="A16" s="24" t="s">
        <v>142</v>
      </c>
      <c r="B16" s="39" t="n">
        <f aca="false">$B$5*$B$5</f>
        <v>0</v>
      </c>
      <c r="C16" s="39" t="n">
        <f aca="false">$B$5*$C$5+$B$5*$C$5</f>
        <v>0</v>
      </c>
      <c r="D16" s="39" t="n">
        <f aca="false">$B$5*$D$5+$B$5*$D$5</f>
        <v>0</v>
      </c>
      <c r="E16" s="39" t="n">
        <f aca="false">$C$5*$D$5+$C$5*$D$5</f>
        <v>0</v>
      </c>
      <c r="F16" s="39" t="n">
        <f aca="false">$C$5*$C$5</f>
        <v>1</v>
      </c>
      <c r="G16" s="39" t="n">
        <f aca="false">$D$5*$D$5</f>
        <v>0</v>
      </c>
    </row>
    <row r="17" customFormat="false" ht="15" hidden="false" customHeight="false" outlineLevel="0" collapsed="false">
      <c r="A17" s="24" t="s">
        <v>144</v>
      </c>
      <c r="B17" s="39" t="n">
        <f aca="false">$B$6*$B$6</f>
        <v>0</v>
      </c>
      <c r="C17" s="39" t="n">
        <f aca="false">$B$6*$C$6+$B$6*$C$6</f>
        <v>0</v>
      </c>
      <c r="D17" s="39" t="n">
        <f aca="false">$B$6*$D$6+$B$6*$D$6</f>
        <v>0</v>
      </c>
      <c r="E17" s="39" t="n">
        <f aca="false">$C$6*$D$6+$C$6*$D$6</f>
        <v>0</v>
      </c>
      <c r="F17" s="39" t="n">
        <f aca="false">$C$6*$C$6</f>
        <v>0</v>
      </c>
      <c r="G17" s="39" t="n">
        <f aca="false">$D$6*$D$6</f>
        <v>1</v>
      </c>
    </row>
    <row r="20" customFormat="false" ht="15" hidden="false" customHeight="false" outlineLevel="0" collapsed="false">
      <c r="A20" s="38" t="s">
        <v>305</v>
      </c>
    </row>
    <row r="21" customFormat="false" ht="15" hidden="false" customHeight="false" outlineLevel="0" collapsed="false">
      <c r="B21" s="39" t="n">
        <f aca="false">INDEX($B$12:$G$17,1,1)</f>
        <v>1</v>
      </c>
      <c r="C21" s="39" t="n">
        <f aca="false">INDEX($B$12:$G$17,2,1)</f>
        <v>0</v>
      </c>
      <c r="D21" s="39" t="n">
        <f aca="false">INDEX($B$12:$G$17,3,1)</f>
        <v>0</v>
      </c>
      <c r="E21" s="39" t="n">
        <f aca="false">INDEX($B$12:$G$17,4,1)</f>
        <v>0</v>
      </c>
      <c r="F21" s="39" t="n">
        <f aca="false">INDEX($B$12:$G$17,5,1)</f>
        <v>0</v>
      </c>
      <c r="G21" s="39" t="n">
        <f aca="false">INDEX($B$12:$G$17,6,1)</f>
        <v>0</v>
      </c>
    </row>
    <row r="22" customFormat="false" ht="15" hidden="false" customHeight="false" outlineLevel="0" collapsed="false">
      <c r="B22" s="39" t="n">
        <f aca="false">INDEX($B$12:$G$17,1,2)</f>
        <v>0</v>
      </c>
      <c r="C22" s="39" t="n">
        <f aca="false">INDEX($B$12:$G$17,2,2)</f>
        <v>1</v>
      </c>
      <c r="D22" s="39" t="n">
        <f aca="false">INDEX($B$12:$G$17,3,2)</f>
        <v>0</v>
      </c>
      <c r="E22" s="39" t="n">
        <f aca="false">INDEX($B$12:$G$17,4,2)</f>
        <v>0</v>
      </c>
      <c r="F22" s="39" t="n">
        <f aca="false">INDEX($B$12:$G$17,5,2)</f>
        <v>0</v>
      </c>
      <c r="G22" s="39" t="n">
        <f aca="false">INDEX($B$12:$G$17,6,2)</f>
        <v>0</v>
      </c>
    </row>
    <row r="23" customFormat="false" ht="15" hidden="false" customHeight="false" outlineLevel="0" collapsed="false">
      <c r="B23" s="39" t="n">
        <f aca="false">INDEX($B$12:$G$17,1,3)</f>
        <v>0</v>
      </c>
      <c r="C23" s="39" t="n">
        <f aca="false">INDEX($B$12:$G$17,2,3)</f>
        <v>0</v>
      </c>
      <c r="D23" s="39" t="n">
        <f aca="false">INDEX($B$12:$G$17,3,3)</f>
        <v>1</v>
      </c>
      <c r="E23" s="39" t="n">
        <f aca="false">INDEX($B$12:$G$17,4,3)</f>
        <v>0</v>
      </c>
      <c r="F23" s="39" t="n">
        <f aca="false">INDEX($B$12:$G$17,5,3)</f>
        <v>0</v>
      </c>
      <c r="G23" s="39" t="n">
        <f aca="false">INDEX($B$12:$G$17,6,3)</f>
        <v>0</v>
      </c>
    </row>
    <row r="24" customFormat="false" ht="15" hidden="false" customHeight="false" outlineLevel="0" collapsed="false">
      <c r="B24" s="39" t="n">
        <f aca="false">INDEX($B$12:$G$17,1,4)</f>
        <v>0</v>
      </c>
      <c r="C24" s="39" t="n">
        <f aca="false">INDEX($B$12:$G$17,2,4)</f>
        <v>0</v>
      </c>
      <c r="D24" s="39" t="n">
        <f aca="false">INDEX($B$12:$G$17,3,4)</f>
        <v>0</v>
      </c>
      <c r="E24" s="39" t="n">
        <f aca="false">INDEX($B$12:$G$17,4,4)</f>
        <v>1</v>
      </c>
      <c r="F24" s="39" t="n">
        <f aca="false">INDEX($B$12:$G$17,5,4)</f>
        <v>0</v>
      </c>
      <c r="G24" s="39" t="n">
        <f aca="false">INDEX($B$12:$G$17,6,4)</f>
        <v>0</v>
      </c>
    </row>
    <row r="25" customFormat="false" ht="15" hidden="false" customHeight="false" outlineLevel="0" collapsed="false">
      <c r="B25" s="39" t="n">
        <f aca="false">INDEX($B$12:$G$17,1,5)</f>
        <v>0</v>
      </c>
      <c r="C25" s="39" t="n">
        <f aca="false">INDEX($B$12:$G$17,2,5)</f>
        <v>0</v>
      </c>
      <c r="D25" s="39" t="n">
        <f aca="false">INDEX($B$12:$G$17,3,5)</f>
        <v>0</v>
      </c>
      <c r="E25" s="39" t="n">
        <f aca="false">INDEX($B$12:$G$17,4,5)</f>
        <v>0</v>
      </c>
      <c r="F25" s="39" t="n">
        <f aca="false">INDEX($B$12:$G$17,5,5)</f>
        <v>1</v>
      </c>
      <c r="G25" s="39" t="n">
        <f aca="false">INDEX($B$12:$G$17,6,5)</f>
        <v>0</v>
      </c>
    </row>
    <row r="26" customFormat="false" ht="15" hidden="false" customHeight="false" outlineLevel="0" collapsed="false">
      <c r="B26" s="39" t="n">
        <f aca="false">INDEX($B$12:$G$17,1,6)</f>
        <v>0</v>
      </c>
      <c r="C26" s="39" t="n">
        <f aca="false">INDEX($B$12:$G$17,2,6)</f>
        <v>0</v>
      </c>
      <c r="D26" s="39" t="n">
        <f aca="false">INDEX($B$12:$G$17,3,6)</f>
        <v>0</v>
      </c>
      <c r="E26" s="39" t="n">
        <f aca="false">INDEX($B$12:$G$17,4,6)</f>
        <v>0</v>
      </c>
      <c r="F26" s="39" t="n">
        <f aca="false">INDEX($B$12:$G$17,5,6)</f>
        <v>0</v>
      </c>
      <c r="G26" s="39" t="n">
        <f aca="false">INDEX($B$12:$G$17,6,6)</f>
        <v>1</v>
      </c>
    </row>
    <row r="29" customFormat="false" ht="15" hidden="false" customHeight="false" outlineLevel="0" collapsed="false">
      <c r="A29" s="38" t="s">
        <v>306</v>
      </c>
    </row>
    <row r="30" customFormat="false" ht="15" hidden="false" customHeight="false" outlineLevel="0" collapsed="false">
      <c r="B30" s="39" t="n">
        <f aca="false">INDEX(MMULT(_XtX!$B$44:$G$49,$B$12:$G$17),1,1)</f>
        <v>0.172413793103448</v>
      </c>
      <c r="C30" s="39" t="n">
        <f aca="false">INDEX(MMULT(_XtX!$B$44:$G$49,$B$12:$G$17),1,2)</f>
        <v>0</v>
      </c>
      <c r="D30" s="39" t="n">
        <f aca="false">INDEX(MMULT(_XtX!$B$44:$G$49,$B$12:$G$17),1,3)</f>
        <v>0</v>
      </c>
      <c r="E30" s="39" t="n">
        <f aca="false">INDEX(MMULT(_XtX!$B$44:$G$49,$B$12:$G$17),1,4)</f>
        <v>0</v>
      </c>
      <c r="F30" s="39" t="n">
        <f aca="false">INDEX(MMULT(_XtX!$B$44:$G$49,$B$12:$G$17),1,5)</f>
        <v>-0.103448275862069</v>
      </c>
      <c r="G30" s="39" t="n">
        <f aca="false">INDEX(MMULT(_XtX!$B$44:$G$49,$B$12:$G$17),1,6)</f>
        <v>-0.103448275862069</v>
      </c>
    </row>
    <row r="31" customFormat="false" ht="15" hidden="false" customHeight="false" outlineLevel="0" collapsed="false">
      <c r="B31" s="39" t="n">
        <f aca="false">INDEX(MMULT(_XtX!$B$44:$G$49,$B$12:$G$17),2,1)</f>
        <v>0</v>
      </c>
      <c r="C31" s="39" t="n">
        <f aca="false">INDEX(MMULT(_XtX!$B$44:$G$49,$B$12:$G$17),2,2)</f>
        <v>0.166666666666667</v>
      </c>
      <c r="D31" s="39" t="n">
        <f aca="false">INDEX(MMULT(_XtX!$B$44:$G$49,$B$12:$G$17),2,3)</f>
        <v>0</v>
      </c>
      <c r="E31" s="39" t="n">
        <f aca="false">INDEX(MMULT(_XtX!$B$44:$G$49,$B$12:$G$17),2,4)</f>
        <v>0</v>
      </c>
      <c r="F31" s="39" t="n">
        <f aca="false">INDEX(MMULT(_XtX!$B$44:$G$49,$B$12:$G$17),2,5)</f>
        <v>0</v>
      </c>
      <c r="G31" s="39" t="n">
        <f aca="false">INDEX(MMULT(_XtX!$B$44:$G$49,$B$12:$G$17),2,6)</f>
        <v>0</v>
      </c>
    </row>
    <row r="32" customFormat="false" ht="15" hidden="false" customHeight="false" outlineLevel="0" collapsed="false">
      <c r="B32" s="39" t="n">
        <f aca="false">INDEX(MMULT(_XtX!$B$44:$G$49,$B$12:$G$17),3,1)</f>
        <v>0</v>
      </c>
      <c r="C32" s="39" t="n">
        <f aca="false">INDEX(MMULT(_XtX!$B$44:$G$49,$B$12:$G$17),3,2)</f>
        <v>0</v>
      </c>
      <c r="D32" s="39" t="n">
        <f aca="false">INDEX(MMULT(_XtX!$B$44:$G$49,$B$12:$G$17),3,3)</f>
        <v>0.166666666666667</v>
      </c>
      <c r="E32" s="39" t="n">
        <f aca="false">INDEX(MMULT(_XtX!$B$44:$G$49,$B$12:$G$17),3,4)</f>
        <v>0</v>
      </c>
      <c r="F32" s="39" t="n">
        <f aca="false">INDEX(MMULT(_XtX!$B$44:$G$49,$B$12:$G$17),3,5)</f>
        <v>0</v>
      </c>
      <c r="G32" s="39" t="n">
        <f aca="false">INDEX(MMULT(_XtX!$B$44:$G$49,$B$12:$G$17),3,6)</f>
        <v>0</v>
      </c>
    </row>
    <row r="33" customFormat="false" ht="15" hidden="false" customHeight="false" outlineLevel="0" collapsed="false">
      <c r="B33" s="39" t="n">
        <f aca="false">INDEX(MMULT(_XtX!$B$44:$G$49,$B$12:$G$17),4,1)</f>
        <v>0</v>
      </c>
      <c r="C33" s="39" t="n">
        <f aca="false">INDEX(MMULT(_XtX!$B$44:$G$49,$B$12:$G$17),4,2)</f>
        <v>0</v>
      </c>
      <c r="D33" s="39" t="n">
        <f aca="false">INDEX(MMULT(_XtX!$B$44:$G$49,$B$12:$G$17),4,3)</f>
        <v>0</v>
      </c>
      <c r="E33" s="39" t="n">
        <f aca="false">INDEX(MMULT(_XtX!$B$44:$G$49,$B$12:$G$17),4,4)</f>
        <v>0.25</v>
      </c>
      <c r="F33" s="39" t="n">
        <f aca="false">INDEX(MMULT(_XtX!$B$44:$G$49,$B$12:$G$17),4,5)</f>
        <v>0</v>
      </c>
      <c r="G33" s="39" t="n">
        <f aca="false">INDEX(MMULT(_XtX!$B$44:$G$49,$B$12:$G$17),4,6)</f>
        <v>0</v>
      </c>
    </row>
    <row r="34" customFormat="false" ht="15" hidden="false" customHeight="false" outlineLevel="0" collapsed="false">
      <c r="B34" s="39" t="n">
        <f aca="false">INDEX(MMULT(_XtX!$B$44:$G$49,$B$12:$G$17),5,1)</f>
        <v>-0.103448275862069</v>
      </c>
      <c r="C34" s="39" t="n">
        <f aca="false">INDEX(MMULT(_XtX!$B$44:$G$49,$B$12:$G$17),5,2)</f>
        <v>0</v>
      </c>
      <c r="D34" s="39" t="n">
        <f aca="false">INDEX(MMULT(_XtX!$B$44:$G$49,$B$12:$G$17),5,3)</f>
        <v>0</v>
      </c>
      <c r="E34" s="39" t="n">
        <f aca="false">INDEX(MMULT(_XtX!$B$44:$G$49,$B$12:$G$17),5,4)</f>
        <v>0</v>
      </c>
      <c r="F34" s="39" t="n">
        <f aca="false">INDEX(MMULT(_XtX!$B$44:$G$49,$B$12:$G$17),5,5)</f>
        <v>0.362068965517241</v>
      </c>
      <c r="G34" s="39" t="n">
        <f aca="false">INDEX(MMULT(_XtX!$B$44:$G$49,$B$12:$G$17),5,6)</f>
        <v>-0.137931034482759</v>
      </c>
    </row>
    <row r="35" customFormat="false" ht="15" hidden="false" customHeight="false" outlineLevel="0" collapsed="false">
      <c r="B35" s="39" t="n">
        <f aca="false">INDEX(MMULT(_XtX!$B$44:$G$49,$B$12:$G$17),6,1)</f>
        <v>-0.103448275862069</v>
      </c>
      <c r="C35" s="39" t="n">
        <f aca="false">INDEX(MMULT(_XtX!$B$44:$G$49,$B$12:$G$17),6,2)</f>
        <v>0</v>
      </c>
      <c r="D35" s="39" t="n">
        <f aca="false">INDEX(MMULT(_XtX!$B$44:$G$49,$B$12:$G$17),6,3)</f>
        <v>0</v>
      </c>
      <c r="E35" s="39" t="n">
        <f aca="false">INDEX(MMULT(_XtX!$B$44:$G$49,$B$12:$G$17),6,4)</f>
        <v>0</v>
      </c>
      <c r="F35" s="39" t="n">
        <f aca="false">INDEX(MMULT(_XtX!$B$44:$G$49,$B$12:$G$17),6,5)</f>
        <v>-0.137931034482759</v>
      </c>
      <c r="G35" s="39" t="n">
        <f aca="false">INDEX(MMULT(_XtX!$B$44:$G$49,$B$12:$G$17),6,6)</f>
        <v>0.362068965517241</v>
      </c>
    </row>
    <row r="38" customFormat="false" ht="15" hidden="false" customHeight="false" outlineLevel="0" collapsed="false">
      <c r="A38" s="38" t="s">
        <v>307</v>
      </c>
      <c r="I38" s="38" t="s">
        <v>308</v>
      </c>
    </row>
    <row r="39" customFormat="false" ht="15" hidden="false" customHeight="false" outlineLevel="0" collapsed="false">
      <c r="B39" s="39" t="n">
        <f aca="false">INDEX(MMULT($B$21:$G$26,$B$30:$G$35),1,1)</f>
        <v>0.172413793103448</v>
      </c>
      <c r="C39" s="39" t="n">
        <f aca="false">INDEX(MMULT($B$21:$G$26,$B$30:$G$35),1,2)</f>
        <v>0</v>
      </c>
      <c r="D39" s="39" t="n">
        <f aca="false">INDEX(MMULT($B$21:$G$26,$B$30:$G$35),1,3)</f>
        <v>0</v>
      </c>
      <c r="E39" s="39" t="n">
        <f aca="false">INDEX(MMULT($B$21:$G$26,$B$30:$G$35),1,4)</f>
        <v>0</v>
      </c>
      <c r="F39" s="39" t="n">
        <f aca="false">INDEX(MMULT($B$21:$G$26,$B$30:$G$35),1,5)</f>
        <v>-0.103448275862069</v>
      </c>
      <c r="G39" s="39" t="n">
        <f aca="false">INDEX(MMULT($B$21:$G$26,$B$30:$G$35),1,6)</f>
        <v>-0.103448275862069</v>
      </c>
      <c r="I39" s="39" t="n">
        <f aca="false">INDEX(MMULT($B$21:$G$26,_XtX!$I$35:$I$40),1,1)</f>
        <v>48.0551724137931</v>
      </c>
    </row>
    <row r="40" customFormat="false" ht="15" hidden="false" customHeight="false" outlineLevel="0" collapsed="false">
      <c r="B40" s="39" t="n">
        <f aca="false">INDEX(MMULT($B$21:$G$26,$B$30:$G$35),2,1)</f>
        <v>0</v>
      </c>
      <c r="C40" s="39" t="n">
        <f aca="false">INDEX(MMULT($B$21:$G$26,$B$30:$G$35),2,2)</f>
        <v>0.166666666666667</v>
      </c>
      <c r="D40" s="39" t="n">
        <f aca="false">INDEX(MMULT($B$21:$G$26,$B$30:$G$35),2,3)</f>
        <v>0</v>
      </c>
      <c r="E40" s="39" t="n">
        <f aca="false">INDEX(MMULT($B$21:$G$26,$B$30:$G$35),2,4)</f>
        <v>0</v>
      </c>
      <c r="F40" s="39" t="n">
        <f aca="false">INDEX(MMULT($B$21:$G$26,$B$30:$G$35),2,5)</f>
        <v>0</v>
      </c>
      <c r="G40" s="39" t="n">
        <f aca="false">INDEX(MMULT($B$21:$G$26,$B$30:$G$35),2,6)</f>
        <v>0</v>
      </c>
      <c r="I40" s="39" t="n">
        <f aca="false">INDEX(MMULT($B$21:$G$26,_XtX!$I$35:$I$40),2,1)</f>
        <v>2.11666666666667</v>
      </c>
    </row>
    <row r="41" customFormat="false" ht="15" hidden="false" customHeight="false" outlineLevel="0" collapsed="false">
      <c r="B41" s="39" t="n">
        <f aca="false">INDEX(MMULT($B$21:$G$26,$B$30:$G$35),3,1)</f>
        <v>0</v>
      </c>
      <c r="C41" s="39" t="n">
        <f aca="false">INDEX(MMULT($B$21:$G$26,$B$30:$G$35),3,2)</f>
        <v>0</v>
      </c>
      <c r="D41" s="39" t="n">
        <f aca="false">INDEX(MMULT($B$21:$G$26,$B$30:$G$35),3,3)</f>
        <v>0.166666666666667</v>
      </c>
      <c r="E41" s="39" t="n">
        <f aca="false">INDEX(MMULT($B$21:$G$26,$B$30:$G$35),3,4)</f>
        <v>0</v>
      </c>
      <c r="F41" s="39" t="n">
        <f aca="false">INDEX(MMULT($B$21:$G$26,$B$30:$G$35),3,5)</f>
        <v>0</v>
      </c>
      <c r="G41" s="39" t="n">
        <f aca="false">INDEX(MMULT($B$21:$G$26,$B$30:$G$35),3,6)</f>
        <v>0</v>
      </c>
      <c r="I41" s="39" t="n">
        <f aca="false">INDEX(MMULT($B$21:$G$26,_XtX!$I$35:$I$40),3,1)</f>
        <v>2.25</v>
      </c>
    </row>
    <row r="42" customFormat="false" ht="15" hidden="false" customHeight="false" outlineLevel="0" collapsed="false">
      <c r="B42" s="39" t="n">
        <f aca="false">INDEX(MMULT($B$21:$G$26,$B$30:$G$35),4,1)</f>
        <v>0</v>
      </c>
      <c r="C42" s="39" t="n">
        <f aca="false">INDEX(MMULT($B$21:$G$26,$B$30:$G$35),4,2)</f>
        <v>0</v>
      </c>
      <c r="D42" s="39" t="n">
        <f aca="false">INDEX(MMULT($B$21:$G$26,$B$30:$G$35),4,3)</f>
        <v>0</v>
      </c>
      <c r="E42" s="39" t="n">
        <f aca="false">INDEX(MMULT($B$21:$G$26,$B$30:$G$35),4,4)</f>
        <v>0.25</v>
      </c>
      <c r="F42" s="39" t="n">
        <f aca="false">INDEX(MMULT($B$21:$G$26,$B$30:$G$35),4,5)</f>
        <v>0</v>
      </c>
      <c r="G42" s="39" t="n">
        <f aca="false">INDEX(MMULT($B$21:$G$26,$B$30:$G$35),4,6)</f>
        <v>0</v>
      </c>
      <c r="I42" s="39" t="n">
        <f aca="false">INDEX(MMULT($B$21:$G$26,_XtX!$I$35:$I$40),4,1)</f>
        <v>0.524999999999999</v>
      </c>
    </row>
    <row r="43" customFormat="false" ht="15" hidden="false" customHeight="false" outlineLevel="0" collapsed="false">
      <c r="B43" s="39" t="n">
        <f aca="false">INDEX(MMULT($B$21:$G$26,$B$30:$G$35),5,1)</f>
        <v>-0.103448275862069</v>
      </c>
      <c r="C43" s="39" t="n">
        <f aca="false">INDEX(MMULT($B$21:$G$26,$B$30:$G$35),5,2)</f>
        <v>0</v>
      </c>
      <c r="D43" s="39" t="n">
        <f aca="false">INDEX(MMULT($B$21:$G$26,$B$30:$G$35),5,3)</f>
        <v>0</v>
      </c>
      <c r="E43" s="39" t="n">
        <f aca="false">INDEX(MMULT($B$21:$G$26,$B$30:$G$35),5,4)</f>
        <v>0</v>
      </c>
      <c r="F43" s="39" t="n">
        <f aca="false">INDEX(MMULT($B$21:$G$26,$B$30:$G$35),5,5)</f>
        <v>0.362068965517241</v>
      </c>
      <c r="G43" s="39" t="n">
        <f aca="false">INDEX(MMULT($B$21:$G$26,$B$30:$G$35),5,6)</f>
        <v>-0.137931034482759</v>
      </c>
      <c r="I43" s="39" t="n">
        <f aca="false">INDEX(MMULT($B$21:$G$26,_XtX!$I$35:$I$40),5,1)</f>
        <v>-2.74310344827588</v>
      </c>
    </row>
    <row r="44" customFormat="false" ht="15" hidden="false" customHeight="false" outlineLevel="0" collapsed="false">
      <c r="B44" s="39" t="n">
        <f aca="false">INDEX(MMULT($B$21:$G$26,$B$30:$G$35),6,1)</f>
        <v>-0.103448275862069</v>
      </c>
      <c r="C44" s="39" t="n">
        <f aca="false">INDEX(MMULT($B$21:$G$26,$B$30:$G$35),6,2)</f>
        <v>0</v>
      </c>
      <c r="D44" s="39" t="n">
        <f aca="false">INDEX(MMULT($B$21:$G$26,$B$30:$G$35),6,3)</f>
        <v>0</v>
      </c>
      <c r="E44" s="39" t="n">
        <f aca="false">INDEX(MMULT($B$21:$G$26,$B$30:$G$35),6,4)</f>
        <v>0</v>
      </c>
      <c r="F44" s="39" t="n">
        <f aca="false">INDEX(MMULT($B$21:$G$26,$B$30:$G$35),6,5)</f>
        <v>-0.137931034482759</v>
      </c>
      <c r="G44" s="39" t="n">
        <f aca="false">INDEX(MMULT($B$21:$G$26,$B$30:$G$35),6,6)</f>
        <v>0.362068965517241</v>
      </c>
      <c r="I44" s="39" t="n">
        <f aca="false">INDEX(MMULT($B$21:$G$26,_XtX!$I$35:$I$40),6,1)</f>
        <v>-1.54310344827586</v>
      </c>
    </row>
    <row r="47" customFormat="false" ht="15" hidden="false" customHeight="false" outlineLevel="0" collapsed="false">
      <c r="A47" s="10" t="s">
        <v>309</v>
      </c>
      <c r="B47" s="9" t="s">
        <v>310</v>
      </c>
      <c r="C47" s="9" t="s">
        <v>311</v>
      </c>
      <c r="D47" s="10" t="s">
        <v>128</v>
      </c>
    </row>
    <row r="48" customFormat="false" ht="15" hidden="false" customHeight="false" outlineLevel="0" collapsed="false">
      <c r="A48" s="24" t="s">
        <v>312</v>
      </c>
      <c r="B48" s="39" t="n">
        <v>0</v>
      </c>
      <c r="C48" s="39" t="n">
        <v>0</v>
      </c>
      <c r="D48" s="39" t="n">
        <f aca="false">B39</f>
        <v>0.172413793103448</v>
      </c>
    </row>
    <row r="49" customFormat="false" ht="15" hidden="false" customHeight="false" outlineLevel="0" collapsed="false">
      <c r="A49" s="24" t="s">
        <v>313</v>
      </c>
      <c r="B49" s="39" t="n">
        <v>0</v>
      </c>
      <c r="C49" s="39" t="n">
        <v>1</v>
      </c>
      <c r="D49" s="39" t="n">
        <f aca="false">D39+B41</f>
        <v>0</v>
      </c>
    </row>
    <row r="50" customFormat="false" ht="15" hidden="false" customHeight="false" outlineLevel="0" collapsed="false">
      <c r="A50" s="24" t="s">
        <v>314</v>
      </c>
      <c r="B50" s="39" t="n">
        <v>0</v>
      </c>
      <c r="C50" s="39" t="n">
        <v>2</v>
      </c>
      <c r="D50" s="39" t="n">
        <f aca="false">G39+D41+B44</f>
        <v>-0.0402298850574712</v>
      </c>
    </row>
    <row r="51" customFormat="false" ht="15" hidden="false" customHeight="false" outlineLevel="0" collapsed="false">
      <c r="A51" s="24" t="s">
        <v>315</v>
      </c>
      <c r="B51" s="39" t="n">
        <v>0</v>
      </c>
      <c r="C51" s="39" t="n">
        <v>3</v>
      </c>
      <c r="D51" s="39" t="n">
        <f aca="false">G41+D44</f>
        <v>0</v>
      </c>
    </row>
    <row r="52" customFormat="false" ht="15" hidden="false" customHeight="false" outlineLevel="0" collapsed="false">
      <c r="A52" s="24" t="s">
        <v>316</v>
      </c>
      <c r="B52" s="39" t="n">
        <v>0</v>
      </c>
      <c r="C52" s="39" t="n">
        <v>4</v>
      </c>
      <c r="D52" s="39" t="n">
        <f aca="false">G44</f>
        <v>0.362068965517241</v>
      </c>
    </row>
    <row r="53" customFormat="false" ht="15" hidden="false" customHeight="false" outlineLevel="0" collapsed="false">
      <c r="A53" s="24" t="s">
        <v>317</v>
      </c>
      <c r="B53" s="39" t="n">
        <v>1</v>
      </c>
      <c r="C53" s="39" t="n">
        <v>0</v>
      </c>
      <c r="D53" s="39" t="n">
        <f aca="false">C39+B40</f>
        <v>0</v>
      </c>
    </row>
    <row r="54" customFormat="false" ht="15" hidden="false" customHeight="false" outlineLevel="0" collapsed="false">
      <c r="A54" s="24" t="s">
        <v>318</v>
      </c>
      <c r="B54" s="39" t="n">
        <v>1</v>
      </c>
      <c r="C54" s="39" t="n">
        <v>1</v>
      </c>
      <c r="D54" s="39" t="n">
        <f aca="false">E39+D40+C41+B42</f>
        <v>0</v>
      </c>
    </row>
    <row r="55" customFormat="false" ht="15" hidden="false" customHeight="false" outlineLevel="0" collapsed="false">
      <c r="A55" s="24" t="s">
        <v>319</v>
      </c>
      <c r="B55" s="39" t="n">
        <v>1</v>
      </c>
      <c r="C55" s="39" t="n">
        <v>2</v>
      </c>
      <c r="D55" s="39" t="n">
        <f aca="false">G40+E41+D42+C44</f>
        <v>0</v>
      </c>
    </row>
    <row r="56" customFormat="false" ht="15" hidden="false" customHeight="false" outlineLevel="0" collapsed="false">
      <c r="A56" s="24" t="s">
        <v>320</v>
      </c>
      <c r="B56" s="39" t="n">
        <v>1</v>
      </c>
      <c r="C56" s="39" t="n">
        <v>3</v>
      </c>
      <c r="D56" s="39" t="n">
        <f aca="false">G42+E44</f>
        <v>0</v>
      </c>
    </row>
    <row r="57" customFormat="false" ht="15" hidden="false" customHeight="false" outlineLevel="0" collapsed="false">
      <c r="A57" s="24" t="s">
        <v>321</v>
      </c>
      <c r="B57" s="39" t="n">
        <v>2</v>
      </c>
      <c r="C57" s="39" t="n">
        <v>0</v>
      </c>
      <c r="D57" s="39" t="n">
        <f aca="false">F39+C40+B43</f>
        <v>-0.0402298850574713</v>
      </c>
    </row>
    <row r="58" customFormat="false" ht="15" hidden="false" customHeight="false" outlineLevel="0" collapsed="false">
      <c r="A58" s="24" t="s">
        <v>322</v>
      </c>
      <c r="B58" s="39" t="n">
        <v>2</v>
      </c>
      <c r="C58" s="39" t="n">
        <v>1</v>
      </c>
      <c r="D58" s="39" t="n">
        <f aca="false">E40+F41+C42+D43</f>
        <v>0</v>
      </c>
    </row>
    <row r="59" customFormat="false" ht="15" hidden="false" customHeight="false" outlineLevel="0" collapsed="false">
      <c r="A59" s="24" t="s">
        <v>323</v>
      </c>
      <c r="B59" s="39" t="n">
        <v>2</v>
      </c>
      <c r="C59" s="39" t="n">
        <v>2</v>
      </c>
      <c r="D59" s="39" t="n">
        <f aca="false">E42+G43+F44</f>
        <v>-0.0258620689655172</v>
      </c>
    </row>
    <row r="60" customFormat="false" ht="15" hidden="false" customHeight="false" outlineLevel="0" collapsed="false">
      <c r="A60" s="24" t="s">
        <v>324</v>
      </c>
      <c r="B60" s="39" t="n">
        <v>3</v>
      </c>
      <c r="C60" s="39" t="n">
        <v>0</v>
      </c>
      <c r="D60" s="39" t="n">
        <f aca="false">F40+C43</f>
        <v>0</v>
      </c>
    </row>
    <row r="61" customFormat="false" ht="15" hidden="false" customHeight="false" outlineLevel="0" collapsed="false">
      <c r="A61" s="24" t="s">
        <v>325</v>
      </c>
      <c r="B61" s="39" t="n">
        <v>3</v>
      </c>
      <c r="C61" s="39" t="n">
        <v>1</v>
      </c>
      <c r="D61" s="39" t="n">
        <f aca="false">F42+E43</f>
        <v>0</v>
      </c>
    </row>
    <row r="62" customFormat="false" ht="15" hidden="false" customHeight="false" outlineLevel="0" collapsed="false">
      <c r="A62" s="24" t="s">
        <v>326</v>
      </c>
      <c r="B62" s="39" t="n">
        <v>4</v>
      </c>
      <c r="C62" s="39" t="n">
        <v>0</v>
      </c>
      <c r="D62" s="39" t="n">
        <f aca="false">F43</f>
        <v>0.362068965517241</v>
      </c>
    </row>
    <row r="64" customFormat="false" ht="15" hidden="false" customHeight="false" outlineLevel="0" collapsed="false">
      <c r="A64" s="17" t="s">
        <v>327</v>
      </c>
    </row>
    <row r="65" customFormat="false" ht="15" hidden="false" customHeight="false" outlineLevel="0" collapsed="false">
      <c r="C65" s="39" t="n">
        <v>-1</v>
      </c>
      <c r="D65" s="39" t="n">
        <v>-0.9</v>
      </c>
      <c r="E65" s="39" t="n">
        <v>-0.8</v>
      </c>
      <c r="F65" s="39" t="n">
        <v>-0.7</v>
      </c>
      <c r="G65" s="39" t="n">
        <v>-0.6</v>
      </c>
      <c r="H65" s="39" t="n">
        <v>-0.5</v>
      </c>
      <c r="I65" s="39" t="n">
        <v>-0.4</v>
      </c>
      <c r="J65" s="39" t="n">
        <v>-0.3</v>
      </c>
      <c r="K65" s="39" t="n">
        <v>-0.2</v>
      </c>
      <c r="L65" s="39" t="n">
        <v>-0.1</v>
      </c>
      <c r="M65" s="39" t="n">
        <v>0</v>
      </c>
      <c r="N65" s="39" t="n">
        <v>0.1</v>
      </c>
      <c r="O65" s="39" t="n">
        <v>0.2</v>
      </c>
      <c r="P65" s="39" t="n">
        <v>0.3</v>
      </c>
      <c r="Q65" s="39" t="n">
        <v>0.4</v>
      </c>
      <c r="R65" s="39" t="n">
        <v>0.5</v>
      </c>
      <c r="S65" s="39" t="n">
        <v>0.6</v>
      </c>
      <c r="T65" s="39" t="n">
        <v>0.7</v>
      </c>
      <c r="U65" s="39" t="n">
        <v>0.8</v>
      </c>
      <c r="V65" s="39" t="n">
        <v>0.9</v>
      </c>
      <c r="W65" s="39" t="n">
        <v>1</v>
      </c>
    </row>
    <row r="66" customFormat="false" ht="15" hidden="false" customHeight="false" outlineLevel="0" collapsed="false">
      <c r="B66" s="39" t="n">
        <v>1</v>
      </c>
      <c r="C66" s="15" t="n">
        <f aca="false">$I$39+$I$40*C$65+$I$41*$B66+$I$42*C$65*$B66+$I$43*C$65^2+$I$44*$B66^2</f>
        <v>43.3772988505747</v>
      </c>
      <c r="D66" s="15" t="n">
        <f aca="false">$I$39+$I$40*D$65+$I$41*$B66+$I$42*D$65*$B66+$I$43*D$65^2+$I$44*$B66^2</f>
        <v>44.1626551724138</v>
      </c>
      <c r="E66" s="15" t="n">
        <f aca="false">$I$39+$I$40*E$65+$I$41*$B66+$I$42*E$65*$B66+$I$43*E$65^2+$I$44*$B66^2</f>
        <v>44.8931494252873</v>
      </c>
      <c r="F66" s="15" t="n">
        <f aca="false">$I$39+$I$40*F$65+$I$41*$B66+$I$42*F$65*$B66+$I$43*F$65^2+$I$44*$B66^2</f>
        <v>45.5687816091954</v>
      </c>
      <c r="G66" s="15" t="n">
        <f aca="false">$I$39+$I$40*G$65+$I$41*$B66+$I$42*G$65*$B66+$I$43*G$65^2+$I$44*$B66^2</f>
        <v>46.1895517241379</v>
      </c>
      <c r="H66" s="15" t="n">
        <f aca="false">$I$39+$I$40*H$65+$I$41*$B66+$I$42*H$65*$B66+$I$43*H$65^2+$I$44*$B66^2</f>
        <v>46.7554597701149</v>
      </c>
      <c r="I66" s="15" t="n">
        <f aca="false">$I$39+$I$40*I$65+$I$41*$B66+$I$42*I$65*$B66+$I$43*I$65^2+$I$44*$B66^2</f>
        <v>47.2665057471264</v>
      </c>
      <c r="J66" s="15" t="n">
        <f aca="false">$I$39+$I$40*J$65+$I$41*$B66+$I$42*J$65*$B66+$I$43*J$65^2+$I$44*$B66^2</f>
        <v>47.7226896551724</v>
      </c>
      <c r="K66" s="15" t="n">
        <f aca="false">$I$39+$I$40*K$65+$I$41*$B66+$I$42*K$65*$B66+$I$43*K$65^2+$I$44*$B66^2</f>
        <v>48.1240114942529</v>
      </c>
      <c r="L66" s="15" t="n">
        <f aca="false">$I$39+$I$40*L$65+$I$41*$B66+$I$42*L$65*$B66+$I$43*L$65^2+$I$44*$B66^2</f>
        <v>48.4704712643678</v>
      </c>
      <c r="M66" s="15" t="n">
        <f aca="false">$I$39+$I$40*M$65+$I$41*$B66+$I$42*M$65*$B66+$I$43*M$65^2+$I$44*$B66^2</f>
        <v>48.7620689655172</v>
      </c>
      <c r="N66" s="15" t="n">
        <f aca="false">$I$39+$I$40*N$65+$I$41*$B66+$I$42*N$65*$B66+$I$43*N$65^2+$I$44*$B66^2</f>
        <v>48.9988045977012</v>
      </c>
      <c r="O66" s="15" t="n">
        <f aca="false">$I$39+$I$40*O$65+$I$41*$B66+$I$42*O$65*$B66+$I$43*O$65^2+$I$44*$B66^2</f>
        <v>49.1806781609195</v>
      </c>
      <c r="P66" s="15" t="n">
        <f aca="false">$I$39+$I$40*P$65+$I$41*$B66+$I$42*P$65*$B66+$I$43*P$65^2+$I$44*$B66^2</f>
        <v>49.3076896551724</v>
      </c>
      <c r="Q66" s="15" t="n">
        <f aca="false">$I$39+$I$40*Q$65+$I$41*$B66+$I$42*Q$65*$B66+$I$43*Q$65^2+$I$44*$B66^2</f>
        <v>49.3798390804598</v>
      </c>
      <c r="R66" s="15" t="n">
        <f aca="false">$I$39+$I$40*R$65+$I$41*$B66+$I$42*R$65*$B66+$I$43*R$65^2+$I$44*$B66^2</f>
        <v>49.3971264367816</v>
      </c>
      <c r="S66" s="15" t="n">
        <f aca="false">$I$39+$I$40*S$65+$I$41*$B66+$I$42*S$65*$B66+$I$43*S$65^2+$I$44*$B66^2</f>
        <v>49.3595517241379</v>
      </c>
      <c r="T66" s="15" t="n">
        <f aca="false">$I$39+$I$40*T$65+$I$41*$B66+$I$42*T$65*$B66+$I$43*T$65^2+$I$44*$B66^2</f>
        <v>49.2671149425287</v>
      </c>
      <c r="U66" s="15" t="n">
        <f aca="false">$I$39+$I$40*U$65+$I$41*$B66+$I$42*U$65*$B66+$I$43*U$65^2+$I$44*$B66^2</f>
        <v>49.119816091954</v>
      </c>
      <c r="V66" s="15" t="n">
        <f aca="false">$I$39+$I$40*V$65+$I$41*$B66+$I$42*V$65*$B66+$I$43*V$65^2+$I$44*$B66^2</f>
        <v>48.9176551724138</v>
      </c>
      <c r="W66" s="15" t="n">
        <f aca="false">$I$39+$I$40*W$65+$I$41*$B66+$I$42*W$65*$B66+$I$43*W$65^2+$I$44*$B66^2</f>
        <v>48.660632183908</v>
      </c>
    </row>
    <row r="67" customFormat="false" ht="15" hidden="false" customHeight="false" outlineLevel="0" collapsed="false">
      <c r="B67" s="39" t="n">
        <v>0.9</v>
      </c>
      <c r="C67" s="15" t="n">
        <f aca="false">$I$39+$I$40*C$65+$I$41*$B67+$I$42*C$65*$B67+$I$43*C$65^2+$I$44*$B67^2</f>
        <v>43.4979885057471</v>
      </c>
      <c r="D67" s="15" t="n">
        <f aca="false">$I$39+$I$40*D$65+$I$41*$B67+$I$42*D$65*$B67+$I$43*D$65^2+$I$44*$B67^2</f>
        <v>44.2780948275862</v>
      </c>
      <c r="E67" s="15" t="n">
        <f aca="false">$I$39+$I$40*E$65+$I$41*$B67+$I$42*E$65*$B67+$I$43*E$65^2+$I$44*$B67^2</f>
        <v>45.0033390804598</v>
      </c>
      <c r="F67" s="15" t="n">
        <f aca="false">$I$39+$I$40*F$65+$I$41*$B67+$I$42*F$65*$B67+$I$43*F$65^2+$I$44*$B67^2</f>
        <v>45.6737212643678</v>
      </c>
      <c r="G67" s="15" t="n">
        <f aca="false">$I$39+$I$40*G$65+$I$41*$B67+$I$42*G$65*$B67+$I$43*G$65^2+$I$44*$B67^2</f>
        <v>46.2892413793103</v>
      </c>
      <c r="H67" s="15" t="n">
        <f aca="false">$I$39+$I$40*H$65+$I$41*$B67+$I$42*H$65*$B67+$I$43*H$65^2+$I$44*$B67^2</f>
        <v>46.8498994252874</v>
      </c>
      <c r="I67" s="15" t="n">
        <f aca="false">$I$39+$I$40*I$65+$I$41*$B67+$I$42*I$65*$B67+$I$43*I$65^2+$I$44*$B67^2</f>
        <v>47.3556954022989</v>
      </c>
      <c r="J67" s="15" t="n">
        <f aca="false">$I$39+$I$40*J$65+$I$41*$B67+$I$42*J$65*$B67+$I$43*J$65^2+$I$44*$B67^2</f>
        <v>47.8066293103448</v>
      </c>
      <c r="K67" s="15" t="n">
        <f aca="false">$I$39+$I$40*K$65+$I$41*$B67+$I$42*K$65*$B67+$I$43*K$65^2+$I$44*$B67^2</f>
        <v>48.2027011494253</v>
      </c>
      <c r="L67" s="15" t="n">
        <f aca="false">$I$39+$I$40*L$65+$I$41*$B67+$I$42*L$65*$B67+$I$43*L$65^2+$I$44*$B67^2</f>
        <v>48.5439109195402</v>
      </c>
      <c r="M67" s="15" t="n">
        <f aca="false">$I$39+$I$40*M$65+$I$41*$B67+$I$42*M$65*$B67+$I$43*M$65^2+$I$44*$B67^2</f>
        <v>48.8302586206897</v>
      </c>
      <c r="N67" s="15" t="n">
        <f aca="false">$I$39+$I$40*N$65+$I$41*$B67+$I$42*N$65*$B67+$I$43*N$65^2+$I$44*$B67^2</f>
        <v>49.0617442528736</v>
      </c>
      <c r="O67" s="15" t="n">
        <f aca="false">$I$39+$I$40*O$65+$I$41*$B67+$I$42*O$65*$B67+$I$43*O$65^2+$I$44*$B67^2</f>
        <v>49.238367816092</v>
      </c>
      <c r="P67" s="15" t="n">
        <f aca="false">$I$39+$I$40*P$65+$I$41*$B67+$I$42*P$65*$B67+$I$43*P$65^2+$I$44*$B67^2</f>
        <v>49.3601293103448</v>
      </c>
      <c r="Q67" s="15" t="n">
        <f aca="false">$I$39+$I$40*Q$65+$I$41*$B67+$I$42*Q$65*$B67+$I$43*Q$65^2+$I$44*$B67^2</f>
        <v>49.4270287356322</v>
      </c>
      <c r="R67" s="15" t="n">
        <f aca="false">$I$39+$I$40*R$65+$I$41*$B67+$I$42*R$65*$B67+$I$43*R$65^2+$I$44*$B67^2</f>
        <v>49.439066091954</v>
      </c>
      <c r="S67" s="15" t="n">
        <f aca="false">$I$39+$I$40*S$65+$I$41*$B67+$I$42*S$65*$B67+$I$43*S$65^2+$I$44*$B67^2</f>
        <v>49.3962413793103</v>
      </c>
      <c r="T67" s="15" t="n">
        <f aca="false">$I$39+$I$40*T$65+$I$41*$B67+$I$42*T$65*$B67+$I$43*T$65^2+$I$44*$B67^2</f>
        <v>49.2985545977011</v>
      </c>
      <c r="U67" s="15" t="n">
        <f aca="false">$I$39+$I$40*U$65+$I$41*$B67+$I$42*U$65*$B67+$I$43*U$65^2+$I$44*$B67^2</f>
        <v>49.1460057471264</v>
      </c>
      <c r="V67" s="15" t="n">
        <f aca="false">$I$39+$I$40*V$65+$I$41*$B67+$I$42*V$65*$B67+$I$43*V$65^2+$I$44*$B67^2</f>
        <v>48.9385948275862</v>
      </c>
      <c r="W67" s="15" t="n">
        <f aca="false">$I$39+$I$40*W$65+$I$41*$B67+$I$42*W$65*$B67+$I$43*W$65^2+$I$44*$B67^2</f>
        <v>48.6763218390804</v>
      </c>
    </row>
    <row r="68" customFormat="false" ht="15" hidden="false" customHeight="false" outlineLevel="0" collapsed="false">
      <c r="B68" s="39" t="n">
        <v>0.8</v>
      </c>
      <c r="C68" s="15" t="n">
        <f aca="false">$I$39+$I$40*C$65+$I$41*$B68+$I$42*C$65*$B68+$I$43*C$65^2+$I$44*$B68^2</f>
        <v>43.587816091954</v>
      </c>
      <c r="D68" s="15" t="n">
        <f aca="false">$I$39+$I$40*D$65+$I$41*$B68+$I$42*D$65*$B68+$I$43*D$65^2+$I$44*$B68^2</f>
        <v>44.3626724137931</v>
      </c>
      <c r="E68" s="15" t="n">
        <f aca="false">$I$39+$I$40*E$65+$I$41*$B68+$I$42*E$65*$B68+$I$43*E$65^2+$I$44*$B68^2</f>
        <v>45.0826666666667</v>
      </c>
      <c r="F68" s="15" t="n">
        <f aca="false">$I$39+$I$40*F$65+$I$41*$B68+$I$42*F$65*$B68+$I$43*F$65^2+$I$44*$B68^2</f>
        <v>45.7477988505747</v>
      </c>
      <c r="G68" s="15" t="n">
        <f aca="false">$I$39+$I$40*G$65+$I$41*$B68+$I$42*G$65*$B68+$I$43*G$65^2+$I$44*$B68^2</f>
        <v>46.3580689655172</v>
      </c>
      <c r="H68" s="15" t="n">
        <f aca="false">$I$39+$I$40*H$65+$I$41*$B68+$I$42*H$65*$B68+$I$43*H$65^2+$I$44*$B68^2</f>
        <v>46.9134770114942</v>
      </c>
      <c r="I68" s="15" t="n">
        <f aca="false">$I$39+$I$40*I$65+$I$41*$B68+$I$42*I$65*$B68+$I$43*I$65^2+$I$44*$B68^2</f>
        <v>47.4140229885057</v>
      </c>
      <c r="J68" s="15" t="n">
        <f aca="false">$I$39+$I$40*J$65+$I$41*$B68+$I$42*J$65*$B68+$I$43*J$65^2+$I$44*$B68^2</f>
        <v>47.8597068965517</v>
      </c>
      <c r="K68" s="15" t="n">
        <f aca="false">$I$39+$I$40*K$65+$I$41*$B68+$I$42*K$65*$B68+$I$43*K$65^2+$I$44*$B68^2</f>
        <v>48.2505287356322</v>
      </c>
      <c r="L68" s="15" t="n">
        <f aca="false">$I$39+$I$40*L$65+$I$41*$B68+$I$42*L$65*$B68+$I$43*L$65^2+$I$44*$B68^2</f>
        <v>48.5864885057471</v>
      </c>
      <c r="M68" s="15" t="n">
        <f aca="false">$I$39+$I$40*M$65+$I$41*$B68+$I$42*M$65*$B68+$I$43*M$65^2+$I$44*$B68^2</f>
        <v>48.8675862068966</v>
      </c>
      <c r="N68" s="15" t="n">
        <f aca="false">$I$39+$I$40*N$65+$I$41*$B68+$I$42*N$65*$B68+$I$43*N$65^2+$I$44*$B68^2</f>
        <v>49.0938218390805</v>
      </c>
      <c r="O68" s="15" t="n">
        <f aca="false">$I$39+$I$40*O$65+$I$41*$B68+$I$42*O$65*$B68+$I$43*O$65^2+$I$44*$B68^2</f>
        <v>49.2651954022989</v>
      </c>
      <c r="P68" s="15" t="n">
        <f aca="false">$I$39+$I$40*P$65+$I$41*$B68+$I$42*P$65*$B68+$I$43*P$65^2+$I$44*$B68^2</f>
        <v>49.3817068965517</v>
      </c>
      <c r="Q68" s="15" t="n">
        <f aca="false">$I$39+$I$40*Q$65+$I$41*$B68+$I$42*Q$65*$B68+$I$43*Q$65^2+$I$44*$B68^2</f>
        <v>49.4433563218391</v>
      </c>
      <c r="R68" s="15" t="n">
        <f aca="false">$I$39+$I$40*R$65+$I$41*$B68+$I$42*R$65*$B68+$I$43*R$65^2+$I$44*$B68^2</f>
        <v>49.4501436781609</v>
      </c>
      <c r="S68" s="15" t="n">
        <f aca="false">$I$39+$I$40*S$65+$I$41*$B68+$I$42*S$65*$B68+$I$43*S$65^2+$I$44*$B68^2</f>
        <v>49.4020689655172</v>
      </c>
      <c r="T68" s="15" t="n">
        <f aca="false">$I$39+$I$40*T$65+$I$41*$B68+$I$42*T$65*$B68+$I$43*T$65^2+$I$44*$B68^2</f>
        <v>49.299132183908</v>
      </c>
      <c r="U68" s="15" t="n">
        <f aca="false">$I$39+$I$40*U$65+$I$41*$B68+$I$42*U$65*$B68+$I$43*U$65^2+$I$44*$B68^2</f>
        <v>49.1413333333333</v>
      </c>
      <c r="V68" s="15" t="n">
        <f aca="false">$I$39+$I$40*V$65+$I$41*$B68+$I$42*V$65*$B68+$I$43*V$65^2+$I$44*$B68^2</f>
        <v>48.9286724137931</v>
      </c>
      <c r="W68" s="15" t="n">
        <f aca="false">$I$39+$I$40*W$65+$I$41*$B68+$I$42*W$65*$B68+$I$43*W$65^2+$I$44*$B68^2</f>
        <v>48.6611494252873</v>
      </c>
    </row>
    <row r="69" customFormat="false" ht="15" hidden="false" customHeight="false" outlineLevel="0" collapsed="false">
      <c r="B69" s="39" t="n">
        <v>0.7</v>
      </c>
      <c r="C69" s="15" t="n">
        <f aca="false">$I$39+$I$40*C$65+$I$41*$B69+$I$42*C$65*$B69+$I$43*C$65^2+$I$44*$B69^2</f>
        <v>43.6467816091954</v>
      </c>
      <c r="D69" s="15" t="n">
        <f aca="false">$I$39+$I$40*D$65+$I$41*$B69+$I$42*D$65*$B69+$I$43*D$65^2+$I$44*$B69^2</f>
        <v>44.4163879310345</v>
      </c>
      <c r="E69" s="15" t="n">
        <f aca="false">$I$39+$I$40*E$65+$I$41*$B69+$I$42*E$65*$B69+$I$43*E$65^2+$I$44*$B69^2</f>
        <v>45.131132183908</v>
      </c>
      <c r="F69" s="15" t="n">
        <f aca="false">$I$39+$I$40*F$65+$I$41*$B69+$I$42*F$65*$B69+$I$43*F$65^2+$I$44*$B69^2</f>
        <v>45.7910143678161</v>
      </c>
      <c r="G69" s="15" t="n">
        <f aca="false">$I$39+$I$40*G$65+$I$41*$B69+$I$42*G$65*$B69+$I$43*G$65^2+$I$44*$B69^2</f>
        <v>46.3960344827586</v>
      </c>
      <c r="H69" s="15" t="n">
        <f aca="false">$I$39+$I$40*H$65+$I$41*$B69+$I$42*H$65*$B69+$I$43*H$65^2+$I$44*$B69^2</f>
        <v>46.9461925287356</v>
      </c>
      <c r="I69" s="15" t="n">
        <f aca="false">$I$39+$I$40*I$65+$I$41*$B69+$I$42*I$65*$B69+$I$43*I$65^2+$I$44*$B69^2</f>
        <v>47.4414885057471</v>
      </c>
      <c r="J69" s="15" t="n">
        <f aca="false">$I$39+$I$40*J$65+$I$41*$B69+$I$42*J$65*$B69+$I$43*J$65^2+$I$44*$B69^2</f>
        <v>47.8819224137931</v>
      </c>
      <c r="K69" s="15" t="n">
        <f aca="false">$I$39+$I$40*K$65+$I$41*$B69+$I$42*K$65*$B69+$I$43*K$65^2+$I$44*$B69^2</f>
        <v>48.2674942528736</v>
      </c>
      <c r="L69" s="15" t="n">
        <f aca="false">$I$39+$I$40*L$65+$I$41*$B69+$I$42*L$65*$B69+$I$43*L$65^2+$I$44*$B69^2</f>
        <v>48.5982040229885</v>
      </c>
      <c r="M69" s="15" t="n">
        <f aca="false">$I$39+$I$40*M$65+$I$41*$B69+$I$42*M$65*$B69+$I$43*M$65^2+$I$44*$B69^2</f>
        <v>48.8740517241379</v>
      </c>
      <c r="N69" s="15" t="n">
        <f aca="false">$I$39+$I$40*N$65+$I$41*$B69+$I$42*N$65*$B69+$I$43*N$65^2+$I$44*$B69^2</f>
        <v>49.0950373563218</v>
      </c>
      <c r="O69" s="15" t="n">
        <f aca="false">$I$39+$I$40*O$65+$I$41*$B69+$I$42*O$65*$B69+$I$43*O$65^2+$I$44*$B69^2</f>
        <v>49.2611609195402</v>
      </c>
      <c r="P69" s="15" t="n">
        <f aca="false">$I$39+$I$40*P$65+$I$41*$B69+$I$42*P$65*$B69+$I$43*P$65^2+$I$44*$B69^2</f>
        <v>49.3724224137931</v>
      </c>
      <c r="Q69" s="15" t="n">
        <f aca="false">$I$39+$I$40*Q$65+$I$41*$B69+$I$42*Q$65*$B69+$I$43*Q$65^2+$I$44*$B69^2</f>
        <v>49.4288218390805</v>
      </c>
      <c r="R69" s="15" t="n">
        <f aca="false">$I$39+$I$40*R$65+$I$41*$B69+$I$42*R$65*$B69+$I$43*R$65^2+$I$44*$B69^2</f>
        <v>49.4303591954023</v>
      </c>
      <c r="S69" s="15" t="n">
        <f aca="false">$I$39+$I$40*S$65+$I$41*$B69+$I$42*S$65*$B69+$I$43*S$65^2+$I$44*$B69^2</f>
        <v>49.3770344827586</v>
      </c>
      <c r="T69" s="15" t="n">
        <f aca="false">$I$39+$I$40*T$65+$I$41*$B69+$I$42*T$65*$B69+$I$43*T$65^2+$I$44*$B69^2</f>
        <v>49.2688477011494</v>
      </c>
      <c r="U69" s="15" t="n">
        <f aca="false">$I$39+$I$40*U$65+$I$41*$B69+$I$42*U$65*$B69+$I$43*U$65^2+$I$44*$B69^2</f>
        <v>49.1057988505747</v>
      </c>
      <c r="V69" s="15" t="n">
        <f aca="false">$I$39+$I$40*V$65+$I$41*$B69+$I$42*V$65*$B69+$I$43*V$65^2+$I$44*$B69^2</f>
        <v>48.8878879310345</v>
      </c>
      <c r="W69" s="15" t="n">
        <f aca="false">$I$39+$I$40*W$65+$I$41*$B69+$I$42*W$65*$B69+$I$43*W$65^2+$I$44*$B69^2</f>
        <v>48.6151149425287</v>
      </c>
    </row>
    <row r="70" customFormat="false" ht="15" hidden="false" customHeight="false" outlineLevel="0" collapsed="false">
      <c r="B70" s="39" t="n">
        <v>0.6</v>
      </c>
      <c r="C70" s="15" t="n">
        <f aca="false">$I$39+$I$40*C$65+$I$41*$B70+$I$42*C$65*$B70+$I$43*C$65^2+$I$44*$B70^2</f>
        <v>43.6748850574713</v>
      </c>
      <c r="D70" s="15" t="n">
        <f aca="false">$I$39+$I$40*D$65+$I$41*$B70+$I$42*D$65*$B70+$I$43*D$65^2+$I$44*$B70^2</f>
        <v>44.4392413793103</v>
      </c>
      <c r="E70" s="15" t="n">
        <f aca="false">$I$39+$I$40*E$65+$I$41*$B70+$I$42*E$65*$B70+$I$43*E$65^2+$I$44*$B70^2</f>
        <v>45.1487356321839</v>
      </c>
      <c r="F70" s="15" t="n">
        <f aca="false">$I$39+$I$40*F$65+$I$41*$B70+$I$42*F$65*$B70+$I$43*F$65^2+$I$44*$B70^2</f>
        <v>45.8033678160919</v>
      </c>
      <c r="G70" s="15" t="n">
        <f aca="false">$I$39+$I$40*G$65+$I$41*$B70+$I$42*G$65*$B70+$I$43*G$65^2+$I$44*$B70^2</f>
        <v>46.4031379310345</v>
      </c>
      <c r="H70" s="15" t="n">
        <f aca="false">$I$39+$I$40*H$65+$I$41*$B70+$I$42*H$65*$B70+$I$43*H$65^2+$I$44*$B70^2</f>
        <v>46.9480459770115</v>
      </c>
      <c r="I70" s="15" t="n">
        <f aca="false">$I$39+$I$40*I$65+$I$41*$B70+$I$42*I$65*$B70+$I$43*I$65^2+$I$44*$B70^2</f>
        <v>47.438091954023</v>
      </c>
      <c r="J70" s="15" t="n">
        <f aca="false">$I$39+$I$40*J$65+$I$41*$B70+$I$42*J$65*$B70+$I$43*J$65^2+$I$44*$B70^2</f>
        <v>47.873275862069</v>
      </c>
      <c r="K70" s="15" t="n">
        <f aca="false">$I$39+$I$40*K$65+$I$41*$B70+$I$42*K$65*$B70+$I$43*K$65^2+$I$44*$B70^2</f>
        <v>48.2535977011494</v>
      </c>
      <c r="L70" s="15" t="n">
        <f aca="false">$I$39+$I$40*L$65+$I$41*$B70+$I$42*L$65*$B70+$I$43*L$65^2+$I$44*$B70^2</f>
        <v>48.5790574712644</v>
      </c>
      <c r="M70" s="15" t="n">
        <f aca="false">$I$39+$I$40*M$65+$I$41*$B70+$I$42*M$65*$B70+$I$43*M$65^2+$I$44*$B70^2</f>
        <v>48.8496551724138</v>
      </c>
      <c r="N70" s="15" t="n">
        <f aca="false">$I$39+$I$40*N$65+$I$41*$B70+$I$42*N$65*$B70+$I$43*N$65^2+$I$44*$B70^2</f>
        <v>49.0653908045977</v>
      </c>
      <c r="O70" s="15" t="n">
        <f aca="false">$I$39+$I$40*O$65+$I$41*$B70+$I$42*O$65*$B70+$I$43*O$65^2+$I$44*$B70^2</f>
        <v>49.2262643678161</v>
      </c>
      <c r="P70" s="15" t="n">
        <f aca="false">$I$39+$I$40*P$65+$I$41*$B70+$I$42*P$65*$B70+$I$43*P$65^2+$I$44*$B70^2</f>
        <v>49.332275862069</v>
      </c>
      <c r="Q70" s="15" t="n">
        <f aca="false">$I$39+$I$40*Q$65+$I$41*$B70+$I$42*Q$65*$B70+$I$43*Q$65^2+$I$44*$B70^2</f>
        <v>49.3834252873563</v>
      </c>
      <c r="R70" s="15" t="n">
        <f aca="false">$I$39+$I$40*R$65+$I$41*$B70+$I$42*R$65*$B70+$I$43*R$65^2+$I$44*$B70^2</f>
        <v>49.3797126436782</v>
      </c>
      <c r="S70" s="15" t="n">
        <f aca="false">$I$39+$I$40*S$65+$I$41*$B70+$I$42*S$65*$B70+$I$43*S$65^2+$I$44*$B70^2</f>
        <v>49.3211379310345</v>
      </c>
      <c r="T70" s="15" t="n">
        <f aca="false">$I$39+$I$40*T$65+$I$41*$B70+$I$42*T$65*$B70+$I$43*T$65^2+$I$44*$B70^2</f>
        <v>49.2077011494253</v>
      </c>
      <c r="U70" s="15" t="n">
        <f aca="false">$I$39+$I$40*U$65+$I$41*$B70+$I$42*U$65*$B70+$I$43*U$65^2+$I$44*$B70^2</f>
        <v>49.0394022988506</v>
      </c>
      <c r="V70" s="15" t="n">
        <f aca="false">$I$39+$I$40*V$65+$I$41*$B70+$I$42*V$65*$B70+$I$43*V$65^2+$I$44*$B70^2</f>
        <v>48.8162413793103</v>
      </c>
      <c r="W70" s="15" t="n">
        <f aca="false">$I$39+$I$40*W$65+$I$41*$B70+$I$42*W$65*$B70+$I$43*W$65^2+$I$44*$B70^2</f>
        <v>48.5382183908046</v>
      </c>
    </row>
    <row r="71" customFormat="false" ht="15" hidden="false" customHeight="false" outlineLevel="0" collapsed="false">
      <c r="B71" s="39" t="n">
        <v>0.5</v>
      </c>
      <c r="C71" s="15" t="n">
        <f aca="false">$I$39+$I$40*C$65+$I$41*$B71+$I$42*C$65*$B71+$I$43*C$65^2+$I$44*$B71^2</f>
        <v>43.6721264367816</v>
      </c>
      <c r="D71" s="15" t="n">
        <f aca="false">$I$39+$I$40*D$65+$I$41*$B71+$I$42*D$65*$B71+$I$43*D$65^2+$I$44*$B71^2</f>
        <v>44.4312327586207</v>
      </c>
      <c r="E71" s="15" t="n">
        <f aca="false">$I$39+$I$40*E$65+$I$41*$B71+$I$42*E$65*$B71+$I$43*E$65^2+$I$44*$B71^2</f>
        <v>45.1354770114942</v>
      </c>
      <c r="F71" s="15" t="n">
        <f aca="false">$I$39+$I$40*F$65+$I$41*$B71+$I$42*F$65*$B71+$I$43*F$65^2+$I$44*$B71^2</f>
        <v>45.7848591954023</v>
      </c>
      <c r="G71" s="15" t="n">
        <f aca="false">$I$39+$I$40*G$65+$I$41*$B71+$I$42*G$65*$B71+$I$43*G$65^2+$I$44*$B71^2</f>
        <v>46.3793793103448</v>
      </c>
      <c r="H71" s="15" t="n">
        <f aca="false">$I$39+$I$40*H$65+$I$41*$B71+$I$42*H$65*$B71+$I$43*H$65^2+$I$44*$B71^2</f>
        <v>46.9190373563218</v>
      </c>
      <c r="I71" s="15" t="n">
        <f aca="false">$I$39+$I$40*I$65+$I$41*$B71+$I$42*I$65*$B71+$I$43*I$65^2+$I$44*$B71^2</f>
        <v>47.4038333333333</v>
      </c>
      <c r="J71" s="15" t="n">
        <f aca="false">$I$39+$I$40*J$65+$I$41*$B71+$I$42*J$65*$B71+$I$43*J$65^2+$I$44*$B71^2</f>
        <v>47.8337672413793</v>
      </c>
      <c r="K71" s="15" t="n">
        <f aca="false">$I$39+$I$40*K$65+$I$41*$B71+$I$42*K$65*$B71+$I$43*K$65^2+$I$44*$B71^2</f>
        <v>48.2088390804598</v>
      </c>
      <c r="L71" s="15" t="n">
        <f aca="false">$I$39+$I$40*L$65+$I$41*$B71+$I$42*L$65*$B71+$I$43*L$65^2+$I$44*$B71^2</f>
        <v>48.5290488505747</v>
      </c>
      <c r="M71" s="15" t="n">
        <f aca="false">$I$39+$I$40*M$65+$I$41*$B71+$I$42*M$65*$B71+$I$43*M$65^2+$I$44*$B71^2</f>
        <v>48.7943965517241</v>
      </c>
      <c r="N71" s="15" t="n">
        <f aca="false">$I$39+$I$40*N$65+$I$41*$B71+$I$42*N$65*$B71+$I$43*N$65^2+$I$44*$B71^2</f>
        <v>49.004882183908</v>
      </c>
      <c r="O71" s="15" t="n">
        <f aca="false">$I$39+$I$40*O$65+$I$41*$B71+$I$42*O$65*$B71+$I$43*O$65^2+$I$44*$B71^2</f>
        <v>49.1605057471264</v>
      </c>
      <c r="P71" s="15" t="n">
        <f aca="false">$I$39+$I$40*P$65+$I$41*$B71+$I$42*P$65*$B71+$I$43*P$65^2+$I$44*$B71^2</f>
        <v>49.2612672413793</v>
      </c>
      <c r="Q71" s="15" t="n">
        <f aca="false">$I$39+$I$40*Q$65+$I$41*$B71+$I$42*Q$65*$B71+$I$43*Q$65^2+$I$44*$B71^2</f>
        <v>49.3071666666667</v>
      </c>
      <c r="R71" s="15" t="n">
        <f aca="false">$I$39+$I$40*R$65+$I$41*$B71+$I$42*R$65*$B71+$I$43*R$65^2+$I$44*$B71^2</f>
        <v>49.2982040229885</v>
      </c>
      <c r="S71" s="15" t="n">
        <f aca="false">$I$39+$I$40*S$65+$I$41*$B71+$I$42*S$65*$B71+$I$43*S$65^2+$I$44*$B71^2</f>
        <v>49.2343793103448</v>
      </c>
      <c r="T71" s="15" t="n">
        <f aca="false">$I$39+$I$40*T$65+$I$41*$B71+$I$42*T$65*$B71+$I$43*T$65^2+$I$44*$B71^2</f>
        <v>49.1156925287356</v>
      </c>
      <c r="U71" s="15" t="n">
        <f aca="false">$I$39+$I$40*U$65+$I$41*$B71+$I$42*U$65*$B71+$I$43*U$65^2+$I$44*$B71^2</f>
        <v>48.9421436781609</v>
      </c>
      <c r="V71" s="15" t="n">
        <f aca="false">$I$39+$I$40*V$65+$I$41*$B71+$I$42*V$65*$B71+$I$43*V$65^2+$I$44*$B71^2</f>
        <v>48.7137327586207</v>
      </c>
      <c r="W71" s="15" t="n">
        <f aca="false">$I$39+$I$40*W$65+$I$41*$B71+$I$42*W$65*$B71+$I$43*W$65^2+$I$44*$B71^2</f>
        <v>48.4304597701149</v>
      </c>
    </row>
    <row r="72" customFormat="false" ht="15" hidden="false" customHeight="false" outlineLevel="0" collapsed="false">
      <c r="B72" s="39" t="n">
        <v>0.4</v>
      </c>
      <c r="C72" s="15" t="n">
        <f aca="false">$I$39+$I$40*C$65+$I$41*$B72+$I$42*C$65*$B72+$I$43*C$65^2+$I$44*$B72^2</f>
        <v>43.6385057471264</v>
      </c>
      <c r="D72" s="15" t="n">
        <f aca="false">$I$39+$I$40*D$65+$I$41*$B72+$I$42*D$65*$B72+$I$43*D$65^2+$I$44*$B72^2</f>
        <v>44.3923620689655</v>
      </c>
      <c r="E72" s="15" t="n">
        <f aca="false">$I$39+$I$40*E$65+$I$41*$B72+$I$42*E$65*$B72+$I$43*E$65^2+$I$44*$B72^2</f>
        <v>45.0913563218391</v>
      </c>
      <c r="F72" s="15" t="n">
        <f aca="false">$I$39+$I$40*F$65+$I$41*$B72+$I$42*F$65*$B72+$I$43*F$65^2+$I$44*$B72^2</f>
        <v>45.7354885057471</v>
      </c>
      <c r="G72" s="15" t="n">
        <f aca="false">$I$39+$I$40*G$65+$I$41*$B72+$I$42*G$65*$B72+$I$43*G$65^2+$I$44*$B72^2</f>
        <v>46.3247586206897</v>
      </c>
      <c r="H72" s="15" t="n">
        <f aca="false">$I$39+$I$40*H$65+$I$41*$B72+$I$42*H$65*$B72+$I$43*H$65^2+$I$44*$B72^2</f>
        <v>46.8591666666667</v>
      </c>
      <c r="I72" s="15" t="n">
        <f aca="false">$I$39+$I$40*I$65+$I$41*$B72+$I$42*I$65*$B72+$I$43*I$65^2+$I$44*$B72^2</f>
        <v>47.3387126436782</v>
      </c>
      <c r="J72" s="15" t="n">
        <f aca="false">$I$39+$I$40*J$65+$I$41*$B72+$I$42*J$65*$B72+$I$43*J$65^2+$I$44*$B72^2</f>
        <v>47.7633965517241</v>
      </c>
      <c r="K72" s="15" t="n">
        <f aca="false">$I$39+$I$40*K$65+$I$41*$B72+$I$42*K$65*$B72+$I$43*K$65^2+$I$44*$B72^2</f>
        <v>48.1332183908046</v>
      </c>
      <c r="L72" s="15" t="n">
        <f aca="false">$I$39+$I$40*L$65+$I$41*$B72+$I$42*L$65*$B72+$I$43*L$65^2+$I$44*$B72^2</f>
        <v>48.4481781609195</v>
      </c>
      <c r="M72" s="15" t="n">
        <f aca="false">$I$39+$I$40*M$65+$I$41*$B72+$I$42*M$65*$B72+$I$43*M$65^2+$I$44*$B72^2</f>
        <v>48.708275862069</v>
      </c>
      <c r="N72" s="15" t="n">
        <f aca="false">$I$39+$I$40*N$65+$I$41*$B72+$I$42*N$65*$B72+$I$43*N$65^2+$I$44*$B72^2</f>
        <v>48.9135114942529</v>
      </c>
      <c r="O72" s="15" t="n">
        <f aca="false">$I$39+$I$40*O$65+$I$41*$B72+$I$42*O$65*$B72+$I$43*O$65^2+$I$44*$B72^2</f>
        <v>49.0638850574713</v>
      </c>
      <c r="P72" s="15" t="n">
        <f aca="false">$I$39+$I$40*P$65+$I$41*$B72+$I$42*P$65*$B72+$I$43*P$65^2+$I$44*$B72^2</f>
        <v>49.1593965517241</v>
      </c>
      <c r="Q72" s="15" t="n">
        <f aca="false">$I$39+$I$40*Q$65+$I$41*$B72+$I$42*Q$65*$B72+$I$43*Q$65^2+$I$44*$B72^2</f>
        <v>49.2000459770115</v>
      </c>
      <c r="R72" s="15" t="n">
        <f aca="false">$I$39+$I$40*R$65+$I$41*$B72+$I$42*R$65*$B72+$I$43*R$65^2+$I$44*$B72^2</f>
        <v>49.1858333333333</v>
      </c>
      <c r="S72" s="15" t="n">
        <f aca="false">$I$39+$I$40*S$65+$I$41*$B72+$I$42*S$65*$B72+$I$43*S$65^2+$I$44*$B72^2</f>
        <v>49.1167586206897</v>
      </c>
      <c r="T72" s="15" t="n">
        <f aca="false">$I$39+$I$40*T$65+$I$41*$B72+$I$42*T$65*$B72+$I$43*T$65^2+$I$44*$B72^2</f>
        <v>48.9928218390805</v>
      </c>
      <c r="U72" s="15" t="n">
        <f aca="false">$I$39+$I$40*U$65+$I$41*$B72+$I$42*U$65*$B72+$I$43*U$65^2+$I$44*$B72^2</f>
        <v>48.8140229885057</v>
      </c>
      <c r="V72" s="15" t="n">
        <f aca="false">$I$39+$I$40*V$65+$I$41*$B72+$I$42*V$65*$B72+$I$43*V$65^2+$I$44*$B72^2</f>
        <v>48.5803620689655</v>
      </c>
      <c r="W72" s="15" t="n">
        <f aca="false">$I$39+$I$40*W$65+$I$41*$B72+$I$42*W$65*$B72+$I$43*W$65^2+$I$44*$B72^2</f>
        <v>48.2918390804598</v>
      </c>
    </row>
    <row r="73" customFormat="false" ht="15" hidden="false" customHeight="false" outlineLevel="0" collapsed="false">
      <c r="B73" s="39" t="n">
        <v>0.3</v>
      </c>
      <c r="C73" s="15" t="n">
        <f aca="false">$I$39+$I$40*C$65+$I$41*$B73+$I$42*C$65*$B73+$I$43*C$65^2+$I$44*$B73^2</f>
        <v>43.5740229885057</v>
      </c>
      <c r="D73" s="15" t="n">
        <f aca="false">$I$39+$I$40*D$65+$I$41*$B73+$I$42*D$65*$B73+$I$43*D$65^2+$I$44*$B73^2</f>
        <v>44.3226293103448</v>
      </c>
      <c r="E73" s="15" t="n">
        <f aca="false">$I$39+$I$40*E$65+$I$41*$B73+$I$42*E$65*$B73+$I$43*E$65^2+$I$44*$B73^2</f>
        <v>45.0163735632184</v>
      </c>
      <c r="F73" s="15" t="n">
        <f aca="false">$I$39+$I$40*F$65+$I$41*$B73+$I$42*F$65*$B73+$I$43*F$65^2+$I$44*$B73^2</f>
        <v>45.6552557471264</v>
      </c>
      <c r="G73" s="15" t="n">
        <f aca="false">$I$39+$I$40*G$65+$I$41*$B73+$I$42*G$65*$B73+$I$43*G$65^2+$I$44*$B73^2</f>
        <v>46.239275862069</v>
      </c>
      <c r="H73" s="15" t="n">
        <f aca="false">$I$39+$I$40*H$65+$I$41*$B73+$I$42*H$65*$B73+$I$43*H$65^2+$I$44*$B73^2</f>
        <v>46.768433908046</v>
      </c>
      <c r="I73" s="15" t="n">
        <f aca="false">$I$39+$I$40*I$65+$I$41*$B73+$I$42*I$65*$B73+$I$43*I$65^2+$I$44*$B73^2</f>
        <v>47.2427298850575</v>
      </c>
      <c r="J73" s="15" t="n">
        <f aca="false">$I$39+$I$40*J$65+$I$41*$B73+$I$42*J$65*$B73+$I$43*J$65^2+$I$44*$B73^2</f>
        <v>47.6621637931034</v>
      </c>
      <c r="K73" s="15" t="n">
        <f aca="false">$I$39+$I$40*K$65+$I$41*$B73+$I$42*K$65*$B73+$I$43*K$65^2+$I$44*$B73^2</f>
        <v>48.0267356321839</v>
      </c>
      <c r="L73" s="15" t="n">
        <f aca="false">$I$39+$I$40*L$65+$I$41*$B73+$I$42*L$65*$B73+$I$43*L$65^2+$I$44*$B73^2</f>
        <v>48.3364454022989</v>
      </c>
      <c r="M73" s="15" t="n">
        <f aca="false">$I$39+$I$40*M$65+$I$41*$B73+$I$42*M$65*$B73+$I$43*M$65^2+$I$44*$B73^2</f>
        <v>48.5912931034483</v>
      </c>
      <c r="N73" s="15" t="n">
        <f aca="false">$I$39+$I$40*N$65+$I$41*$B73+$I$42*N$65*$B73+$I$43*N$65^2+$I$44*$B73^2</f>
        <v>48.7912787356322</v>
      </c>
      <c r="O73" s="15" t="n">
        <f aca="false">$I$39+$I$40*O$65+$I$41*$B73+$I$42*O$65*$B73+$I$43*O$65^2+$I$44*$B73^2</f>
        <v>48.9364022988506</v>
      </c>
      <c r="P73" s="15" t="n">
        <f aca="false">$I$39+$I$40*P$65+$I$41*$B73+$I$42*P$65*$B73+$I$43*P$65^2+$I$44*$B73^2</f>
        <v>49.0266637931034</v>
      </c>
      <c r="Q73" s="15" t="n">
        <f aca="false">$I$39+$I$40*Q$65+$I$41*$B73+$I$42*Q$65*$B73+$I$43*Q$65^2+$I$44*$B73^2</f>
        <v>49.0620632183908</v>
      </c>
      <c r="R73" s="15" t="n">
        <f aca="false">$I$39+$I$40*R$65+$I$41*$B73+$I$42*R$65*$B73+$I$43*R$65^2+$I$44*$B73^2</f>
        <v>49.0426005747126</v>
      </c>
      <c r="S73" s="15" t="n">
        <f aca="false">$I$39+$I$40*S$65+$I$41*$B73+$I$42*S$65*$B73+$I$43*S$65^2+$I$44*$B73^2</f>
        <v>48.968275862069</v>
      </c>
      <c r="T73" s="15" t="n">
        <f aca="false">$I$39+$I$40*T$65+$I$41*$B73+$I$42*T$65*$B73+$I$43*T$65^2+$I$44*$B73^2</f>
        <v>48.8390890804598</v>
      </c>
      <c r="U73" s="15" t="n">
        <f aca="false">$I$39+$I$40*U$65+$I$41*$B73+$I$42*U$65*$B73+$I$43*U$65^2+$I$44*$B73^2</f>
        <v>48.655040229885</v>
      </c>
      <c r="V73" s="15" t="n">
        <f aca="false">$I$39+$I$40*V$65+$I$41*$B73+$I$42*V$65*$B73+$I$43*V$65^2+$I$44*$B73^2</f>
        <v>48.4161293103448</v>
      </c>
      <c r="W73" s="15" t="n">
        <f aca="false">$I$39+$I$40*W$65+$I$41*$B73+$I$42*W$65*$B73+$I$43*W$65^2+$I$44*$B73^2</f>
        <v>48.1223563218391</v>
      </c>
    </row>
    <row r="74" customFormat="false" ht="15" hidden="false" customHeight="false" outlineLevel="0" collapsed="false">
      <c r="B74" s="39" t="n">
        <v>0.2</v>
      </c>
      <c r="C74" s="15" t="n">
        <f aca="false">$I$39+$I$40*C$65+$I$41*$B74+$I$42*C$65*$B74+$I$43*C$65^2+$I$44*$B74^2</f>
        <v>43.4786781609195</v>
      </c>
      <c r="D74" s="15" t="n">
        <f aca="false">$I$39+$I$40*D$65+$I$41*$B74+$I$42*D$65*$B74+$I$43*D$65^2+$I$44*$B74^2</f>
        <v>44.2220344827586</v>
      </c>
      <c r="E74" s="15" t="n">
        <f aca="false">$I$39+$I$40*E$65+$I$41*$B74+$I$42*E$65*$B74+$I$43*E$65^2+$I$44*$B74^2</f>
        <v>44.9105287356322</v>
      </c>
      <c r="F74" s="15" t="n">
        <f aca="false">$I$39+$I$40*F$65+$I$41*$B74+$I$42*F$65*$B74+$I$43*F$65^2+$I$44*$B74^2</f>
        <v>45.5441609195402</v>
      </c>
      <c r="G74" s="15" t="n">
        <f aca="false">$I$39+$I$40*G$65+$I$41*$B74+$I$42*G$65*$B74+$I$43*G$65^2+$I$44*$B74^2</f>
        <v>46.1229310344828</v>
      </c>
      <c r="H74" s="15" t="n">
        <f aca="false">$I$39+$I$40*H$65+$I$41*$B74+$I$42*H$65*$B74+$I$43*H$65^2+$I$44*$B74^2</f>
        <v>46.6468390804598</v>
      </c>
      <c r="I74" s="15" t="n">
        <f aca="false">$I$39+$I$40*I$65+$I$41*$B74+$I$42*I$65*$B74+$I$43*I$65^2+$I$44*$B74^2</f>
        <v>47.1158850574713</v>
      </c>
      <c r="J74" s="15" t="n">
        <f aca="false">$I$39+$I$40*J$65+$I$41*$B74+$I$42*J$65*$B74+$I$43*J$65^2+$I$44*$B74^2</f>
        <v>47.5300689655172</v>
      </c>
      <c r="K74" s="15" t="n">
        <f aca="false">$I$39+$I$40*K$65+$I$41*$B74+$I$42*K$65*$B74+$I$43*K$65^2+$I$44*$B74^2</f>
        <v>47.8893908045977</v>
      </c>
      <c r="L74" s="15" t="n">
        <f aca="false">$I$39+$I$40*L$65+$I$41*$B74+$I$42*L$65*$B74+$I$43*L$65^2+$I$44*$B74^2</f>
        <v>48.1938505747126</v>
      </c>
      <c r="M74" s="15" t="n">
        <f aca="false">$I$39+$I$40*M$65+$I$41*$B74+$I$42*M$65*$B74+$I$43*M$65^2+$I$44*$B74^2</f>
        <v>48.4434482758621</v>
      </c>
      <c r="N74" s="15" t="n">
        <f aca="false">$I$39+$I$40*N$65+$I$41*$B74+$I$42*N$65*$B74+$I$43*N$65^2+$I$44*$B74^2</f>
        <v>48.638183908046</v>
      </c>
      <c r="O74" s="15" t="n">
        <f aca="false">$I$39+$I$40*O$65+$I$41*$B74+$I$42*O$65*$B74+$I$43*O$65^2+$I$44*$B74^2</f>
        <v>48.7780574712644</v>
      </c>
      <c r="P74" s="15" t="n">
        <f aca="false">$I$39+$I$40*P$65+$I$41*$B74+$I$42*P$65*$B74+$I$43*P$65^2+$I$44*$B74^2</f>
        <v>48.8630689655172</v>
      </c>
      <c r="Q74" s="15" t="n">
        <f aca="false">$I$39+$I$40*Q$65+$I$41*$B74+$I$42*Q$65*$B74+$I$43*Q$65^2+$I$44*$B74^2</f>
        <v>48.8932183908046</v>
      </c>
      <c r="R74" s="15" t="n">
        <f aca="false">$I$39+$I$40*R$65+$I$41*$B74+$I$42*R$65*$B74+$I$43*R$65^2+$I$44*$B74^2</f>
        <v>48.8685057471264</v>
      </c>
      <c r="S74" s="15" t="n">
        <f aca="false">$I$39+$I$40*S$65+$I$41*$B74+$I$42*S$65*$B74+$I$43*S$65^2+$I$44*$B74^2</f>
        <v>48.7889310344828</v>
      </c>
      <c r="T74" s="15" t="n">
        <f aca="false">$I$39+$I$40*T$65+$I$41*$B74+$I$42*T$65*$B74+$I$43*T$65^2+$I$44*$B74^2</f>
        <v>48.6544942528736</v>
      </c>
      <c r="U74" s="15" t="n">
        <f aca="false">$I$39+$I$40*U$65+$I$41*$B74+$I$42*U$65*$B74+$I$43*U$65^2+$I$44*$B74^2</f>
        <v>48.4651954022988</v>
      </c>
      <c r="V74" s="15" t="n">
        <f aca="false">$I$39+$I$40*V$65+$I$41*$B74+$I$42*V$65*$B74+$I$43*V$65^2+$I$44*$B74^2</f>
        <v>48.2210344827586</v>
      </c>
      <c r="W74" s="15" t="n">
        <f aca="false">$I$39+$I$40*W$65+$I$41*$B74+$I$42*W$65*$B74+$I$43*W$65^2+$I$44*$B74^2</f>
        <v>47.9220114942529</v>
      </c>
    </row>
    <row r="75" customFormat="false" ht="15" hidden="false" customHeight="false" outlineLevel="0" collapsed="false">
      <c r="B75" s="39" t="n">
        <v>0.1</v>
      </c>
      <c r="C75" s="15" t="n">
        <f aca="false">$I$39+$I$40*C$65+$I$41*$B75+$I$42*C$65*$B75+$I$43*C$65^2+$I$44*$B75^2</f>
        <v>43.3524712643678</v>
      </c>
      <c r="D75" s="15" t="n">
        <f aca="false">$I$39+$I$40*D$65+$I$41*$B75+$I$42*D$65*$B75+$I$43*D$65^2+$I$44*$B75^2</f>
        <v>44.0905775862069</v>
      </c>
      <c r="E75" s="15" t="n">
        <f aca="false">$I$39+$I$40*E$65+$I$41*$B75+$I$42*E$65*$B75+$I$43*E$65^2+$I$44*$B75^2</f>
        <v>44.7738218390804</v>
      </c>
      <c r="F75" s="15" t="n">
        <f aca="false">$I$39+$I$40*F$65+$I$41*$B75+$I$42*F$65*$B75+$I$43*F$65^2+$I$44*$B75^2</f>
        <v>45.4022040229885</v>
      </c>
      <c r="G75" s="15" t="n">
        <f aca="false">$I$39+$I$40*G$65+$I$41*$B75+$I$42*G$65*$B75+$I$43*G$65^2+$I$44*$B75^2</f>
        <v>45.975724137931</v>
      </c>
      <c r="H75" s="15" t="n">
        <f aca="false">$I$39+$I$40*H$65+$I$41*$B75+$I$42*H$65*$B75+$I$43*H$65^2+$I$44*$B75^2</f>
        <v>46.494382183908</v>
      </c>
      <c r="I75" s="15" t="n">
        <f aca="false">$I$39+$I$40*I$65+$I$41*$B75+$I$42*I$65*$B75+$I$43*I$65^2+$I$44*$B75^2</f>
        <v>46.9581781609195</v>
      </c>
      <c r="J75" s="15" t="n">
        <f aca="false">$I$39+$I$40*J$65+$I$41*$B75+$I$42*J$65*$B75+$I$43*J$65^2+$I$44*$B75^2</f>
        <v>47.3671120689655</v>
      </c>
      <c r="K75" s="15" t="n">
        <f aca="false">$I$39+$I$40*K$65+$I$41*$B75+$I$42*K$65*$B75+$I$43*K$65^2+$I$44*$B75^2</f>
        <v>47.721183908046</v>
      </c>
      <c r="L75" s="15" t="n">
        <f aca="false">$I$39+$I$40*L$65+$I$41*$B75+$I$42*L$65*$B75+$I$43*L$65^2+$I$44*$B75^2</f>
        <v>48.0203936781609</v>
      </c>
      <c r="M75" s="15" t="n">
        <f aca="false">$I$39+$I$40*M$65+$I$41*$B75+$I$42*M$65*$B75+$I$43*M$65^2+$I$44*$B75^2</f>
        <v>48.2647413793103</v>
      </c>
      <c r="N75" s="15" t="n">
        <f aca="false">$I$39+$I$40*N$65+$I$41*$B75+$I$42*N$65*$B75+$I$43*N$65^2+$I$44*$B75^2</f>
        <v>48.4542270114943</v>
      </c>
      <c r="O75" s="15" t="n">
        <f aca="false">$I$39+$I$40*O$65+$I$41*$B75+$I$42*O$65*$B75+$I$43*O$65^2+$I$44*$B75^2</f>
        <v>48.5888505747126</v>
      </c>
      <c r="P75" s="15" t="n">
        <f aca="false">$I$39+$I$40*P$65+$I$41*$B75+$I$42*P$65*$B75+$I$43*P$65^2+$I$44*$B75^2</f>
        <v>48.6686120689655</v>
      </c>
      <c r="Q75" s="15" t="n">
        <f aca="false">$I$39+$I$40*Q$65+$I$41*$B75+$I$42*Q$65*$B75+$I$43*Q$65^2+$I$44*$B75^2</f>
        <v>48.6935114942529</v>
      </c>
      <c r="R75" s="15" t="n">
        <f aca="false">$I$39+$I$40*R$65+$I$41*$B75+$I$42*R$65*$B75+$I$43*R$65^2+$I$44*$B75^2</f>
        <v>48.6635488505747</v>
      </c>
      <c r="S75" s="15" t="n">
        <f aca="false">$I$39+$I$40*S$65+$I$41*$B75+$I$42*S$65*$B75+$I$43*S$65^2+$I$44*$B75^2</f>
        <v>48.578724137931</v>
      </c>
      <c r="T75" s="15" t="n">
        <f aca="false">$I$39+$I$40*T$65+$I$41*$B75+$I$42*T$65*$B75+$I$43*T$65^2+$I$44*$B75^2</f>
        <v>48.4390373563218</v>
      </c>
      <c r="U75" s="15" t="n">
        <f aca="false">$I$39+$I$40*U$65+$I$41*$B75+$I$42*U$65*$B75+$I$43*U$65^2+$I$44*$B75^2</f>
        <v>48.2444885057471</v>
      </c>
      <c r="V75" s="15" t="n">
        <f aca="false">$I$39+$I$40*V$65+$I$41*$B75+$I$42*V$65*$B75+$I$43*V$65^2+$I$44*$B75^2</f>
        <v>47.9950775862069</v>
      </c>
      <c r="W75" s="15" t="n">
        <f aca="false">$I$39+$I$40*W$65+$I$41*$B75+$I$42*W$65*$B75+$I$43*W$65^2+$I$44*$B75^2</f>
        <v>47.6908045977011</v>
      </c>
    </row>
    <row r="76" customFormat="false" ht="15" hidden="false" customHeight="false" outlineLevel="0" collapsed="false">
      <c r="B76" s="39" t="n">
        <v>0</v>
      </c>
      <c r="C76" s="15" t="n">
        <f aca="false">$I$39+$I$40*C$65+$I$41*$B76+$I$42*C$65*$B76+$I$43*C$65^2+$I$44*$B76^2</f>
        <v>43.1954022988506</v>
      </c>
      <c r="D76" s="15" t="n">
        <f aca="false">$I$39+$I$40*D$65+$I$41*$B76+$I$42*D$65*$B76+$I$43*D$65^2+$I$44*$B76^2</f>
        <v>43.9282586206896</v>
      </c>
      <c r="E76" s="15" t="n">
        <f aca="false">$I$39+$I$40*E$65+$I$41*$B76+$I$42*E$65*$B76+$I$43*E$65^2+$I$44*$B76^2</f>
        <v>44.6062528735632</v>
      </c>
      <c r="F76" s="15" t="n">
        <f aca="false">$I$39+$I$40*F$65+$I$41*$B76+$I$42*F$65*$B76+$I$43*F$65^2+$I$44*$B76^2</f>
        <v>45.2293850574713</v>
      </c>
      <c r="G76" s="15" t="n">
        <f aca="false">$I$39+$I$40*G$65+$I$41*$B76+$I$42*G$65*$B76+$I$43*G$65^2+$I$44*$B76^2</f>
        <v>45.7976551724138</v>
      </c>
      <c r="H76" s="15" t="n">
        <f aca="false">$I$39+$I$40*H$65+$I$41*$B76+$I$42*H$65*$B76+$I$43*H$65^2+$I$44*$B76^2</f>
        <v>46.3110632183908</v>
      </c>
      <c r="I76" s="15" t="n">
        <f aca="false">$I$39+$I$40*I$65+$I$41*$B76+$I$42*I$65*$B76+$I$43*I$65^2+$I$44*$B76^2</f>
        <v>46.7696091954023</v>
      </c>
      <c r="J76" s="15" t="n">
        <f aca="false">$I$39+$I$40*J$65+$I$41*$B76+$I$42*J$65*$B76+$I$43*J$65^2+$I$44*$B76^2</f>
        <v>47.1732931034483</v>
      </c>
      <c r="K76" s="15" t="n">
        <f aca="false">$I$39+$I$40*K$65+$I$41*$B76+$I$42*K$65*$B76+$I$43*K$65^2+$I$44*$B76^2</f>
        <v>47.5221149425287</v>
      </c>
      <c r="L76" s="15" t="n">
        <f aca="false">$I$39+$I$40*L$65+$I$41*$B76+$I$42*L$65*$B76+$I$43*L$65^2+$I$44*$B76^2</f>
        <v>47.8160747126437</v>
      </c>
      <c r="M76" s="15" t="n">
        <f aca="false">$I$39+$I$40*M$65+$I$41*$B76+$I$42*M$65*$B76+$I$43*M$65^2+$I$44*$B76^2</f>
        <v>48.0551724137931</v>
      </c>
      <c r="N76" s="15" t="n">
        <f aca="false">$I$39+$I$40*N$65+$I$41*$B76+$I$42*N$65*$B76+$I$43*N$65^2+$I$44*$B76^2</f>
        <v>48.239408045977</v>
      </c>
      <c r="O76" s="15" t="n">
        <f aca="false">$I$39+$I$40*O$65+$I$41*$B76+$I$42*O$65*$B76+$I$43*O$65^2+$I$44*$B76^2</f>
        <v>48.3687816091954</v>
      </c>
      <c r="P76" s="15" t="n">
        <f aca="false">$I$39+$I$40*P$65+$I$41*$B76+$I$42*P$65*$B76+$I$43*P$65^2+$I$44*$B76^2</f>
        <v>48.4432931034483</v>
      </c>
      <c r="Q76" s="15" t="n">
        <f aca="false">$I$39+$I$40*Q$65+$I$41*$B76+$I$42*Q$65*$B76+$I$43*Q$65^2+$I$44*$B76^2</f>
        <v>48.4629425287356</v>
      </c>
      <c r="R76" s="15" t="n">
        <f aca="false">$I$39+$I$40*R$65+$I$41*$B76+$I$42*R$65*$B76+$I$43*R$65^2+$I$44*$B76^2</f>
        <v>48.4277298850575</v>
      </c>
      <c r="S76" s="15" t="n">
        <f aca="false">$I$39+$I$40*S$65+$I$41*$B76+$I$42*S$65*$B76+$I$43*S$65^2+$I$44*$B76^2</f>
        <v>48.3376551724138</v>
      </c>
      <c r="T76" s="15" t="n">
        <f aca="false">$I$39+$I$40*T$65+$I$41*$B76+$I$42*T$65*$B76+$I$43*T$65^2+$I$44*$B76^2</f>
        <v>48.1927183908046</v>
      </c>
      <c r="U76" s="15" t="n">
        <f aca="false">$I$39+$I$40*U$65+$I$41*$B76+$I$42*U$65*$B76+$I$43*U$65^2+$I$44*$B76^2</f>
        <v>47.9929195402299</v>
      </c>
      <c r="V76" s="15" t="n">
        <f aca="false">$I$39+$I$40*V$65+$I$41*$B76+$I$42*V$65*$B76+$I$43*V$65^2+$I$44*$B76^2</f>
        <v>47.7382586206896</v>
      </c>
      <c r="W76" s="15" t="n">
        <f aca="false">$I$39+$I$40*W$65+$I$41*$B76+$I$42*W$65*$B76+$I$43*W$65^2+$I$44*$B76^2</f>
        <v>47.4287356321839</v>
      </c>
    </row>
    <row r="77" customFormat="false" ht="15" hidden="false" customHeight="false" outlineLevel="0" collapsed="false">
      <c r="B77" s="39" t="n">
        <v>-0.1</v>
      </c>
      <c r="C77" s="15" t="n">
        <f aca="false">$I$39+$I$40*C$65+$I$41*$B77+$I$42*C$65*$B77+$I$43*C$65^2+$I$44*$B77^2</f>
        <v>43.0074712643678</v>
      </c>
      <c r="D77" s="15" t="n">
        <f aca="false">$I$39+$I$40*D$65+$I$41*$B77+$I$42*D$65*$B77+$I$43*D$65^2+$I$44*$B77^2</f>
        <v>43.7350775862069</v>
      </c>
      <c r="E77" s="15" t="n">
        <f aca="false">$I$39+$I$40*E$65+$I$41*$B77+$I$42*E$65*$B77+$I$43*E$65^2+$I$44*$B77^2</f>
        <v>44.4078218390804</v>
      </c>
      <c r="F77" s="15" t="n">
        <f aca="false">$I$39+$I$40*F$65+$I$41*$B77+$I$42*F$65*$B77+$I$43*F$65^2+$I$44*$B77^2</f>
        <v>45.0257040229885</v>
      </c>
      <c r="G77" s="15" t="n">
        <f aca="false">$I$39+$I$40*G$65+$I$41*$B77+$I$42*G$65*$B77+$I$43*G$65^2+$I$44*$B77^2</f>
        <v>45.588724137931</v>
      </c>
      <c r="H77" s="15" t="n">
        <f aca="false">$I$39+$I$40*H$65+$I$41*$B77+$I$42*H$65*$B77+$I$43*H$65^2+$I$44*$B77^2</f>
        <v>46.096882183908</v>
      </c>
      <c r="I77" s="15" t="n">
        <f aca="false">$I$39+$I$40*I$65+$I$41*$B77+$I$42*I$65*$B77+$I$43*I$65^2+$I$44*$B77^2</f>
        <v>46.5501781609195</v>
      </c>
      <c r="J77" s="15" t="n">
        <f aca="false">$I$39+$I$40*J$65+$I$41*$B77+$I$42*J$65*$B77+$I$43*J$65^2+$I$44*$B77^2</f>
        <v>46.9486120689655</v>
      </c>
      <c r="K77" s="15" t="n">
        <f aca="false">$I$39+$I$40*K$65+$I$41*$B77+$I$42*K$65*$B77+$I$43*K$65^2+$I$44*$B77^2</f>
        <v>47.292183908046</v>
      </c>
      <c r="L77" s="15" t="n">
        <f aca="false">$I$39+$I$40*L$65+$I$41*$B77+$I$42*L$65*$B77+$I$43*L$65^2+$I$44*$B77^2</f>
        <v>47.5808936781609</v>
      </c>
      <c r="M77" s="15" t="n">
        <f aca="false">$I$39+$I$40*M$65+$I$41*$B77+$I$42*M$65*$B77+$I$43*M$65^2+$I$44*$B77^2</f>
        <v>47.8147413793103</v>
      </c>
      <c r="N77" s="15" t="n">
        <f aca="false">$I$39+$I$40*N$65+$I$41*$B77+$I$42*N$65*$B77+$I$43*N$65^2+$I$44*$B77^2</f>
        <v>47.9937270114943</v>
      </c>
      <c r="O77" s="15" t="n">
        <f aca="false">$I$39+$I$40*O$65+$I$41*$B77+$I$42*O$65*$B77+$I$43*O$65^2+$I$44*$B77^2</f>
        <v>48.1178505747126</v>
      </c>
      <c r="P77" s="15" t="n">
        <f aca="false">$I$39+$I$40*P$65+$I$41*$B77+$I$42*P$65*$B77+$I$43*P$65^2+$I$44*$B77^2</f>
        <v>48.1871120689655</v>
      </c>
      <c r="Q77" s="15" t="n">
        <f aca="false">$I$39+$I$40*Q$65+$I$41*$B77+$I$42*Q$65*$B77+$I$43*Q$65^2+$I$44*$B77^2</f>
        <v>48.2015114942529</v>
      </c>
      <c r="R77" s="15" t="n">
        <f aca="false">$I$39+$I$40*R$65+$I$41*$B77+$I$42*R$65*$B77+$I$43*R$65^2+$I$44*$B77^2</f>
        <v>48.1610488505747</v>
      </c>
      <c r="S77" s="15" t="n">
        <f aca="false">$I$39+$I$40*S$65+$I$41*$B77+$I$42*S$65*$B77+$I$43*S$65^2+$I$44*$B77^2</f>
        <v>48.065724137931</v>
      </c>
      <c r="T77" s="15" t="n">
        <f aca="false">$I$39+$I$40*T$65+$I$41*$B77+$I$42*T$65*$B77+$I$43*T$65^2+$I$44*$B77^2</f>
        <v>47.9155373563218</v>
      </c>
      <c r="U77" s="15" t="n">
        <f aca="false">$I$39+$I$40*U$65+$I$41*$B77+$I$42*U$65*$B77+$I$43*U$65^2+$I$44*$B77^2</f>
        <v>47.7104885057471</v>
      </c>
      <c r="V77" s="15" t="n">
        <f aca="false">$I$39+$I$40*V$65+$I$41*$B77+$I$42*V$65*$B77+$I$43*V$65^2+$I$44*$B77^2</f>
        <v>47.4505775862069</v>
      </c>
      <c r="W77" s="15" t="n">
        <f aca="false">$I$39+$I$40*W$65+$I$41*$B77+$I$42*W$65*$B77+$I$43*W$65^2+$I$44*$B77^2</f>
        <v>47.1358045977011</v>
      </c>
    </row>
    <row r="78" customFormat="false" ht="15" hidden="false" customHeight="false" outlineLevel="0" collapsed="false">
      <c r="B78" s="39" t="n">
        <v>-0.2</v>
      </c>
      <c r="C78" s="15" t="n">
        <f aca="false">$I$39+$I$40*C$65+$I$41*$B78+$I$42*C$65*$B78+$I$43*C$65^2+$I$44*$B78^2</f>
        <v>42.7886781609195</v>
      </c>
      <c r="D78" s="15" t="n">
        <f aca="false">$I$39+$I$40*D$65+$I$41*$B78+$I$42*D$65*$B78+$I$43*D$65^2+$I$44*$B78^2</f>
        <v>43.5110344827586</v>
      </c>
      <c r="E78" s="15" t="n">
        <f aca="false">$I$39+$I$40*E$65+$I$41*$B78+$I$42*E$65*$B78+$I$43*E$65^2+$I$44*$B78^2</f>
        <v>44.1785287356322</v>
      </c>
      <c r="F78" s="15" t="n">
        <f aca="false">$I$39+$I$40*F$65+$I$41*$B78+$I$42*F$65*$B78+$I$43*F$65^2+$I$44*$B78^2</f>
        <v>44.7911609195402</v>
      </c>
      <c r="G78" s="15" t="n">
        <f aca="false">$I$39+$I$40*G$65+$I$41*$B78+$I$42*G$65*$B78+$I$43*G$65^2+$I$44*$B78^2</f>
        <v>45.3489310344827</v>
      </c>
      <c r="H78" s="15" t="n">
        <f aca="false">$I$39+$I$40*H$65+$I$41*$B78+$I$42*H$65*$B78+$I$43*H$65^2+$I$44*$B78^2</f>
        <v>45.8518390804598</v>
      </c>
      <c r="I78" s="15" t="n">
        <f aca="false">$I$39+$I$40*I$65+$I$41*$B78+$I$42*I$65*$B78+$I$43*I$65^2+$I$44*$B78^2</f>
        <v>46.2998850574713</v>
      </c>
      <c r="J78" s="15" t="n">
        <f aca="false">$I$39+$I$40*J$65+$I$41*$B78+$I$42*J$65*$B78+$I$43*J$65^2+$I$44*$B78^2</f>
        <v>46.6930689655172</v>
      </c>
      <c r="K78" s="15" t="n">
        <f aca="false">$I$39+$I$40*K$65+$I$41*$B78+$I$42*K$65*$B78+$I$43*K$65^2+$I$44*$B78^2</f>
        <v>47.0313908045977</v>
      </c>
      <c r="L78" s="15" t="n">
        <f aca="false">$I$39+$I$40*L$65+$I$41*$B78+$I$42*L$65*$B78+$I$43*L$65^2+$I$44*$B78^2</f>
        <v>47.3148505747126</v>
      </c>
      <c r="M78" s="15" t="n">
        <f aca="false">$I$39+$I$40*M$65+$I$41*$B78+$I$42*M$65*$B78+$I$43*M$65^2+$I$44*$B78^2</f>
        <v>47.5434482758621</v>
      </c>
      <c r="N78" s="15" t="n">
        <f aca="false">$I$39+$I$40*N$65+$I$41*$B78+$I$42*N$65*$B78+$I$43*N$65^2+$I$44*$B78^2</f>
        <v>47.717183908046</v>
      </c>
      <c r="O78" s="15" t="n">
        <f aca="false">$I$39+$I$40*O$65+$I$41*$B78+$I$42*O$65*$B78+$I$43*O$65^2+$I$44*$B78^2</f>
        <v>47.8360574712644</v>
      </c>
      <c r="P78" s="15" t="n">
        <f aca="false">$I$39+$I$40*P$65+$I$41*$B78+$I$42*P$65*$B78+$I$43*P$65^2+$I$44*$B78^2</f>
        <v>47.9000689655172</v>
      </c>
      <c r="Q78" s="15" t="n">
        <f aca="false">$I$39+$I$40*Q$65+$I$41*$B78+$I$42*Q$65*$B78+$I$43*Q$65^2+$I$44*$B78^2</f>
        <v>47.9092183908046</v>
      </c>
      <c r="R78" s="15" t="n">
        <f aca="false">$I$39+$I$40*R$65+$I$41*$B78+$I$42*R$65*$B78+$I$43*R$65^2+$I$44*$B78^2</f>
        <v>47.8635057471264</v>
      </c>
      <c r="S78" s="15" t="n">
        <f aca="false">$I$39+$I$40*S$65+$I$41*$B78+$I$42*S$65*$B78+$I$43*S$65^2+$I$44*$B78^2</f>
        <v>47.7629310344828</v>
      </c>
      <c r="T78" s="15" t="n">
        <f aca="false">$I$39+$I$40*T$65+$I$41*$B78+$I$42*T$65*$B78+$I$43*T$65^2+$I$44*$B78^2</f>
        <v>47.6074942528735</v>
      </c>
      <c r="U78" s="15" t="n">
        <f aca="false">$I$39+$I$40*U$65+$I$41*$B78+$I$42*U$65*$B78+$I$43*U$65^2+$I$44*$B78^2</f>
        <v>47.3971954022988</v>
      </c>
      <c r="V78" s="15" t="n">
        <f aca="false">$I$39+$I$40*V$65+$I$41*$B78+$I$42*V$65*$B78+$I$43*V$65^2+$I$44*$B78^2</f>
        <v>47.1320344827586</v>
      </c>
      <c r="W78" s="15" t="n">
        <f aca="false">$I$39+$I$40*W$65+$I$41*$B78+$I$42*W$65*$B78+$I$43*W$65^2+$I$44*$B78^2</f>
        <v>46.8120114942529</v>
      </c>
    </row>
    <row r="79" customFormat="false" ht="15" hidden="false" customHeight="false" outlineLevel="0" collapsed="false">
      <c r="B79" s="39" t="n">
        <v>-0.3</v>
      </c>
      <c r="C79" s="15" t="n">
        <f aca="false">$I$39+$I$40*C$65+$I$41*$B79+$I$42*C$65*$B79+$I$43*C$65^2+$I$44*$B79^2</f>
        <v>42.5390229885057</v>
      </c>
      <c r="D79" s="15" t="n">
        <f aca="false">$I$39+$I$40*D$65+$I$41*$B79+$I$42*D$65*$B79+$I$43*D$65^2+$I$44*$B79^2</f>
        <v>43.2561293103448</v>
      </c>
      <c r="E79" s="15" t="n">
        <f aca="false">$I$39+$I$40*E$65+$I$41*$B79+$I$42*E$65*$B79+$I$43*E$65^2+$I$44*$B79^2</f>
        <v>43.9183735632184</v>
      </c>
      <c r="F79" s="15" t="n">
        <f aca="false">$I$39+$I$40*F$65+$I$41*$B79+$I$42*F$65*$B79+$I$43*F$65^2+$I$44*$B79^2</f>
        <v>44.5257557471264</v>
      </c>
      <c r="G79" s="15" t="n">
        <f aca="false">$I$39+$I$40*G$65+$I$41*$B79+$I$42*G$65*$B79+$I$43*G$65^2+$I$44*$B79^2</f>
        <v>45.078275862069</v>
      </c>
      <c r="H79" s="15" t="n">
        <f aca="false">$I$39+$I$40*H$65+$I$41*$B79+$I$42*H$65*$B79+$I$43*H$65^2+$I$44*$B79^2</f>
        <v>45.575933908046</v>
      </c>
      <c r="I79" s="15" t="n">
        <f aca="false">$I$39+$I$40*I$65+$I$41*$B79+$I$42*I$65*$B79+$I$43*I$65^2+$I$44*$B79^2</f>
        <v>46.0187298850575</v>
      </c>
      <c r="J79" s="15" t="n">
        <f aca="false">$I$39+$I$40*J$65+$I$41*$B79+$I$42*J$65*$B79+$I$43*J$65^2+$I$44*$B79^2</f>
        <v>46.4066637931035</v>
      </c>
      <c r="K79" s="15" t="n">
        <f aca="false">$I$39+$I$40*K$65+$I$41*$B79+$I$42*K$65*$B79+$I$43*K$65^2+$I$44*$B79^2</f>
        <v>46.7397356321839</v>
      </c>
      <c r="L79" s="15" t="n">
        <f aca="false">$I$39+$I$40*L$65+$I$41*$B79+$I$42*L$65*$B79+$I$43*L$65^2+$I$44*$B79^2</f>
        <v>47.0179454022989</v>
      </c>
      <c r="M79" s="15" t="n">
        <f aca="false">$I$39+$I$40*M$65+$I$41*$B79+$I$42*M$65*$B79+$I$43*M$65^2+$I$44*$B79^2</f>
        <v>47.2412931034483</v>
      </c>
      <c r="N79" s="15" t="n">
        <f aca="false">$I$39+$I$40*N$65+$I$41*$B79+$I$42*N$65*$B79+$I$43*N$65^2+$I$44*$B79^2</f>
        <v>47.4097787356322</v>
      </c>
      <c r="O79" s="15" t="n">
        <f aca="false">$I$39+$I$40*O$65+$I$41*$B79+$I$42*O$65*$B79+$I$43*O$65^2+$I$44*$B79^2</f>
        <v>47.5234022988506</v>
      </c>
      <c r="P79" s="15" t="n">
        <f aca="false">$I$39+$I$40*P$65+$I$41*$B79+$I$42*P$65*$B79+$I$43*P$65^2+$I$44*$B79^2</f>
        <v>47.5821637931035</v>
      </c>
      <c r="Q79" s="15" t="n">
        <f aca="false">$I$39+$I$40*Q$65+$I$41*$B79+$I$42*Q$65*$B79+$I$43*Q$65^2+$I$44*$B79^2</f>
        <v>47.5860632183908</v>
      </c>
      <c r="R79" s="15" t="n">
        <f aca="false">$I$39+$I$40*R$65+$I$41*$B79+$I$42*R$65*$B79+$I$43*R$65^2+$I$44*$B79^2</f>
        <v>47.5351005747126</v>
      </c>
      <c r="S79" s="15" t="n">
        <f aca="false">$I$39+$I$40*S$65+$I$41*$B79+$I$42*S$65*$B79+$I$43*S$65^2+$I$44*$B79^2</f>
        <v>47.429275862069</v>
      </c>
      <c r="T79" s="15" t="n">
        <f aca="false">$I$39+$I$40*T$65+$I$41*$B79+$I$42*T$65*$B79+$I$43*T$65^2+$I$44*$B79^2</f>
        <v>47.2685890804598</v>
      </c>
      <c r="U79" s="15" t="n">
        <f aca="false">$I$39+$I$40*U$65+$I$41*$B79+$I$42*U$65*$B79+$I$43*U$65^2+$I$44*$B79^2</f>
        <v>47.0530402298851</v>
      </c>
      <c r="V79" s="15" t="n">
        <f aca="false">$I$39+$I$40*V$65+$I$41*$B79+$I$42*V$65*$B79+$I$43*V$65^2+$I$44*$B79^2</f>
        <v>46.7826293103448</v>
      </c>
      <c r="W79" s="15" t="n">
        <f aca="false">$I$39+$I$40*W$65+$I$41*$B79+$I$42*W$65*$B79+$I$43*W$65^2+$I$44*$B79^2</f>
        <v>46.4573563218391</v>
      </c>
    </row>
    <row r="80" customFormat="false" ht="15" hidden="false" customHeight="false" outlineLevel="0" collapsed="false">
      <c r="B80" s="39" t="n">
        <v>-0.4</v>
      </c>
      <c r="C80" s="15" t="n">
        <f aca="false">$I$39+$I$40*C$65+$I$41*$B80+$I$42*C$65*$B80+$I$43*C$65^2+$I$44*$B80^2</f>
        <v>42.2585057471264</v>
      </c>
      <c r="D80" s="15" t="n">
        <f aca="false">$I$39+$I$40*D$65+$I$41*$B80+$I$42*D$65*$B80+$I$43*D$65^2+$I$44*$B80^2</f>
        <v>42.9703620689655</v>
      </c>
      <c r="E80" s="15" t="n">
        <f aca="false">$I$39+$I$40*E$65+$I$41*$B80+$I$42*E$65*$B80+$I$43*E$65^2+$I$44*$B80^2</f>
        <v>43.6273563218391</v>
      </c>
      <c r="F80" s="15" t="n">
        <f aca="false">$I$39+$I$40*F$65+$I$41*$B80+$I$42*F$65*$B80+$I$43*F$65^2+$I$44*$B80^2</f>
        <v>44.2294885057471</v>
      </c>
      <c r="G80" s="15" t="n">
        <f aca="false">$I$39+$I$40*G$65+$I$41*$B80+$I$42*G$65*$B80+$I$43*G$65^2+$I$44*$B80^2</f>
        <v>44.7767586206897</v>
      </c>
      <c r="H80" s="15" t="n">
        <f aca="false">$I$39+$I$40*H$65+$I$41*$B80+$I$42*H$65*$B80+$I$43*H$65^2+$I$44*$B80^2</f>
        <v>45.2691666666667</v>
      </c>
      <c r="I80" s="15" t="n">
        <f aca="false">$I$39+$I$40*I$65+$I$41*$B80+$I$42*I$65*$B80+$I$43*I$65^2+$I$44*$B80^2</f>
        <v>45.7067126436782</v>
      </c>
      <c r="J80" s="15" t="n">
        <f aca="false">$I$39+$I$40*J$65+$I$41*$B80+$I$42*J$65*$B80+$I$43*J$65^2+$I$44*$B80^2</f>
        <v>46.0893965517241</v>
      </c>
      <c r="K80" s="15" t="n">
        <f aca="false">$I$39+$I$40*K$65+$I$41*$B80+$I$42*K$65*$B80+$I$43*K$65^2+$I$44*$B80^2</f>
        <v>46.4172183908046</v>
      </c>
      <c r="L80" s="15" t="n">
        <f aca="false">$I$39+$I$40*L$65+$I$41*$B80+$I$42*L$65*$B80+$I$43*L$65^2+$I$44*$B80^2</f>
        <v>46.6901781609195</v>
      </c>
      <c r="M80" s="15" t="n">
        <f aca="false">$I$39+$I$40*M$65+$I$41*$B80+$I$42*M$65*$B80+$I$43*M$65^2+$I$44*$B80^2</f>
        <v>46.908275862069</v>
      </c>
      <c r="N80" s="15" t="n">
        <f aca="false">$I$39+$I$40*N$65+$I$41*$B80+$I$42*N$65*$B80+$I$43*N$65^2+$I$44*$B80^2</f>
        <v>47.0715114942529</v>
      </c>
      <c r="O80" s="15" t="n">
        <f aca="false">$I$39+$I$40*O$65+$I$41*$B80+$I$42*O$65*$B80+$I$43*O$65^2+$I$44*$B80^2</f>
        <v>47.1798850574713</v>
      </c>
      <c r="P80" s="15" t="n">
        <f aca="false">$I$39+$I$40*P$65+$I$41*$B80+$I$42*P$65*$B80+$I$43*P$65^2+$I$44*$B80^2</f>
        <v>47.2333965517241</v>
      </c>
      <c r="Q80" s="15" t="n">
        <f aca="false">$I$39+$I$40*Q$65+$I$41*$B80+$I$42*Q$65*$B80+$I$43*Q$65^2+$I$44*$B80^2</f>
        <v>47.2320459770115</v>
      </c>
      <c r="R80" s="15" t="n">
        <f aca="false">$I$39+$I$40*R$65+$I$41*$B80+$I$42*R$65*$B80+$I$43*R$65^2+$I$44*$B80^2</f>
        <v>47.1758333333333</v>
      </c>
      <c r="S80" s="15" t="n">
        <f aca="false">$I$39+$I$40*S$65+$I$41*$B80+$I$42*S$65*$B80+$I$43*S$65^2+$I$44*$B80^2</f>
        <v>47.0647586206897</v>
      </c>
      <c r="T80" s="15" t="n">
        <f aca="false">$I$39+$I$40*T$65+$I$41*$B80+$I$42*T$65*$B80+$I$43*T$65^2+$I$44*$B80^2</f>
        <v>46.8988218390805</v>
      </c>
      <c r="U80" s="15" t="n">
        <f aca="false">$I$39+$I$40*U$65+$I$41*$B80+$I$42*U$65*$B80+$I$43*U$65^2+$I$44*$B80^2</f>
        <v>46.6780229885057</v>
      </c>
      <c r="V80" s="15" t="n">
        <f aca="false">$I$39+$I$40*V$65+$I$41*$B80+$I$42*V$65*$B80+$I$43*V$65^2+$I$44*$B80^2</f>
        <v>46.4023620689655</v>
      </c>
      <c r="W80" s="15" t="n">
        <f aca="false">$I$39+$I$40*W$65+$I$41*$B80+$I$42*W$65*$B80+$I$43*W$65^2+$I$44*$B80^2</f>
        <v>46.0718390804598</v>
      </c>
    </row>
    <row r="81" customFormat="false" ht="15" hidden="false" customHeight="false" outlineLevel="0" collapsed="false">
      <c r="B81" s="39" t="n">
        <v>-0.5</v>
      </c>
      <c r="C81" s="15" t="n">
        <f aca="false">$I$39+$I$40*C$65+$I$41*$B81+$I$42*C$65*$B81+$I$43*C$65^2+$I$44*$B81^2</f>
        <v>41.9471264367816</v>
      </c>
      <c r="D81" s="15" t="n">
        <f aca="false">$I$39+$I$40*D$65+$I$41*$B81+$I$42*D$65*$B81+$I$43*D$65^2+$I$44*$B81^2</f>
        <v>42.6537327586207</v>
      </c>
      <c r="E81" s="15" t="n">
        <f aca="false">$I$39+$I$40*E$65+$I$41*$B81+$I$42*E$65*$B81+$I$43*E$65^2+$I$44*$B81^2</f>
        <v>43.3054770114942</v>
      </c>
      <c r="F81" s="15" t="n">
        <f aca="false">$I$39+$I$40*F$65+$I$41*$B81+$I$42*F$65*$B81+$I$43*F$65^2+$I$44*$B81^2</f>
        <v>43.9023591954023</v>
      </c>
      <c r="G81" s="15" t="n">
        <f aca="false">$I$39+$I$40*G$65+$I$41*$B81+$I$42*G$65*$B81+$I$43*G$65^2+$I$44*$B81^2</f>
        <v>44.4443793103448</v>
      </c>
      <c r="H81" s="15" t="n">
        <f aca="false">$I$39+$I$40*H$65+$I$41*$B81+$I$42*H$65*$B81+$I$43*H$65^2+$I$44*$B81^2</f>
        <v>44.9315373563218</v>
      </c>
      <c r="I81" s="15" t="n">
        <f aca="false">$I$39+$I$40*I$65+$I$41*$B81+$I$42*I$65*$B81+$I$43*I$65^2+$I$44*$B81^2</f>
        <v>45.3638333333333</v>
      </c>
      <c r="J81" s="15" t="n">
        <f aca="false">$I$39+$I$40*J$65+$I$41*$B81+$I$42*J$65*$B81+$I$43*J$65^2+$I$44*$B81^2</f>
        <v>45.7412672413793</v>
      </c>
      <c r="K81" s="15" t="n">
        <f aca="false">$I$39+$I$40*K$65+$I$41*$B81+$I$42*K$65*$B81+$I$43*K$65^2+$I$44*$B81^2</f>
        <v>46.0638390804598</v>
      </c>
      <c r="L81" s="15" t="n">
        <f aca="false">$I$39+$I$40*L$65+$I$41*$B81+$I$42*L$65*$B81+$I$43*L$65^2+$I$44*$B81^2</f>
        <v>46.3315488505747</v>
      </c>
      <c r="M81" s="15" t="n">
        <f aca="false">$I$39+$I$40*M$65+$I$41*$B81+$I$42*M$65*$B81+$I$43*M$65^2+$I$44*$B81^2</f>
        <v>46.5443965517241</v>
      </c>
      <c r="N81" s="15" t="n">
        <f aca="false">$I$39+$I$40*N$65+$I$41*$B81+$I$42*N$65*$B81+$I$43*N$65^2+$I$44*$B81^2</f>
        <v>46.702382183908</v>
      </c>
      <c r="O81" s="15" t="n">
        <f aca="false">$I$39+$I$40*O$65+$I$41*$B81+$I$42*O$65*$B81+$I$43*O$65^2+$I$44*$B81^2</f>
        <v>46.8055057471264</v>
      </c>
      <c r="P81" s="15" t="n">
        <f aca="false">$I$39+$I$40*P$65+$I$41*$B81+$I$42*P$65*$B81+$I$43*P$65^2+$I$44*$B81^2</f>
        <v>46.8537672413793</v>
      </c>
      <c r="Q81" s="15" t="n">
        <f aca="false">$I$39+$I$40*Q$65+$I$41*$B81+$I$42*Q$65*$B81+$I$43*Q$65^2+$I$44*$B81^2</f>
        <v>46.8471666666667</v>
      </c>
      <c r="R81" s="15" t="n">
        <f aca="false">$I$39+$I$40*R$65+$I$41*$B81+$I$42*R$65*$B81+$I$43*R$65^2+$I$44*$B81^2</f>
        <v>46.7857040229885</v>
      </c>
      <c r="S81" s="15" t="n">
        <f aca="false">$I$39+$I$40*S$65+$I$41*$B81+$I$42*S$65*$B81+$I$43*S$65^2+$I$44*$B81^2</f>
        <v>46.6693793103448</v>
      </c>
      <c r="T81" s="15" t="n">
        <f aca="false">$I$39+$I$40*T$65+$I$41*$B81+$I$42*T$65*$B81+$I$43*T$65^2+$I$44*$B81^2</f>
        <v>46.4981925287356</v>
      </c>
      <c r="U81" s="15" t="n">
        <f aca="false">$I$39+$I$40*U$65+$I$41*$B81+$I$42*U$65*$B81+$I$43*U$65^2+$I$44*$B81^2</f>
        <v>46.2721436781609</v>
      </c>
      <c r="V81" s="15" t="n">
        <f aca="false">$I$39+$I$40*V$65+$I$41*$B81+$I$42*V$65*$B81+$I$43*V$65^2+$I$44*$B81^2</f>
        <v>45.9912327586207</v>
      </c>
      <c r="W81" s="15" t="n">
        <f aca="false">$I$39+$I$40*W$65+$I$41*$B81+$I$42*W$65*$B81+$I$43*W$65^2+$I$44*$B81^2</f>
        <v>45.6554597701149</v>
      </c>
    </row>
    <row r="82" customFormat="false" ht="15" hidden="false" customHeight="false" outlineLevel="0" collapsed="false">
      <c r="B82" s="39" t="n">
        <v>-0.6</v>
      </c>
      <c r="C82" s="15" t="n">
        <f aca="false">$I$39+$I$40*C$65+$I$41*$B82+$I$42*C$65*$B82+$I$43*C$65^2+$I$44*$B82^2</f>
        <v>41.6048850574712</v>
      </c>
      <c r="D82" s="15" t="n">
        <f aca="false">$I$39+$I$40*D$65+$I$41*$B82+$I$42*D$65*$B82+$I$43*D$65^2+$I$44*$B82^2</f>
        <v>42.3062413793103</v>
      </c>
      <c r="E82" s="15" t="n">
        <f aca="false">$I$39+$I$40*E$65+$I$41*$B82+$I$42*E$65*$B82+$I$43*E$65^2+$I$44*$B82^2</f>
        <v>42.9527356321839</v>
      </c>
      <c r="F82" s="15" t="n">
        <f aca="false">$I$39+$I$40*F$65+$I$41*$B82+$I$42*F$65*$B82+$I$43*F$65^2+$I$44*$B82^2</f>
        <v>43.5443678160919</v>
      </c>
      <c r="G82" s="15" t="n">
        <f aca="false">$I$39+$I$40*G$65+$I$41*$B82+$I$42*G$65*$B82+$I$43*G$65^2+$I$44*$B82^2</f>
        <v>44.0811379310345</v>
      </c>
      <c r="H82" s="15" t="n">
        <f aca="false">$I$39+$I$40*H$65+$I$41*$B82+$I$42*H$65*$B82+$I$43*H$65^2+$I$44*$B82^2</f>
        <v>44.5630459770115</v>
      </c>
      <c r="I82" s="15" t="n">
        <f aca="false">$I$39+$I$40*I$65+$I$41*$B82+$I$42*I$65*$B82+$I$43*I$65^2+$I$44*$B82^2</f>
        <v>44.990091954023</v>
      </c>
      <c r="J82" s="15" t="n">
        <f aca="false">$I$39+$I$40*J$65+$I$41*$B82+$I$42*J$65*$B82+$I$43*J$65^2+$I$44*$B82^2</f>
        <v>45.362275862069</v>
      </c>
      <c r="K82" s="15" t="n">
        <f aca="false">$I$39+$I$40*K$65+$I$41*$B82+$I$42*K$65*$B82+$I$43*K$65^2+$I$44*$B82^2</f>
        <v>45.6795977011494</v>
      </c>
      <c r="L82" s="15" t="n">
        <f aca="false">$I$39+$I$40*L$65+$I$41*$B82+$I$42*L$65*$B82+$I$43*L$65^2+$I$44*$B82^2</f>
        <v>45.9420574712644</v>
      </c>
      <c r="M82" s="15" t="n">
        <f aca="false">$I$39+$I$40*M$65+$I$41*$B82+$I$42*M$65*$B82+$I$43*M$65^2+$I$44*$B82^2</f>
        <v>46.1496551724138</v>
      </c>
      <c r="N82" s="15" t="n">
        <f aca="false">$I$39+$I$40*N$65+$I$41*$B82+$I$42*N$65*$B82+$I$43*N$65^2+$I$44*$B82^2</f>
        <v>46.3023908045977</v>
      </c>
      <c r="O82" s="15" t="n">
        <f aca="false">$I$39+$I$40*O$65+$I$41*$B82+$I$42*O$65*$B82+$I$43*O$65^2+$I$44*$B82^2</f>
        <v>46.4002643678161</v>
      </c>
      <c r="P82" s="15" t="n">
        <f aca="false">$I$39+$I$40*P$65+$I$41*$B82+$I$42*P$65*$B82+$I$43*P$65^2+$I$44*$B82^2</f>
        <v>46.443275862069</v>
      </c>
      <c r="Q82" s="15" t="n">
        <f aca="false">$I$39+$I$40*Q$65+$I$41*$B82+$I$42*Q$65*$B82+$I$43*Q$65^2+$I$44*$B82^2</f>
        <v>46.4314252873563</v>
      </c>
      <c r="R82" s="15" t="n">
        <f aca="false">$I$39+$I$40*R$65+$I$41*$B82+$I$42*R$65*$B82+$I$43*R$65^2+$I$44*$B82^2</f>
        <v>46.3647126436782</v>
      </c>
      <c r="S82" s="15" t="n">
        <f aca="false">$I$39+$I$40*S$65+$I$41*$B82+$I$42*S$65*$B82+$I$43*S$65^2+$I$44*$B82^2</f>
        <v>46.2431379310345</v>
      </c>
      <c r="T82" s="15" t="n">
        <f aca="false">$I$39+$I$40*T$65+$I$41*$B82+$I$42*T$65*$B82+$I$43*T$65^2+$I$44*$B82^2</f>
        <v>46.0667011494253</v>
      </c>
      <c r="U82" s="15" t="n">
        <f aca="false">$I$39+$I$40*U$65+$I$41*$B82+$I$42*U$65*$B82+$I$43*U$65^2+$I$44*$B82^2</f>
        <v>45.8354022988506</v>
      </c>
      <c r="V82" s="15" t="n">
        <f aca="false">$I$39+$I$40*V$65+$I$41*$B82+$I$42*V$65*$B82+$I$43*V$65^2+$I$44*$B82^2</f>
        <v>45.5492413793103</v>
      </c>
      <c r="W82" s="15" t="n">
        <f aca="false">$I$39+$I$40*W$65+$I$41*$B82+$I$42*W$65*$B82+$I$43*W$65^2+$I$44*$B82^2</f>
        <v>45.2082183908046</v>
      </c>
    </row>
    <row r="83" customFormat="false" ht="15" hidden="false" customHeight="false" outlineLevel="0" collapsed="false">
      <c r="B83" s="39" t="n">
        <v>-0.7</v>
      </c>
      <c r="C83" s="15" t="n">
        <f aca="false">$I$39+$I$40*C$65+$I$41*$B83+$I$42*C$65*$B83+$I$43*C$65^2+$I$44*$B83^2</f>
        <v>41.2317816091954</v>
      </c>
      <c r="D83" s="15" t="n">
        <f aca="false">$I$39+$I$40*D$65+$I$41*$B83+$I$42*D$65*$B83+$I$43*D$65^2+$I$44*$B83^2</f>
        <v>41.9278879310345</v>
      </c>
      <c r="E83" s="15" t="n">
        <f aca="false">$I$39+$I$40*E$65+$I$41*$B83+$I$42*E$65*$B83+$I$43*E$65^2+$I$44*$B83^2</f>
        <v>42.569132183908</v>
      </c>
      <c r="F83" s="15" t="n">
        <f aca="false">$I$39+$I$40*F$65+$I$41*$B83+$I$42*F$65*$B83+$I$43*F$65^2+$I$44*$B83^2</f>
        <v>43.1555143678161</v>
      </c>
      <c r="G83" s="15" t="n">
        <f aca="false">$I$39+$I$40*G$65+$I$41*$B83+$I$42*G$65*$B83+$I$43*G$65^2+$I$44*$B83^2</f>
        <v>43.6870344827586</v>
      </c>
      <c r="H83" s="15" t="n">
        <f aca="false">$I$39+$I$40*H$65+$I$41*$B83+$I$42*H$65*$B83+$I$43*H$65^2+$I$44*$B83^2</f>
        <v>44.1636925287356</v>
      </c>
      <c r="I83" s="15" t="n">
        <f aca="false">$I$39+$I$40*I$65+$I$41*$B83+$I$42*I$65*$B83+$I$43*I$65^2+$I$44*$B83^2</f>
        <v>44.5854885057471</v>
      </c>
      <c r="J83" s="15" t="n">
        <f aca="false">$I$39+$I$40*J$65+$I$41*$B83+$I$42*J$65*$B83+$I$43*J$65^2+$I$44*$B83^2</f>
        <v>44.9524224137931</v>
      </c>
      <c r="K83" s="15" t="n">
        <f aca="false">$I$39+$I$40*K$65+$I$41*$B83+$I$42*K$65*$B83+$I$43*K$65^2+$I$44*$B83^2</f>
        <v>45.2644942528736</v>
      </c>
      <c r="L83" s="15" t="n">
        <f aca="false">$I$39+$I$40*L$65+$I$41*$B83+$I$42*L$65*$B83+$I$43*L$65^2+$I$44*$B83^2</f>
        <v>45.5217040229885</v>
      </c>
      <c r="M83" s="15" t="n">
        <f aca="false">$I$39+$I$40*M$65+$I$41*$B83+$I$42*M$65*$B83+$I$43*M$65^2+$I$44*$B83^2</f>
        <v>45.7240517241379</v>
      </c>
      <c r="N83" s="15" t="n">
        <f aca="false">$I$39+$I$40*N$65+$I$41*$B83+$I$42*N$65*$B83+$I$43*N$65^2+$I$44*$B83^2</f>
        <v>45.8715373563218</v>
      </c>
      <c r="O83" s="15" t="n">
        <f aca="false">$I$39+$I$40*O$65+$I$41*$B83+$I$42*O$65*$B83+$I$43*O$65^2+$I$44*$B83^2</f>
        <v>45.9641609195402</v>
      </c>
      <c r="P83" s="15" t="n">
        <f aca="false">$I$39+$I$40*P$65+$I$41*$B83+$I$42*P$65*$B83+$I$43*P$65^2+$I$44*$B83^2</f>
        <v>46.0019224137931</v>
      </c>
      <c r="Q83" s="15" t="n">
        <f aca="false">$I$39+$I$40*Q$65+$I$41*$B83+$I$42*Q$65*$B83+$I$43*Q$65^2+$I$44*$B83^2</f>
        <v>45.9848218390805</v>
      </c>
      <c r="R83" s="15" t="n">
        <f aca="false">$I$39+$I$40*R$65+$I$41*$B83+$I$42*R$65*$B83+$I$43*R$65^2+$I$44*$B83^2</f>
        <v>45.9128591954023</v>
      </c>
      <c r="S83" s="15" t="n">
        <f aca="false">$I$39+$I$40*S$65+$I$41*$B83+$I$42*S$65*$B83+$I$43*S$65^2+$I$44*$B83^2</f>
        <v>45.7860344827586</v>
      </c>
      <c r="T83" s="15" t="n">
        <f aca="false">$I$39+$I$40*T$65+$I$41*$B83+$I$42*T$65*$B83+$I$43*T$65^2+$I$44*$B83^2</f>
        <v>45.6043477011494</v>
      </c>
      <c r="U83" s="15" t="n">
        <f aca="false">$I$39+$I$40*U$65+$I$41*$B83+$I$42*U$65*$B83+$I$43*U$65^2+$I$44*$B83^2</f>
        <v>45.3677988505747</v>
      </c>
      <c r="V83" s="15" t="n">
        <f aca="false">$I$39+$I$40*V$65+$I$41*$B83+$I$42*V$65*$B83+$I$43*V$65^2+$I$44*$B83^2</f>
        <v>45.0763879310345</v>
      </c>
      <c r="W83" s="15" t="n">
        <f aca="false">$I$39+$I$40*W$65+$I$41*$B83+$I$42*W$65*$B83+$I$43*W$65^2+$I$44*$B83^2</f>
        <v>44.7301149425287</v>
      </c>
    </row>
    <row r="84" customFormat="false" ht="15" hidden="false" customHeight="false" outlineLevel="0" collapsed="false">
      <c r="B84" s="39" t="n">
        <v>-0.8</v>
      </c>
      <c r="C84" s="15" t="n">
        <f aca="false">$I$39+$I$40*C$65+$I$41*$B84+$I$42*C$65*$B84+$I$43*C$65^2+$I$44*$B84^2</f>
        <v>40.827816091954</v>
      </c>
      <c r="D84" s="15" t="n">
        <f aca="false">$I$39+$I$40*D$65+$I$41*$B84+$I$42*D$65*$B84+$I$43*D$65^2+$I$44*$B84^2</f>
        <v>41.5186724137931</v>
      </c>
      <c r="E84" s="15" t="n">
        <f aca="false">$I$39+$I$40*E$65+$I$41*$B84+$I$42*E$65*$B84+$I$43*E$65^2+$I$44*$B84^2</f>
        <v>42.1546666666667</v>
      </c>
      <c r="F84" s="15" t="n">
        <f aca="false">$I$39+$I$40*F$65+$I$41*$B84+$I$42*F$65*$B84+$I$43*F$65^2+$I$44*$B84^2</f>
        <v>42.7357988505747</v>
      </c>
      <c r="G84" s="15" t="n">
        <f aca="false">$I$39+$I$40*G$65+$I$41*$B84+$I$42*G$65*$B84+$I$43*G$65^2+$I$44*$B84^2</f>
        <v>43.2620689655172</v>
      </c>
      <c r="H84" s="15" t="n">
        <f aca="false">$I$39+$I$40*H$65+$I$41*$B84+$I$42*H$65*$B84+$I$43*H$65^2+$I$44*$B84^2</f>
        <v>43.7334770114942</v>
      </c>
      <c r="I84" s="15" t="n">
        <f aca="false">$I$39+$I$40*I$65+$I$41*$B84+$I$42*I$65*$B84+$I$43*I$65^2+$I$44*$B84^2</f>
        <v>44.1500229885058</v>
      </c>
      <c r="J84" s="15" t="n">
        <f aca="false">$I$39+$I$40*J$65+$I$41*$B84+$I$42*J$65*$B84+$I$43*J$65^2+$I$44*$B84^2</f>
        <v>44.5117068965517</v>
      </c>
      <c r="K84" s="15" t="n">
        <f aca="false">$I$39+$I$40*K$65+$I$41*$B84+$I$42*K$65*$B84+$I$43*K$65^2+$I$44*$B84^2</f>
        <v>44.8185287356322</v>
      </c>
      <c r="L84" s="15" t="n">
        <f aca="false">$I$39+$I$40*L$65+$I$41*$B84+$I$42*L$65*$B84+$I$43*L$65^2+$I$44*$B84^2</f>
        <v>45.0704885057471</v>
      </c>
      <c r="M84" s="15" t="n">
        <f aca="false">$I$39+$I$40*M$65+$I$41*$B84+$I$42*M$65*$B84+$I$43*M$65^2+$I$44*$B84^2</f>
        <v>45.2675862068966</v>
      </c>
      <c r="N84" s="15" t="n">
        <f aca="false">$I$39+$I$40*N$65+$I$41*$B84+$I$42*N$65*$B84+$I$43*N$65^2+$I$44*$B84^2</f>
        <v>45.4098218390805</v>
      </c>
      <c r="O84" s="15" t="n">
        <f aca="false">$I$39+$I$40*O$65+$I$41*$B84+$I$42*O$65*$B84+$I$43*O$65^2+$I$44*$B84^2</f>
        <v>45.4971954022989</v>
      </c>
      <c r="P84" s="15" t="n">
        <f aca="false">$I$39+$I$40*P$65+$I$41*$B84+$I$42*P$65*$B84+$I$43*P$65^2+$I$44*$B84^2</f>
        <v>45.5297068965517</v>
      </c>
      <c r="Q84" s="15" t="n">
        <f aca="false">$I$39+$I$40*Q$65+$I$41*$B84+$I$42*Q$65*$B84+$I$43*Q$65^2+$I$44*$B84^2</f>
        <v>45.5073563218391</v>
      </c>
      <c r="R84" s="15" t="n">
        <f aca="false">$I$39+$I$40*R$65+$I$41*$B84+$I$42*R$65*$B84+$I$43*R$65^2+$I$44*$B84^2</f>
        <v>45.4301436781609</v>
      </c>
      <c r="S84" s="15" t="n">
        <f aca="false">$I$39+$I$40*S$65+$I$41*$B84+$I$42*S$65*$B84+$I$43*S$65^2+$I$44*$B84^2</f>
        <v>45.2980689655172</v>
      </c>
      <c r="T84" s="15" t="n">
        <f aca="false">$I$39+$I$40*T$65+$I$41*$B84+$I$42*T$65*$B84+$I$43*T$65^2+$I$44*$B84^2</f>
        <v>45.111132183908</v>
      </c>
      <c r="U84" s="15" t="n">
        <f aca="false">$I$39+$I$40*U$65+$I$41*$B84+$I$42*U$65*$B84+$I$43*U$65^2+$I$44*$B84^2</f>
        <v>44.8693333333333</v>
      </c>
      <c r="V84" s="15" t="n">
        <f aca="false">$I$39+$I$40*V$65+$I$41*$B84+$I$42*V$65*$B84+$I$43*V$65^2+$I$44*$B84^2</f>
        <v>44.5726724137931</v>
      </c>
      <c r="W84" s="15" t="n">
        <f aca="false">$I$39+$I$40*W$65+$I$41*$B84+$I$42*W$65*$B84+$I$43*W$65^2+$I$44*$B84^2</f>
        <v>44.2211494252873</v>
      </c>
    </row>
    <row r="85" customFormat="false" ht="15" hidden="false" customHeight="false" outlineLevel="0" collapsed="false">
      <c r="B85" s="39" t="n">
        <v>-0.9</v>
      </c>
      <c r="C85" s="15" t="n">
        <f aca="false">$I$39+$I$40*C$65+$I$41*$B85+$I$42*C$65*$B85+$I$43*C$65^2+$I$44*$B85^2</f>
        <v>40.3929885057471</v>
      </c>
      <c r="D85" s="15" t="n">
        <f aca="false">$I$39+$I$40*D$65+$I$41*$B85+$I$42*D$65*$B85+$I$43*D$65^2+$I$44*$B85^2</f>
        <v>41.0785948275862</v>
      </c>
      <c r="E85" s="15" t="n">
        <f aca="false">$I$39+$I$40*E$65+$I$41*$B85+$I$42*E$65*$B85+$I$43*E$65^2+$I$44*$B85^2</f>
        <v>41.7093390804598</v>
      </c>
      <c r="F85" s="15" t="n">
        <f aca="false">$I$39+$I$40*F$65+$I$41*$B85+$I$42*F$65*$B85+$I$43*F$65^2+$I$44*$B85^2</f>
        <v>42.2852212643678</v>
      </c>
      <c r="G85" s="15" t="n">
        <f aca="false">$I$39+$I$40*G$65+$I$41*$B85+$I$42*G$65*$B85+$I$43*G$65^2+$I$44*$B85^2</f>
        <v>42.8062413793103</v>
      </c>
      <c r="H85" s="15" t="n">
        <f aca="false">$I$39+$I$40*H$65+$I$41*$B85+$I$42*H$65*$B85+$I$43*H$65^2+$I$44*$B85^2</f>
        <v>43.2723994252874</v>
      </c>
      <c r="I85" s="15" t="n">
        <f aca="false">$I$39+$I$40*I$65+$I$41*$B85+$I$42*I$65*$B85+$I$43*I$65^2+$I$44*$B85^2</f>
        <v>43.6836954022989</v>
      </c>
      <c r="J85" s="15" t="n">
        <f aca="false">$I$39+$I$40*J$65+$I$41*$B85+$I$42*J$65*$B85+$I$43*J$65^2+$I$44*$B85^2</f>
        <v>44.0401293103448</v>
      </c>
      <c r="K85" s="15" t="n">
        <f aca="false">$I$39+$I$40*K$65+$I$41*$B85+$I$42*K$65*$B85+$I$43*K$65^2+$I$44*$B85^2</f>
        <v>44.3417011494253</v>
      </c>
      <c r="L85" s="15" t="n">
        <f aca="false">$I$39+$I$40*L$65+$I$41*$B85+$I$42*L$65*$B85+$I$43*L$65^2+$I$44*$B85^2</f>
        <v>44.5884109195402</v>
      </c>
      <c r="M85" s="15" t="n">
        <f aca="false">$I$39+$I$40*M$65+$I$41*$B85+$I$42*M$65*$B85+$I$43*M$65^2+$I$44*$B85^2</f>
        <v>44.7802586206897</v>
      </c>
      <c r="N85" s="15" t="n">
        <f aca="false">$I$39+$I$40*N$65+$I$41*$B85+$I$42*N$65*$B85+$I$43*N$65^2+$I$44*$B85^2</f>
        <v>44.9172442528736</v>
      </c>
      <c r="O85" s="15" t="n">
        <f aca="false">$I$39+$I$40*O$65+$I$41*$B85+$I$42*O$65*$B85+$I$43*O$65^2+$I$44*$B85^2</f>
        <v>44.999367816092</v>
      </c>
      <c r="P85" s="15" t="n">
        <f aca="false">$I$39+$I$40*P$65+$I$41*$B85+$I$42*P$65*$B85+$I$43*P$65^2+$I$44*$B85^2</f>
        <v>45.0266293103448</v>
      </c>
      <c r="Q85" s="15" t="n">
        <f aca="false">$I$39+$I$40*Q$65+$I$41*$B85+$I$42*Q$65*$B85+$I$43*Q$65^2+$I$44*$B85^2</f>
        <v>44.9990287356322</v>
      </c>
      <c r="R85" s="15" t="n">
        <f aca="false">$I$39+$I$40*R$65+$I$41*$B85+$I$42*R$65*$B85+$I$43*R$65^2+$I$44*$B85^2</f>
        <v>44.916566091954</v>
      </c>
      <c r="S85" s="15" t="n">
        <f aca="false">$I$39+$I$40*S$65+$I$41*$B85+$I$42*S$65*$B85+$I$43*S$65^2+$I$44*$B85^2</f>
        <v>44.7792413793104</v>
      </c>
      <c r="T85" s="15" t="n">
        <f aca="false">$I$39+$I$40*T$65+$I$41*$B85+$I$42*T$65*$B85+$I$43*T$65^2+$I$44*$B85^2</f>
        <v>44.5870545977011</v>
      </c>
      <c r="U85" s="15" t="n">
        <f aca="false">$I$39+$I$40*U$65+$I$41*$B85+$I$42*U$65*$B85+$I$43*U$65^2+$I$44*$B85^2</f>
        <v>44.3400057471264</v>
      </c>
      <c r="V85" s="15" t="n">
        <f aca="false">$I$39+$I$40*V$65+$I$41*$B85+$I$42*V$65*$B85+$I$43*V$65^2+$I$44*$B85^2</f>
        <v>44.0380948275862</v>
      </c>
      <c r="W85" s="15" t="n">
        <f aca="false">$I$39+$I$40*W$65+$I$41*$B85+$I$42*W$65*$B85+$I$43*W$65^2+$I$44*$B85^2</f>
        <v>43.6813218390805</v>
      </c>
    </row>
    <row r="86" customFormat="false" ht="15" hidden="false" customHeight="false" outlineLevel="0" collapsed="false">
      <c r="B86" s="39" t="n">
        <v>-1</v>
      </c>
      <c r="C86" s="15" t="n">
        <f aca="false">$I$39+$I$40*C$65+$I$41*$B86+$I$42*C$65*$B86+$I$43*C$65^2+$I$44*$B86^2</f>
        <v>39.9272988505747</v>
      </c>
      <c r="D86" s="15" t="n">
        <f aca="false">$I$39+$I$40*D$65+$I$41*$B86+$I$42*D$65*$B86+$I$43*D$65^2+$I$44*$B86^2</f>
        <v>40.6076551724138</v>
      </c>
      <c r="E86" s="15" t="n">
        <f aca="false">$I$39+$I$40*E$65+$I$41*$B86+$I$42*E$65*$B86+$I$43*E$65^2+$I$44*$B86^2</f>
        <v>41.2331494252873</v>
      </c>
      <c r="F86" s="15" t="n">
        <f aca="false">$I$39+$I$40*F$65+$I$41*$B86+$I$42*F$65*$B86+$I$43*F$65^2+$I$44*$B86^2</f>
        <v>41.8037816091954</v>
      </c>
      <c r="G86" s="15" t="n">
        <f aca="false">$I$39+$I$40*G$65+$I$41*$B86+$I$42*G$65*$B86+$I$43*G$65^2+$I$44*$B86^2</f>
        <v>42.3195517241379</v>
      </c>
      <c r="H86" s="15" t="n">
        <f aca="false">$I$39+$I$40*H$65+$I$41*$B86+$I$42*H$65*$B86+$I$43*H$65^2+$I$44*$B86^2</f>
        <v>42.7804597701149</v>
      </c>
      <c r="I86" s="15" t="n">
        <f aca="false">$I$39+$I$40*I$65+$I$41*$B86+$I$42*I$65*$B86+$I$43*I$65^2+$I$44*$B86^2</f>
        <v>43.1865057471264</v>
      </c>
      <c r="J86" s="15" t="n">
        <f aca="false">$I$39+$I$40*J$65+$I$41*$B86+$I$42*J$65*$B86+$I$43*J$65^2+$I$44*$B86^2</f>
        <v>43.5376896551724</v>
      </c>
      <c r="K86" s="15" t="n">
        <f aca="false">$I$39+$I$40*K$65+$I$41*$B86+$I$42*K$65*$B86+$I$43*K$65^2+$I$44*$B86^2</f>
        <v>43.8340114942529</v>
      </c>
      <c r="L86" s="15" t="n">
        <f aca="false">$I$39+$I$40*L$65+$I$41*$B86+$I$42*L$65*$B86+$I$43*L$65^2+$I$44*$B86^2</f>
        <v>44.0754712643678</v>
      </c>
      <c r="M86" s="15" t="n">
        <f aca="false">$I$39+$I$40*M$65+$I$41*$B86+$I$42*M$65*$B86+$I$43*M$65^2+$I$44*$B86^2</f>
        <v>44.2620689655172</v>
      </c>
      <c r="N86" s="15" t="n">
        <f aca="false">$I$39+$I$40*N$65+$I$41*$B86+$I$42*N$65*$B86+$I$43*N$65^2+$I$44*$B86^2</f>
        <v>44.3938045977012</v>
      </c>
      <c r="O86" s="15" t="n">
        <f aca="false">$I$39+$I$40*O$65+$I$41*$B86+$I$42*O$65*$B86+$I$43*O$65^2+$I$44*$B86^2</f>
        <v>44.4706781609196</v>
      </c>
      <c r="P86" s="15" t="n">
        <f aca="false">$I$39+$I$40*P$65+$I$41*$B86+$I$42*P$65*$B86+$I$43*P$65^2+$I$44*$B86^2</f>
        <v>44.4926896551724</v>
      </c>
      <c r="Q86" s="15" t="n">
        <f aca="false">$I$39+$I$40*Q$65+$I$41*$B86+$I$42*Q$65*$B86+$I$43*Q$65^2+$I$44*$B86^2</f>
        <v>44.4598390804598</v>
      </c>
      <c r="R86" s="15" t="n">
        <f aca="false">$I$39+$I$40*R$65+$I$41*$B86+$I$42*R$65*$B86+$I$43*R$65^2+$I$44*$B86^2</f>
        <v>44.3721264367816</v>
      </c>
      <c r="S86" s="15" t="n">
        <f aca="false">$I$39+$I$40*S$65+$I$41*$B86+$I$42*S$65*$B86+$I$43*S$65^2+$I$44*$B86^2</f>
        <v>44.2295517241379</v>
      </c>
      <c r="T86" s="15" t="n">
        <f aca="false">$I$39+$I$40*T$65+$I$41*$B86+$I$42*T$65*$B86+$I$43*T$65^2+$I$44*$B86^2</f>
        <v>44.0321149425287</v>
      </c>
      <c r="U86" s="15" t="n">
        <f aca="false">$I$39+$I$40*U$65+$I$41*$B86+$I$42*U$65*$B86+$I$43*U$65^2+$I$44*$B86^2</f>
        <v>43.779816091954</v>
      </c>
      <c r="V86" s="15" t="n">
        <f aca="false">$I$39+$I$40*V$65+$I$41*$B86+$I$42*V$65*$B86+$I$43*V$65^2+$I$44*$B86^2</f>
        <v>43.4726551724138</v>
      </c>
      <c r="W86" s="15" t="n">
        <f aca="false">$I$39+$I$40*W$65+$I$41*$B86+$I$42*W$65*$B86+$I$43*W$65^2+$I$44*$B86^2</f>
        <v>43.110632183908</v>
      </c>
    </row>
    <row r="89" customFormat="false" ht="15" hidden="false" customHeight="false" outlineLevel="0" collapsed="false">
      <c r="A89" s="38" t="s">
        <v>328</v>
      </c>
    </row>
    <row r="90" customFormat="false" ht="15" hidden="false" customHeight="false" outlineLevel="0" collapsed="false">
      <c r="C90" s="39" t="n">
        <v>-1</v>
      </c>
      <c r="D90" s="39" t="n">
        <v>-0.9</v>
      </c>
      <c r="E90" s="39" t="n">
        <v>-0.8</v>
      </c>
      <c r="F90" s="39" t="n">
        <v>-0.7</v>
      </c>
      <c r="G90" s="39" t="n">
        <v>-0.6</v>
      </c>
      <c r="H90" s="39" t="n">
        <v>-0.5</v>
      </c>
      <c r="I90" s="39" t="n">
        <v>-0.4</v>
      </c>
      <c r="J90" s="39" t="n">
        <v>-0.3</v>
      </c>
      <c r="K90" s="39" t="n">
        <v>-0.2</v>
      </c>
      <c r="L90" s="39" t="n">
        <v>-0.1</v>
      </c>
      <c r="M90" s="39" t="n">
        <v>0</v>
      </c>
      <c r="N90" s="39" t="n">
        <v>0.1</v>
      </c>
      <c r="O90" s="39" t="n">
        <v>0.2</v>
      </c>
      <c r="P90" s="39" t="n">
        <v>0.3</v>
      </c>
      <c r="Q90" s="39" t="n">
        <v>0.4</v>
      </c>
      <c r="R90" s="39" t="n">
        <v>0.5</v>
      </c>
      <c r="S90" s="39" t="n">
        <v>0.6</v>
      </c>
      <c r="T90" s="39" t="n">
        <v>0.7</v>
      </c>
      <c r="U90" s="39" t="n">
        <v>0.8</v>
      </c>
      <c r="V90" s="39" t="n">
        <v>0.9</v>
      </c>
      <c r="W90" s="39" t="n">
        <v>1</v>
      </c>
    </row>
    <row r="91" customFormat="false" ht="15" hidden="false" customHeight="false" outlineLevel="0" collapsed="false">
      <c r="B91" s="39" t="n">
        <v>1</v>
      </c>
      <c r="C91" s="30" t="n">
        <f aca="false">$D$48+$D$49*$B91^1+$D$50*$B91^2+$D$51*$B91^3+$D$52*$B91^4+$D$53*C$90^1+$D$54*C$90^1*$B91^1+$D$55*C$90^1*$B91^2+$D$56*C$90^1*$B91^3+$D$57*C$90^2+$D$58*C$90^2*$B91^1+$D$59*C$90^2*$B91^2+$D$60*C$90^3+$D$61*C$90^3*$B91^1+$D$62*C$90^4</f>
        <v>0.790229885057471</v>
      </c>
      <c r="D91" s="30" t="n">
        <f aca="false">$D$48+$D$49*$B91^1+$D$50*$B91^2+$D$51*$B91^3+$D$52*$B91^4+$D$53*D$90^1+$D$54*D$90^1*$B91^1+$D$55*D$90^1*$B91^2+$D$56*D$90^1*$B91^3+$D$57*D$90^2+$D$58*D$90^2*$B91^1+$D$59*D$90^2*$B91^2+$D$60*D$90^3+$D$61*D$90^3*$B91^1+$D$62*D$90^4</f>
        <v>0.67827183908046</v>
      </c>
      <c r="E91" s="30" t="n">
        <f aca="false">$D$48+$D$49*$B91^1+$D$50*$B91^2+$D$51*$B91^3+$D$52*$B91^4+$D$53*E$90^1+$D$54*E$90^1*$B91^1+$D$55*E$90^1*$B91^2+$D$56*E$90^1*$B91^3+$D$57*E$90^2+$D$58*E$90^2*$B91^1+$D$59*E$90^2*$B91^2+$D$60*E$90^3+$D$61*E$90^3*$B91^1+$D$62*E$90^4</f>
        <v>0.600257471264368</v>
      </c>
      <c r="F91" s="30" t="n">
        <f aca="false">$D$48+$D$49*$B91^1+$D$50*$B91^2+$D$51*$B91^3+$D$52*$B91^4+$D$53*F$90^1+$D$54*F$90^1*$B91^1+$D$55*F$90^1*$B91^2+$D$56*F$90^1*$B91^3+$D$57*F$90^2+$D$58*F$90^2*$B91^1+$D$59*F$90^2*$B91^2+$D$60*F$90^3+$D$61*F$90^3*$B91^1+$D$62*F$90^4</f>
        <v>0.548800574712644</v>
      </c>
      <c r="G91" s="30" t="n">
        <f aca="false">$D$48+$D$49*$B91^1+$D$50*$B91^2+$D$51*$B91^3+$D$52*$B91^4+$D$53*G$90^1+$D$54*G$90^1*$B91^1+$D$55*G$90^1*$B91^2+$D$56*G$90^1*$B91^3+$D$57*G$90^2+$D$58*G$90^2*$B91^1+$D$59*G$90^2*$B91^2+$D$60*G$90^3+$D$61*G$90^3*$B91^1+$D$62*G$90^4</f>
        <v>0.517383908045977</v>
      </c>
      <c r="H91" s="30" t="n">
        <f aca="false">$D$48+$D$49*$B91^1+$D$50*$B91^2+$D$51*$B91^3+$D$52*$B91^4+$D$53*H$90^1+$D$54*H$90^1*$B91^1+$D$55*H$90^1*$B91^2+$D$56*H$90^1*$B91^3+$D$57*H$90^2+$D$58*H$90^2*$B91^1+$D$59*H$90^2*$B91^2+$D$60*H$90^3+$D$61*H$90^3*$B91^1+$D$62*H$90^4</f>
        <v>0.500359195402299</v>
      </c>
      <c r="I91" s="30" t="n">
        <f aca="false">$D$48+$D$49*$B91^1+$D$50*$B91^2+$D$51*$B91^3+$D$52*$B91^4+$D$53*I$90^1+$D$54*I$90^1*$B91^1+$D$55*I$90^1*$B91^2+$D$56*I$90^1*$B91^3+$D$57*I$90^2+$D$58*I$90^2*$B91^1+$D$59*I$90^2*$B91^2+$D$60*I$90^3+$D$61*I$90^3*$B91^1+$D$62*I$90^4</f>
        <v>0.492947126436782</v>
      </c>
      <c r="J91" s="30" t="n">
        <f aca="false">$D$48+$D$49*$B91^1+$D$50*$B91^2+$D$51*$B91^3+$D$52*$B91^4+$D$53*J$90^1+$D$54*J$90^1*$B91^1+$D$55*J$90^1*$B91^2+$D$56*J$90^1*$B91^3+$D$57*J$90^2+$D$58*J$90^2*$B91^1+$D$59*J$90^2*$B91^2+$D$60*J$90^3+$D$61*J$90^3*$B91^1+$D$62*J$90^4</f>
        <v>0.491237356321839</v>
      </c>
      <c r="K91" s="30" t="n">
        <f aca="false">$D$48+$D$49*$B91^1+$D$50*$B91^2+$D$51*$B91^3+$D$52*$B91^4+$D$53*K$90^1+$D$54*K$90^1*$B91^1+$D$55*K$90^1*$B91^2+$D$56*K$90^1*$B91^3+$D$57*K$90^2+$D$58*K$90^2*$B91^1+$D$59*K$90^2*$B91^2+$D$60*K$90^3+$D$61*K$90^3*$B91^1+$D$62*K$90^4</f>
        <v>0.492188505747126</v>
      </c>
      <c r="L91" s="30" t="n">
        <f aca="false">$D$48+$D$49*$B91^1+$D$50*$B91^2+$D$51*$B91^3+$D$52*$B91^4+$D$53*L$90^1+$D$54*L$90^1*$B91^1+$D$55*L$90^1*$B91^2+$D$56*L$90^1*$B91^3+$D$57*L$90^2+$D$58*L$90^2*$B91^1+$D$59*L$90^2*$B91^2+$D$60*L$90^3+$D$61*L$90^3*$B91^1+$D$62*L$90^4</f>
        <v>0.49362816091954</v>
      </c>
      <c r="M91" s="30" t="n">
        <f aca="false">$D$48+$D$49*$B91^1+$D$50*$B91^2+$D$51*$B91^3+$D$52*$B91^4+$D$53*M$90^1+$D$54*M$90^1*$B91^1+$D$55*M$90^1*$B91^2+$D$56*M$90^1*$B91^3+$D$57*M$90^2+$D$58*M$90^2*$B91^1+$D$59*M$90^2*$B91^2+$D$60*M$90^3+$D$61*M$90^3*$B91^1+$D$62*M$90^4</f>
        <v>0.494252873563218</v>
      </c>
      <c r="N91" s="30" t="n">
        <f aca="false">$D$48+$D$49*$B91^1+$D$50*$B91^2+$D$51*$B91^3+$D$52*$B91^4+$D$53*N$90^1+$D$54*N$90^1*$B91^1+$D$55*N$90^1*$B91^2+$D$56*N$90^1*$B91^3+$D$57*N$90^2+$D$58*N$90^2*$B91^1+$D$59*N$90^2*$B91^2+$D$60*N$90^3+$D$61*N$90^3*$B91^1+$D$62*N$90^4</f>
        <v>0.49362816091954</v>
      </c>
      <c r="O91" s="30" t="n">
        <f aca="false">$D$48+$D$49*$B91^1+$D$50*$B91^2+$D$51*$B91^3+$D$52*$B91^4+$D$53*O$90^1+$D$54*O$90^1*$B91^1+$D$55*O$90^1*$B91^2+$D$56*O$90^1*$B91^3+$D$57*O$90^2+$D$58*O$90^2*$B91^1+$D$59*O$90^2*$B91^2+$D$60*O$90^3+$D$61*O$90^3*$B91^1+$D$62*O$90^4</f>
        <v>0.492188505747126</v>
      </c>
      <c r="P91" s="30" t="n">
        <f aca="false">$D$48+$D$49*$B91^1+$D$50*$B91^2+$D$51*$B91^3+$D$52*$B91^4+$D$53*P$90^1+$D$54*P$90^1*$B91^1+$D$55*P$90^1*$B91^2+$D$56*P$90^1*$B91^3+$D$57*P$90^2+$D$58*P$90^2*$B91^1+$D$59*P$90^2*$B91^2+$D$60*P$90^3+$D$61*P$90^3*$B91^1+$D$62*P$90^4</f>
        <v>0.491237356321839</v>
      </c>
      <c r="Q91" s="30" t="n">
        <f aca="false">$D$48+$D$49*$B91^1+$D$50*$B91^2+$D$51*$B91^3+$D$52*$B91^4+$D$53*Q$90^1+$D$54*Q$90^1*$B91^1+$D$55*Q$90^1*$B91^2+$D$56*Q$90^1*$B91^3+$D$57*Q$90^2+$D$58*Q$90^2*$B91^1+$D$59*Q$90^2*$B91^2+$D$60*Q$90^3+$D$61*Q$90^3*$B91^1+$D$62*Q$90^4</f>
        <v>0.492947126436782</v>
      </c>
      <c r="R91" s="30" t="n">
        <f aca="false">$D$48+$D$49*$B91^1+$D$50*$B91^2+$D$51*$B91^3+$D$52*$B91^4+$D$53*R$90^1+$D$54*R$90^1*$B91^1+$D$55*R$90^1*$B91^2+$D$56*R$90^1*$B91^3+$D$57*R$90^2+$D$58*R$90^2*$B91^1+$D$59*R$90^2*$B91^2+$D$60*R$90^3+$D$61*R$90^3*$B91^1+$D$62*R$90^4</f>
        <v>0.500359195402299</v>
      </c>
      <c r="S91" s="30" t="n">
        <f aca="false">$D$48+$D$49*$B91^1+$D$50*$B91^2+$D$51*$B91^3+$D$52*$B91^4+$D$53*S$90^1+$D$54*S$90^1*$B91^1+$D$55*S$90^1*$B91^2+$D$56*S$90^1*$B91^3+$D$57*S$90^2+$D$58*S$90^2*$B91^1+$D$59*S$90^2*$B91^2+$D$60*S$90^3+$D$61*S$90^3*$B91^1+$D$62*S$90^4</f>
        <v>0.517383908045977</v>
      </c>
      <c r="T91" s="30" t="n">
        <f aca="false">$D$48+$D$49*$B91^1+$D$50*$B91^2+$D$51*$B91^3+$D$52*$B91^4+$D$53*T$90^1+$D$54*T$90^1*$B91^1+$D$55*T$90^1*$B91^2+$D$56*T$90^1*$B91^3+$D$57*T$90^2+$D$58*T$90^2*$B91^1+$D$59*T$90^2*$B91^2+$D$60*T$90^3+$D$61*T$90^3*$B91^1+$D$62*T$90^4</f>
        <v>0.548800574712644</v>
      </c>
      <c r="U91" s="30" t="n">
        <f aca="false">$D$48+$D$49*$B91^1+$D$50*$B91^2+$D$51*$B91^3+$D$52*$B91^4+$D$53*U$90^1+$D$54*U$90^1*$B91^1+$D$55*U$90^1*$B91^2+$D$56*U$90^1*$B91^3+$D$57*U$90^2+$D$58*U$90^2*$B91^1+$D$59*U$90^2*$B91^2+$D$60*U$90^3+$D$61*U$90^3*$B91^1+$D$62*U$90^4</f>
        <v>0.600257471264368</v>
      </c>
      <c r="V91" s="30" t="n">
        <f aca="false">$D$48+$D$49*$B91^1+$D$50*$B91^2+$D$51*$B91^3+$D$52*$B91^4+$D$53*V$90^1+$D$54*V$90^1*$B91^1+$D$55*V$90^1*$B91^2+$D$56*V$90^1*$B91^3+$D$57*V$90^2+$D$58*V$90^2*$B91^1+$D$59*V$90^2*$B91^2+$D$60*V$90^3+$D$61*V$90^3*$B91^1+$D$62*V$90^4</f>
        <v>0.67827183908046</v>
      </c>
      <c r="W91" s="30" t="n">
        <f aca="false">$D$48+$D$49*$B91^1+$D$50*$B91^2+$D$51*$B91^3+$D$52*$B91^4+$D$53*W$90^1+$D$54*W$90^1*$B91^1+$D$55*W$90^1*$B91^2+$D$56*W$90^1*$B91^3+$D$57*W$90^2+$D$58*W$90^2*$B91^1+$D$59*W$90^2*$B91^2+$D$60*W$90^3+$D$61*W$90^3*$B91^1+$D$62*W$90^4</f>
        <v>0.790229885057471</v>
      </c>
    </row>
    <row r="92" customFormat="false" ht="15" hidden="false" customHeight="false" outlineLevel="0" collapsed="false">
      <c r="B92" s="39" t="n">
        <v>0.9</v>
      </c>
      <c r="C92" s="30" t="n">
        <f aca="false">$D$48+$D$49*$B92^1+$D$50*$B92^2+$D$51*$B92^3+$D$52*$B92^4+$D$53*C$90^1+$D$54*C$90^1*$B92^1+$D$55*C$90^1*$B92^2+$D$56*C$90^1*$B92^3+$D$57*C$90^2+$D$58*C$90^2*$B92^1+$D$59*C$90^2*$B92^2+$D$60*C$90^3+$D$61*C$90^3*$B92^1+$D$62*C$90^4</f>
        <v>0.67827183908046</v>
      </c>
      <c r="D92" s="30" t="n">
        <f aca="false">$D$48+$D$49*$B92^1+$D$50*$B92^2+$D$51*$B92^3+$D$52*$B92^4+$D$53*D$90^1+$D$54*D$90^1*$B92^1+$D$55*D$90^1*$B92^2+$D$56*D$90^1*$B92^3+$D$57*D$90^2+$D$58*D$90^2*$B92^1+$D$59*D$90^2*$B92^2+$D$60*D$90^3+$D$61*D$90^3*$B92^1+$D$62*D$90^4</f>
        <v>0.565380172413793</v>
      </c>
      <c r="E92" s="30" t="n">
        <f aca="false">$D$48+$D$49*$B92^1+$D$50*$B92^2+$D$51*$B92^3+$D$52*$B92^4+$D$53*E$90^1+$D$54*E$90^1*$B92^1+$D$55*E$90^1*$B92^2+$D$56*E$90^1*$B92^3+$D$57*E$90^2+$D$58*E$90^2*$B92^1+$D$59*E$90^2*$B92^2+$D$60*E$90^3+$D$61*E$90^3*$B92^1+$D$62*E$90^4</f>
        <v>0.486530459770115</v>
      </c>
      <c r="F92" s="30" t="n">
        <f aca="false">$D$48+$D$49*$B92^1+$D$50*$B92^2+$D$51*$B92^3+$D$52*$B92^4+$D$53*F$90^1+$D$54*F$90^1*$B92^1+$D$55*F$90^1*$B92^2+$D$56*F$90^1*$B92^3+$D$57*F$90^2+$D$58*F$90^2*$B92^1+$D$59*F$90^2*$B92^2+$D$60*F$90^3+$D$61*F$90^3*$B92^1+$D$62*F$90^4</f>
        <v>0.434336494252874</v>
      </c>
      <c r="G92" s="30" t="n">
        <f aca="false">$D$48+$D$49*$B92^1+$D$50*$B92^2+$D$51*$B92^3+$D$52*$B92^4+$D$53*G$90^1+$D$54*G$90^1*$B92^1+$D$55*G$90^1*$B92^2+$D$56*G$90^1*$B92^3+$D$57*G$90^2+$D$58*G$90^2*$B92^1+$D$59*G$90^2*$B92^2+$D$60*G$90^3+$D$61*G$90^3*$B92^1+$D$62*G$90^4</f>
        <v>0.402281034482759</v>
      </c>
      <c r="H92" s="30" t="n">
        <f aca="false">$D$48+$D$49*$B92^1+$D$50*$B92^2+$D$51*$B92^3+$D$52*$B92^4+$D$53*H$90^1+$D$54*H$90^1*$B92^1+$D$55*H$90^1*$B92^2+$D$56*H$90^1*$B92^3+$D$57*H$90^2+$D$58*H$90^2*$B92^1+$D$59*H$90^2*$B92^2+$D$60*H$90^3+$D$61*H$90^3*$B92^1+$D$62*H$90^4</f>
        <v>0.384715804597701</v>
      </c>
      <c r="I92" s="30" t="n">
        <f aca="false">$D$48+$D$49*$B92^1+$D$50*$B92^2+$D$51*$B92^3+$D$52*$B92^4+$D$53*I$90^1+$D$54*I$90^1*$B92^1+$D$55*I$90^1*$B92^2+$D$56*I$90^1*$B92^3+$D$57*I$90^2+$D$58*I$90^2*$B92^1+$D$59*I$90^2*$B92^2+$D$60*I$90^3+$D$61*I$90^3*$B92^1+$D$62*I$90^4</f>
        <v>0.376861494252874</v>
      </c>
      <c r="J92" s="30" t="n">
        <f aca="false">$D$48+$D$49*$B92^1+$D$50*$B92^2+$D$51*$B92^3+$D$52*$B92^4+$D$53*J$90^1+$D$54*J$90^1*$B92^1+$D$55*J$90^1*$B92^2+$D$56*J$90^1*$B92^3+$D$57*J$90^2+$D$58*J$90^2*$B92^1+$D$59*J$90^2*$B92^2+$D$60*J$90^3+$D$61*J$90^3*$B92^1+$D$62*J$90^4</f>
        <v>0.37480775862069</v>
      </c>
      <c r="K92" s="30" t="n">
        <f aca="false">$D$48+$D$49*$B92^1+$D$50*$B92^2+$D$51*$B92^3+$D$52*$B92^4+$D$53*K$90^1+$D$54*K$90^1*$B92^1+$D$55*K$90^1*$B92^2+$D$56*K$90^1*$B92^3+$D$57*K$90^2+$D$58*K$90^2*$B92^1+$D$59*K$90^2*$B92^2+$D$60*K$90^3+$D$61*K$90^3*$B92^1+$D$62*K$90^4</f>
        <v>0.375513218390805</v>
      </c>
      <c r="L92" s="30" t="n">
        <f aca="false">$D$48+$D$49*$B92^1+$D$50*$B92^2+$D$51*$B92^3+$D$52*$B92^4+$D$53*L$90^1+$D$54*L$90^1*$B92^1+$D$55*L$90^1*$B92^2+$D$56*L$90^1*$B92^3+$D$57*L$90^2+$D$58*L$90^2*$B92^1+$D$59*L$90^2*$B92^2+$D$60*L$90^3+$D$61*L$90^3*$B92^1+$D$62*L$90^4</f>
        <v>0.376805459770115</v>
      </c>
      <c r="M92" s="30" t="n">
        <f aca="false">$D$48+$D$49*$B92^1+$D$50*$B92^2+$D$51*$B92^3+$D$52*$B92^4+$D$53*M$90^1+$D$54*M$90^1*$B92^1+$D$55*M$90^1*$B92^2+$D$56*M$90^1*$B92^3+$D$57*M$90^2+$D$58*M$90^2*$B92^1+$D$59*M$90^2*$B92^2+$D$60*M$90^3+$D$61*M$90^3*$B92^1+$D$62*M$90^4</f>
        <v>0.377381034482759</v>
      </c>
      <c r="N92" s="30" t="n">
        <f aca="false">$D$48+$D$49*$B92^1+$D$50*$B92^2+$D$51*$B92^3+$D$52*$B92^4+$D$53*N$90^1+$D$54*N$90^1*$B92^1+$D$55*N$90^1*$B92^2+$D$56*N$90^1*$B92^3+$D$57*N$90^2+$D$58*N$90^2*$B92^1+$D$59*N$90^2*$B92^2+$D$60*N$90^3+$D$61*N$90^3*$B92^1+$D$62*N$90^4</f>
        <v>0.376805459770115</v>
      </c>
      <c r="O92" s="30" t="n">
        <f aca="false">$D$48+$D$49*$B92^1+$D$50*$B92^2+$D$51*$B92^3+$D$52*$B92^4+$D$53*O$90^1+$D$54*O$90^1*$B92^1+$D$55*O$90^1*$B92^2+$D$56*O$90^1*$B92^3+$D$57*O$90^2+$D$58*O$90^2*$B92^1+$D$59*O$90^2*$B92^2+$D$60*O$90^3+$D$61*O$90^3*$B92^1+$D$62*O$90^4</f>
        <v>0.375513218390805</v>
      </c>
      <c r="P92" s="30" t="n">
        <f aca="false">$D$48+$D$49*$B92^1+$D$50*$B92^2+$D$51*$B92^3+$D$52*$B92^4+$D$53*P$90^1+$D$54*P$90^1*$B92^1+$D$55*P$90^1*$B92^2+$D$56*P$90^1*$B92^3+$D$57*P$90^2+$D$58*P$90^2*$B92^1+$D$59*P$90^2*$B92^2+$D$60*P$90^3+$D$61*P$90^3*$B92^1+$D$62*P$90^4</f>
        <v>0.37480775862069</v>
      </c>
      <c r="Q92" s="30" t="n">
        <f aca="false">$D$48+$D$49*$B92^1+$D$50*$B92^2+$D$51*$B92^3+$D$52*$B92^4+$D$53*Q$90^1+$D$54*Q$90^1*$B92^1+$D$55*Q$90^1*$B92^2+$D$56*Q$90^1*$B92^3+$D$57*Q$90^2+$D$58*Q$90^2*$B92^1+$D$59*Q$90^2*$B92^2+$D$60*Q$90^3+$D$61*Q$90^3*$B92^1+$D$62*Q$90^4</f>
        <v>0.376861494252874</v>
      </c>
      <c r="R92" s="30" t="n">
        <f aca="false">$D$48+$D$49*$B92^1+$D$50*$B92^2+$D$51*$B92^3+$D$52*$B92^4+$D$53*R$90^1+$D$54*R$90^1*$B92^1+$D$55*R$90^1*$B92^2+$D$56*R$90^1*$B92^3+$D$57*R$90^2+$D$58*R$90^2*$B92^1+$D$59*R$90^2*$B92^2+$D$60*R$90^3+$D$61*R$90^3*$B92^1+$D$62*R$90^4</f>
        <v>0.384715804597701</v>
      </c>
      <c r="S92" s="30" t="n">
        <f aca="false">$D$48+$D$49*$B92^1+$D$50*$B92^2+$D$51*$B92^3+$D$52*$B92^4+$D$53*S$90^1+$D$54*S$90^1*$B92^1+$D$55*S$90^1*$B92^2+$D$56*S$90^1*$B92^3+$D$57*S$90^2+$D$58*S$90^2*$B92^1+$D$59*S$90^2*$B92^2+$D$60*S$90^3+$D$61*S$90^3*$B92^1+$D$62*S$90^4</f>
        <v>0.402281034482759</v>
      </c>
      <c r="T92" s="30" t="n">
        <f aca="false">$D$48+$D$49*$B92^1+$D$50*$B92^2+$D$51*$B92^3+$D$52*$B92^4+$D$53*T$90^1+$D$54*T$90^1*$B92^1+$D$55*T$90^1*$B92^2+$D$56*T$90^1*$B92^3+$D$57*T$90^2+$D$58*T$90^2*$B92^1+$D$59*T$90^2*$B92^2+$D$60*T$90^3+$D$61*T$90^3*$B92^1+$D$62*T$90^4</f>
        <v>0.434336494252874</v>
      </c>
      <c r="U92" s="30" t="n">
        <f aca="false">$D$48+$D$49*$B92^1+$D$50*$B92^2+$D$51*$B92^3+$D$52*$B92^4+$D$53*U$90^1+$D$54*U$90^1*$B92^1+$D$55*U$90^1*$B92^2+$D$56*U$90^1*$B92^3+$D$57*U$90^2+$D$58*U$90^2*$B92^1+$D$59*U$90^2*$B92^2+$D$60*U$90^3+$D$61*U$90^3*$B92^1+$D$62*U$90^4</f>
        <v>0.486530459770115</v>
      </c>
      <c r="V92" s="30" t="n">
        <f aca="false">$D$48+$D$49*$B92^1+$D$50*$B92^2+$D$51*$B92^3+$D$52*$B92^4+$D$53*V$90^1+$D$54*V$90^1*$B92^1+$D$55*V$90^1*$B92^2+$D$56*V$90^1*$B92^3+$D$57*V$90^2+$D$58*V$90^2*$B92^1+$D$59*V$90^2*$B92^2+$D$60*V$90^3+$D$61*V$90^3*$B92^1+$D$62*V$90^4</f>
        <v>0.565380172413793</v>
      </c>
      <c r="W92" s="30" t="n">
        <f aca="false">$D$48+$D$49*$B92^1+$D$50*$B92^2+$D$51*$B92^3+$D$52*$B92^4+$D$53*W$90^1+$D$54*W$90^1*$B92^1+$D$55*W$90^1*$B92^2+$D$56*W$90^1*$B92^3+$D$57*W$90^2+$D$58*W$90^2*$B92^1+$D$59*W$90^2*$B92^2+$D$60*W$90^3+$D$61*W$90^3*$B92^1+$D$62*W$90^4</f>
        <v>0.67827183908046</v>
      </c>
    </row>
    <row r="93" customFormat="false" ht="15" hidden="false" customHeight="false" outlineLevel="0" collapsed="false">
      <c r="B93" s="39" t="n">
        <v>0.8</v>
      </c>
      <c r="C93" s="30" t="n">
        <f aca="false">$D$48+$D$49*$B93^1+$D$50*$B93^2+$D$51*$B93^3+$D$52*$B93^4+$D$53*C$90^1+$D$54*C$90^1*$B93^1+$D$55*C$90^1*$B93^2+$D$56*C$90^1*$B93^3+$D$57*C$90^2+$D$58*C$90^2*$B93^1+$D$59*C$90^2*$B93^2+$D$60*C$90^3+$D$61*C$90^3*$B93^1+$D$62*C$90^4</f>
        <v>0.600257471264368</v>
      </c>
      <c r="D93" s="30" t="n">
        <f aca="false">$D$48+$D$49*$B93^1+$D$50*$B93^2+$D$51*$B93^3+$D$52*$B93^4+$D$53*D$90^1+$D$54*D$90^1*$B93^1+$D$55*D$90^1*$B93^2+$D$56*D$90^1*$B93^3+$D$57*D$90^2+$D$58*D$90^2*$B93^1+$D$59*D$90^2*$B93^2+$D$60*D$90^3+$D$61*D$90^3*$B93^1+$D$62*D$90^4</f>
        <v>0.486530459770115</v>
      </c>
      <c r="E93" s="30" t="n">
        <f aca="false">$D$48+$D$49*$B93^1+$D$50*$B93^2+$D$51*$B93^3+$D$52*$B93^4+$D$53*E$90^1+$D$54*E$90^1*$B93^1+$D$55*E$90^1*$B93^2+$D$56*E$90^1*$B93^3+$D$57*E$90^2+$D$58*E$90^2*$B93^1+$D$59*E$90^2*$B93^2+$D$60*E$90^3+$D$61*E$90^3*$B93^1+$D$62*E$90^4</f>
        <v>0.406933333333333</v>
      </c>
      <c r="F93" s="30" t="n">
        <f aca="false">$D$48+$D$49*$B93^1+$D$50*$B93^2+$D$51*$B93^3+$D$52*$B93^4+$D$53*F$90^1+$D$54*F$90^1*$B93^1+$D$55*F$90^1*$B93^2+$D$56*F$90^1*$B93^3+$D$57*F$90^2+$D$58*F$90^2*$B93^1+$D$59*F$90^2*$B93^2+$D$60*F$90^3+$D$61*F$90^3*$B93^1+$D$62*F$90^4</f>
        <v>0.354079885057471</v>
      </c>
      <c r="G93" s="30" t="n">
        <f aca="false">$D$48+$D$49*$B93^1+$D$50*$B93^2+$D$51*$B93^3+$D$52*$B93^4+$D$53*G$90^1+$D$54*G$90^1*$B93^1+$D$55*G$90^1*$B93^2+$D$56*G$90^1*$B93^3+$D$57*G$90^2+$D$58*G$90^2*$B93^1+$D$59*G$90^2*$B93^2+$D$60*G$90^3+$D$61*G$90^3*$B93^1+$D$62*G$90^4</f>
        <v>0.321452873563219</v>
      </c>
      <c r="H93" s="30" t="n">
        <f aca="false">$D$48+$D$49*$B93^1+$D$50*$B93^2+$D$51*$B93^3+$D$52*$B93^4+$D$53*H$90^1+$D$54*H$90^1*$B93^1+$D$55*H$90^1*$B93^2+$D$56*H$90^1*$B93^3+$D$57*H$90^2+$D$58*H$90^2*$B93^1+$D$59*H$90^2*$B93^2+$D$60*H$90^3+$D$61*H$90^3*$B93^1+$D$62*H$90^4</f>
        <v>0.303404022988506</v>
      </c>
      <c r="I93" s="30" t="n">
        <f aca="false">$D$48+$D$49*$B93^1+$D$50*$B93^2+$D$51*$B93^3+$D$52*$B93^4+$D$53*I$90^1+$D$54*I$90^1*$B93^1+$D$55*I$90^1*$B93^2+$D$56*I$90^1*$B93^3+$D$57*I$90^2+$D$58*I$90^2*$B93^1+$D$59*I$90^2*$B93^2+$D$60*I$90^3+$D$61*I$90^3*$B93^1+$D$62*I$90^4</f>
        <v>0.295154022988506</v>
      </c>
      <c r="J93" s="30" t="n">
        <f aca="false">$D$48+$D$49*$B93^1+$D$50*$B93^2+$D$51*$B93^3+$D$52*$B93^4+$D$53*J$90^1+$D$54*J$90^1*$B93^1+$D$55*J$90^1*$B93^2+$D$56*J$90^1*$B93^3+$D$57*J$90^2+$D$58*J$90^2*$B93^1+$D$59*J$90^2*$B93^2+$D$60*J$90^3+$D$61*J$90^3*$B93^1+$D$62*J$90^4</f>
        <v>0.292792528735632</v>
      </c>
      <c r="K93" s="30" t="n">
        <f aca="false">$D$48+$D$49*$B93^1+$D$50*$B93^2+$D$51*$B93^3+$D$52*$B93^4+$D$53*K$90^1+$D$54*K$90^1*$B93^1+$D$55*K$90^1*$B93^2+$D$56*K$90^1*$B93^3+$D$57*K$90^2+$D$58*K$90^2*$B93^1+$D$59*K$90^2*$B93^2+$D$60*K$90^3+$D$61*K$90^3*$B93^1+$D$62*K$90^4</f>
        <v>0.29327816091954</v>
      </c>
      <c r="L93" s="30" t="n">
        <f aca="false">$D$48+$D$49*$B93^1+$D$50*$B93^2+$D$51*$B93^3+$D$52*$B93^4+$D$53*L$90^1+$D$54*L$90^1*$B93^1+$D$55*L$90^1*$B93^2+$D$56*L$90^1*$B93^3+$D$57*L$90^2+$D$58*L$90^2*$B93^1+$D$59*L$90^2*$B93^2+$D$60*L$90^3+$D$61*L$90^3*$B93^1+$D$62*L$90^4</f>
        <v>0.294438505747127</v>
      </c>
      <c r="M93" s="30" t="n">
        <f aca="false">$D$48+$D$49*$B93^1+$D$50*$B93^2+$D$51*$B93^3+$D$52*$B93^4+$D$53*M$90^1+$D$54*M$90^1*$B93^1+$D$55*M$90^1*$B93^2+$D$56*M$90^1*$B93^3+$D$57*M$90^2+$D$58*M$90^2*$B93^1+$D$59*M$90^2*$B93^2+$D$60*M$90^3+$D$61*M$90^3*$B93^1+$D$62*M$90^4</f>
        <v>0.294970114942529</v>
      </c>
      <c r="N93" s="30" t="n">
        <f aca="false">$D$48+$D$49*$B93^1+$D$50*$B93^2+$D$51*$B93^3+$D$52*$B93^4+$D$53*N$90^1+$D$54*N$90^1*$B93^1+$D$55*N$90^1*$B93^2+$D$56*N$90^1*$B93^3+$D$57*N$90^2+$D$58*N$90^2*$B93^1+$D$59*N$90^2*$B93^2+$D$60*N$90^3+$D$61*N$90^3*$B93^1+$D$62*N$90^4</f>
        <v>0.294438505747127</v>
      </c>
      <c r="O93" s="30" t="n">
        <f aca="false">$D$48+$D$49*$B93^1+$D$50*$B93^2+$D$51*$B93^3+$D$52*$B93^4+$D$53*O$90^1+$D$54*O$90^1*$B93^1+$D$55*O$90^1*$B93^2+$D$56*O$90^1*$B93^3+$D$57*O$90^2+$D$58*O$90^2*$B93^1+$D$59*O$90^2*$B93^2+$D$60*O$90^3+$D$61*O$90^3*$B93^1+$D$62*O$90^4</f>
        <v>0.29327816091954</v>
      </c>
      <c r="P93" s="30" t="n">
        <f aca="false">$D$48+$D$49*$B93^1+$D$50*$B93^2+$D$51*$B93^3+$D$52*$B93^4+$D$53*P$90^1+$D$54*P$90^1*$B93^1+$D$55*P$90^1*$B93^2+$D$56*P$90^1*$B93^3+$D$57*P$90^2+$D$58*P$90^2*$B93^1+$D$59*P$90^2*$B93^2+$D$60*P$90^3+$D$61*P$90^3*$B93^1+$D$62*P$90^4</f>
        <v>0.292792528735632</v>
      </c>
      <c r="Q93" s="30" t="n">
        <f aca="false">$D$48+$D$49*$B93^1+$D$50*$B93^2+$D$51*$B93^3+$D$52*$B93^4+$D$53*Q$90^1+$D$54*Q$90^1*$B93^1+$D$55*Q$90^1*$B93^2+$D$56*Q$90^1*$B93^3+$D$57*Q$90^2+$D$58*Q$90^2*$B93^1+$D$59*Q$90^2*$B93^2+$D$60*Q$90^3+$D$61*Q$90^3*$B93^1+$D$62*Q$90^4</f>
        <v>0.295154022988506</v>
      </c>
      <c r="R93" s="30" t="n">
        <f aca="false">$D$48+$D$49*$B93^1+$D$50*$B93^2+$D$51*$B93^3+$D$52*$B93^4+$D$53*R$90^1+$D$54*R$90^1*$B93^1+$D$55*R$90^1*$B93^2+$D$56*R$90^1*$B93^3+$D$57*R$90^2+$D$58*R$90^2*$B93^1+$D$59*R$90^2*$B93^2+$D$60*R$90^3+$D$61*R$90^3*$B93^1+$D$62*R$90^4</f>
        <v>0.303404022988506</v>
      </c>
      <c r="S93" s="30" t="n">
        <f aca="false">$D$48+$D$49*$B93^1+$D$50*$B93^2+$D$51*$B93^3+$D$52*$B93^4+$D$53*S$90^1+$D$54*S$90^1*$B93^1+$D$55*S$90^1*$B93^2+$D$56*S$90^1*$B93^3+$D$57*S$90^2+$D$58*S$90^2*$B93^1+$D$59*S$90^2*$B93^2+$D$60*S$90^3+$D$61*S$90^3*$B93^1+$D$62*S$90^4</f>
        <v>0.321452873563219</v>
      </c>
      <c r="T93" s="30" t="n">
        <f aca="false">$D$48+$D$49*$B93^1+$D$50*$B93^2+$D$51*$B93^3+$D$52*$B93^4+$D$53*T$90^1+$D$54*T$90^1*$B93^1+$D$55*T$90^1*$B93^2+$D$56*T$90^1*$B93^3+$D$57*T$90^2+$D$58*T$90^2*$B93^1+$D$59*T$90^2*$B93^2+$D$60*T$90^3+$D$61*T$90^3*$B93^1+$D$62*T$90^4</f>
        <v>0.354079885057471</v>
      </c>
      <c r="U93" s="30" t="n">
        <f aca="false">$D$48+$D$49*$B93^1+$D$50*$B93^2+$D$51*$B93^3+$D$52*$B93^4+$D$53*U$90^1+$D$54*U$90^1*$B93^1+$D$55*U$90^1*$B93^2+$D$56*U$90^1*$B93^3+$D$57*U$90^2+$D$58*U$90^2*$B93^1+$D$59*U$90^2*$B93^2+$D$60*U$90^3+$D$61*U$90^3*$B93^1+$D$62*U$90^4</f>
        <v>0.406933333333333</v>
      </c>
      <c r="V93" s="30" t="n">
        <f aca="false">$D$48+$D$49*$B93^1+$D$50*$B93^2+$D$51*$B93^3+$D$52*$B93^4+$D$53*V$90^1+$D$54*V$90^1*$B93^1+$D$55*V$90^1*$B93^2+$D$56*V$90^1*$B93^3+$D$57*V$90^2+$D$58*V$90^2*$B93^1+$D$59*V$90^2*$B93^2+$D$60*V$90^3+$D$61*V$90^3*$B93^1+$D$62*V$90^4</f>
        <v>0.486530459770115</v>
      </c>
      <c r="W93" s="30" t="n">
        <f aca="false">$D$48+$D$49*$B93^1+$D$50*$B93^2+$D$51*$B93^3+$D$52*$B93^4+$D$53*W$90^1+$D$54*W$90^1*$B93^1+$D$55*W$90^1*$B93^2+$D$56*W$90^1*$B93^3+$D$57*W$90^2+$D$58*W$90^2*$B93^1+$D$59*W$90^2*$B93^2+$D$60*W$90^3+$D$61*W$90^3*$B93^1+$D$62*W$90^4</f>
        <v>0.600257471264368</v>
      </c>
    </row>
    <row r="94" customFormat="false" ht="15" hidden="false" customHeight="false" outlineLevel="0" collapsed="false">
      <c r="B94" s="39" t="n">
        <v>0.7</v>
      </c>
      <c r="C94" s="30" t="n">
        <f aca="false">$D$48+$D$49*$B94^1+$D$50*$B94^2+$D$51*$B94^3+$D$52*$B94^4+$D$53*C$90^1+$D$54*C$90^1*$B94^1+$D$55*C$90^1*$B94^2+$D$56*C$90^1*$B94^3+$D$57*C$90^2+$D$58*C$90^2*$B94^1+$D$59*C$90^2*$B94^2+$D$60*C$90^3+$D$61*C$90^3*$B94^1+$D$62*C$90^4</f>
        <v>0.548800574712644</v>
      </c>
      <c r="D94" s="30" t="n">
        <f aca="false">$D$48+$D$49*$B94^1+$D$50*$B94^2+$D$51*$B94^3+$D$52*$B94^4+$D$53*D$90^1+$D$54*D$90^1*$B94^1+$D$55*D$90^1*$B94^2+$D$56*D$90^1*$B94^3+$D$57*D$90^2+$D$58*D$90^2*$B94^1+$D$59*D$90^2*$B94^2+$D$60*D$90^3+$D$61*D$90^3*$B94^1+$D$62*D$90^4</f>
        <v>0.434336494252873</v>
      </c>
      <c r="E94" s="30" t="n">
        <f aca="false">$D$48+$D$49*$B94^1+$D$50*$B94^2+$D$51*$B94^3+$D$52*$B94^4+$D$53*E$90^1+$D$54*E$90^1*$B94^1+$D$55*E$90^1*$B94^2+$D$56*E$90^1*$B94^3+$D$57*E$90^2+$D$58*E$90^2*$B94^1+$D$59*E$90^2*$B94^2+$D$60*E$90^3+$D$61*E$90^3*$B94^1+$D$62*E$90^4</f>
        <v>0.354079885057471</v>
      </c>
      <c r="F94" s="30" t="n">
        <f aca="false">$D$48+$D$49*$B94^1+$D$50*$B94^2+$D$51*$B94^3+$D$52*$B94^4+$D$53*F$90^1+$D$54*F$90^1*$B94^1+$D$55*F$90^1*$B94^2+$D$56*F$90^1*$B94^3+$D$57*F$90^2+$D$58*F$90^2*$B94^1+$D$59*F$90^2*$B94^2+$D$60*F$90^3+$D$61*F$90^3*$B94^1+$D$62*F$90^4</f>
        <v>0.300644540229885</v>
      </c>
      <c r="G94" s="30" t="n">
        <f aca="false">$D$48+$D$49*$B94^1+$D$50*$B94^2+$D$51*$B94^3+$D$52*$B94^4+$D$53*G$90^1+$D$54*G$90^1*$B94^1+$D$55*G$90^1*$B94^2+$D$56*G$90^1*$B94^3+$D$57*G$90^2+$D$58*G$90^2*$B94^1+$D$59*G$90^2*$B94^2+$D$60*G$90^3+$D$61*G$90^3*$B94^1+$D$62*G$90^4</f>
        <v>0.267513218390805</v>
      </c>
      <c r="H94" s="30" t="n">
        <f aca="false">$D$48+$D$49*$B94^1+$D$50*$B94^2+$D$51*$B94^3+$D$52*$B94^4+$D$53*H$90^1+$D$54*H$90^1*$B94^1+$D$55*H$90^1*$B94^2+$D$56*H$90^1*$B94^3+$D$57*H$90^2+$D$58*H$90^2*$B94^1+$D$59*H$90^2*$B94^2+$D$60*H$90^3+$D$61*H$90^3*$B94^1+$D$62*H$90^4</f>
        <v>0.249037643678161</v>
      </c>
      <c r="I94" s="30" t="n">
        <f aca="false">$D$48+$D$49*$B94^1+$D$50*$B94^2+$D$51*$B94^3+$D$52*$B94^4+$D$53*I$90^1+$D$54*I$90^1*$B94^1+$D$55*I$90^1*$B94^2+$D$56*I$90^1*$B94^3+$D$57*I$90^2+$D$58*I$90^2*$B94^1+$D$59*I$90^2*$B94^2+$D$60*I$90^3+$D$61*I$90^3*$B94^1+$D$62*I$90^4</f>
        <v>0.240438505747126</v>
      </c>
      <c r="J94" s="30" t="n">
        <f aca="false">$D$48+$D$49*$B94^1+$D$50*$B94^2+$D$51*$B94^3+$D$52*$B94^4+$D$53*J$90^1+$D$54*J$90^1*$B94^1+$D$55*J$90^1*$B94^2+$D$56*J$90^1*$B94^3+$D$57*J$90^2+$D$58*J$90^2*$B94^1+$D$59*J$90^2*$B94^2+$D$60*J$90^3+$D$61*J$90^3*$B94^1+$D$62*J$90^4</f>
        <v>0.237805459770115</v>
      </c>
      <c r="K94" s="30" t="n">
        <f aca="false">$D$48+$D$49*$B94^1+$D$50*$B94^2+$D$51*$B94^3+$D$52*$B94^4+$D$53*K$90^1+$D$54*K$90^1*$B94^1+$D$55*K$90^1*$B94^2+$D$56*K$90^1*$B94^3+$D$57*K$90^2+$D$58*K$90^2*$B94^1+$D$59*K$90^2*$B94^2+$D$60*K$90^3+$D$61*K$90^3*$B94^1+$D$62*K$90^4</f>
        <v>0.238097126436782</v>
      </c>
      <c r="L94" s="30" t="n">
        <f aca="false">$D$48+$D$49*$B94^1+$D$50*$B94^2+$D$51*$B94^3+$D$52*$B94^4+$D$53*L$90^1+$D$54*L$90^1*$B94^1+$D$55*L$90^1*$B94^2+$D$56*L$90^1*$B94^3+$D$57*L$90^2+$D$58*L$90^2*$B94^1+$D$59*L$90^2*$B94^2+$D$60*L$90^3+$D$61*L$90^3*$B94^1+$D$62*L$90^4</f>
        <v>0.239141091954023</v>
      </c>
      <c r="M94" s="30" t="n">
        <f aca="false">$D$48+$D$49*$B94^1+$D$50*$B94^2+$D$51*$B94^3+$D$52*$B94^4+$D$53*M$90^1+$D$54*M$90^1*$B94^1+$D$55*M$90^1*$B94^2+$D$56*M$90^1*$B94^3+$D$57*M$90^2+$D$58*M$90^2*$B94^1+$D$59*M$90^2*$B94^2+$D$60*M$90^3+$D$61*M$90^3*$B94^1+$D$62*M$90^4</f>
        <v>0.239633908045977</v>
      </c>
      <c r="N94" s="30" t="n">
        <f aca="false">$D$48+$D$49*$B94^1+$D$50*$B94^2+$D$51*$B94^3+$D$52*$B94^4+$D$53*N$90^1+$D$54*N$90^1*$B94^1+$D$55*N$90^1*$B94^2+$D$56*N$90^1*$B94^3+$D$57*N$90^2+$D$58*N$90^2*$B94^1+$D$59*N$90^2*$B94^2+$D$60*N$90^3+$D$61*N$90^3*$B94^1+$D$62*N$90^4</f>
        <v>0.239141091954023</v>
      </c>
      <c r="O94" s="30" t="n">
        <f aca="false">$D$48+$D$49*$B94^1+$D$50*$B94^2+$D$51*$B94^3+$D$52*$B94^4+$D$53*O$90^1+$D$54*O$90^1*$B94^1+$D$55*O$90^1*$B94^2+$D$56*O$90^1*$B94^3+$D$57*O$90^2+$D$58*O$90^2*$B94^1+$D$59*O$90^2*$B94^2+$D$60*O$90^3+$D$61*O$90^3*$B94^1+$D$62*O$90^4</f>
        <v>0.238097126436782</v>
      </c>
      <c r="P94" s="30" t="n">
        <f aca="false">$D$48+$D$49*$B94^1+$D$50*$B94^2+$D$51*$B94^3+$D$52*$B94^4+$D$53*P$90^1+$D$54*P$90^1*$B94^1+$D$55*P$90^1*$B94^2+$D$56*P$90^1*$B94^3+$D$57*P$90^2+$D$58*P$90^2*$B94^1+$D$59*P$90^2*$B94^2+$D$60*P$90^3+$D$61*P$90^3*$B94^1+$D$62*P$90^4</f>
        <v>0.237805459770115</v>
      </c>
      <c r="Q94" s="30" t="n">
        <f aca="false">$D$48+$D$49*$B94^1+$D$50*$B94^2+$D$51*$B94^3+$D$52*$B94^4+$D$53*Q$90^1+$D$54*Q$90^1*$B94^1+$D$55*Q$90^1*$B94^2+$D$56*Q$90^1*$B94^3+$D$57*Q$90^2+$D$58*Q$90^2*$B94^1+$D$59*Q$90^2*$B94^2+$D$60*Q$90^3+$D$61*Q$90^3*$B94^1+$D$62*Q$90^4</f>
        <v>0.240438505747126</v>
      </c>
      <c r="R94" s="30" t="n">
        <f aca="false">$D$48+$D$49*$B94^1+$D$50*$B94^2+$D$51*$B94^3+$D$52*$B94^4+$D$53*R$90^1+$D$54*R$90^1*$B94^1+$D$55*R$90^1*$B94^2+$D$56*R$90^1*$B94^3+$D$57*R$90^2+$D$58*R$90^2*$B94^1+$D$59*R$90^2*$B94^2+$D$60*R$90^3+$D$61*R$90^3*$B94^1+$D$62*R$90^4</f>
        <v>0.249037643678161</v>
      </c>
      <c r="S94" s="30" t="n">
        <f aca="false">$D$48+$D$49*$B94^1+$D$50*$B94^2+$D$51*$B94^3+$D$52*$B94^4+$D$53*S$90^1+$D$54*S$90^1*$B94^1+$D$55*S$90^1*$B94^2+$D$56*S$90^1*$B94^3+$D$57*S$90^2+$D$58*S$90^2*$B94^1+$D$59*S$90^2*$B94^2+$D$60*S$90^3+$D$61*S$90^3*$B94^1+$D$62*S$90^4</f>
        <v>0.267513218390805</v>
      </c>
      <c r="T94" s="30" t="n">
        <f aca="false">$D$48+$D$49*$B94^1+$D$50*$B94^2+$D$51*$B94^3+$D$52*$B94^4+$D$53*T$90^1+$D$54*T$90^1*$B94^1+$D$55*T$90^1*$B94^2+$D$56*T$90^1*$B94^3+$D$57*T$90^2+$D$58*T$90^2*$B94^1+$D$59*T$90^2*$B94^2+$D$60*T$90^3+$D$61*T$90^3*$B94^1+$D$62*T$90^4</f>
        <v>0.300644540229885</v>
      </c>
      <c r="U94" s="30" t="n">
        <f aca="false">$D$48+$D$49*$B94^1+$D$50*$B94^2+$D$51*$B94^3+$D$52*$B94^4+$D$53*U$90^1+$D$54*U$90^1*$B94^1+$D$55*U$90^1*$B94^2+$D$56*U$90^1*$B94^3+$D$57*U$90^2+$D$58*U$90^2*$B94^1+$D$59*U$90^2*$B94^2+$D$60*U$90^3+$D$61*U$90^3*$B94^1+$D$62*U$90^4</f>
        <v>0.354079885057471</v>
      </c>
      <c r="V94" s="30" t="n">
        <f aca="false">$D$48+$D$49*$B94^1+$D$50*$B94^2+$D$51*$B94^3+$D$52*$B94^4+$D$53*V$90^1+$D$54*V$90^1*$B94^1+$D$55*V$90^1*$B94^2+$D$56*V$90^1*$B94^3+$D$57*V$90^2+$D$58*V$90^2*$B94^1+$D$59*V$90^2*$B94^2+$D$60*V$90^3+$D$61*V$90^3*$B94^1+$D$62*V$90^4</f>
        <v>0.434336494252873</v>
      </c>
      <c r="W94" s="30" t="n">
        <f aca="false">$D$48+$D$49*$B94^1+$D$50*$B94^2+$D$51*$B94^3+$D$52*$B94^4+$D$53*W$90^1+$D$54*W$90^1*$B94^1+$D$55*W$90^1*$B94^2+$D$56*W$90^1*$B94^3+$D$57*W$90^2+$D$58*W$90^2*$B94^1+$D$59*W$90^2*$B94^2+$D$60*W$90^3+$D$61*W$90^3*$B94^1+$D$62*W$90^4</f>
        <v>0.548800574712644</v>
      </c>
    </row>
    <row r="95" customFormat="false" ht="15" hidden="false" customHeight="false" outlineLevel="0" collapsed="false">
      <c r="B95" s="39" t="n">
        <v>0.6</v>
      </c>
      <c r="C95" s="30" t="n">
        <f aca="false">$D$48+$D$49*$B95^1+$D$50*$B95^2+$D$51*$B95^3+$D$52*$B95^4+$D$53*C$90^1+$D$54*C$90^1*$B95^1+$D$55*C$90^1*$B95^2+$D$56*C$90^1*$B95^3+$D$57*C$90^2+$D$58*C$90^2*$B95^1+$D$59*C$90^2*$B95^2+$D$60*C$90^3+$D$61*C$90^3*$B95^1+$D$62*C$90^4</f>
        <v>0.517383908045977</v>
      </c>
      <c r="D95" s="30" t="n">
        <f aca="false">$D$48+$D$49*$B95^1+$D$50*$B95^2+$D$51*$B95^3+$D$52*$B95^4+$D$53*D$90^1+$D$54*D$90^1*$B95^1+$D$55*D$90^1*$B95^2+$D$56*D$90^1*$B95^3+$D$57*D$90^2+$D$58*D$90^2*$B95^1+$D$59*D$90^2*$B95^2+$D$60*D$90^3+$D$61*D$90^3*$B95^1+$D$62*D$90^4</f>
        <v>0.402281034482759</v>
      </c>
      <c r="E95" s="30" t="n">
        <f aca="false">$D$48+$D$49*$B95^1+$D$50*$B95^2+$D$51*$B95^3+$D$52*$B95^4+$D$53*E$90^1+$D$54*E$90^1*$B95^1+$D$55*E$90^1*$B95^2+$D$56*E$90^1*$B95^3+$D$57*E$90^2+$D$58*E$90^2*$B95^1+$D$59*E$90^2*$B95^2+$D$60*E$90^3+$D$61*E$90^3*$B95^1+$D$62*E$90^4</f>
        <v>0.321452873563218</v>
      </c>
      <c r="F95" s="30" t="n">
        <f aca="false">$D$48+$D$49*$B95^1+$D$50*$B95^2+$D$51*$B95^3+$D$52*$B95^4+$D$53*F$90^1+$D$54*F$90^1*$B95^1+$D$55*F$90^1*$B95^2+$D$56*F$90^1*$B95^3+$D$57*F$90^2+$D$58*F$90^2*$B95^1+$D$59*F$90^2*$B95^2+$D$60*F$90^3+$D$61*F$90^3*$B95^1+$D$62*F$90^4</f>
        <v>0.267513218390805</v>
      </c>
      <c r="G95" s="30" t="n">
        <f aca="false">$D$48+$D$49*$B95^1+$D$50*$B95^2+$D$51*$B95^3+$D$52*$B95^4+$D$53*G$90^1+$D$54*G$90^1*$B95^1+$D$55*G$90^1*$B95^2+$D$56*G$90^1*$B95^3+$D$57*G$90^2+$D$58*G$90^2*$B95^1+$D$59*G$90^2*$B95^2+$D$60*G$90^3+$D$61*G$90^3*$B95^1+$D$62*G$90^4</f>
        <v>0.233944827586207</v>
      </c>
      <c r="H95" s="30" t="n">
        <f aca="false">$D$48+$D$49*$B95^1+$D$50*$B95^2+$D$51*$B95^3+$D$52*$B95^4+$D$53*H$90^1+$D$54*H$90^1*$B95^1+$D$55*H$90^1*$B95^2+$D$56*H$90^1*$B95^3+$D$57*H$90^2+$D$58*H$90^2*$B95^1+$D$59*H$90^2*$B95^2+$D$60*H$90^3+$D$61*H$90^3*$B95^1+$D$62*H$90^4</f>
        <v>0.215099425287356</v>
      </c>
      <c r="I95" s="30" t="n">
        <f aca="false">$D$48+$D$49*$B95^1+$D$50*$B95^2+$D$51*$B95^3+$D$52*$B95^4+$D$53*I$90^1+$D$54*I$90^1*$B95^1+$D$55*I$90^1*$B95^2+$D$56*I$90^1*$B95^3+$D$57*I$90^2+$D$58*I$90^2*$B95^1+$D$59*I$90^2*$B95^2+$D$60*I$90^3+$D$61*I$90^3*$B95^1+$D$62*I$90^4</f>
        <v>0.206197701149425</v>
      </c>
      <c r="J95" s="30" t="n">
        <f aca="false">$D$48+$D$49*$B95^1+$D$50*$B95^2+$D$51*$B95^3+$D$52*$B95^4+$D$53*J$90^1+$D$54*J$90^1*$B95^1+$D$55*J$90^1*$B95^2+$D$56*J$90^1*$B95^3+$D$57*J$90^2+$D$58*J$90^2*$B95^1+$D$59*J$90^2*$B95^2+$D$60*J$90^3+$D$61*J$90^3*$B95^1+$D$62*J$90^4</f>
        <v>0.203329310344828</v>
      </c>
      <c r="K95" s="30" t="n">
        <f aca="false">$D$48+$D$49*$B95^1+$D$50*$B95^2+$D$51*$B95^3+$D$52*$B95^4+$D$53*K$90^1+$D$54*K$90^1*$B95^1+$D$55*K$90^1*$B95^2+$D$56*K$90^1*$B95^3+$D$57*K$90^2+$D$58*K$90^2*$B95^1+$D$59*K$90^2*$B95^2+$D$60*K$90^3+$D$61*K$90^3*$B95^1+$D$62*K$90^4</f>
        <v>0.203452873563218</v>
      </c>
      <c r="L95" s="30" t="n">
        <f aca="false">$D$48+$D$49*$B95^1+$D$50*$B95^2+$D$51*$B95^3+$D$52*$B95^4+$D$53*L$90^1+$D$54*L$90^1*$B95^1+$D$55*L$90^1*$B95^2+$D$56*L$90^1*$B95^3+$D$57*L$90^2+$D$58*L$90^2*$B95^1+$D$59*L$90^2*$B95^2+$D$60*L$90^3+$D$61*L$90^3*$B95^1+$D$62*L$90^4</f>
        <v>0.204395977011494</v>
      </c>
      <c r="M95" s="30" t="n">
        <f aca="false">$D$48+$D$49*$B95^1+$D$50*$B95^2+$D$51*$B95^3+$D$52*$B95^4+$D$53*M$90^1+$D$54*M$90^1*$B95^1+$D$55*M$90^1*$B95^2+$D$56*M$90^1*$B95^3+$D$57*M$90^2+$D$58*M$90^2*$B95^1+$D$59*M$90^2*$B95^2+$D$60*M$90^3+$D$61*M$90^3*$B95^1+$D$62*M$90^4</f>
        <v>0.204855172413793</v>
      </c>
      <c r="N95" s="30" t="n">
        <f aca="false">$D$48+$D$49*$B95^1+$D$50*$B95^2+$D$51*$B95^3+$D$52*$B95^4+$D$53*N$90^1+$D$54*N$90^1*$B95^1+$D$55*N$90^1*$B95^2+$D$56*N$90^1*$B95^3+$D$57*N$90^2+$D$58*N$90^2*$B95^1+$D$59*N$90^2*$B95^2+$D$60*N$90^3+$D$61*N$90^3*$B95^1+$D$62*N$90^4</f>
        <v>0.204395977011494</v>
      </c>
      <c r="O95" s="30" t="n">
        <f aca="false">$D$48+$D$49*$B95^1+$D$50*$B95^2+$D$51*$B95^3+$D$52*$B95^4+$D$53*O$90^1+$D$54*O$90^1*$B95^1+$D$55*O$90^1*$B95^2+$D$56*O$90^1*$B95^3+$D$57*O$90^2+$D$58*O$90^2*$B95^1+$D$59*O$90^2*$B95^2+$D$60*O$90^3+$D$61*O$90^3*$B95^1+$D$62*O$90^4</f>
        <v>0.203452873563218</v>
      </c>
      <c r="P95" s="30" t="n">
        <f aca="false">$D$48+$D$49*$B95^1+$D$50*$B95^2+$D$51*$B95^3+$D$52*$B95^4+$D$53*P$90^1+$D$54*P$90^1*$B95^1+$D$55*P$90^1*$B95^2+$D$56*P$90^1*$B95^3+$D$57*P$90^2+$D$58*P$90^2*$B95^1+$D$59*P$90^2*$B95^2+$D$60*P$90^3+$D$61*P$90^3*$B95^1+$D$62*P$90^4</f>
        <v>0.203329310344828</v>
      </c>
      <c r="Q95" s="30" t="n">
        <f aca="false">$D$48+$D$49*$B95^1+$D$50*$B95^2+$D$51*$B95^3+$D$52*$B95^4+$D$53*Q$90^1+$D$54*Q$90^1*$B95^1+$D$55*Q$90^1*$B95^2+$D$56*Q$90^1*$B95^3+$D$57*Q$90^2+$D$58*Q$90^2*$B95^1+$D$59*Q$90^2*$B95^2+$D$60*Q$90^3+$D$61*Q$90^3*$B95^1+$D$62*Q$90^4</f>
        <v>0.206197701149425</v>
      </c>
      <c r="R95" s="30" t="n">
        <f aca="false">$D$48+$D$49*$B95^1+$D$50*$B95^2+$D$51*$B95^3+$D$52*$B95^4+$D$53*R$90^1+$D$54*R$90^1*$B95^1+$D$55*R$90^1*$B95^2+$D$56*R$90^1*$B95^3+$D$57*R$90^2+$D$58*R$90^2*$B95^1+$D$59*R$90^2*$B95^2+$D$60*R$90^3+$D$61*R$90^3*$B95^1+$D$62*R$90^4</f>
        <v>0.215099425287356</v>
      </c>
      <c r="S95" s="30" t="n">
        <f aca="false">$D$48+$D$49*$B95^1+$D$50*$B95^2+$D$51*$B95^3+$D$52*$B95^4+$D$53*S$90^1+$D$54*S$90^1*$B95^1+$D$55*S$90^1*$B95^2+$D$56*S$90^1*$B95^3+$D$57*S$90^2+$D$58*S$90^2*$B95^1+$D$59*S$90^2*$B95^2+$D$60*S$90^3+$D$61*S$90^3*$B95^1+$D$62*S$90^4</f>
        <v>0.233944827586207</v>
      </c>
      <c r="T95" s="30" t="n">
        <f aca="false">$D$48+$D$49*$B95^1+$D$50*$B95^2+$D$51*$B95^3+$D$52*$B95^4+$D$53*T$90^1+$D$54*T$90^1*$B95^1+$D$55*T$90^1*$B95^2+$D$56*T$90^1*$B95^3+$D$57*T$90^2+$D$58*T$90^2*$B95^1+$D$59*T$90^2*$B95^2+$D$60*T$90^3+$D$61*T$90^3*$B95^1+$D$62*T$90^4</f>
        <v>0.267513218390805</v>
      </c>
      <c r="U95" s="30" t="n">
        <f aca="false">$D$48+$D$49*$B95^1+$D$50*$B95^2+$D$51*$B95^3+$D$52*$B95^4+$D$53*U$90^1+$D$54*U$90^1*$B95^1+$D$55*U$90^1*$B95^2+$D$56*U$90^1*$B95^3+$D$57*U$90^2+$D$58*U$90^2*$B95^1+$D$59*U$90^2*$B95^2+$D$60*U$90^3+$D$61*U$90^3*$B95^1+$D$62*U$90^4</f>
        <v>0.321452873563218</v>
      </c>
      <c r="V95" s="30" t="n">
        <f aca="false">$D$48+$D$49*$B95^1+$D$50*$B95^2+$D$51*$B95^3+$D$52*$B95^4+$D$53*V$90^1+$D$54*V$90^1*$B95^1+$D$55*V$90^1*$B95^2+$D$56*V$90^1*$B95^3+$D$57*V$90^2+$D$58*V$90^2*$B95^1+$D$59*V$90^2*$B95^2+$D$60*V$90^3+$D$61*V$90^3*$B95^1+$D$62*V$90^4</f>
        <v>0.402281034482759</v>
      </c>
      <c r="W95" s="30" t="n">
        <f aca="false">$D$48+$D$49*$B95^1+$D$50*$B95^2+$D$51*$B95^3+$D$52*$B95^4+$D$53*W$90^1+$D$54*W$90^1*$B95^1+$D$55*W$90^1*$B95^2+$D$56*W$90^1*$B95^3+$D$57*W$90^2+$D$58*W$90^2*$B95^1+$D$59*W$90^2*$B95^2+$D$60*W$90^3+$D$61*W$90^3*$B95^1+$D$62*W$90^4</f>
        <v>0.517383908045977</v>
      </c>
    </row>
    <row r="96" customFormat="false" ht="15" hidden="false" customHeight="false" outlineLevel="0" collapsed="false">
      <c r="B96" s="39" t="n">
        <v>0.5</v>
      </c>
      <c r="C96" s="30" t="n">
        <f aca="false">$D$48+$D$49*$B96^1+$D$50*$B96^2+$D$51*$B96^3+$D$52*$B96^4+$D$53*C$90^1+$D$54*C$90^1*$B96^1+$D$55*C$90^1*$B96^2+$D$56*C$90^1*$B96^3+$D$57*C$90^2+$D$58*C$90^2*$B96^1+$D$59*C$90^2*$B96^2+$D$60*C$90^3+$D$61*C$90^3*$B96^1+$D$62*C$90^4</f>
        <v>0.500359195402299</v>
      </c>
      <c r="D96" s="30" t="n">
        <f aca="false">$D$48+$D$49*$B96^1+$D$50*$B96^2+$D$51*$B96^3+$D$52*$B96^4+$D$53*D$90^1+$D$54*D$90^1*$B96^1+$D$55*D$90^1*$B96^2+$D$56*D$90^1*$B96^3+$D$57*D$90^2+$D$58*D$90^2*$B96^1+$D$59*D$90^2*$B96^2+$D$60*D$90^3+$D$61*D$90^3*$B96^1+$D$62*D$90^4</f>
        <v>0.384715804597701</v>
      </c>
      <c r="E96" s="30" t="n">
        <f aca="false">$D$48+$D$49*$B96^1+$D$50*$B96^2+$D$51*$B96^3+$D$52*$B96^4+$D$53*E$90^1+$D$54*E$90^1*$B96^1+$D$55*E$90^1*$B96^2+$D$56*E$90^1*$B96^3+$D$57*E$90^2+$D$58*E$90^2*$B96^1+$D$59*E$90^2*$B96^2+$D$60*E$90^3+$D$61*E$90^3*$B96^1+$D$62*E$90^4</f>
        <v>0.303404022988506</v>
      </c>
      <c r="F96" s="30" t="n">
        <f aca="false">$D$48+$D$49*$B96^1+$D$50*$B96^2+$D$51*$B96^3+$D$52*$B96^4+$D$53*F$90^1+$D$54*F$90^1*$B96^1+$D$55*F$90^1*$B96^2+$D$56*F$90^1*$B96^3+$D$57*F$90^2+$D$58*F$90^2*$B96^1+$D$59*F$90^2*$B96^2+$D$60*F$90^3+$D$61*F$90^3*$B96^1+$D$62*F$90^4</f>
        <v>0.249037643678161</v>
      </c>
      <c r="G96" s="30" t="n">
        <f aca="false">$D$48+$D$49*$B96^1+$D$50*$B96^2+$D$51*$B96^3+$D$52*$B96^4+$D$53*G$90^1+$D$54*G$90^1*$B96^1+$D$55*G$90^1*$B96^2+$D$56*G$90^1*$B96^3+$D$57*G$90^2+$D$58*G$90^2*$B96^1+$D$59*G$90^2*$B96^2+$D$60*G$90^3+$D$61*G$90^3*$B96^1+$D$62*G$90^4</f>
        <v>0.215099425287356</v>
      </c>
      <c r="H96" s="30" t="n">
        <f aca="false">$D$48+$D$49*$B96^1+$D$50*$B96^2+$D$51*$B96^3+$D$52*$B96^4+$D$53*H$90^1+$D$54*H$90^1*$B96^1+$D$55*H$90^1*$B96^2+$D$56*H$90^1*$B96^3+$D$57*H$90^2+$D$58*H$90^2*$B96^1+$D$59*H$90^2*$B96^2+$D$60*H$90^3+$D$61*H$90^3*$B96^1+$D$62*H$90^4</f>
        <v>0.195941091954023</v>
      </c>
      <c r="I96" s="30" t="n">
        <f aca="false">$D$48+$D$49*$B96^1+$D$50*$B96^2+$D$51*$B96^3+$D$52*$B96^4+$D$53*I$90^1+$D$54*I$90^1*$B96^1+$D$55*I$90^1*$B96^2+$D$56*I$90^1*$B96^3+$D$57*I$90^2+$D$58*I$90^2*$B96^1+$D$59*I$90^2*$B96^2+$D$60*I$90^3+$D$61*I$90^3*$B96^1+$D$62*I$90^4</f>
        <v>0.186783333333333</v>
      </c>
      <c r="J96" s="30" t="n">
        <f aca="false">$D$48+$D$49*$B96^1+$D$50*$B96^2+$D$51*$B96^3+$D$52*$B96^4+$D$53*J$90^1+$D$54*J$90^1*$B96^1+$D$55*J$90^1*$B96^2+$D$56*J$90^1*$B96^3+$D$57*J$90^2+$D$58*J$90^2*$B96^1+$D$59*J$90^2*$B96^2+$D$60*J$90^3+$D$61*J$90^3*$B96^1+$D$62*J$90^4</f>
        <v>0.183715804597701</v>
      </c>
      <c r="K96" s="30" t="n">
        <f aca="false">$D$48+$D$49*$B96^1+$D$50*$B96^2+$D$51*$B96^3+$D$52*$B96^4+$D$53*K$90^1+$D$54*K$90^1*$B96^1+$D$55*K$90^1*$B96^2+$D$56*K$90^1*$B96^3+$D$57*K$90^2+$D$58*K$90^2*$B96^1+$D$59*K$90^2*$B96^2+$D$60*K$90^3+$D$61*K$90^3*$B96^1+$D$62*K$90^4</f>
        <v>0.183697126436782</v>
      </c>
      <c r="L96" s="30" t="n">
        <f aca="false">$D$48+$D$49*$B96^1+$D$50*$B96^2+$D$51*$B96^3+$D$52*$B96^4+$D$53*L$90^1+$D$54*L$90^1*$B96^1+$D$55*L$90^1*$B96^2+$D$56*L$90^1*$B96^3+$D$57*L$90^2+$D$58*L$90^2*$B96^1+$D$59*L$90^2*$B96^2+$D$60*L$90^3+$D$61*L$90^3*$B96^1+$D$62*L$90^4</f>
        <v>0.184554885057471</v>
      </c>
      <c r="M96" s="30" t="n">
        <f aca="false">$D$48+$D$49*$B96^1+$D$50*$B96^2+$D$51*$B96^3+$D$52*$B96^4+$D$53*M$90^1+$D$54*M$90^1*$B96^1+$D$55*M$90^1*$B96^2+$D$56*M$90^1*$B96^3+$D$57*M$90^2+$D$58*M$90^2*$B96^1+$D$59*M$90^2*$B96^2+$D$60*M$90^3+$D$61*M$90^3*$B96^1+$D$62*M$90^4</f>
        <v>0.184985632183908</v>
      </c>
      <c r="N96" s="30" t="n">
        <f aca="false">$D$48+$D$49*$B96^1+$D$50*$B96^2+$D$51*$B96^3+$D$52*$B96^4+$D$53*N$90^1+$D$54*N$90^1*$B96^1+$D$55*N$90^1*$B96^2+$D$56*N$90^1*$B96^3+$D$57*N$90^2+$D$58*N$90^2*$B96^1+$D$59*N$90^2*$B96^2+$D$60*N$90^3+$D$61*N$90^3*$B96^1+$D$62*N$90^4</f>
        <v>0.184554885057471</v>
      </c>
      <c r="O96" s="30" t="n">
        <f aca="false">$D$48+$D$49*$B96^1+$D$50*$B96^2+$D$51*$B96^3+$D$52*$B96^4+$D$53*O$90^1+$D$54*O$90^1*$B96^1+$D$55*O$90^1*$B96^2+$D$56*O$90^1*$B96^3+$D$57*O$90^2+$D$58*O$90^2*$B96^1+$D$59*O$90^2*$B96^2+$D$60*O$90^3+$D$61*O$90^3*$B96^1+$D$62*O$90^4</f>
        <v>0.183697126436782</v>
      </c>
      <c r="P96" s="30" t="n">
        <f aca="false">$D$48+$D$49*$B96^1+$D$50*$B96^2+$D$51*$B96^3+$D$52*$B96^4+$D$53*P$90^1+$D$54*P$90^1*$B96^1+$D$55*P$90^1*$B96^2+$D$56*P$90^1*$B96^3+$D$57*P$90^2+$D$58*P$90^2*$B96^1+$D$59*P$90^2*$B96^2+$D$60*P$90^3+$D$61*P$90^3*$B96^1+$D$62*P$90^4</f>
        <v>0.183715804597701</v>
      </c>
      <c r="Q96" s="30" t="n">
        <f aca="false">$D$48+$D$49*$B96^1+$D$50*$B96^2+$D$51*$B96^3+$D$52*$B96^4+$D$53*Q$90^1+$D$54*Q$90^1*$B96^1+$D$55*Q$90^1*$B96^2+$D$56*Q$90^1*$B96^3+$D$57*Q$90^2+$D$58*Q$90^2*$B96^1+$D$59*Q$90^2*$B96^2+$D$60*Q$90^3+$D$61*Q$90^3*$B96^1+$D$62*Q$90^4</f>
        <v>0.186783333333333</v>
      </c>
      <c r="R96" s="30" t="n">
        <f aca="false">$D$48+$D$49*$B96^1+$D$50*$B96^2+$D$51*$B96^3+$D$52*$B96^4+$D$53*R$90^1+$D$54*R$90^1*$B96^1+$D$55*R$90^1*$B96^2+$D$56*R$90^1*$B96^3+$D$57*R$90^2+$D$58*R$90^2*$B96^1+$D$59*R$90^2*$B96^2+$D$60*R$90^3+$D$61*R$90^3*$B96^1+$D$62*R$90^4</f>
        <v>0.195941091954023</v>
      </c>
      <c r="S96" s="30" t="n">
        <f aca="false">$D$48+$D$49*$B96^1+$D$50*$B96^2+$D$51*$B96^3+$D$52*$B96^4+$D$53*S$90^1+$D$54*S$90^1*$B96^1+$D$55*S$90^1*$B96^2+$D$56*S$90^1*$B96^3+$D$57*S$90^2+$D$58*S$90^2*$B96^1+$D$59*S$90^2*$B96^2+$D$60*S$90^3+$D$61*S$90^3*$B96^1+$D$62*S$90^4</f>
        <v>0.215099425287356</v>
      </c>
      <c r="T96" s="30" t="n">
        <f aca="false">$D$48+$D$49*$B96^1+$D$50*$B96^2+$D$51*$B96^3+$D$52*$B96^4+$D$53*T$90^1+$D$54*T$90^1*$B96^1+$D$55*T$90^1*$B96^2+$D$56*T$90^1*$B96^3+$D$57*T$90^2+$D$58*T$90^2*$B96^1+$D$59*T$90^2*$B96^2+$D$60*T$90^3+$D$61*T$90^3*$B96^1+$D$62*T$90^4</f>
        <v>0.249037643678161</v>
      </c>
      <c r="U96" s="30" t="n">
        <f aca="false">$D$48+$D$49*$B96^1+$D$50*$B96^2+$D$51*$B96^3+$D$52*$B96^4+$D$53*U$90^1+$D$54*U$90^1*$B96^1+$D$55*U$90^1*$B96^2+$D$56*U$90^1*$B96^3+$D$57*U$90^2+$D$58*U$90^2*$B96^1+$D$59*U$90^2*$B96^2+$D$60*U$90^3+$D$61*U$90^3*$B96^1+$D$62*U$90^4</f>
        <v>0.303404022988506</v>
      </c>
      <c r="V96" s="30" t="n">
        <f aca="false">$D$48+$D$49*$B96^1+$D$50*$B96^2+$D$51*$B96^3+$D$52*$B96^4+$D$53*V$90^1+$D$54*V$90^1*$B96^1+$D$55*V$90^1*$B96^2+$D$56*V$90^1*$B96^3+$D$57*V$90^2+$D$58*V$90^2*$B96^1+$D$59*V$90^2*$B96^2+$D$60*V$90^3+$D$61*V$90^3*$B96^1+$D$62*V$90^4</f>
        <v>0.384715804597701</v>
      </c>
      <c r="W96" s="30" t="n">
        <f aca="false">$D$48+$D$49*$B96^1+$D$50*$B96^2+$D$51*$B96^3+$D$52*$B96^4+$D$53*W$90^1+$D$54*W$90^1*$B96^1+$D$55*W$90^1*$B96^2+$D$56*W$90^1*$B96^3+$D$57*W$90^2+$D$58*W$90^2*$B96^1+$D$59*W$90^2*$B96^2+$D$60*W$90^3+$D$61*W$90^3*$B96^1+$D$62*W$90^4</f>
        <v>0.500359195402299</v>
      </c>
    </row>
    <row r="97" customFormat="false" ht="15" hidden="false" customHeight="false" outlineLevel="0" collapsed="false">
      <c r="B97" s="39" t="n">
        <v>0.4</v>
      </c>
      <c r="C97" s="30" t="n">
        <f aca="false">$D$48+$D$49*$B97^1+$D$50*$B97^2+$D$51*$B97^3+$D$52*$B97^4+$D$53*C$90^1+$D$54*C$90^1*$B97^1+$D$55*C$90^1*$B97^2+$D$56*C$90^1*$B97^3+$D$57*C$90^2+$D$58*C$90^2*$B97^1+$D$59*C$90^2*$B97^2+$D$60*C$90^3+$D$61*C$90^3*$B97^1+$D$62*C$90^4</f>
        <v>0.492947126436782</v>
      </c>
      <c r="D97" s="30" t="n">
        <f aca="false">$D$48+$D$49*$B97^1+$D$50*$B97^2+$D$51*$B97^3+$D$52*$B97^4+$D$53*D$90^1+$D$54*D$90^1*$B97^1+$D$55*D$90^1*$B97^2+$D$56*D$90^1*$B97^3+$D$57*D$90^2+$D$58*D$90^2*$B97^1+$D$59*D$90^2*$B97^2+$D$60*D$90^3+$D$61*D$90^3*$B97^1+$D$62*D$90^4</f>
        <v>0.376861494252874</v>
      </c>
      <c r="E97" s="30" t="n">
        <f aca="false">$D$48+$D$49*$B97^1+$D$50*$B97^2+$D$51*$B97^3+$D$52*$B97^4+$D$53*E$90^1+$D$54*E$90^1*$B97^1+$D$55*E$90^1*$B97^2+$D$56*E$90^1*$B97^3+$D$57*E$90^2+$D$58*E$90^2*$B97^1+$D$59*E$90^2*$B97^2+$D$60*E$90^3+$D$61*E$90^3*$B97^1+$D$62*E$90^4</f>
        <v>0.295154022988506</v>
      </c>
      <c r="F97" s="30" t="n">
        <f aca="false">$D$48+$D$49*$B97^1+$D$50*$B97^2+$D$51*$B97^3+$D$52*$B97^4+$D$53*F$90^1+$D$54*F$90^1*$B97^1+$D$55*F$90^1*$B97^2+$D$56*F$90^1*$B97^3+$D$57*F$90^2+$D$58*F$90^2*$B97^1+$D$59*F$90^2*$B97^2+$D$60*F$90^3+$D$61*F$90^3*$B97^1+$D$62*F$90^4</f>
        <v>0.240438505747126</v>
      </c>
      <c r="G97" s="30" t="n">
        <f aca="false">$D$48+$D$49*$B97^1+$D$50*$B97^2+$D$51*$B97^3+$D$52*$B97^4+$D$53*G$90^1+$D$54*G$90^1*$B97^1+$D$55*G$90^1*$B97^2+$D$56*G$90^1*$B97^3+$D$57*G$90^2+$D$58*G$90^2*$B97^1+$D$59*G$90^2*$B97^2+$D$60*G$90^3+$D$61*G$90^3*$B97^1+$D$62*G$90^4</f>
        <v>0.206197701149425</v>
      </c>
      <c r="H97" s="30" t="n">
        <f aca="false">$D$48+$D$49*$B97^1+$D$50*$B97^2+$D$51*$B97^3+$D$52*$B97^4+$D$53*H$90^1+$D$54*H$90^1*$B97^1+$D$55*H$90^1*$B97^2+$D$56*H$90^1*$B97^3+$D$57*H$90^2+$D$58*H$90^2*$B97^1+$D$59*H$90^2*$B97^2+$D$60*H$90^3+$D$61*H$90^3*$B97^1+$D$62*H$90^4</f>
        <v>0.186783333333333</v>
      </c>
      <c r="I97" s="30" t="n">
        <f aca="false">$D$48+$D$49*$B97^1+$D$50*$B97^2+$D$51*$B97^3+$D$52*$B97^4+$D$53*I$90^1+$D$54*I$90^1*$B97^1+$D$55*I$90^1*$B97^2+$D$56*I$90^1*$B97^3+$D$57*I$90^2+$D$58*I$90^2*$B97^1+$D$59*I$90^2*$B97^2+$D$60*I$90^3+$D$61*I$90^3*$B97^1+$D$62*I$90^4</f>
        <v>0.177416091954023</v>
      </c>
      <c r="J97" s="30" t="n">
        <f aca="false">$D$48+$D$49*$B97^1+$D$50*$B97^2+$D$51*$B97^3+$D$52*$B97^4+$D$53*J$90^1+$D$54*J$90^1*$B97^1+$D$55*J$90^1*$B97^2+$D$56*J$90^1*$B97^3+$D$57*J$90^2+$D$58*J$90^2*$B97^1+$D$59*J$90^2*$B97^2+$D$60*J$90^3+$D$61*J$90^3*$B97^1+$D$62*J$90^4</f>
        <v>0.174185632183908</v>
      </c>
      <c r="K97" s="30" t="n">
        <f aca="false">$D$48+$D$49*$B97^1+$D$50*$B97^2+$D$51*$B97^3+$D$52*$B97^4+$D$53*K$90^1+$D$54*K$90^1*$B97^1+$D$55*K$90^1*$B97^2+$D$56*K$90^1*$B97^3+$D$57*K$90^2+$D$58*K$90^2*$B97^1+$D$59*K$90^2*$B97^2+$D$60*K$90^3+$D$61*K$90^3*$B97^1+$D$62*K$90^4</f>
        <v>0.174050574712644</v>
      </c>
      <c r="L97" s="30" t="n">
        <f aca="false">$D$48+$D$49*$B97^1+$D$50*$B97^2+$D$51*$B97^3+$D$52*$B97^4+$D$53*L$90^1+$D$54*L$90^1*$B97^1+$D$55*L$90^1*$B97^2+$D$56*L$90^1*$B97^3+$D$57*L$90^2+$D$58*L$90^2*$B97^1+$D$59*L$90^2*$B97^2+$D$60*L$90^3+$D$61*L$90^3*$B97^1+$D$62*L$90^4</f>
        <v>0.174838505747126</v>
      </c>
      <c r="M97" s="30" t="n">
        <f aca="false">$D$48+$D$49*$B97^1+$D$50*$B97^2+$D$51*$B97^3+$D$52*$B97^4+$D$53*M$90^1+$D$54*M$90^1*$B97^1+$D$55*M$90^1*$B97^2+$D$56*M$90^1*$B97^3+$D$57*M$90^2+$D$58*M$90^2*$B97^1+$D$59*M$90^2*$B97^2+$D$60*M$90^3+$D$61*M$90^3*$B97^1+$D$62*M$90^4</f>
        <v>0.175245977011494</v>
      </c>
      <c r="N97" s="30" t="n">
        <f aca="false">$D$48+$D$49*$B97^1+$D$50*$B97^2+$D$51*$B97^3+$D$52*$B97^4+$D$53*N$90^1+$D$54*N$90^1*$B97^1+$D$55*N$90^1*$B97^2+$D$56*N$90^1*$B97^3+$D$57*N$90^2+$D$58*N$90^2*$B97^1+$D$59*N$90^2*$B97^2+$D$60*N$90^3+$D$61*N$90^3*$B97^1+$D$62*N$90^4</f>
        <v>0.174838505747126</v>
      </c>
      <c r="O97" s="30" t="n">
        <f aca="false">$D$48+$D$49*$B97^1+$D$50*$B97^2+$D$51*$B97^3+$D$52*$B97^4+$D$53*O$90^1+$D$54*O$90^1*$B97^1+$D$55*O$90^1*$B97^2+$D$56*O$90^1*$B97^3+$D$57*O$90^2+$D$58*O$90^2*$B97^1+$D$59*O$90^2*$B97^2+$D$60*O$90^3+$D$61*O$90^3*$B97^1+$D$62*O$90^4</f>
        <v>0.174050574712644</v>
      </c>
      <c r="P97" s="30" t="n">
        <f aca="false">$D$48+$D$49*$B97^1+$D$50*$B97^2+$D$51*$B97^3+$D$52*$B97^4+$D$53*P$90^1+$D$54*P$90^1*$B97^1+$D$55*P$90^1*$B97^2+$D$56*P$90^1*$B97^3+$D$57*P$90^2+$D$58*P$90^2*$B97^1+$D$59*P$90^2*$B97^2+$D$60*P$90^3+$D$61*P$90^3*$B97^1+$D$62*P$90^4</f>
        <v>0.174185632183908</v>
      </c>
      <c r="Q97" s="30" t="n">
        <f aca="false">$D$48+$D$49*$B97^1+$D$50*$B97^2+$D$51*$B97^3+$D$52*$B97^4+$D$53*Q$90^1+$D$54*Q$90^1*$B97^1+$D$55*Q$90^1*$B97^2+$D$56*Q$90^1*$B97^3+$D$57*Q$90^2+$D$58*Q$90^2*$B97^1+$D$59*Q$90^2*$B97^2+$D$60*Q$90^3+$D$61*Q$90^3*$B97^1+$D$62*Q$90^4</f>
        <v>0.177416091954023</v>
      </c>
      <c r="R97" s="30" t="n">
        <f aca="false">$D$48+$D$49*$B97^1+$D$50*$B97^2+$D$51*$B97^3+$D$52*$B97^4+$D$53*R$90^1+$D$54*R$90^1*$B97^1+$D$55*R$90^1*$B97^2+$D$56*R$90^1*$B97^3+$D$57*R$90^2+$D$58*R$90^2*$B97^1+$D$59*R$90^2*$B97^2+$D$60*R$90^3+$D$61*R$90^3*$B97^1+$D$62*R$90^4</f>
        <v>0.186783333333333</v>
      </c>
      <c r="S97" s="30" t="n">
        <f aca="false">$D$48+$D$49*$B97^1+$D$50*$B97^2+$D$51*$B97^3+$D$52*$B97^4+$D$53*S$90^1+$D$54*S$90^1*$B97^1+$D$55*S$90^1*$B97^2+$D$56*S$90^1*$B97^3+$D$57*S$90^2+$D$58*S$90^2*$B97^1+$D$59*S$90^2*$B97^2+$D$60*S$90^3+$D$61*S$90^3*$B97^1+$D$62*S$90^4</f>
        <v>0.206197701149425</v>
      </c>
      <c r="T97" s="30" t="n">
        <f aca="false">$D$48+$D$49*$B97^1+$D$50*$B97^2+$D$51*$B97^3+$D$52*$B97^4+$D$53*T$90^1+$D$54*T$90^1*$B97^1+$D$55*T$90^1*$B97^2+$D$56*T$90^1*$B97^3+$D$57*T$90^2+$D$58*T$90^2*$B97^1+$D$59*T$90^2*$B97^2+$D$60*T$90^3+$D$61*T$90^3*$B97^1+$D$62*T$90^4</f>
        <v>0.240438505747126</v>
      </c>
      <c r="U97" s="30" t="n">
        <f aca="false">$D$48+$D$49*$B97^1+$D$50*$B97^2+$D$51*$B97^3+$D$52*$B97^4+$D$53*U$90^1+$D$54*U$90^1*$B97^1+$D$55*U$90^1*$B97^2+$D$56*U$90^1*$B97^3+$D$57*U$90^2+$D$58*U$90^2*$B97^1+$D$59*U$90^2*$B97^2+$D$60*U$90^3+$D$61*U$90^3*$B97^1+$D$62*U$90^4</f>
        <v>0.295154022988506</v>
      </c>
      <c r="V97" s="30" t="n">
        <f aca="false">$D$48+$D$49*$B97^1+$D$50*$B97^2+$D$51*$B97^3+$D$52*$B97^4+$D$53*V$90^1+$D$54*V$90^1*$B97^1+$D$55*V$90^1*$B97^2+$D$56*V$90^1*$B97^3+$D$57*V$90^2+$D$58*V$90^2*$B97^1+$D$59*V$90^2*$B97^2+$D$60*V$90^3+$D$61*V$90^3*$B97^1+$D$62*V$90^4</f>
        <v>0.376861494252874</v>
      </c>
      <c r="W97" s="30" t="n">
        <f aca="false">$D$48+$D$49*$B97^1+$D$50*$B97^2+$D$51*$B97^3+$D$52*$B97^4+$D$53*W$90^1+$D$54*W$90^1*$B97^1+$D$55*W$90^1*$B97^2+$D$56*W$90^1*$B97^3+$D$57*W$90^2+$D$58*W$90^2*$B97^1+$D$59*W$90^2*$B97^2+$D$60*W$90^3+$D$61*W$90^3*$B97^1+$D$62*W$90^4</f>
        <v>0.492947126436782</v>
      </c>
    </row>
    <row r="98" customFormat="false" ht="15" hidden="false" customHeight="false" outlineLevel="0" collapsed="false">
      <c r="B98" s="39" t="n">
        <v>0.3</v>
      </c>
      <c r="C98" s="30" t="n">
        <f aca="false">$D$48+$D$49*$B98^1+$D$50*$B98^2+$D$51*$B98^3+$D$52*$B98^4+$D$53*C$90^1+$D$54*C$90^1*$B98^1+$D$55*C$90^1*$B98^2+$D$56*C$90^1*$B98^3+$D$57*C$90^2+$D$58*C$90^2*$B98^1+$D$59*C$90^2*$B98^2+$D$60*C$90^3+$D$61*C$90^3*$B98^1+$D$62*C$90^4</f>
        <v>0.491237356321839</v>
      </c>
      <c r="D98" s="30" t="n">
        <f aca="false">$D$48+$D$49*$B98^1+$D$50*$B98^2+$D$51*$B98^3+$D$52*$B98^4+$D$53*D$90^1+$D$54*D$90^1*$B98^1+$D$55*D$90^1*$B98^2+$D$56*D$90^1*$B98^3+$D$57*D$90^2+$D$58*D$90^2*$B98^1+$D$59*D$90^2*$B98^2+$D$60*D$90^3+$D$61*D$90^3*$B98^1+$D$62*D$90^4</f>
        <v>0.37480775862069</v>
      </c>
      <c r="E98" s="30" t="n">
        <f aca="false">$D$48+$D$49*$B98^1+$D$50*$B98^2+$D$51*$B98^3+$D$52*$B98^4+$D$53*E$90^1+$D$54*E$90^1*$B98^1+$D$55*E$90^1*$B98^2+$D$56*E$90^1*$B98^3+$D$57*E$90^2+$D$58*E$90^2*$B98^1+$D$59*E$90^2*$B98^2+$D$60*E$90^3+$D$61*E$90^3*$B98^1+$D$62*E$90^4</f>
        <v>0.292792528735632</v>
      </c>
      <c r="F98" s="30" t="n">
        <f aca="false">$D$48+$D$49*$B98^1+$D$50*$B98^2+$D$51*$B98^3+$D$52*$B98^4+$D$53*F$90^1+$D$54*F$90^1*$B98^1+$D$55*F$90^1*$B98^2+$D$56*F$90^1*$B98^3+$D$57*F$90^2+$D$58*F$90^2*$B98^1+$D$59*F$90^2*$B98^2+$D$60*F$90^3+$D$61*F$90^3*$B98^1+$D$62*F$90^4</f>
        <v>0.237805459770115</v>
      </c>
      <c r="G98" s="30" t="n">
        <f aca="false">$D$48+$D$49*$B98^1+$D$50*$B98^2+$D$51*$B98^3+$D$52*$B98^4+$D$53*G$90^1+$D$54*G$90^1*$B98^1+$D$55*G$90^1*$B98^2+$D$56*G$90^1*$B98^3+$D$57*G$90^2+$D$58*G$90^2*$B98^1+$D$59*G$90^2*$B98^2+$D$60*G$90^3+$D$61*G$90^3*$B98^1+$D$62*G$90^4</f>
        <v>0.203329310344828</v>
      </c>
      <c r="H98" s="30" t="n">
        <f aca="false">$D$48+$D$49*$B98^1+$D$50*$B98^2+$D$51*$B98^3+$D$52*$B98^4+$D$53*H$90^1+$D$54*H$90^1*$B98^1+$D$55*H$90^1*$B98^2+$D$56*H$90^1*$B98^3+$D$57*H$90^2+$D$58*H$90^2*$B98^1+$D$59*H$90^2*$B98^2+$D$60*H$90^3+$D$61*H$90^3*$B98^1+$D$62*H$90^4</f>
        <v>0.183715804597701</v>
      </c>
      <c r="I98" s="30" t="n">
        <f aca="false">$D$48+$D$49*$B98^1+$D$50*$B98^2+$D$51*$B98^3+$D$52*$B98^4+$D$53*I$90^1+$D$54*I$90^1*$B98^1+$D$55*I$90^1*$B98^2+$D$56*I$90^1*$B98^3+$D$57*I$90^2+$D$58*I$90^2*$B98^1+$D$59*I$90^2*$B98^2+$D$60*I$90^3+$D$61*I$90^3*$B98^1+$D$62*I$90^4</f>
        <v>0.174185632183908</v>
      </c>
      <c r="J98" s="30" t="n">
        <f aca="false">$D$48+$D$49*$B98^1+$D$50*$B98^2+$D$51*$B98^3+$D$52*$B98^4+$D$53*J$90^1+$D$54*J$90^1*$B98^1+$D$55*J$90^1*$B98^2+$D$56*J$90^1*$B98^3+$D$57*J$90^2+$D$58*J$90^2*$B98^1+$D$59*J$90^2*$B98^2+$D$60*J$90^3+$D$61*J$90^3*$B98^1+$D$62*J$90^4</f>
        <v>0.170828448275862</v>
      </c>
      <c r="K98" s="30" t="n">
        <f aca="false">$D$48+$D$49*$B98^1+$D$50*$B98^2+$D$51*$B98^3+$D$52*$B98^4+$D$53*K$90^1+$D$54*K$90^1*$B98^1+$D$55*K$90^1*$B98^2+$D$56*K$90^1*$B98^3+$D$57*K$90^2+$D$58*K$90^2*$B98^1+$D$59*K$90^2*$B98^2+$D$60*K$90^3+$D$61*K$90^3*$B98^1+$D$62*K$90^4</f>
        <v>0.170602873563218</v>
      </c>
      <c r="L98" s="30" t="n">
        <f aca="false">$D$48+$D$49*$B98^1+$D$50*$B98^2+$D$51*$B98^3+$D$52*$B98^4+$D$53*L$90^1+$D$54*L$90^1*$B98^1+$D$55*L$90^1*$B98^2+$D$56*L$90^1*$B98^3+$D$57*L$90^2+$D$58*L$90^2*$B98^1+$D$59*L$90^2*$B98^2+$D$60*L$90^3+$D$61*L$90^3*$B98^1+$D$62*L$90^4</f>
        <v>0.171336494252874</v>
      </c>
      <c r="M98" s="30" t="n">
        <f aca="false">$D$48+$D$49*$B98^1+$D$50*$B98^2+$D$51*$B98^3+$D$52*$B98^4+$D$53*M$90^1+$D$54*M$90^1*$B98^1+$D$55*M$90^1*$B98^2+$D$56*M$90^1*$B98^3+$D$57*M$90^2+$D$58*M$90^2*$B98^1+$D$59*M$90^2*$B98^2+$D$60*M$90^3+$D$61*M$90^3*$B98^1+$D$62*M$90^4</f>
        <v>0.171725862068966</v>
      </c>
      <c r="N98" s="30" t="n">
        <f aca="false">$D$48+$D$49*$B98^1+$D$50*$B98^2+$D$51*$B98^3+$D$52*$B98^4+$D$53*N$90^1+$D$54*N$90^1*$B98^1+$D$55*N$90^1*$B98^2+$D$56*N$90^1*$B98^3+$D$57*N$90^2+$D$58*N$90^2*$B98^1+$D$59*N$90^2*$B98^2+$D$60*N$90^3+$D$61*N$90^3*$B98^1+$D$62*N$90^4</f>
        <v>0.171336494252874</v>
      </c>
      <c r="O98" s="30" t="n">
        <f aca="false">$D$48+$D$49*$B98^1+$D$50*$B98^2+$D$51*$B98^3+$D$52*$B98^4+$D$53*O$90^1+$D$54*O$90^1*$B98^1+$D$55*O$90^1*$B98^2+$D$56*O$90^1*$B98^3+$D$57*O$90^2+$D$58*O$90^2*$B98^1+$D$59*O$90^2*$B98^2+$D$60*O$90^3+$D$61*O$90^3*$B98^1+$D$62*O$90^4</f>
        <v>0.170602873563218</v>
      </c>
      <c r="P98" s="30" t="n">
        <f aca="false">$D$48+$D$49*$B98^1+$D$50*$B98^2+$D$51*$B98^3+$D$52*$B98^4+$D$53*P$90^1+$D$54*P$90^1*$B98^1+$D$55*P$90^1*$B98^2+$D$56*P$90^1*$B98^3+$D$57*P$90^2+$D$58*P$90^2*$B98^1+$D$59*P$90^2*$B98^2+$D$60*P$90^3+$D$61*P$90^3*$B98^1+$D$62*P$90^4</f>
        <v>0.170828448275862</v>
      </c>
      <c r="Q98" s="30" t="n">
        <f aca="false">$D$48+$D$49*$B98^1+$D$50*$B98^2+$D$51*$B98^3+$D$52*$B98^4+$D$53*Q$90^1+$D$54*Q$90^1*$B98^1+$D$55*Q$90^1*$B98^2+$D$56*Q$90^1*$B98^3+$D$57*Q$90^2+$D$58*Q$90^2*$B98^1+$D$59*Q$90^2*$B98^2+$D$60*Q$90^3+$D$61*Q$90^3*$B98^1+$D$62*Q$90^4</f>
        <v>0.174185632183908</v>
      </c>
      <c r="R98" s="30" t="n">
        <f aca="false">$D$48+$D$49*$B98^1+$D$50*$B98^2+$D$51*$B98^3+$D$52*$B98^4+$D$53*R$90^1+$D$54*R$90^1*$B98^1+$D$55*R$90^1*$B98^2+$D$56*R$90^1*$B98^3+$D$57*R$90^2+$D$58*R$90^2*$B98^1+$D$59*R$90^2*$B98^2+$D$60*R$90^3+$D$61*R$90^3*$B98^1+$D$62*R$90^4</f>
        <v>0.183715804597701</v>
      </c>
      <c r="S98" s="30" t="n">
        <f aca="false">$D$48+$D$49*$B98^1+$D$50*$B98^2+$D$51*$B98^3+$D$52*$B98^4+$D$53*S$90^1+$D$54*S$90^1*$B98^1+$D$55*S$90^1*$B98^2+$D$56*S$90^1*$B98^3+$D$57*S$90^2+$D$58*S$90^2*$B98^1+$D$59*S$90^2*$B98^2+$D$60*S$90^3+$D$61*S$90^3*$B98^1+$D$62*S$90^4</f>
        <v>0.203329310344828</v>
      </c>
      <c r="T98" s="30" t="n">
        <f aca="false">$D$48+$D$49*$B98^1+$D$50*$B98^2+$D$51*$B98^3+$D$52*$B98^4+$D$53*T$90^1+$D$54*T$90^1*$B98^1+$D$55*T$90^1*$B98^2+$D$56*T$90^1*$B98^3+$D$57*T$90^2+$D$58*T$90^2*$B98^1+$D$59*T$90^2*$B98^2+$D$60*T$90^3+$D$61*T$90^3*$B98^1+$D$62*T$90^4</f>
        <v>0.237805459770115</v>
      </c>
      <c r="U98" s="30" t="n">
        <f aca="false">$D$48+$D$49*$B98^1+$D$50*$B98^2+$D$51*$B98^3+$D$52*$B98^4+$D$53*U$90^1+$D$54*U$90^1*$B98^1+$D$55*U$90^1*$B98^2+$D$56*U$90^1*$B98^3+$D$57*U$90^2+$D$58*U$90^2*$B98^1+$D$59*U$90^2*$B98^2+$D$60*U$90^3+$D$61*U$90^3*$B98^1+$D$62*U$90^4</f>
        <v>0.292792528735632</v>
      </c>
      <c r="V98" s="30" t="n">
        <f aca="false">$D$48+$D$49*$B98^1+$D$50*$B98^2+$D$51*$B98^3+$D$52*$B98^4+$D$53*V$90^1+$D$54*V$90^1*$B98^1+$D$55*V$90^1*$B98^2+$D$56*V$90^1*$B98^3+$D$57*V$90^2+$D$58*V$90^2*$B98^1+$D$59*V$90^2*$B98^2+$D$60*V$90^3+$D$61*V$90^3*$B98^1+$D$62*V$90^4</f>
        <v>0.37480775862069</v>
      </c>
      <c r="W98" s="30" t="n">
        <f aca="false">$D$48+$D$49*$B98^1+$D$50*$B98^2+$D$51*$B98^3+$D$52*$B98^4+$D$53*W$90^1+$D$54*W$90^1*$B98^1+$D$55*W$90^1*$B98^2+$D$56*W$90^1*$B98^3+$D$57*W$90^2+$D$58*W$90^2*$B98^1+$D$59*W$90^2*$B98^2+$D$60*W$90^3+$D$61*W$90^3*$B98^1+$D$62*W$90^4</f>
        <v>0.491237356321839</v>
      </c>
    </row>
    <row r="99" customFormat="false" ht="15" hidden="false" customHeight="false" outlineLevel="0" collapsed="false">
      <c r="B99" s="39" t="n">
        <v>0.2</v>
      </c>
      <c r="C99" s="30" t="n">
        <f aca="false">$D$48+$D$49*$B99^1+$D$50*$B99^2+$D$51*$B99^3+$D$52*$B99^4+$D$53*C$90^1+$D$54*C$90^1*$B99^1+$D$55*C$90^1*$B99^2+$D$56*C$90^1*$B99^3+$D$57*C$90^2+$D$58*C$90^2*$B99^1+$D$59*C$90^2*$B99^2+$D$60*C$90^3+$D$61*C$90^3*$B99^1+$D$62*C$90^4</f>
        <v>0.492188505747126</v>
      </c>
      <c r="D99" s="30" t="n">
        <f aca="false">$D$48+$D$49*$B99^1+$D$50*$B99^2+$D$51*$B99^3+$D$52*$B99^4+$D$53*D$90^1+$D$54*D$90^1*$B99^1+$D$55*D$90^1*$B99^2+$D$56*D$90^1*$B99^3+$D$57*D$90^2+$D$58*D$90^2*$B99^1+$D$59*D$90^2*$B99^2+$D$60*D$90^3+$D$61*D$90^3*$B99^1+$D$62*D$90^4</f>
        <v>0.375513218390805</v>
      </c>
      <c r="E99" s="30" t="n">
        <f aca="false">$D$48+$D$49*$B99^1+$D$50*$B99^2+$D$51*$B99^3+$D$52*$B99^4+$D$53*E$90^1+$D$54*E$90^1*$B99^1+$D$55*E$90^1*$B99^2+$D$56*E$90^1*$B99^3+$D$57*E$90^2+$D$58*E$90^2*$B99^1+$D$59*E$90^2*$B99^2+$D$60*E$90^3+$D$61*E$90^3*$B99^1+$D$62*E$90^4</f>
        <v>0.29327816091954</v>
      </c>
      <c r="F99" s="30" t="n">
        <f aca="false">$D$48+$D$49*$B99^1+$D$50*$B99^2+$D$51*$B99^3+$D$52*$B99^4+$D$53*F$90^1+$D$54*F$90^1*$B99^1+$D$55*F$90^1*$B99^2+$D$56*F$90^1*$B99^3+$D$57*F$90^2+$D$58*F$90^2*$B99^1+$D$59*F$90^2*$B99^2+$D$60*F$90^3+$D$61*F$90^3*$B99^1+$D$62*F$90^4</f>
        <v>0.238097126436782</v>
      </c>
      <c r="G99" s="30" t="n">
        <f aca="false">$D$48+$D$49*$B99^1+$D$50*$B99^2+$D$51*$B99^3+$D$52*$B99^4+$D$53*G$90^1+$D$54*G$90^1*$B99^1+$D$55*G$90^1*$B99^2+$D$56*G$90^1*$B99^3+$D$57*G$90^2+$D$58*G$90^2*$B99^1+$D$59*G$90^2*$B99^2+$D$60*G$90^3+$D$61*G$90^3*$B99^1+$D$62*G$90^4</f>
        <v>0.203452873563218</v>
      </c>
      <c r="H99" s="30" t="n">
        <f aca="false">$D$48+$D$49*$B99^1+$D$50*$B99^2+$D$51*$B99^3+$D$52*$B99^4+$D$53*H$90^1+$D$54*H$90^1*$B99^1+$D$55*H$90^1*$B99^2+$D$56*H$90^1*$B99^3+$D$57*H$90^2+$D$58*H$90^2*$B99^1+$D$59*H$90^2*$B99^2+$D$60*H$90^3+$D$61*H$90^3*$B99^1+$D$62*H$90^4</f>
        <v>0.183697126436782</v>
      </c>
      <c r="I99" s="30" t="n">
        <f aca="false">$D$48+$D$49*$B99^1+$D$50*$B99^2+$D$51*$B99^3+$D$52*$B99^4+$D$53*I$90^1+$D$54*I$90^1*$B99^1+$D$55*I$90^1*$B99^2+$D$56*I$90^1*$B99^3+$D$57*I$90^2+$D$58*I$90^2*$B99^1+$D$59*I$90^2*$B99^2+$D$60*I$90^3+$D$61*I$90^3*$B99^1+$D$62*I$90^4</f>
        <v>0.174050574712644</v>
      </c>
      <c r="J99" s="30" t="n">
        <f aca="false">$D$48+$D$49*$B99^1+$D$50*$B99^2+$D$51*$B99^3+$D$52*$B99^4+$D$53*J$90^1+$D$54*J$90^1*$B99^1+$D$55*J$90^1*$B99^2+$D$56*J$90^1*$B99^3+$D$57*J$90^2+$D$58*J$90^2*$B99^1+$D$59*J$90^2*$B99^2+$D$60*J$90^3+$D$61*J$90^3*$B99^1+$D$62*J$90^4</f>
        <v>0.170602873563218</v>
      </c>
      <c r="K99" s="30" t="n">
        <f aca="false">$D$48+$D$49*$B99^1+$D$50*$B99^2+$D$51*$B99^3+$D$52*$B99^4+$D$53*K$90^1+$D$54*K$90^1*$B99^1+$D$55*K$90^1*$B99^2+$D$56*K$90^1*$B99^3+$D$57*K$90^2+$D$58*K$90^2*$B99^1+$D$59*K$90^2*$B99^2+$D$60*K$90^3+$D$61*K$90^3*$B99^1+$D$62*K$90^4</f>
        <v>0.170312643678161</v>
      </c>
      <c r="L99" s="30" t="n">
        <f aca="false">$D$48+$D$49*$B99^1+$D$50*$B99^2+$D$51*$B99^3+$D$52*$B99^4+$D$53*L$90^1+$D$54*L$90^1*$B99^1+$D$55*L$90^1*$B99^2+$D$56*L$90^1*$B99^3+$D$57*L$90^2+$D$58*L$90^2*$B99^1+$D$59*L$90^2*$B99^2+$D$60*L$90^3+$D$61*L$90^3*$B99^1+$D$62*L$90^4</f>
        <v>0.171007471264368</v>
      </c>
      <c r="M99" s="30" t="n">
        <f aca="false">$D$48+$D$49*$B99^1+$D$50*$B99^2+$D$51*$B99^3+$D$52*$B99^4+$D$53*M$90^1+$D$54*M$90^1*$B99^1+$D$55*M$90^1*$B99^2+$D$56*M$90^1*$B99^3+$D$57*M$90^2+$D$58*M$90^2*$B99^1+$D$59*M$90^2*$B99^2+$D$60*M$90^3+$D$61*M$90^3*$B99^1+$D$62*M$90^4</f>
        <v>0.171383908045977</v>
      </c>
      <c r="N99" s="30" t="n">
        <f aca="false">$D$48+$D$49*$B99^1+$D$50*$B99^2+$D$51*$B99^3+$D$52*$B99^4+$D$53*N$90^1+$D$54*N$90^1*$B99^1+$D$55*N$90^1*$B99^2+$D$56*N$90^1*$B99^3+$D$57*N$90^2+$D$58*N$90^2*$B99^1+$D$59*N$90^2*$B99^2+$D$60*N$90^3+$D$61*N$90^3*$B99^1+$D$62*N$90^4</f>
        <v>0.171007471264368</v>
      </c>
      <c r="O99" s="30" t="n">
        <f aca="false">$D$48+$D$49*$B99^1+$D$50*$B99^2+$D$51*$B99^3+$D$52*$B99^4+$D$53*O$90^1+$D$54*O$90^1*$B99^1+$D$55*O$90^1*$B99^2+$D$56*O$90^1*$B99^3+$D$57*O$90^2+$D$58*O$90^2*$B99^1+$D$59*O$90^2*$B99^2+$D$60*O$90^3+$D$61*O$90^3*$B99^1+$D$62*O$90^4</f>
        <v>0.170312643678161</v>
      </c>
      <c r="P99" s="30" t="n">
        <f aca="false">$D$48+$D$49*$B99^1+$D$50*$B99^2+$D$51*$B99^3+$D$52*$B99^4+$D$53*P$90^1+$D$54*P$90^1*$B99^1+$D$55*P$90^1*$B99^2+$D$56*P$90^1*$B99^3+$D$57*P$90^2+$D$58*P$90^2*$B99^1+$D$59*P$90^2*$B99^2+$D$60*P$90^3+$D$61*P$90^3*$B99^1+$D$62*P$90^4</f>
        <v>0.170602873563218</v>
      </c>
      <c r="Q99" s="30" t="n">
        <f aca="false">$D$48+$D$49*$B99^1+$D$50*$B99^2+$D$51*$B99^3+$D$52*$B99^4+$D$53*Q$90^1+$D$54*Q$90^1*$B99^1+$D$55*Q$90^1*$B99^2+$D$56*Q$90^1*$B99^3+$D$57*Q$90^2+$D$58*Q$90^2*$B99^1+$D$59*Q$90^2*$B99^2+$D$60*Q$90^3+$D$61*Q$90^3*$B99^1+$D$62*Q$90^4</f>
        <v>0.174050574712644</v>
      </c>
      <c r="R99" s="30" t="n">
        <f aca="false">$D$48+$D$49*$B99^1+$D$50*$B99^2+$D$51*$B99^3+$D$52*$B99^4+$D$53*R$90^1+$D$54*R$90^1*$B99^1+$D$55*R$90^1*$B99^2+$D$56*R$90^1*$B99^3+$D$57*R$90^2+$D$58*R$90^2*$B99^1+$D$59*R$90^2*$B99^2+$D$60*R$90^3+$D$61*R$90^3*$B99^1+$D$62*R$90^4</f>
        <v>0.183697126436782</v>
      </c>
      <c r="S99" s="30" t="n">
        <f aca="false">$D$48+$D$49*$B99^1+$D$50*$B99^2+$D$51*$B99^3+$D$52*$B99^4+$D$53*S$90^1+$D$54*S$90^1*$B99^1+$D$55*S$90^1*$B99^2+$D$56*S$90^1*$B99^3+$D$57*S$90^2+$D$58*S$90^2*$B99^1+$D$59*S$90^2*$B99^2+$D$60*S$90^3+$D$61*S$90^3*$B99^1+$D$62*S$90^4</f>
        <v>0.203452873563218</v>
      </c>
      <c r="T99" s="30" t="n">
        <f aca="false">$D$48+$D$49*$B99^1+$D$50*$B99^2+$D$51*$B99^3+$D$52*$B99^4+$D$53*T$90^1+$D$54*T$90^1*$B99^1+$D$55*T$90^1*$B99^2+$D$56*T$90^1*$B99^3+$D$57*T$90^2+$D$58*T$90^2*$B99^1+$D$59*T$90^2*$B99^2+$D$60*T$90^3+$D$61*T$90^3*$B99^1+$D$62*T$90^4</f>
        <v>0.238097126436782</v>
      </c>
      <c r="U99" s="30" t="n">
        <f aca="false">$D$48+$D$49*$B99^1+$D$50*$B99^2+$D$51*$B99^3+$D$52*$B99^4+$D$53*U$90^1+$D$54*U$90^1*$B99^1+$D$55*U$90^1*$B99^2+$D$56*U$90^1*$B99^3+$D$57*U$90^2+$D$58*U$90^2*$B99^1+$D$59*U$90^2*$B99^2+$D$60*U$90^3+$D$61*U$90^3*$B99^1+$D$62*U$90^4</f>
        <v>0.29327816091954</v>
      </c>
      <c r="V99" s="30" t="n">
        <f aca="false">$D$48+$D$49*$B99^1+$D$50*$B99^2+$D$51*$B99^3+$D$52*$B99^4+$D$53*V$90^1+$D$54*V$90^1*$B99^1+$D$55*V$90^1*$B99^2+$D$56*V$90^1*$B99^3+$D$57*V$90^2+$D$58*V$90^2*$B99^1+$D$59*V$90^2*$B99^2+$D$60*V$90^3+$D$61*V$90^3*$B99^1+$D$62*V$90^4</f>
        <v>0.375513218390805</v>
      </c>
      <c r="W99" s="30" t="n">
        <f aca="false">$D$48+$D$49*$B99^1+$D$50*$B99^2+$D$51*$B99^3+$D$52*$B99^4+$D$53*W$90^1+$D$54*W$90^1*$B99^1+$D$55*W$90^1*$B99^2+$D$56*W$90^1*$B99^3+$D$57*W$90^2+$D$58*W$90^2*$B99^1+$D$59*W$90^2*$B99^2+$D$60*W$90^3+$D$61*W$90^3*$B99^1+$D$62*W$90^4</f>
        <v>0.492188505747126</v>
      </c>
    </row>
    <row r="100" customFormat="false" ht="15" hidden="false" customHeight="false" outlineLevel="0" collapsed="false">
      <c r="B100" s="39" t="n">
        <v>0.1</v>
      </c>
      <c r="C100" s="30" t="n">
        <f aca="false">$D$48+$D$49*$B100^1+$D$50*$B100^2+$D$51*$B100^3+$D$52*$B100^4+$D$53*C$90^1+$D$54*C$90^1*$B100^1+$D$55*C$90^1*$B100^2+$D$56*C$90^1*$B100^3+$D$57*C$90^2+$D$58*C$90^2*$B100^1+$D$59*C$90^2*$B100^2+$D$60*C$90^3+$D$61*C$90^3*$B100^1+$D$62*C$90^4</f>
        <v>0.49362816091954</v>
      </c>
      <c r="D100" s="30" t="n">
        <f aca="false">$D$48+$D$49*$B100^1+$D$50*$B100^2+$D$51*$B100^3+$D$52*$B100^4+$D$53*D$90^1+$D$54*D$90^1*$B100^1+$D$55*D$90^1*$B100^2+$D$56*D$90^1*$B100^3+$D$57*D$90^2+$D$58*D$90^2*$B100^1+$D$59*D$90^2*$B100^2+$D$60*D$90^3+$D$61*D$90^3*$B100^1+$D$62*D$90^4</f>
        <v>0.376805459770115</v>
      </c>
      <c r="E100" s="30" t="n">
        <f aca="false">$D$48+$D$49*$B100^1+$D$50*$B100^2+$D$51*$B100^3+$D$52*$B100^4+$D$53*E$90^1+$D$54*E$90^1*$B100^1+$D$55*E$90^1*$B100^2+$D$56*E$90^1*$B100^3+$D$57*E$90^2+$D$58*E$90^2*$B100^1+$D$59*E$90^2*$B100^2+$D$60*E$90^3+$D$61*E$90^3*$B100^1+$D$62*E$90^4</f>
        <v>0.294438505747126</v>
      </c>
      <c r="F100" s="30" t="n">
        <f aca="false">$D$48+$D$49*$B100^1+$D$50*$B100^2+$D$51*$B100^3+$D$52*$B100^4+$D$53*F$90^1+$D$54*F$90^1*$B100^1+$D$55*F$90^1*$B100^2+$D$56*F$90^1*$B100^3+$D$57*F$90^2+$D$58*F$90^2*$B100^1+$D$59*F$90^2*$B100^2+$D$60*F$90^3+$D$61*F$90^3*$B100^1+$D$62*F$90^4</f>
        <v>0.239141091954023</v>
      </c>
      <c r="G100" s="30" t="n">
        <f aca="false">$D$48+$D$49*$B100^1+$D$50*$B100^2+$D$51*$B100^3+$D$52*$B100^4+$D$53*G$90^1+$D$54*G$90^1*$B100^1+$D$55*G$90^1*$B100^2+$D$56*G$90^1*$B100^3+$D$57*G$90^2+$D$58*G$90^2*$B100^1+$D$59*G$90^2*$B100^2+$D$60*G$90^3+$D$61*G$90^3*$B100^1+$D$62*G$90^4</f>
        <v>0.204395977011494</v>
      </c>
      <c r="H100" s="30" t="n">
        <f aca="false">$D$48+$D$49*$B100^1+$D$50*$B100^2+$D$51*$B100^3+$D$52*$B100^4+$D$53*H$90^1+$D$54*H$90^1*$B100^1+$D$55*H$90^1*$B100^2+$D$56*H$90^1*$B100^3+$D$57*H$90^2+$D$58*H$90^2*$B100^1+$D$59*H$90^2*$B100^2+$D$60*H$90^3+$D$61*H$90^3*$B100^1+$D$62*H$90^4</f>
        <v>0.184554885057471</v>
      </c>
      <c r="I100" s="30" t="n">
        <f aca="false">$D$48+$D$49*$B100^1+$D$50*$B100^2+$D$51*$B100^3+$D$52*$B100^4+$D$53*I$90^1+$D$54*I$90^1*$B100^1+$D$55*I$90^1*$B100^2+$D$56*I$90^1*$B100^3+$D$57*I$90^2+$D$58*I$90^2*$B100^1+$D$59*I$90^2*$B100^2+$D$60*I$90^3+$D$61*I$90^3*$B100^1+$D$62*I$90^4</f>
        <v>0.174838505747126</v>
      </c>
      <c r="J100" s="30" t="n">
        <f aca="false">$D$48+$D$49*$B100^1+$D$50*$B100^2+$D$51*$B100^3+$D$52*$B100^4+$D$53*J$90^1+$D$54*J$90^1*$B100^1+$D$55*J$90^1*$B100^2+$D$56*J$90^1*$B100^3+$D$57*J$90^2+$D$58*J$90^2*$B100^1+$D$59*J$90^2*$B100^2+$D$60*J$90^3+$D$61*J$90^3*$B100^1+$D$62*J$90^4</f>
        <v>0.171336494252874</v>
      </c>
      <c r="K100" s="30" t="n">
        <f aca="false">$D$48+$D$49*$B100^1+$D$50*$B100^2+$D$51*$B100^3+$D$52*$B100^4+$D$53*K$90^1+$D$54*K$90^1*$B100^1+$D$55*K$90^1*$B100^2+$D$56*K$90^1*$B100^3+$D$57*K$90^2+$D$58*K$90^2*$B100^1+$D$59*K$90^2*$B100^2+$D$60*K$90^3+$D$61*K$90^3*$B100^1+$D$62*K$90^4</f>
        <v>0.171007471264368</v>
      </c>
      <c r="L100" s="30" t="n">
        <f aca="false">$D$48+$D$49*$B100^1+$D$50*$B100^2+$D$51*$B100^3+$D$52*$B100^4+$D$53*L$90^1+$D$54*L$90^1*$B100^1+$D$55*L$90^1*$B100^2+$D$56*L$90^1*$B100^3+$D$57*L$90^2+$D$58*L$90^2*$B100^1+$D$59*L$90^2*$B100^2+$D$60*L$90^3+$D$61*L$90^3*$B100^1+$D$62*L$90^4</f>
        <v>0.171679022988506</v>
      </c>
      <c r="M100" s="30" t="n">
        <f aca="false">$D$48+$D$49*$B100^1+$D$50*$B100^2+$D$51*$B100^3+$D$52*$B100^4+$D$53*M$90^1+$D$54*M$90^1*$B100^1+$D$55*M$90^1*$B100^2+$D$56*M$90^1*$B100^3+$D$57*M$90^2+$D$58*M$90^2*$B100^1+$D$59*M$90^2*$B100^2+$D$60*M$90^3+$D$61*M$90^3*$B100^1+$D$62*M$90^4</f>
        <v>0.172047701149425</v>
      </c>
      <c r="N100" s="30" t="n">
        <f aca="false">$D$48+$D$49*$B100^1+$D$50*$B100^2+$D$51*$B100^3+$D$52*$B100^4+$D$53*N$90^1+$D$54*N$90^1*$B100^1+$D$55*N$90^1*$B100^2+$D$56*N$90^1*$B100^3+$D$57*N$90^2+$D$58*N$90^2*$B100^1+$D$59*N$90^2*$B100^2+$D$60*N$90^3+$D$61*N$90^3*$B100^1+$D$62*N$90^4</f>
        <v>0.171679022988506</v>
      </c>
      <c r="O100" s="30" t="n">
        <f aca="false">$D$48+$D$49*$B100^1+$D$50*$B100^2+$D$51*$B100^3+$D$52*$B100^4+$D$53*O$90^1+$D$54*O$90^1*$B100^1+$D$55*O$90^1*$B100^2+$D$56*O$90^1*$B100^3+$D$57*O$90^2+$D$58*O$90^2*$B100^1+$D$59*O$90^2*$B100^2+$D$60*O$90^3+$D$61*O$90^3*$B100^1+$D$62*O$90^4</f>
        <v>0.171007471264368</v>
      </c>
      <c r="P100" s="30" t="n">
        <f aca="false">$D$48+$D$49*$B100^1+$D$50*$B100^2+$D$51*$B100^3+$D$52*$B100^4+$D$53*P$90^1+$D$54*P$90^1*$B100^1+$D$55*P$90^1*$B100^2+$D$56*P$90^1*$B100^3+$D$57*P$90^2+$D$58*P$90^2*$B100^1+$D$59*P$90^2*$B100^2+$D$60*P$90^3+$D$61*P$90^3*$B100^1+$D$62*P$90^4</f>
        <v>0.171336494252874</v>
      </c>
      <c r="Q100" s="30" t="n">
        <f aca="false">$D$48+$D$49*$B100^1+$D$50*$B100^2+$D$51*$B100^3+$D$52*$B100^4+$D$53*Q$90^1+$D$54*Q$90^1*$B100^1+$D$55*Q$90^1*$B100^2+$D$56*Q$90^1*$B100^3+$D$57*Q$90^2+$D$58*Q$90^2*$B100^1+$D$59*Q$90^2*$B100^2+$D$60*Q$90^3+$D$61*Q$90^3*$B100^1+$D$62*Q$90^4</f>
        <v>0.174838505747126</v>
      </c>
      <c r="R100" s="30" t="n">
        <f aca="false">$D$48+$D$49*$B100^1+$D$50*$B100^2+$D$51*$B100^3+$D$52*$B100^4+$D$53*R$90^1+$D$54*R$90^1*$B100^1+$D$55*R$90^1*$B100^2+$D$56*R$90^1*$B100^3+$D$57*R$90^2+$D$58*R$90^2*$B100^1+$D$59*R$90^2*$B100^2+$D$60*R$90^3+$D$61*R$90^3*$B100^1+$D$62*R$90^4</f>
        <v>0.184554885057471</v>
      </c>
      <c r="S100" s="30" t="n">
        <f aca="false">$D$48+$D$49*$B100^1+$D$50*$B100^2+$D$51*$B100^3+$D$52*$B100^4+$D$53*S$90^1+$D$54*S$90^1*$B100^1+$D$55*S$90^1*$B100^2+$D$56*S$90^1*$B100^3+$D$57*S$90^2+$D$58*S$90^2*$B100^1+$D$59*S$90^2*$B100^2+$D$60*S$90^3+$D$61*S$90^3*$B100^1+$D$62*S$90^4</f>
        <v>0.204395977011494</v>
      </c>
      <c r="T100" s="30" t="n">
        <f aca="false">$D$48+$D$49*$B100^1+$D$50*$B100^2+$D$51*$B100^3+$D$52*$B100^4+$D$53*T$90^1+$D$54*T$90^1*$B100^1+$D$55*T$90^1*$B100^2+$D$56*T$90^1*$B100^3+$D$57*T$90^2+$D$58*T$90^2*$B100^1+$D$59*T$90^2*$B100^2+$D$60*T$90^3+$D$61*T$90^3*$B100^1+$D$62*T$90^4</f>
        <v>0.239141091954023</v>
      </c>
      <c r="U100" s="30" t="n">
        <f aca="false">$D$48+$D$49*$B100^1+$D$50*$B100^2+$D$51*$B100^3+$D$52*$B100^4+$D$53*U$90^1+$D$54*U$90^1*$B100^1+$D$55*U$90^1*$B100^2+$D$56*U$90^1*$B100^3+$D$57*U$90^2+$D$58*U$90^2*$B100^1+$D$59*U$90^2*$B100^2+$D$60*U$90^3+$D$61*U$90^3*$B100^1+$D$62*U$90^4</f>
        <v>0.294438505747126</v>
      </c>
      <c r="V100" s="30" t="n">
        <f aca="false">$D$48+$D$49*$B100^1+$D$50*$B100^2+$D$51*$B100^3+$D$52*$B100^4+$D$53*V$90^1+$D$54*V$90^1*$B100^1+$D$55*V$90^1*$B100^2+$D$56*V$90^1*$B100^3+$D$57*V$90^2+$D$58*V$90^2*$B100^1+$D$59*V$90^2*$B100^2+$D$60*V$90^3+$D$61*V$90^3*$B100^1+$D$62*V$90^4</f>
        <v>0.376805459770115</v>
      </c>
      <c r="W100" s="30" t="n">
        <f aca="false">$D$48+$D$49*$B100^1+$D$50*$B100^2+$D$51*$B100^3+$D$52*$B100^4+$D$53*W$90^1+$D$54*W$90^1*$B100^1+$D$55*W$90^1*$B100^2+$D$56*W$90^1*$B100^3+$D$57*W$90^2+$D$58*W$90^2*$B100^1+$D$59*W$90^2*$B100^2+$D$60*W$90^3+$D$61*W$90^3*$B100^1+$D$62*W$90^4</f>
        <v>0.49362816091954</v>
      </c>
    </row>
    <row r="101" customFormat="false" ht="15" hidden="false" customHeight="false" outlineLevel="0" collapsed="false">
      <c r="B101" s="39" t="n">
        <v>0</v>
      </c>
      <c r="C101" s="30" t="n">
        <f aca="false">$D$48+$D$49*$B101^1+$D$50*$B101^2+$D$51*$B101^3+$D$52*$B101^4+$D$53*C$90^1+$D$54*C$90^1*$B101^1+$D$55*C$90^1*$B101^2+$D$56*C$90^1*$B101^3+$D$57*C$90^2+$D$58*C$90^2*$B101^1+$D$59*C$90^2*$B101^2+$D$60*C$90^3+$D$61*C$90^3*$B101^1+$D$62*C$90^4</f>
        <v>0.494252873563218</v>
      </c>
      <c r="D101" s="30" t="n">
        <f aca="false">$D$48+$D$49*$B101^1+$D$50*$B101^2+$D$51*$B101^3+$D$52*$B101^4+$D$53*D$90^1+$D$54*D$90^1*$B101^1+$D$55*D$90^1*$B101^2+$D$56*D$90^1*$B101^3+$D$57*D$90^2+$D$58*D$90^2*$B101^1+$D$59*D$90^2*$B101^2+$D$60*D$90^3+$D$61*D$90^3*$B101^1+$D$62*D$90^4</f>
        <v>0.377381034482759</v>
      </c>
      <c r="E101" s="30" t="n">
        <f aca="false">$D$48+$D$49*$B101^1+$D$50*$B101^2+$D$51*$B101^3+$D$52*$B101^4+$D$53*E$90^1+$D$54*E$90^1*$B101^1+$D$55*E$90^1*$B101^2+$D$56*E$90^1*$B101^3+$D$57*E$90^2+$D$58*E$90^2*$B101^1+$D$59*E$90^2*$B101^2+$D$60*E$90^3+$D$61*E$90^3*$B101^1+$D$62*E$90^4</f>
        <v>0.294970114942529</v>
      </c>
      <c r="F101" s="30" t="n">
        <f aca="false">$D$48+$D$49*$B101^1+$D$50*$B101^2+$D$51*$B101^3+$D$52*$B101^4+$D$53*F$90^1+$D$54*F$90^1*$B101^1+$D$55*F$90^1*$B101^2+$D$56*F$90^1*$B101^3+$D$57*F$90^2+$D$58*F$90^2*$B101^1+$D$59*F$90^2*$B101^2+$D$60*F$90^3+$D$61*F$90^3*$B101^1+$D$62*F$90^4</f>
        <v>0.239633908045977</v>
      </c>
      <c r="G101" s="30" t="n">
        <f aca="false">$D$48+$D$49*$B101^1+$D$50*$B101^2+$D$51*$B101^3+$D$52*$B101^4+$D$53*G$90^1+$D$54*G$90^1*$B101^1+$D$55*G$90^1*$B101^2+$D$56*G$90^1*$B101^3+$D$57*G$90^2+$D$58*G$90^2*$B101^1+$D$59*G$90^2*$B101^2+$D$60*G$90^3+$D$61*G$90^3*$B101^1+$D$62*G$90^4</f>
        <v>0.204855172413793</v>
      </c>
      <c r="H101" s="30" t="n">
        <f aca="false">$D$48+$D$49*$B101^1+$D$50*$B101^2+$D$51*$B101^3+$D$52*$B101^4+$D$53*H$90^1+$D$54*H$90^1*$B101^1+$D$55*H$90^1*$B101^2+$D$56*H$90^1*$B101^3+$D$57*H$90^2+$D$58*H$90^2*$B101^1+$D$59*H$90^2*$B101^2+$D$60*H$90^3+$D$61*H$90^3*$B101^1+$D$62*H$90^4</f>
        <v>0.184985632183908</v>
      </c>
      <c r="I101" s="30" t="n">
        <f aca="false">$D$48+$D$49*$B101^1+$D$50*$B101^2+$D$51*$B101^3+$D$52*$B101^4+$D$53*I$90^1+$D$54*I$90^1*$B101^1+$D$55*I$90^1*$B101^2+$D$56*I$90^1*$B101^3+$D$57*I$90^2+$D$58*I$90^2*$B101^1+$D$59*I$90^2*$B101^2+$D$60*I$90^3+$D$61*I$90^3*$B101^1+$D$62*I$90^4</f>
        <v>0.175245977011494</v>
      </c>
      <c r="J101" s="30" t="n">
        <f aca="false">$D$48+$D$49*$B101^1+$D$50*$B101^2+$D$51*$B101^3+$D$52*$B101^4+$D$53*J$90^1+$D$54*J$90^1*$B101^1+$D$55*J$90^1*$B101^2+$D$56*J$90^1*$B101^3+$D$57*J$90^2+$D$58*J$90^2*$B101^1+$D$59*J$90^2*$B101^2+$D$60*J$90^3+$D$61*J$90^3*$B101^1+$D$62*J$90^4</f>
        <v>0.171725862068965</v>
      </c>
      <c r="K101" s="30" t="n">
        <f aca="false">$D$48+$D$49*$B101^1+$D$50*$B101^2+$D$51*$B101^3+$D$52*$B101^4+$D$53*K$90^1+$D$54*K$90^1*$B101^1+$D$55*K$90^1*$B101^2+$D$56*K$90^1*$B101^3+$D$57*K$90^2+$D$58*K$90^2*$B101^1+$D$59*K$90^2*$B101^2+$D$60*K$90^3+$D$61*K$90^3*$B101^1+$D$62*K$90^4</f>
        <v>0.171383908045977</v>
      </c>
      <c r="L101" s="30" t="n">
        <f aca="false">$D$48+$D$49*$B101^1+$D$50*$B101^2+$D$51*$B101^3+$D$52*$B101^4+$D$53*L$90^1+$D$54*L$90^1*$B101^1+$D$55*L$90^1*$B101^2+$D$56*L$90^1*$B101^3+$D$57*L$90^2+$D$58*L$90^2*$B101^1+$D$59*L$90^2*$B101^2+$D$60*L$90^3+$D$61*L$90^3*$B101^1+$D$62*L$90^4</f>
        <v>0.172047701149425</v>
      </c>
      <c r="M101" s="30" t="n">
        <f aca="false">$D$48+$D$49*$B101^1+$D$50*$B101^2+$D$51*$B101^3+$D$52*$B101^4+$D$53*M$90^1+$D$54*M$90^1*$B101^1+$D$55*M$90^1*$B101^2+$D$56*M$90^1*$B101^3+$D$57*M$90^2+$D$58*M$90^2*$B101^1+$D$59*M$90^2*$B101^2+$D$60*M$90^3+$D$61*M$90^3*$B101^1+$D$62*M$90^4</f>
        <v>0.172413793103448</v>
      </c>
      <c r="N101" s="30" t="n">
        <f aca="false">$D$48+$D$49*$B101^1+$D$50*$B101^2+$D$51*$B101^3+$D$52*$B101^4+$D$53*N$90^1+$D$54*N$90^1*$B101^1+$D$55*N$90^1*$B101^2+$D$56*N$90^1*$B101^3+$D$57*N$90^2+$D$58*N$90^2*$B101^1+$D$59*N$90^2*$B101^2+$D$60*N$90^3+$D$61*N$90^3*$B101^1+$D$62*N$90^4</f>
        <v>0.172047701149425</v>
      </c>
      <c r="O101" s="30" t="n">
        <f aca="false">$D$48+$D$49*$B101^1+$D$50*$B101^2+$D$51*$B101^3+$D$52*$B101^4+$D$53*O$90^1+$D$54*O$90^1*$B101^1+$D$55*O$90^1*$B101^2+$D$56*O$90^1*$B101^3+$D$57*O$90^2+$D$58*O$90^2*$B101^1+$D$59*O$90^2*$B101^2+$D$60*O$90^3+$D$61*O$90^3*$B101^1+$D$62*O$90^4</f>
        <v>0.171383908045977</v>
      </c>
      <c r="P101" s="30" t="n">
        <f aca="false">$D$48+$D$49*$B101^1+$D$50*$B101^2+$D$51*$B101^3+$D$52*$B101^4+$D$53*P$90^1+$D$54*P$90^1*$B101^1+$D$55*P$90^1*$B101^2+$D$56*P$90^1*$B101^3+$D$57*P$90^2+$D$58*P$90^2*$B101^1+$D$59*P$90^2*$B101^2+$D$60*P$90^3+$D$61*P$90^3*$B101^1+$D$62*P$90^4</f>
        <v>0.171725862068965</v>
      </c>
      <c r="Q101" s="30" t="n">
        <f aca="false">$D$48+$D$49*$B101^1+$D$50*$B101^2+$D$51*$B101^3+$D$52*$B101^4+$D$53*Q$90^1+$D$54*Q$90^1*$B101^1+$D$55*Q$90^1*$B101^2+$D$56*Q$90^1*$B101^3+$D$57*Q$90^2+$D$58*Q$90^2*$B101^1+$D$59*Q$90^2*$B101^2+$D$60*Q$90^3+$D$61*Q$90^3*$B101^1+$D$62*Q$90^4</f>
        <v>0.175245977011494</v>
      </c>
      <c r="R101" s="30" t="n">
        <f aca="false">$D$48+$D$49*$B101^1+$D$50*$B101^2+$D$51*$B101^3+$D$52*$B101^4+$D$53*R$90^1+$D$54*R$90^1*$B101^1+$D$55*R$90^1*$B101^2+$D$56*R$90^1*$B101^3+$D$57*R$90^2+$D$58*R$90^2*$B101^1+$D$59*R$90^2*$B101^2+$D$60*R$90^3+$D$61*R$90^3*$B101^1+$D$62*R$90^4</f>
        <v>0.184985632183908</v>
      </c>
      <c r="S101" s="30" t="n">
        <f aca="false">$D$48+$D$49*$B101^1+$D$50*$B101^2+$D$51*$B101^3+$D$52*$B101^4+$D$53*S$90^1+$D$54*S$90^1*$B101^1+$D$55*S$90^1*$B101^2+$D$56*S$90^1*$B101^3+$D$57*S$90^2+$D$58*S$90^2*$B101^1+$D$59*S$90^2*$B101^2+$D$60*S$90^3+$D$61*S$90^3*$B101^1+$D$62*S$90^4</f>
        <v>0.204855172413793</v>
      </c>
      <c r="T101" s="30" t="n">
        <f aca="false">$D$48+$D$49*$B101^1+$D$50*$B101^2+$D$51*$B101^3+$D$52*$B101^4+$D$53*T$90^1+$D$54*T$90^1*$B101^1+$D$55*T$90^1*$B101^2+$D$56*T$90^1*$B101^3+$D$57*T$90^2+$D$58*T$90^2*$B101^1+$D$59*T$90^2*$B101^2+$D$60*T$90^3+$D$61*T$90^3*$B101^1+$D$62*T$90^4</f>
        <v>0.239633908045977</v>
      </c>
      <c r="U101" s="30" t="n">
        <f aca="false">$D$48+$D$49*$B101^1+$D$50*$B101^2+$D$51*$B101^3+$D$52*$B101^4+$D$53*U$90^1+$D$54*U$90^1*$B101^1+$D$55*U$90^1*$B101^2+$D$56*U$90^1*$B101^3+$D$57*U$90^2+$D$58*U$90^2*$B101^1+$D$59*U$90^2*$B101^2+$D$60*U$90^3+$D$61*U$90^3*$B101^1+$D$62*U$90^4</f>
        <v>0.294970114942529</v>
      </c>
      <c r="V101" s="30" t="n">
        <f aca="false">$D$48+$D$49*$B101^1+$D$50*$B101^2+$D$51*$B101^3+$D$52*$B101^4+$D$53*V$90^1+$D$54*V$90^1*$B101^1+$D$55*V$90^1*$B101^2+$D$56*V$90^1*$B101^3+$D$57*V$90^2+$D$58*V$90^2*$B101^1+$D$59*V$90^2*$B101^2+$D$60*V$90^3+$D$61*V$90^3*$B101^1+$D$62*V$90^4</f>
        <v>0.377381034482759</v>
      </c>
      <c r="W101" s="30" t="n">
        <f aca="false">$D$48+$D$49*$B101^1+$D$50*$B101^2+$D$51*$B101^3+$D$52*$B101^4+$D$53*W$90^1+$D$54*W$90^1*$B101^1+$D$55*W$90^1*$B101^2+$D$56*W$90^1*$B101^3+$D$57*W$90^2+$D$58*W$90^2*$B101^1+$D$59*W$90^2*$B101^2+$D$60*W$90^3+$D$61*W$90^3*$B101^1+$D$62*W$90^4</f>
        <v>0.494252873563218</v>
      </c>
    </row>
    <row r="102" customFormat="false" ht="15" hidden="false" customHeight="false" outlineLevel="0" collapsed="false">
      <c r="B102" s="39" t="n">
        <v>-0.1</v>
      </c>
      <c r="C102" s="30" t="n">
        <f aca="false">$D$48+$D$49*$B102^1+$D$50*$B102^2+$D$51*$B102^3+$D$52*$B102^4+$D$53*C$90^1+$D$54*C$90^1*$B102^1+$D$55*C$90^1*$B102^2+$D$56*C$90^1*$B102^3+$D$57*C$90^2+$D$58*C$90^2*$B102^1+$D$59*C$90^2*$B102^2+$D$60*C$90^3+$D$61*C$90^3*$B102^1+$D$62*C$90^4</f>
        <v>0.49362816091954</v>
      </c>
      <c r="D102" s="30" t="n">
        <f aca="false">$D$48+$D$49*$B102^1+$D$50*$B102^2+$D$51*$B102^3+$D$52*$B102^4+$D$53*D$90^1+$D$54*D$90^1*$B102^1+$D$55*D$90^1*$B102^2+$D$56*D$90^1*$B102^3+$D$57*D$90^2+$D$58*D$90^2*$B102^1+$D$59*D$90^2*$B102^2+$D$60*D$90^3+$D$61*D$90^3*$B102^1+$D$62*D$90^4</f>
        <v>0.376805459770115</v>
      </c>
      <c r="E102" s="30" t="n">
        <f aca="false">$D$48+$D$49*$B102^1+$D$50*$B102^2+$D$51*$B102^3+$D$52*$B102^4+$D$53*E$90^1+$D$54*E$90^1*$B102^1+$D$55*E$90^1*$B102^2+$D$56*E$90^1*$B102^3+$D$57*E$90^2+$D$58*E$90^2*$B102^1+$D$59*E$90^2*$B102^2+$D$60*E$90^3+$D$61*E$90^3*$B102^1+$D$62*E$90^4</f>
        <v>0.294438505747126</v>
      </c>
      <c r="F102" s="30" t="n">
        <f aca="false">$D$48+$D$49*$B102^1+$D$50*$B102^2+$D$51*$B102^3+$D$52*$B102^4+$D$53*F$90^1+$D$54*F$90^1*$B102^1+$D$55*F$90^1*$B102^2+$D$56*F$90^1*$B102^3+$D$57*F$90^2+$D$58*F$90^2*$B102^1+$D$59*F$90^2*$B102^2+$D$60*F$90^3+$D$61*F$90^3*$B102^1+$D$62*F$90^4</f>
        <v>0.239141091954023</v>
      </c>
      <c r="G102" s="30" t="n">
        <f aca="false">$D$48+$D$49*$B102^1+$D$50*$B102^2+$D$51*$B102^3+$D$52*$B102^4+$D$53*G$90^1+$D$54*G$90^1*$B102^1+$D$55*G$90^1*$B102^2+$D$56*G$90^1*$B102^3+$D$57*G$90^2+$D$58*G$90^2*$B102^1+$D$59*G$90^2*$B102^2+$D$60*G$90^3+$D$61*G$90^3*$B102^1+$D$62*G$90^4</f>
        <v>0.204395977011494</v>
      </c>
      <c r="H102" s="30" t="n">
        <f aca="false">$D$48+$D$49*$B102^1+$D$50*$B102^2+$D$51*$B102^3+$D$52*$B102^4+$D$53*H$90^1+$D$54*H$90^1*$B102^1+$D$55*H$90^1*$B102^2+$D$56*H$90^1*$B102^3+$D$57*H$90^2+$D$58*H$90^2*$B102^1+$D$59*H$90^2*$B102^2+$D$60*H$90^3+$D$61*H$90^3*$B102^1+$D$62*H$90^4</f>
        <v>0.184554885057471</v>
      </c>
      <c r="I102" s="30" t="n">
        <f aca="false">$D$48+$D$49*$B102^1+$D$50*$B102^2+$D$51*$B102^3+$D$52*$B102^4+$D$53*I$90^1+$D$54*I$90^1*$B102^1+$D$55*I$90^1*$B102^2+$D$56*I$90^1*$B102^3+$D$57*I$90^2+$D$58*I$90^2*$B102^1+$D$59*I$90^2*$B102^2+$D$60*I$90^3+$D$61*I$90^3*$B102^1+$D$62*I$90^4</f>
        <v>0.174838505747126</v>
      </c>
      <c r="J102" s="30" t="n">
        <f aca="false">$D$48+$D$49*$B102^1+$D$50*$B102^2+$D$51*$B102^3+$D$52*$B102^4+$D$53*J$90^1+$D$54*J$90^1*$B102^1+$D$55*J$90^1*$B102^2+$D$56*J$90^1*$B102^3+$D$57*J$90^2+$D$58*J$90^2*$B102^1+$D$59*J$90^2*$B102^2+$D$60*J$90^3+$D$61*J$90^3*$B102^1+$D$62*J$90^4</f>
        <v>0.171336494252874</v>
      </c>
      <c r="K102" s="30" t="n">
        <f aca="false">$D$48+$D$49*$B102^1+$D$50*$B102^2+$D$51*$B102^3+$D$52*$B102^4+$D$53*K$90^1+$D$54*K$90^1*$B102^1+$D$55*K$90^1*$B102^2+$D$56*K$90^1*$B102^3+$D$57*K$90^2+$D$58*K$90^2*$B102^1+$D$59*K$90^2*$B102^2+$D$60*K$90^3+$D$61*K$90^3*$B102^1+$D$62*K$90^4</f>
        <v>0.171007471264368</v>
      </c>
      <c r="L102" s="30" t="n">
        <f aca="false">$D$48+$D$49*$B102^1+$D$50*$B102^2+$D$51*$B102^3+$D$52*$B102^4+$D$53*L$90^1+$D$54*L$90^1*$B102^1+$D$55*L$90^1*$B102^2+$D$56*L$90^1*$B102^3+$D$57*L$90^2+$D$58*L$90^2*$B102^1+$D$59*L$90^2*$B102^2+$D$60*L$90^3+$D$61*L$90^3*$B102^1+$D$62*L$90^4</f>
        <v>0.171679022988506</v>
      </c>
      <c r="M102" s="30" t="n">
        <f aca="false">$D$48+$D$49*$B102^1+$D$50*$B102^2+$D$51*$B102^3+$D$52*$B102^4+$D$53*M$90^1+$D$54*M$90^1*$B102^1+$D$55*M$90^1*$B102^2+$D$56*M$90^1*$B102^3+$D$57*M$90^2+$D$58*M$90^2*$B102^1+$D$59*M$90^2*$B102^2+$D$60*M$90^3+$D$61*M$90^3*$B102^1+$D$62*M$90^4</f>
        <v>0.172047701149425</v>
      </c>
      <c r="N102" s="30" t="n">
        <f aca="false">$D$48+$D$49*$B102^1+$D$50*$B102^2+$D$51*$B102^3+$D$52*$B102^4+$D$53*N$90^1+$D$54*N$90^1*$B102^1+$D$55*N$90^1*$B102^2+$D$56*N$90^1*$B102^3+$D$57*N$90^2+$D$58*N$90^2*$B102^1+$D$59*N$90^2*$B102^2+$D$60*N$90^3+$D$61*N$90^3*$B102^1+$D$62*N$90^4</f>
        <v>0.171679022988506</v>
      </c>
      <c r="O102" s="30" t="n">
        <f aca="false">$D$48+$D$49*$B102^1+$D$50*$B102^2+$D$51*$B102^3+$D$52*$B102^4+$D$53*O$90^1+$D$54*O$90^1*$B102^1+$D$55*O$90^1*$B102^2+$D$56*O$90^1*$B102^3+$D$57*O$90^2+$D$58*O$90^2*$B102^1+$D$59*O$90^2*$B102^2+$D$60*O$90^3+$D$61*O$90^3*$B102^1+$D$62*O$90^4</f>
        <v>0.171007471264368</v>
      </c>
      <c r="P102" s="30" t="n">
        <f aca="false">$D$48+$D$49*$B102^1+$D$50*$B102^2+$D$51*$B102^3+$D$52*$B102^4+$D$53*P$90^1+$D$54*P$90^1*$B102^1+$D$55*P$90^1*$B102^2+$D$56*P$90^1*$B102^3+$D$57*P$90^2+$D$58*P$90^2*$B102^1+$D$59*P$90^2*$B102^2+$D$60*P$90^3+$D$61*P$90^3*$B102^1+$D$62*P$90^4</f>
        <v>0.171336494252874</v>
      </c>
      <c r="Q102" s="30" t="n">
        <f aca="false">$D$48+$D$49*$B102^1+$D$50*$B102^2+$D$51*$B102^3+$D$52*$B102^4+$D$53*Q$90^1+$D$54*Q$90^1*$B102^1+$D$55*Q$90^1*$B102^2+$D$56*Q$90^1*$B102^3+$D$57*Q$90^2+$D$58*Q$90^2*$B102^1+$D$59*Q$90^2*$B102^2+$D$60*Q$90^3+$D$61*Q$90^3*$B102^1+$D$62*Q$90^4</f>
        <v>0.174838505747126</v>
      </c>
      <c r="R102" s="30" t="n">
        <f aca="false">$D$48+$D$49*$B102^1+$D$50*$B102^2+$D$51*$B102^3+$D$52*$B102^4+$D$53*R$90^1+$D$54*R$90^1*$B102^1+$D$55*R$90^1*$B102^2+$D$56*R$90^1*$B102^3+$D$57*R$90^2+$D$58*R$90^2*$B102^1+$D$59*R$90^2*$B102^2+$D$60*R$90^3+$D$61*R$90^3*$B102^1+$D$62*R$90^4</f>
        <v>0.184554885057471</v>
      </c>
      <c r="S102" s="30" t="n">
        <f aca="false">$D$48+$D$49*$B102^1+$D$50*$B102^2+$D$51*$B102^3+$D$52*$B102^4+$D$53*S$90^1+$D$54*S$90^1*$B102^1+$D$55*S$90^1*$B102^2+$D$56*S$90^1*$B102^3+$D$57*S$90^2+$D$58*S$90^2*$B102^1+$D$59*S$90^2*$B102^2+$D$60*S$90^3+$D$61*S$90^3*$B102^1+$D$62*S$90^4</f>
        <v>0.204395977011494</v>
      </c>
      <c r="T102" s="30" t="n">
        <f aca="false">$D$48+$D$49*$B102^1+$D$50*$B102^2+$D$51*$B102^3+$D$52*$B102^4+$D$53*T$90^1+$D$54*T$90^1*$B102^1+$D$55*T$90^1*$B102^2+$D$56*T$90^1*$B102^3+$D$57*T$90^2+$D$58*T$90^2*$B102^1+$D$59*T$90^2*$B102^2+$D$60*T$90^3+$D$61*T$90^3*$B102^1+$D$62*T$90^4</f>
        <v>0.239141091954023</v>
      </c>
      <c r="U102" s="30" t="n">
        <f aca="false">$D$48+$D$49*$B102^1+$D$50*$B102^2+$D$51*$B102^3+$D$52*$B102^4+$D$53*U$90^1+$D$54*U$90^1*$B102^1+$D$55*U$90^1*$B102^2+$D$56*U$90^1*$B102^3+$D$57*U$90^2+$D$58*U$90^2*$B102^1+$D$59*U$90^2*$B102^2+$D$60*U$90^3+$D$61*U$90^3*$B102^1+$D$62*U$90^4</f>
        <v>0.294438505747126</v>
      </c>
      <c r="V102" s="30" t="n">
        <f aca="false">$D$48+$D$49*$B102^1+$D$50*$B102^2+$D$51*$B102^3+$D$52*$B102^4+$D$53*V$90^1+$D$54*V$90^1*$B102^1+$D$55*V$90^1*$B102^2+$D$56*V$90^1*$B102^3+$D$57*V$90^2+$D$58*V$90^2*$B102^1+$D$59*V$90^2*$B102^2+$D$60*V$90^3+$D$61*V$90^3*$B102^1+$D$62*V$90^4</f>
        <v>0.376805459770115</v>
      </c>
      <c r="W102" s="30" t="n">
        <f aca="false">$D$48+$D$49*$B102^1+$D$50*$B102^2+$D$51*$B102^3+$D$52*$B102^4+$D$53*W$90^1+$D$54*W$90^1*$B102^1+$D$55*W$90^1*$B102^2+$D$56*W$90^1*$B102^3+$D$57*W$90^2+$D$58*W$90^2*$B102^1+$D$59*W$90^2*$B102^2+$D$60*W$90^3+$D$61*W$90^3*$B102^1+$D$62*W$90^4</f>
        <v>0.49362816091954</v>
      </c>
    </row>
    <row r="103" customFormat="false" ht="15" hidden="false" customHeight="false" outlineLevel="0" collapsed="false">
      <c r="B103" s="39" t="n">
        <v>-0.2</v>
      </c>
      <c r="C103" s="30" t="n">
        <f aca="false">$D$48+$D$49*$B103^1+$D$50*$B103^2+$D$51*$B103^3+$D$52*$B103^4+$D$53*C$90^1+$D$54*C$90^1*$B103^1+$D$55*C$90^1*$B103^2+$D$56*C$90^1*$B103^3+$D$57*C$90^2+$D$58*C$90^2*$B103^1+$D$59*C$90^2*$B103^2+$D$60*C$90^3+$D$61*C$90^3*$B103^1+$D$62*C$90^4</f>
        <v>0.492188505747126</v>
      </c>
      <c r="D103" s="30" t="n">
        <f aca="false">$D$48+$D$49*$B103^1+$D$50*$B103^2+$D$51*$B103^3+$D$52*$B103^4+$D$53*D$90^1+$D$54*D$90^1*$B103^1+$D$55*D$90^1*$B103^2+$D$56*D$90^1*$B103^3+$D$57*D$90^2+$D$58*D$90^2*$B103^1+$D$59*D$90^2*$B103^2+$D$60*D$90^3+$D$61*D$90^3*$B103^1+$D$62*D$90^4</f>
        <v>0.375513218390805</v>
      </c>
      <c r="E103" s="30" t="n">
        <f aca="false">$D$48+$D$49*$B103^1+$D$50*$B103^2+$D$51*$B103^3+$D$52*$B103^4+$D$53*E$90^1+$D$54*E$90^1*$B103^1+$D$55*E$90^1*$B103^2+$D$56*E$90^1*$B103^3+$D$57*E$90^2+$D$58*E$90^2*$B103^1+$D$59*E$90^2*$B103^2+$D$60*E$90^3+$D$61*E$90^3*$B103^1+$D$62*E$90^4</f>
        <v>0.29327816091954</v>
      </c>
      <c r="F103" s="30" t="n">
        <f aca="false">$D$48+$D$49*$B103^1+$D$50*$B103^2+$D$51*$B103^3+$D$52*$B103^4+$D$53*F$90^1+$D$54*F$90^1*$B103^1+$D$55*F$90^1*$B103^2+$D$56*F$90^1*$B103^3+$D$57*F$90^2+$D$58*F$90^2*$B103^1+$D$59*F$90^2*$B103^2+$D$60*F$90^3+$D$61*F$90^3*$B103^1+$D$62*F$90^4</f>
        <v>0.238097126436782</v>
      </c>
      <c r="G103" s="30" t="n">
        <f aca="false">$D$48+$D$49*$B103^1+$D$50*$B103^2+$D$51*$B103^3+$D$52*$B103^4+$D$53*G$90^1+$D$54*G$90^1*$B103^1+$D$55*G$90^1*$B103^2+$D$56*G$90^1*$B103^3+$D$57*G$90^2+$D$58*G$90^2*$B103^1+$D$59*G$90^2*$B103^2+$D$60*G$90^3+$D$61*G$90^3*$B103^1+$D$62*G$90^4</f>
        <v>0.203452873563218</v>
      </c>
      <c r="H103" s="30" t="n">
        <f aca="false">$D$48+$D$49*$B103^1+$D$50*$B103^2+$D$51*$B103^3+$D$52*$B103^4+$D$53*H$90^1+$D$54*H$90^1*$B103^1+$D$55*H$90^1*$B103^2+$D$56*H$90^1*$B103^3+$D$57*H$90^2+$D$58*H$90^2*$B103^1+$D$59*H$90^2*$B103^2+$D$60*H$90^3+$D$61*H$90^3*$B103^1+$D$62*H$90^4</f>
        <v>0.183697126436782</v>
      </c>
      <c r="I103" s="30" t="n">
        <f aca="false">$D$48+$D$49*$B103^1+$D$50*$B103^2+$D$51*$B103^3+$D$52*$B103^4+$D$53*I$90^1+$D$54*I$90^1*$B103^1+$D$55*I$90^1*$B103^2+$D$56*I$90^1*$B103^3+$D$57*I$90^2+$D$58*I$90^2*$B103^1+$D$59*I$90^2*$B103^2+$D$60*I$90^3+$D$61*I$90^3*$B103^1+$D$62*I$90^4</f>
        <v>0.174050574712644</v>
      </c>
      <c r="J103" s="30" t="n">
        <f aca="false">$D$48+$D$49*$B103^1+$D$50*$B103^2+$D$51*$B103^3+$D$52*$B103^4+$D$53*J$90^1+$D$54*J$90^1*$B103^1+$D$55*J$90^1*$B103^2+$D$56*J$90^1*$B103^3+$D$57*J$90^2+$D$58*J$90^2*$B103^1+$D$59*J$90^2*$B103^2+$D$60*J$90^3+$D$61*J$90^3*$B103^1+$D$62*J$90^4</f>
        <v>0.170602873563218</v>
      </c>
      <c r="K103" s="30" t="n">
        <f aca="false">$D$48+$D$49*$B103^1+$D$50*$B103^2+$D$51*$B103^3+$D$52*$B103^4+$D$53*K$90^1+$D$54*K$90^1*$B103^1+$D$55*K$90^1*$B103^2+$D$56*K$90^1*$B103^3+$D$57*K$90^2+$D$58*K$90^2*$B103^1+$D$59*K$90^2*$B103^2+$D$60*K$90^3+$D$61*K$90^3*$B103^1+$D$62*K$90^4</f>
        <v>0.170312643678161</v>
      </c>
      <c r="L103" s="30" t="n">
        <f aca="false">$D$48+$D$49*$B103^1+$D$50*$B103^2+$D$51*$B103^3+$D$52*$B103^4+$D$53*L$90^1+$D$54*L$90^1*$B103^1+$D$55*L$90^1*$B103^2+$D$56*L$90^1*$B103^3+$D$57*L$90^2+$D$58*L$90^2*$B103^1+$D$59*L$90^2*$B103^2+$D$60*L$90^3+$D$61*L$90^3*$B103^1+$D$62*L$90^4</f>
        <v>0.171007471264368</v>
      </c>
      <c r="M103" s="30" t="n">
        <f aca="false">$D$48+$D$49*$B103^1+$D$50*$B103^2+$D$51*$B103^3+$D$52*$B103^4+$D$53*M$90^1+$D$54*M$90^1*$B103^1+$D$55*M$90^1*$B103^2+$D$56*M$90^1*$B103^3+$D$57*M$90^2+$D$58*M$90^2*$B103^1+$D$59*M$90^2*$B103^2+$D$60*M$90^3+$D$61*M$90^3*$B103^1+$D$62*M$90^4</f>
        <v>0.171383908045977</v>
      </c>
      <c r="N103" s="30" t="n">
        <f aca="false">$D$48+$D$49*$B103^1+$D$50*$B103^2+$D$51*$B103^3+$D$52*$B103^4+$D$53*N$90^1+$D$54*N$90^1*$B103^1+$D$55*N$90^1*$B103^2+$D$56*N$90^1*$B103^3+$D$57*N$90^2+$D$58*N$90^2*$B103^1+$D$59*N$90^2*$B103^2+$D$60*N$90^3+$D$61*N$90^3*$B103^1+$D$62*N$90^4</f>
        <v>0.171007471264368</v>
      </c>
      <c r="O103" s="30" t="n">
        <f aca="false">$D$48+$D$49*$B103^1+$D$50*$B103^2+$D$51*$B103^3+$D$52*$B103^4+$D$53*O$90^1+$D$54*O$90^1*$B103^1+$D$55*O$90^1*$B103^2+$D$56*O$90^1*$B103^3+$D$57*O$90^2+$D$58*O$90^2*$B103^1+$D$59*O$90^2*$B103^2+$D$60*O$90^3+$D$61*O$90^3*$B103^1+$D$62*O$90^4</f>
        <v>0.170312643678161</v>
      </c>
      <c r="P103" s="30" t="n">
        <f aca="false">$D$48+$D$49*$B103^1+$D$50*$B103^2+$D$51*$B103^3+$D$52*$B103^4+$D$53*P$90^1+$D$54*P$90^1*$B103^1+$D$55*P$90^1*$B103^2+$D$56*P$90^1*$B103^3+$D$57*P$90^2+$D$58*P$90^2*$B103^1+$D$59*P$90^2*$B103^2+$D$60*P$90^3+$D$61*P$90^3*$B103^1+$D$62*P$90^4</f>
        <v>0.170602873563218</v>
      </c>
      <c r="Q103" s="30" t="n">
        <f aca="false">$D$48+$D$49*$B103^1+$D$50*$B103^2+$D$51*$B103^3+$D$52*$B103^4+$D$53*Q$90^1+$D$54*Q$90^1*$B103^1+$D$55*Q$90^1*$B103^2+$D$56*Q$90^1*$B103^3+$D$57*Q$90^2+$D$58*Q$90^2*$B103^1+$D$59*Q$90^2*$B103^2+$D$60*Q$90^3+$D$61*Q$90^3*$B103^1+$D$62*Q$90^4</f>
        <v>0.174050574712644</v>
      </c>
      <c r="R103" s="30" t="n">
        <f aca="false">$D$48+$D$49*$B103^1+$D$50*$B103^2+$D$51*$B103^3+$D$52*$B103^4+$D$53*R$90^1+$D$54*R$90^1*$B103^1+$D$55*R$90^1*$B103^2+$D$56*R$90^1*$B103^3+$D$57*R$90^2+$D$58*R$90^2*$B103^1+$D$59*R$90^2*$B103^2+$D$60*R$90^3+$D$61*R$90^3*$B103^1+$D$62*R$90^4</f>
        <v>0.183697126436782</v>
      </c>
      <c r="S103" s="30" t="n">
        <f aca="false">$D$48+$D$49*$B103^1+$D$50*$B103^2+$D$51*$B103^3+$D$52*$B103^4+$D$53*S$90^1+$D$54*S$90^1*$B103^1+$D$55*S$90^1*$B103^2+$D$56*S$90^1*$B103^3+$D$57*S$90^2+$D$58*S$90^2*$B103^1+$D$59*S$90^2*$B103^2+$D$60*S$90^3+$D$61*S$90^3*$B103^1+$D$62*S$90^4</f>
        <v>0.203452873563218</v>
      </c>
      <c r="T103" s="30" t="n">
        <f aca="false">$D$48+$D$49*$B103^1+$D$50*$B103^2+$D$51*$B103^3+$D$52*$B103^4+$D$53*T$90^1+$D$54*T$90^1*$B103^1+$D$55*T$90^1*$B103^2+$D$56*T$90^1*$B103^3+$D$57*T$90^2+$D$58*T$90^2*$B103^1+$D$59*T$90^2*$B103^2+$D$60*T$90^3+$D$61*T$90^3*$B103^1+$D$62*T$90^4</f>
        <v>0.238097126436782</v>
      </c>
      <c r="U103" s="30" t="n">
        <f aca="false">$D$48+$D$49*$B103^1+$D$50*$B103^2+$D$51*$B103^3+$D$52*$B103^4+$D$53*U$90^1+$D$54*U$90^1*$B103^1+$D$55*U$90^1*$B103^2+$D$56*U$90^1*$B103^3+$D$57*U$90^2+$D$58*U$90^2*$B103^1+$D$59*U$90^2*$B103^2+$D$60*U$90^3+$D$61*U$90^3*$B103^1+$D$62*U$90^4</f>
        <v>0.29327816091954</v>
      </c>
      <c r="V103" s="30" t="n">
        <f aca="false">$D$48+$D$49*$B103^1+$D$50*$B103^2+$D$51*$B103^3+$D$52*$B103^4+$D$53*V$90^1+$D$54*V$90^1*$B103^1+$D$55*V$90^1*$B103^2+$D$56*V$90^1*$B103^3+$D$57*V$90^2+$D$58*V$90^2*$B103^1+$D$59*V$90^2*$B103^2+$D$60*V$90^3+$D$61*V$90^3*$B103^1+$D$62*V$90^4</f>
        <v>0.375513218390805</v>
      </c>
      <c r="W103" s="30" t="n">
        <f aca="false">$D$48+$D$49*$B103^1+$D$50*$B103^2+$D$51*$B103^3+$D$52*$B103^4+$D$53*W$90^1+$D$54*W$90^1*$B103^1+$D$55*W$90^1*$B103^2+$D$56*W$90^1*$B103^3+$D$57*W$90^2+$D$58*W$90^2*$B103^1+$D$59*W$90^2*$B103^2+$D$60*W$90^3+$D$61*W$90^3*$B103^1+$D$62*W$90^4</f>
        <v>0.492188505747126</v>
      </c>
    </row>
    <row r="104" customFormat="false" ht="15" hidden="false" customHeight="false" outlineLevel="0" collapsed="false">
      <c r="B104" s="39" t="n">
        <v>-0.3</v>
      </c>
      <c r="C104" s="30" t="n">
        <f aca="false">$D$48+$D$49*$B104^1+$D$50*$B104^2+$D$51*$B104^3+$D$52*$B104^4+$D$53*C$90^1+$D$54*C$90^1*$B104^1+$D$55*C$90^1*$B104^2+$D$56*C$90^1*$B104^3+$D$57*C$90^2+$D$58*C$90^2*$B104^1+$D$59*C$90^2*$B104^2+$D$60*C$90^3+$D$61*C$90^3*$B104^1+$D$62*C$90^4</f>
        <v>0.491237356321839</v>
      </c>
      <c r="D104" s="30" t="n">
        <f aca="false">$D$48+$D$49*$B104^1+$D$50*$B104^2+$D$51*$B104^3+$D$52*$B104^4+$D$53*D$90^1+$D$54*D$90^1*$B104^1+$D$55*D$90^1*$B104^2+$D$56*D$90^1*$B104^3+$D$57*D$90^2+$D$58*D$90^2*$B104^1+$D$59*D$90^2*$B104^2+$D$60*D$90^3+$D$61*D$90^3*$B104^1+$D$62*D$90^4</f>
        <v>0.37480775862069</v>
      </c>
      <c r="E104" s="30" t="n">
        <f aca="false">$D$48+$D$49*$B104^1+$D$50*$B104^2+$D$51*$B104^3+$D$52*$B104^4+$D$53*E$90^1+$D$54*E$90^1*$B104^1+$D$55*E$90^1*$B104^2+$D$56*E$90^1*$B104^3+$D$57*E$90^2+$D$58*E$90^2*$B104^1+$D$59*E$90^2*$B104^2+$D$60*E$90^3+$D$61*E$90^3*$B104^1+$D$62*E$90^4</f>
        <v>0.292792528735632</v>
      </c>
      <c r="F104" s="30" t="n">
        <f aca="false">$D$48+$D$49*$B104^1+$D$50*$B104^2+$D$51*$B104^3+$D$52*$B104^4+$D$53*F$90^1+$D$54*F$90^1*$B104^1+$D$55*F$90^1*$B104^2+$D$56*F$90^1*$B104^3+$D$57*F$90^2+$D$58*F$90^2*$B104^1+$D$59*F$90^2*$B104^2+$D$60*F$90^3+$D$61*F$90^3*$B104^1+$D$62*F$90^4</f>
        <v>0.237805459770115</v>
      </c>
      <c r="G104" s="30" t="n">
        <f aca="false">$D$48+$D$49*$B104^1+$D$50*$B104^2+$D$51*$B104^3+$D$52*$B104^4+$D$53*G$90^1+$D$54*G$90^1*$B104^1+$D$55*G$90^1*$B104^2+$D$56*G$90^1*$B104^3+$D$57*G$90^2+$D$58*G$90^2*$B104^1+$D$59*G$90^2*$B104^2+$D$60*G$90^3+$D$61*G$90^3*$B104^1+$D$62*G$90^4</f>
        <v>0.203329310344828</v>
      </c>
      <c r="H104" s="30" t="n">
        <f aca="false">$D$48+$D$49*$B104^1+$D$50*$B104^2+$D$51*$B104^3+$D$52*$B104^4+$D$53*H$90^1+$D$54*H$90^1*$B104^1+$D$55*H$90^1*$B104^2+$D$56*H$90^1*$B104^3+$D$57*H$90^2+$D$58*H$90^2*$B104^1+$D$59*H$90^2*$B104^2+$D$60*H$90^3+$D$61*H$90^3*$B104^1+$D$62*H$90^4</f>
        <v>0.183715804597701</v>
      </c>
      <c r="I104" s="30" t="n">
        <f aca="false">$D$48+$D$49*$B104^1+$D$50*$B104^2+$D$51*$B104^3+$D$52*$B104^4+$D$53*I$90^1+$D$54*I$90^1*$B104^1+$D$55*I$90^1*$B104^2+$D$56*I$90^1*$B104^3+$D$57*I$90^2+$D$58*I$90^2*$B104^1+$D$59*I$90^2*$B104^2+$D$60*I$90^3+$D$61*I$90^3*$B104^1+$D$62*I$90^4</f>
        <v>0.174185632183908</v>
      </c>
      <c r="J104" s="30" t="n">
        <f aca="false">$D$48+$D$49*$B104^1+$D$50*$B104^2+$D$51*$B104^3+$D$52*$B104^4+$D$53*J$90^1+$D$54*J$90^1*$B104^1+$D$55*J$90^1*$B104^2+$D$56*J$90^1*$B104^3+$D$57*J$90^2+$D$58*J$90^2*$B104^1+$D$59*J$90^2*$B104^2+$D$60*J$90^3+$D$61*J$90^3*$B104^1+$D$62*J$90^4</f>
        <v>0.170828448275862</v>
      </c>
      <c r="K104" s="30" t="n">
        <f aca="false">$D$48+$D$49*$B104^1+$D$50*$B104^2+$D$51*$B104^3+$D$52*$B104^4+$D$53*K$90^1+$D$54*K$90^1*$B104^1+$D$55*K$90^1*$B104^2+$D$56*K$90^1*$B104^3+$D$57*K$90^2+$D$58*K$90^2*$B104^1+$D$59*K$90^2*$B104^2+$D$60*K$90^3+$D$61*K$90^3*$B104^1+$D$62*K$90^4</f>
        <v>0.170602873563218</v>
      </c>
      <c r="L104" s="30" t="n">
        <f aca="false">$D$48+$D$49*$B104^1+$D$50*$B104^2+$D$51*$B104^3+$D$52*$B104^4+$D$53*L$90^1+$D$54*L$90^1*$B104^1+$D$55*L$90^1*$B104^2+$D$56*L$90^1*$B104^3+$D$57*L$90^2+$D$58*L$90^2*$B104^1+$D$59*L$90^2*$B104^2+$D$60*L$90^3+$D$61*L$90^3*$B104^1+$D$62*L$90^4</f>
        <v>0.171336494252874</v>
      </c>
      <c r="M104" s="30" t="n">
        <f aca="false">$D$48+$D$49*$B104^1+$D$50*$B104^2+$D$51*$B104^3+$D$52*$B104^4+$D$53*M$90^1+$D$54*M$90^1*$B104^1+$D$55*M$90^1*$B104^2+$D$56*M$90^1*$B104^3+$D$57*M$90^2+$D$58*M$90^2*$B104^1+$D$59*M$90^2*$B104^2+$D$60*M$90^3+$D$61*M$90^3*$B104^1+$D$62*M$90^4</f>
        <v>0.171725862068966</v>
      </c>
      <c r="N104" s="30" t="n">
        <f aca="false">$D$48+$D$49*$B104^1+$D$50*$B104^2+$D$51*$B104^3+$D$52*$B104^4+$D$53*N$90^1+$D$54*N$90^1*$B104^1+$D$55*N$90^1*$B104^2+$D$56*N$90^1*$B104^3+$D$57*N$90^2+$D$58*N$90^2*$B104^1+$D$59*N$90^2*$B104^2+$D$60*N$90^3+$D$61*N$90^3*$B104^1+$D$62*N$90^4</f>
        <v>0.171336494252874</v>
      </c>
      <c r="O104" s="30" t="n">
        <f aca="false">$D$48+$D$49*$B104^1+$D$50*$B104^2+$D$51*$B104^3+$D$52*$B104^4+$D$53*O$90^1+$D$54*O$90^1*$B104^1+$D$55*O$90^1*$B104^2+$D$56*O$90^1*$B104^3+$D$57*O$90^2+$D$58*O$90^2*$B104^1+$D$59*O$90^2*$B104^2+$D$60*O$90^3+$D$61*O$90^3*$B104^1+$D$62*O$90^4</f>
        <v>0.170602873563218</v>
      </c>
      <c r="P104" s="30" t="n">
        <f aca="false">$D$48+$D$49*$B104^1+$D$50*$B104^2+$D$51*$B104^3+$D$52*$B104^4+$D$53*P$90^1+$D$54*P$90^1*$B104^1+$D$55*P$90^1*$B104^2+$D$56*P$90^1*$B104^3+$D$57*P$90^2+$D$58*P$90^2*$B104^1+$D$59*P$90^2*$B104^2+$D$60*P$90^3+$D$61*P$90^3*$B104^1+$D$62*P$90^4</f>
        <v>0.170828448275862</v>
      </c>
      <c r="Q104" s="30" t="n">
        <f aca="false">$D$48+$D$49*$B104^1+$D$50*$B104^2+$D$51*$B104^3+$D$52*$B104^4+$D$53*Q$90^1+$D$54*Q$90^1*$B104^1+$D$55*Q$90^1*$B104^2+$D$56*Q$90^1*$B104^3+$D$57*Q$90^2+$D$58*Q$90^2*$B104^1+$D$59*Q$90^2*$B104^2+$D$60*Q$90^3+$D$61*Q$90^3*$B104^1+$D$62*Q$90^4</f>
        <v>0.174185632183908</v>
      </c>
      <c r="R104" s="30" t="n">
        <f aca="false">$D$48+$D$49*$B104^1+$D$50*$B104^2+$D$51*$B104^3+$D$52*$B104^4+$D$53*R$90^1+$D$54*R$90^1*$B104^1+$D$55*R$90^1*$B104^2+$D$56*R$90^1*$B104^3+$D$57*R$90^2+$D$58*R$90^2*$B104^1+$D$59*R$90^2*$B104^2+$D$60*R$90^3+$D$61*R$90^3*$B104^1+$D$62*R$90^4</f>
        <v>0.183715804597701</v>
      </c>
      <c r="S104" s="30" t="n">
        <f aca="false">$D$48+$D$49*$B104^1+$D$50*$B104^2+$D$51*$B104^3+$D$52*$B104^4+$D$53*S$90^1+$D$54*S$90^1*$B104^1+$D$55*S$90^1*$B104^2+$D$56*S$90^1*$B104^3+$D$57*S$90^2+$D$58*S$90^2*$B104^1+$D$59*S$90^2*$B104^2+$D$60*S$90^3+$D$61*S$90^3*$B104^1+$D$62*S$90^4</f>
        <v>0.203329310344828</v>
      </c>
      <c r="T104" s="30" t="n">
        <f aca="false">$D$48+$D$49*$B104^1+$D$50*$B104^2+$D$51*$B104^3+$D$52*$B104^4+$D$53*T$90^1+$D$54*T$90^1*$B104^1+$D$55*T$90^1*$B104^2+$D$56*T$90^1*$B104^3+$D$57*T$90^2+$D$58*T$90^2*$B104^1+$D$59*T$90^2*$B104^2+$D$60*T$90^3+$D$61*T$90^3*$B104^1+$D$62*T$90^4</f>
        <v>0.237805459770115</v>
      </c>
      <c r="U104" s="30" t="n">
        <f aca="false">$D$48+$D$49*$B104^1+$D$50*$B104^2+$D$51*$B104^3+$D$52*$B104^4+$D$53*U$90^1+$D$54*U$90^1*$B104^1+$D$55*U$90^1*$B104^2+$D$56*U$90^1*$B104^3+$D$57*U$90^2+$D$58*U$90^2*$B104^1+$D$59*U$90^2*$B104^2+$D$60*U$90^3+$D$61*U$90^3*$B104^1+$D$62*U$90^4</f>
        <v>0.292792528735632</v>
      </c>
      <c r="V104" s="30" t="n">
        <f aca="false">$D$48+$D$49*$B104^1+$D$50*$B104^2+$D$51*$B104^3+$D$52*$B104^4+$D$53*V$90^1+$D$54*V$90^1*$B104^1+$D$55*V$90^1*$B104^2+$D$56*V$90^1*$B104^3+$D$57*V$90^2+$D$58*V$90^2*$B104^1+$D$59*V$90^2*$B104^2+$D$60*V$90^3+$D$61*V$90^3*$B104^1+$D$62*V$90^4</f>
        <v>0.37480775862069</v>
      </c>
      <c r="W104" s="30" t="n">
        <f aca="false">$D$48+$D$49*$B104^1+$D$50*$B104^2+$D$51*$B104^3+$D$52*$B104^4+$D$53*W$90^1+$D$54*W$90^1*$B104^1+$D$55*W$90^1*$B104^2+$D$56*W$90^1*$B104^3+$D$57*W$90^2+$D$58*W$90^2*$B104^1+$D$59*W$90^2*$B104^2+$D$60*W$90^3+$D$61*W$90^3*$B104^1+$D$62*W$90^4</f>
        <v>0.491237356321839</v>
      </c>
    </row>
    <row r="105" customFormat="false" ht="15" hidden="false" customHeight="false" outlineLevel="0" collapsed="false">
      <c r="B105" s="39" t="n">
        <v>-0.4</v>
      </c>
      <c r="C105" s="30" t="n">
        <f aca="false">$D$48+$D$49*$B105^1+$D$50*$B105^2+$D$51*$B105^3+$D$52*$B105^4+$D$53*C$90^1+$D$54*C$90^1*$B105^1+$D$55*C$90^1*$B105^2+$D$56*C$90^1*$B105^3+$D$57*C$90^2+$D$58*C$90^2*$B105^1+$D$59*C$90^2*$B105^2+$D$60*C$90^3+$D$61*C$90^3*$B105^1+$D$62*C$90^4</f>
        <v>0.492947126436782</v>
      </c>
      <c r="D105" s="30" t="n">
        <f aca="false">$D$48+$D$49*$B105^1+$D$50*$B105^2+$D$51*$B105^3+$D$52*$B105^4+$D$53*D$90^1+$D$54*D$90^1*$B105^1+$D$55*D$90^1*$B105^2+$D$56*D$90^1*$B105^3+$D$57*D$90^2+$D$58*D$90^2*$B105^1+$D$59*D$90^2*$B105^2+$D$60*D$90^3+$D$61*D$90^3*$B105^1+$D$62*D$90^4</f>
        <v>0.376861494252874</v>
      </c>
      <c r="E105" s="30" t="n">
        <f aca="false">$D$48+$D$49*$B105^1+$D$50*$B105^2+$D$51*$B105^3+$D$52*$B105^4+$D$53*E$90^1+$D$54*E$90^1*$B105^1+$D$55*E$90^1*$B105^2+$D$56*E$90^1*$B105^3+$D$57*E$90^2+$D$58*E$90^2*$B105^1+$D$59*E$90^2*$B105^2+$D$60*E$90^3+$D$61*E$90^3*$B105^1+$D$62*E$90^4</f>
        <v>0.295154022988506</v>
      </c>
      <c r="F105" s="30" t="n">
        <f aca="false">$D$48+$D$49*$B105^1+$D$50*$B105^2+$D$51*$B105^3+$D$52*$B105^4+$D$53*F$90^1+$D$54*F$90^1*$B105^1+$D$55*F$90^1*$B105^2+$D$56*F$90^1*$B105^3+$D$57*F$90^2+$D$58*F$90^2*$B105^1+$D$59*F$90^2*$B105^2+$D$60*F$90^3+$D$61*F$90^3*$B105^1+$D$62*F$90^4</f>
        <v>0.240438505747126</v>
      </c>
      <c r="G105" s="30" t="n">
        <f aca="false">$D$48+$D$49*$B105^1+$D$50*$B105^2+$D$51*$B105^3+$D$52*$B105^4+$D$53*G$90^1+$D$54*G$90^1*$B105^1+$D$55*G$90^1*$B105^2+$D$56*G$90^1*$B105^3+$D$57*G$90^2+$D$58*G$90^2*$B105^1+$D$59*G$90^2*$B105^2+$D$60*G$90^3+$D$61*G$90^3*$B105^1+$D$62*G$90^4</f>
        <v>0.206197701149425</v>
      </c>
      <c r="H105" s="30" t="n">
        <f aca="false">$D$48+$D$49*$B105^1+$D$50*$B105^2+$D$51*$B105^3+$D$52*$B105^4+$D$53*H$90^1+$D$54*H$90^1*$B105^1+$D$55*H$90^1*$B105^2+$D$56*H$90^1*$B105^3+$D$57*H$90^2+$D$58*H$90^2*$B105^1+$D$59*H$90^2*$B105^2+$D$60*H$90^3+$D$61*H$90^3*$B105^1+$D$62*H$90^4</f>
        <v>0.186783333333333</v>
      </c>
      <c r="I105" s="30" t="n">
        <f aca="false">$D$48+$D$49*$B105^1+$D$50*$B105^2+$D$51*$B105^3+$D$52*$B105^4+$D$53*I$90^1+$D$54*I$90^1*$B105^1+$D$55*I$90^1*$B105^2+$D$56*I$90^1*$B105^3+$D$57*I$90^2+$D$58*I$90^2*$B105^1+$D$59*I$90^2*$B105^2+$D$60*I$90^3+$D$61*I$90^3*$B105^1+$D$62*I$90^4</f>
        <v>0.177416091954023</v>
      </c>
      <c r="J105" s="30" t="n">
        <f aca="false">$D$48+$D$49*$B105^1+$D$50*$B105^2+$D$51*$B105^3+$D$52*$B105^4+$D$53*J$90^1+$D$54*J$90^1*$B105^1+$D$55*J$90^1*$B105^2+$D$56*J$90^1*$B105^3+$D$57*J$90^2+$D$58*J$90^2*$B105^1+$D$59*J$90^2*$B105^2+$D$60*J$90^3+$D$61*J$90^3*$B105^1+$D$62*J$90^4</f>
        <v>0.174185632183908</v>
      </c>
      <c r="K105" s="30" t="n">
        <f aca="false">$D$48+$D$49*$B105^1+$D$50*$B105^2+$D$51*$B105^3+$D$52*$B105^4+$D$53*K$90^1+$D$54*K$90^1*$B105^1+$D$55*K$90^1*$B105^2+$D$56*K$90^1*$B105^3+$D$57*K$90^2+$D$58*K$90^2*$B105^1+$D$59*K$90^2*$B105^2+$D$60*K$90^3+$D$61*K$90^3*$B105^1+$D$62*K$90^4</f>
        <v>0.174050574712644</v>
      </c>
      <c r="L105" s="30" t="n">
        <f aca="false">$D$48+$D$49*$B105^1+$D$50*$B105^2+$D$51*$B105^3+$D$52*$B105^4+$D$53*L$90^1+$D$54*L$90^1*$B105^1+$D$55*L$90^1*$B105^2+$D$56*L$90^1*$B105^3+$D$57*L$90^2+$D$58*L$90^2*$B105^1+$D$59*L$90^2*$B105^2+$D$60*L$90^3+$D$61*L$90^3*$B105^1+$D$62*L$90^4</f>
        <v>0.174838505747126</v>
      </c>
      <c r="M105" s="30" t="n">
        <f aca="false">$D$48+$D$49*$B105^1+$D$50*$B105^2+$D$51*$B105^3+$D$52*$B105^4+$D$53*M$90^1+$D$54*M$90^1*$B105^1+$D$55*M$90^1*$B105^2+$D$56*M$90^1*$B105^3+$D$57*M$90^2+$D$58*M$90^2*$B105^1+$D$59*M$90^2*$B105^2+$D$60*M$90^3+$D$61*M$90^3*$B105^1+$D$62*M$90^4</f>
        <v>0.175245977011494</v>
      </c>
      <c r="N105" s="30" t="n">
        <f aca="false">$D$48+$D$49*$B105^1+$D$50*$B105^2+$D$51*$B105^3+$D$52*$B105^4+$D$53*N$90^1+$D$54*N$90^1*$B105^1+$D$55*N$90^1*$B105^2+$D$56*N$90^1*$B105^3+$D$57*N$90^2+$D$58*N$90^2*$B105^1+$D$59*N$90^2*$B105^2+$D$60*N$90^3+$D$61*N$90^3*$B105^1+$D$62*N$90^4</f>
        <v>0.174838505747126</v>
      </c>
      <c r="O105" s="30" t="n">
        <f aca="false">$D$48+$D$49*$B105^1+$D$50*$B105^2+$D$51*$B105^3+$D$52*$B105^4+$D$53*O$90^1+$D$54*O$90^1*$B105^1+$D$55*O$90^1*$B105^2+$D$56*O$90^1*$B105^3+$D$57*O$90^2+$D$58*O$90^2*$B105^1+$D$59*O$90^2*$B105^2+$D$60*O$90^3+$D$61*O$90^3*$B105^1+$D$62*O$90^4</f>
        <v>0.174050574712644</v>
      </c>
      <c r="P105" s="30" t="n">
        <f aca="false">$D$48+$D$49*$B105^1+$D$50*$B105^2+$D$51*$B105^3+$D$52*$B105^4+$D$53*P$90^1+$D$54*P$90^1*$B105^1+$D$55*P$90^1*$B105^2+$D$56*P$90^1*$B105^3+$D$57*P$90^2+$D$58*P$90^2*$B105^1+$D$59*P$90^2*$B105^2+$D$60*P$90^3+$D$61*P$90^3*$B105^1+$D$62*P$90^4</f>
        <v>0.174185632183908</v>
      </c>
      <c r="Q105" s="30" t="n">
        <f aca="false">$D$48+$D$49*$B105^1+$D$50*$B105^2+$D$51*$B105^3+$D$52*$B105^4+$D$53*Q$90^1+$D$54*Q$90^1*$B105^1+$D$55*Q$90^1*$B105^2+$D$56*Q$90^1*$B105^3+$D$57*Q$90^2+$D$58*Q$90^2*$B105^1+$D$59*Q$90^2*$B105^2+$D$60*Q$90^3+$D$61*Q$90^3*$B105^1+$D$62*Q$90^4</f>
        <v>0.177416091954023</v>
      </c>
      <c r="R105" s="30" t="n">
        <f aca="false">$D$48+$D$49*$B105^1+$D$50*$B105^2+$D$51*$B105^3+$D$52*$B105^4+$D$53*R$90^1+$D$54*R$90^1*$B105^1+$D$55*R$90^1*$B105^2+$D$56*R$90^1*$B105^3+$D$57*R$90^2+$D$58*R$90^2*$B105^1+$D$59*R$90^2*$B105^2+$D$60*R$90^3+$D$61*R$90^3*$B105^1+$D$62*R$90^4</f>
        <v>0.186783333333333</v>
      </c>
      <c r="S105" s="30" t="n">
        <f aca="false">$D$48+$D$49*$B105^1+$D$50*$B105^2+$D$51*$B105^3+$D$52*$B105^4+$D$53*S$90^1+$D$54*S$90^1*$B105^1+$D$55*S$90^1*$B105^2+$D$56*S$90^1*$B105^3+$D$57*S$90^2+$D$58*S$90^2*$B105^1+$D$59*S$90^2*$B105^2+$D$60*S$90^3+$D$61*S$90^3*$B105^1+$D$62*S$90^4</f>
        <v>0.206197701149425</v>
      </c>
      <c r="T105" s="30" t="n">
        <f aca="false">$D$48+$D$49*$B105^1+$D$50*$B105^2+$D$51*$B105^3+$D$52*$B105^4+$D$53*T$90^1+$D$54*T$90^1*$B105^1+$D$55*T$90^1*$B105^2+$D$56*T$90^1*$B105^3+$D$57*T$90^2+$D$58*T$90^2*$B105^1+$D$59*T$90^2*$B105^2+$D$60*T$90^3+$D$61*T$90^3*$B105^1+$D$62*T$90^4</f>
        <v>0.240438505747126</v>
      </c>
      <c r="U105" s="30" t="n">
        <f aca="false">$D$48+$D$49*$B105^1+$D$50*$B105^2+$D$51*$B105^3+$D$52*$B105^4+$D$53*U$90^1+$D$54*U$90^1*$B105^1+$D$55*U$90^1*$B105^2+$D$56*U$90^1*$B105^3+$D$57*U$90^2+$D$58*U$90^2*$B105^1+$D$59*U$90^2*$B105^2+$D$60*U$90^3+$D$61*U$90^3*$B105^1+$D$62*U$90^4</f>
        <v>0.295154022988506</v>
      </c>
      <c r="V105" s="30" t="n">
        <f aca="false">$D$48+$D$49*$B105^1+$D$50*$B105^2+$D$51*$B105^3+$D$52*$B105^4+$D$53*V$90^1+$D$54*V$90^1*$B105^1+$D$55*V$90^1*$B105^2+$D$56*V$90^1*$B105^3+$D$57*V$90^2+$D$58*V$90^2*$B105^1+$D$59*V$90^2*$B105^2+$D$60*V$90^3+$D$61*V$90^3*$B105^1+$D$62*V$90^4</f>
        <v>0.376861494252874</v>
      </c>
      <c r="W105" s="30" t="n">
        <f aca="false">$D$48+$D$49*$B105^1+$D$50*$B105^2+$D$51*$B105^3+$D$52*$B105^4+$D$53*W$90^1+$D$54*W$90^1*$B105^1+$D$55*W$90^1*$B105^2+$D$56*W$90^1*$B105^3+$D$57*W$90^2+$D$58*W$90^2*$B105^1+$D$59*W$90^2*$B105^2+$D$60*W$90^3+$D$61*W$90^3*$B105^1+$D$62*W$90^4</f>
        <v>0.492947126436782</v>
      </c>
    </row>
    <row r="106" customFormat="false" ht="15" hidden="false" customHeight="false" outlineLevel="0" collapsed="false">
      <c r="B106" s="39" t="n">
        <v>-0.5</v>
      </c>
      <c r="C106" s="30" t="n">
        <f aca="false">$D$48+$D$49*$B106^1+$D$50*$B106^2+$D$51*$B106^3+$D$52*$B106^4+$D$53*C$90^1+$D$54*C$90^1*$B106^1+$D$55*C$90^1*$B106^2+$D$56*C$90^1*$B106^3+$D$57*C$90^2+$D$58*C$90^2*$B106^1+$D$59*C$90^2*$B106^2+$D$60*C$90^3+$D$61*C$90^3*$B106^1+$D$62*C$90^4</f>
        <v>0.500359195402299</v>
      </c>
      <c r="D106" s="30" t="n">
        <f aca="false">$D$48+$D$49*$B106^1+$D$50*$B106^2+$D$51*$B106^3+$D$52*$B106^4+$D$53*D$90^1+$D$54*D$90^1*$B106^1+$D$55*D$90^1*$B106^2+$D$56*D$90^1*$B106^3+$D$57*D$90^2+$D$58*D$90^2*$B106^1+$D$59*D$90^2*$B106^2+$D$60*D$90^3+$D$61*D$90^3*$B106^1+$D$62*D$90^4</f>
        <v>0.384715804597701</v>
      </c>
      <c r="E106" s="30" t="n">
        <f aca="false">$D$48+$D$49*$B106^1+$D$50*$B106^2+$D$51*$B106^3+$D$52*$B106^4+$D$53*E$90^1+$D$54*E$90^1*$B106^1+$D$55*E$90^1*$B106^2+$D$56*E$90^1*$B106^3+$D$57*E$90^2+$D$58*E$90^2*$B106^1+$D$59*E$90^2*$B106^2+$D$60*E$90^3+$D$61*E$90^3*$B106^1+$D$62*E$90^4</f>
        <v>0.303404022988506</v>
      </c>
      <c r="F106" s="30" t="n">
        <f aca="false">$D$48+$D$49*$B106^1+$D$50*$B106^2+$D$51*$B106^3+$D$52*$B106^4+$D$53*F$90^1+$D$54*F$90^1*$B106^1+$D$55*F$90^1*$B106^2+$D$56*F$90^1*$B106^3+$D$57*F$90^2+$D$58*F$90^2*$B106^1+$D$59*F$90^2*$B106^2+$D$60*F$90^3+$D$61*F$90^3*$B106^1+$D$62*F$90^4</f>
        <v>0.249037643678161</v>
      </c>
      <c r="G106" s="30" t="n">
        <f aca="false">$D$48+$D$49*$B106^1+$D$50*$B106^2+$D$51*$B106^3+$D$52*$B106^4+$D$53*G$90^1+$D$54*G$90^1*$B106^1+$D$55*G$90^1*$B106^2+$D$56*G$90^1*$B106^3+$D$57*G$90^2+$D$58*G$90^2*$B106^1+$D$59*G$90^2*$B106^2+$D$60*G$90^3+$D$61*G$90^3*$B106^1+$D$62*G$90^4</f>
        <v>0.215099425287356</v>
      </c>
      <c r="H106" s="30" t="n">
        <f aca="false">$D$48+$D$49*$B106^1+$D$50*$B106^2+$D$51*$B106^3+$D$52*$B106^4+$D$53*H$90^1+$D$54*H$90^1*$B106^1+$D$55*H$90^1*$B106^2+$D$56*H$90^1*$B106^3+$D$57*H$90^2+$D$58*H$90^2*$B106^1+$D$59*H$90^2*$B106^2+$D$60*H$90^3+$D$61*H$90^3*$B106^1+$D$62*H$90^4</f>
        <v>0.195941091954023</v>
      </c>
      <c r="I106" s="30" t="n">
        <f aca="false">$D$48+$D$49*$B106^1+$D$50*$B106^2+$D$51*$B106^3+$D$52*$B106^4+$D$53*I$90^1+$D$54*I$90^1*$B106^1+$D$55*I$90^1*$B106^2+$D$56*I$90^1*$B106^3+$D$57*I$90^2+$D$58*I$90^2*$B106^1+$D$59*I$90^2*$B106^2+$D$60*I$90^3+$D$61*I$90^3*$B106^1+$D$62*I$90^4</f>
        <v>0.186783333333333</v>
      </c>
      <c r="J106" s="30" t="n">
        <f aca="false">$D$48+$D$49*$B106^1+$D$50*$B106^2+$D$51*$B106^3+$D$52*$B106^4+$D$53*J$90^1+$D$54*J$90^1*$B106^1+$D$55*J$90^1*$B106^2+$D$56*J$90^1*$B106^3+$D$57*J$90^2+$D$58*J$90^2*$B106^1+$D$59*J$90^2*$B106^2+$D$60*J$90^3+$D$61*J$90^3*$B106^1+$D$62*J$90^4</f>
        <v>0.183715804597701</v>
      </c>
      <c r="K106" s="30" t="n">
        <f aca="false">$D$48+$D$49*$B106^1+$D$50*$B106^2+$D$51*$B106^3+$D$52*$B106^4+$D$53*K$90^1+$D$54*K$90^1*$B106^1+$D$55*K$90^1*$B106^2+$D$56*K$90^1*$B106^3+$D$57*K$90^2+$D$58*K$90^2*$B106^1+$D$59*K$90^2*$B106^2+$D$60*K$90^3+$D$61*K$90^3*$B106^1+$D$62*K$90^4</f>
        <v>0.183697126436782</v>
      </c>
      <c r="L106" s="30" t="n">
        <f aca="false">$D$48+$D$49*$B106^1+$D$50*$B106^2+$D$51*$B106^3+$D$52*$B106^4+$D$53*L$90^1+$D$54*L$90^1*$B106^1+$D$55*L$90^1*$B106^2+$D$56*L$90^1*$B106^3+$D$57*L$90^2+$D$58*L$90^2*$B106^1+$D$59*L$90^2*$B106^2+$D$60*L$90^3+$D$61*L$90^3*$B106^1+$D$62*L$90^4</f>
        <v>0.184554885057471</v>
      </c>
      <c r="M106" s="30" t="n">
        <f aca="false">$D$48+$D$49*$B106^1+$D$50*$B106^2+$D$51*$B106^3+$D$52*$B106^4+$D$53*M$90^1+$D$54*M$90^1*$B106^1+$D$55*M$90^1*$B106^2+$D$56*M$90^1*$B106^3+$D$57*M$90^2+$D$58*M$90^2*$B106^1+$D$59*M$90^2*$B106^2+$D$60*M$90^3+$D$61*M$90^3*$B106^1+$D$62*M$90^4</f>
        <v>0.184985632183908</v>
      </c>
      <c r="N106" s="30" t="n">
        <f aca="false">$D$48+$D$49*$B106^1+$D$50*$B106^2+$D$51*$B106^3+$D$52*$B106^4+$D$53*N$90^1+$D$54*N$90^1*$B106^1+$D$55*N$90^1*$B106^2+$D$56*N$90^1*$B106^3+$D$57*N$90^2+$D$58*N$90^2*$B106^1+$D$59*N$90^2*$B106^2+$D$60*N$90^3+$D$61*N$90^3*$B106^1+$D$62*N$90^4</f>
        <v>0.184554885057471</v>
      </c>
      <c r="O106" s="30" t="n">
        <f aca="false">$D$48+$D$49*$B106^1+$D$50*$B106^2+$D$51*$B106^3+$D$52*$B106^4+$D$53*O$90^1+$D$54*O$90^1*$B106^1+$D$55*O$90^1*$B106^2+$D$56*O$90^1*$B106^3+$D$57*O$90^2+$D$58*O$90^2*$B106^1+$D$59*O$90^2*$B106^2+$D$60*O$90^3+$D$61*O$90^3*$B106^1+$D$62*O$90^4</f>
        <v>0.183697126436782</v>
      </c>
      <c r="P106" s="30" t="n">
        <f aca="false">$D$48+$D$49*$B106^1+$D$50*$B106^2+$D$51*$B106^3+$D$52*$B106^4+$D$53*P$90^1+$D$54*P$90^1*$B106^1+$D$55*P$90^1*$B106^2+$D$56*P$90^1*$B106^3+$D$57*P$90^2+$D$58*P$90^2*$B106^1+$D$59*P$90^2*$B106^2+$D$60*P$90^3+$D$61*P$90^3*$B106^1+$D$62*P$90^4</f>
        <v>0.183715804597701</v>
      </c>
      <c r="Q106" s="30" t="n">
        <f aca="false">$D$48+$D$49*$B106^1+$D$50*$B106^2+$D$51*$B106^3+$D$52*$B106^4+$D$53*Q$90^1+$D$54*Q$90^1*$B106^1+$D$55*Q$90^1*$B106^2+$D$56*Q$90^1*$B106^3+$D$57*Q$90^2+$D$58*Q$90^2*$B106^1+$D$59*Q$90^2*$B106^2+$D$60*Q$90^3+$D$61*Q$90^3*$B106^1+$D$62*Q$90^4</f>
        <v>0.186783333333333</v>
      </c>
      <c r="R106" s="30" t="n">
        <f aca="false">$D$48+$D$49*$B106^1+$D$50*$B106^2+$D$51*$B106^3+$D$52*$B106^4+$D$53*R$90^1+$D$54*R$90^1*$B106^1+$D$55*R$90^1*$B106^2+$D$56*R$90^1*$B106^3+$D$57*R$90^2+$D$58*R$90^2*$B106^1+$D$59*R$90^2*$B106^2+$D$60*R$90^3+$D$61*R$90^3*$B106^1+$D$62*R$90^4</f>
        <v>0.195941091954023</v>
      </c>
      <c r="S106" s="30" t="n">
        <f aca="false">$D$48+$D$49*$B106^1+$D$50*$B106^2+$D$51*$B106^3+$D$52*$B106^4+$D$53*S$90^1+$D$54*S$90^1*$B106^1+$D$55*S$90^1*$B106^2+$D$56*S$90^1*$B106^3+$D$57*S$90^2+$D$58*S$90^2*$B106^1+$D$59*S$90^2*$B106^2+$D$60*S$90^3+$D$61*S$90^3*$B106^1+$D$62*S$90^4</f>
        <v>0.215099425287356</v>
      </c>
      <c r="T106" s="30" t="n">
        <f aca="false">$D$48+$D$49*$B106^1+$D$50*$B106^2+$D$51*$B106^3+$D$52*$B106^4+$D$53*T$90^1+$D$54*T$90^1*$B106^1+$D$55*T$90^1*$B106^2+$D$56*T$90^1*$B106^3+$D$57*T$90^2+$D$58*T$90^2*$B106^1+$D$59*T$90^2*$B106^2+$D$60*T$90^3+$D$61*T$90^3*$B106^1+$D$62*T$90^4</f>
        <v>0.249037643678161</v>
      </c>
      <c r="U106" s="30" t="n">
        <f aca="false">$D$48+$D$49*$B106^1+$D$50*$B106^2+$D$51*$B106^3+$D$52*$B106^4+$D$53*U$90^1+$D$54*U$90^1*$B106^1+$D$55*U$90^1*$B106^2+$D$56*U$90^1*$B106^3+$D$57*U$90^2+$D$58*U$90^2*$B106^1+$D$59*U$90^2*$B106^2+$D$60*U$90^3+$D$61*U$90^3*$B106^1+$D$62*U$90^4</f>
        <v>0.303404022988506</v>
      </c>
      <c r="V106" s="30" t="n">
        <f aca="false">$D$48+$D$49*$B106^1+$D$50*$B106^2+$D$51*$B106^3+$D$52*$B106^4+$D$53*V$90^1+$D$54*V$90^1*$B106^1+$D$55*V$90^1*$B106^2+$D$56*V$90^1*$B106^3+$D$57*V$90^2+$D$58*V$90^2*$B106^1+$D$59*V$90^2*$B106^2+$D$60*V$90^3+$D$61*V$90^3*$B106^1+$D$62*V$90^4</f>
        <v>0.384715804597701</v>
      </c>
      <c r="W106" s="30" t="n">
        <f aca="false">$D$48+$D$49*$B106^1+$D$50*$B106^2+$D$51*$B106^3+$D$52*$B106^4+$D$53*W$90^1+$D$54*W$90^1*$B106^1+$D$55*W$90^1*$B106^2+$D$56*W$90^1*$B106^3+$D$57*W$90^2+$D$58*W$90^2*$B106^1+$D$59*W$90^2*$B106^2+$D$60*W$90^3+$D$61*W$90^3*$B106^1+$D$62*W$90^4</f>
        <v>0.500359195402299</v>
      </c>
    </row>
    <row r="107" customFormat="false" ht="15" hidden="false" customHeight="false" outlineLevel="0" collapsed="false">
      <c r="B107" s="39" t="n">
        <v>-0.6</v>
      </c>
      <c r="C107" s="30" t="n">
        <f aca="false">$D$48+$D$49*$B107^1+$D$50*$B107^2+$D$51*$B107^3+$D$52*$B107^4+$D$53*C$90^1+$D$54*C$90^1*$B107^1+$D$55*C$90^1*$B107^2+$D$56*C$90^1*$B107^3+$D$57*C$90^2+$D$58*C$90^2*$B107^1+$D$59*C$90^2*$B107^2+$D$60*C$90^3+$D$61*C$90^3*$B107^1+$D$62*C$90^4</f>
        <v>0.517383908045977</v>
      </c>
      <c r="D107" s="30" t="n">
        <f aca="false">$D$48+$D$49*$B107^1+$D$50*$B107^2+$D$51*$B107^3+$D$52*$B107^4+$D$53*D$90^1+$D$54*D$90^1*$B107^1+$D$55*D$90^1*$B107^2+$D$56*D$90^1*$B107^3+$D$57*D$90^2+$D$58*D$90^2*$B107^1+$D$59*D$90^2*$B107^2+$D$60*D$90^3+$D$61*D$90^3*$B107^1+$D$62*D$90^4</f>
        <v>0.402281034482759</v>
      </c>
      <c r="E107" s="30" t="n">
        <f aca="false">$D$48+$D$49*$B107^1+$D$50*$B107^2+$D$51*$B107^3+$D$52*$B107^4+$D$53*E$90^1+$D$54*E$90^1*$B107^1+$D$55*E$90^1*$B107^2+$D$56*E$90^1*$B107^3+$D$57*E$90^2+$D$58*E$90^2*$B107^1+$D$59*E$90^2*$B107^2+$D$60*E$90^3+$D$61*E$90^3*$B107^1+$D$62*E$90^4</f>
        <v>0.321452873563218</v>
      </c>
      <c r="F107" s="30" t="n">
        <f aca="false">$D$48+$D$49*$B107^1+$D$50*$B107^2+$D$51*$B107^3+$D$52*$B107^4+$D$53*F$90^1+$D$54*F$90^1*$B107^1+$D$55*F$90^1*$B107^2+$D$56*F$90^1*$B107^3+$D$57*F$90^2+$D$58*F$90^2*$B107^1+$D$59*F$90^2*$B107^2+$D$60*F$90^3+$D$61*F$90^3*$B107^1+$D$62*F$90^4</f>
        <v>0.267513218390805</v>
      </c>
      <c r="G107" s="30" t="n">
        <f aca="false">$D$48+$D$49*$B107^1+$D$50*$B107^2+$D$51*$B107^3+$D$52*$B107^4+$D$53*G$90^1+$D$54*G$90^1*$B107^1+$D$55*G$90^1*$B107^2+$D$56*G$90^1*$B107^3+$D$57*G$90^2+$D$58*G$90^2*$B107^1+$D$59*G$90^2*$B107^2+$D$60*G$90^3+$D$61*G$90^3*$B107^1+$D$62*G$90^4</f>
        <v>0.233944827586207</v>
      </c>
      <c r="H107" s="30" t="n">
        <f aca="false">$D$48+$D$49*$B107^1+$D$50*$B107^2+$D$51*$B107^3+$D$52*$B107^4+$D$53*H$90^1+$D$54*H$90^1*$B107^1+$D$55*H$90^1*$B107^2+$D$56*H$90^1*$B107^3+$D$57*H$90^2+$D$58*H$90^2*$B107^1+$D$59*H$90^2*$B107^2+$D$60*H$90^3+$D$61*H$90^3*$B107^1+$D$62*H$90^4</f>
        <v>0.215099425287356</v>
      </c>
      <c r="I107" s="30" t="n">
        <f aca="false">$D$48+$D$49*$B107^1+$D$50*$B107^2+$D$51*$B107^3+$D$52*$B107^4+$D$53*I$90^1+$D$54*I$90^1*$B107^1+$D$55*I$90^1*$B107^2+$D$56*I$90^1*$B107^3+$D$57*I$90^2+$D$58*I$90^2*$B107^1+$D$59*I$90^2*$B107^2+$D$60*I$90^3+$D$61*I$90^3*$B107^1+$D$62*I$90^4</f>
        <v>0.206197701149425</v>
      </c>
      <c r="J107" s="30" t="n">
        <f aca="false">$D$48+$D$49*$B107^1+$D$50*$B107^2+$D$51*$B107^3+$D$52*$B107^4+$D$53*J$90^1+$D$54*J$90^1*$B107^1+$D$55*J$90^1*$B107^2+$D$56*J$90^1*$B107^3+$D$57*J$90^2+$D$58*J$90^2*$B107^1+$D$59*J$90^2*$B107^2+$D$60*J$90^3+$D$61*J$90^3*$B107^1+$D$62*J$90^4</f>
        <v>0.203329310344828</v>
      </c>
      <c r="K107" s="30" t="n">
        <f aca="false">$D$48+$D$49*$B107^1+$D$50*$B107^2+$D$51*$B107^3+$D$52*$B107^4+$D$53*K$90^1+$D$54*K$90^1*$B107^1+$D$55*K$90^1*$B107^2+$D$56*K$90^1*$B107^3+$D$57*K$90^2+$D$58*K$90^2*$B107^1+$D$59*K$90^2*$B107^2+$D$60*K$90^3+$D$61*K$90^3*$B107^1+$D$62*K$90^4</f>
        <v>0.203452873563218</v>
      </c>
      <c r="L107" s="30" t="n">
        <f aca="false">$D$48+$D$49*$B107^1+$D$50*$B107^2+$D$51*$B107^3+$D$52*$B107^4+$D$53*L$90^1+$D$54*L$90^1*$B107^1+$D$55*L$90^1*$B107^2+$D$56*L$90^1*$B107^3+$D$57*L$90^2+$D$58*L$90^2*$B107^1+$D$59*L$90^2*$B107^2+$D$60*L$90^3+$D$61*L$90^3*$B107^1+$D$62*L$90^4</f>
        <v>0.204395977011494</v>
      </c>
      <c r="M107" s="30" t="n">
        <f aca="false">$D$48+$D$49*$B107^1+$D$50*$B107^2+$D$51*$B107^3+$D$52*$B107^4+$D$53*M$90^1+$D$54*M$90^1*$B107^1+$D$55*M$90^1*$B107^2+$D$56*M$90^1*$B107^3+$D$57*M$90^2+$D$58*M$90^2*$B107^1+$D$59*M$90^2*$B107^2+$D$60*M$90^3+$D$61*M$90^3*$B107^1+$D$62*M$90^4</f>
        <v>0.204855172413793</v>
      </c>
      <c r="N107" s="30" t="n">
        <f aca="false">$D$48+$D$49*$B107^1+$D$50*$B107^2+$D$51*$B107^3+$D$52*$B107^4+$D$53*N$90^1+$D$54*N$90^1*$B107^1+$D$55*N$90^1*$B107^2+$D$56*N$90^1*$B107^3+$D$57*N$90^2+$D$58*N$90^2*$B107^1+$D$59*N$90^2*$B107^2+$D$60*N$90^3+$D$61*N$90^3*$B107^1+$D$62*N$90^4</f>
        <v>0.204395977011494</v>
      </c>
      <c r="O107" s="30" t="n">
        <f aca="false">$D$48+$D$49*$B107^1+$D$50*$B107^2+$D$51*$B107^3+$D$52*$B107^4+$D$53*O$90^1+$D$54*O$90^1*$B107^1+$D$55*O$90^1*$B107^2+$D$56*O$90^1*$B107^3+$D$57*O$90^2+$D$58*O$90^2*$B107^1+$D$59*O$90^2*$B107^2+$D$60*O$90^3+$D$61*O$90^3*$B107^1+$D$62*O$90^4</f>
        <v>0.203452873563218</v>
      </c>
      <c r="P107" s="30" t="n">
        <f aca="false">$D$48+$D$49*$B107^1+$D$50*$B107^2+$D$51*$B107^3+$D$52*$B107^4+$D$53*P$90^1+$D$54*P$90^1*$B107^1+$D$55*P$90^1*$B107^2+$D$56*P$90^1*$B107^3+$D$57*P$90^2+$D$58*P$90^2*$B107^1+$D$59*P$90^2*$B107^2+$D$60*P$90^3+$D$61*P$90^3*$B107^1+$D$62*P$90^4</f>
        <v>0.203329310344828</v>
      </c>
      <c r="Q107" s="30" t="n">
        <f aca="false">$D$48+$D$49*$B107^1+$D$50*$B107^2+$D$51*$B107^3+$D$52*$B107^4+$D$53*Q$90^1+$D$54*Q$90^1*$B107^1+$D$55*Q$90^1*$B107^2+$D$56*Q$90^1*$B107^3+$D$57*Q$90^2+$D$58*Q$90^2*$B107^1+$D$59*Q$90^2*$B107^2+$D$60*Q$90^3+$D$61*Q$90^3*$B107^1+$D$62*Q$90^4</f>
        <v>0.206197701149425</v>
      </c>
      <c r="R107" s="30" t="n">
        <f aca="false">$D$48+$D$49*$B107^1+$D$50*$B107^2+$D$51*$B107^3+$D$52*$B107^4+$D$53*R$90^1+$D$54*R$90^1*$B107^1+$D$55*R$90^1*$B107^2+$D$56*R$90^1*$B107^3+$D$57*R$90^2+$D$58*R$90^2*$B107^1+$D$59*R$90^2*$B107^2+$D$60*R$90^3+$D$61*R$90^3*$B107^1+$D$62*R$90^4</f>
        <v>0.215099425287356</v>
      </c>
      <c r="S107" s="30" t="n">
        <f aca="false">$D$48+$D$49*$B107^1+$D$50*$B107^2+$D$51*$B107^3+$D$52*$B107^4+$D$53*S$90^1+$D$54*S$90^1*$B107^1+$D$55*S$90^1*$B107^2+$D$56*S$90^1*$B107^3+$D$57*S$90^2+$D$58*S$90^2*$B107^1+$D$59*S$90^2*$B107^2+$D$60*S$90^3+$D$61*S$90^3*$B107^1+$D$62*S$90^4</f>
        <v>0.233944827586207</v>
      </c>
      <c r="T107" s="30" t="n">
        <f aca="false">$D$48+$D$49*$B107^1+$D$50*$B107^2+$D$51*$B107^3+$D$52*$B107^4+$D$53*T$90^1+$D$54*T$90^1*$B107^1+$D$55*T$90^1*$B107^2+$D$56*T$90^1*$B107^3+$D$57*T$90^2+$D$58*T$90^2*$B107^1+$D$59*T$90^2*$B107^2+$D$60*T$90^3+$D$61*T$90^3*$B107^1+$D$62*T$90^4</f>
        <v>0.267513218390805</v>
      </c>
      <c r="U107" s="30" t="n">
        <f aca="false">$D$48+$D$49*$B107^1+$D$50*$B107^2+$D$51*$B107^3+$D$52*$B107^4+$D$53*U$90^1+$D$54*U$90^1*$B107^1+$D$55*U$90^1*$B107^2+$D$56*U$90^1*$B107^3+$D$57*U$90^2+$D$58*U$90^2*$B107^1+$D$59*U$90^2*$B107^2+$D$60*U$90^3+$D$61*U$90^3*$B107^1+$D$62*U$90^4</f>
        <v>0.321452873563218</v>
      </c>
      <c r="V107" s="30" t="n">
        <f aca="false">$D$48+$D$49*$B107^1+$D$50*$B107^2+$D$51*$B107^3+$D$52*$B107^4+$D$53*V$90^1+$D$54*V$90^1*$B107^1+$D$55*V$90^1*$B107^2+$D$56*V$90^1*$B107^3+$D$57*V$90^2+$D$58*V$90^2*$B107^1+$D$59*V$90^2*$B107^2+$D$60*V$90^3+$D$61*V$90^3*$B107^1+$D$62*V$90^4</f>
        <v>0.402281034482759</v>
      </c>
      <c r="W107" s="30" t="n">
        <f aca="false">$D$48+$D$49*$B107^1+$D$50*$B107^2+$D$51*$B107^3+$D$52*$B107^4+$D$53*W$90^1+$D$54*W$90^1*$B107^1+$D$55*W$90^1*$B107^2+$D$56*W$90^1*$B107^3+$D$57*W$90^2+$D$58*W$90^2*$B107^1+$D$59*W$90^2*$B107^2+$D$60*W$90^3+$D$61*W$90^3*$B107^1+$D$62*W$90^4</f>
        <v>0.517383908045977</v>
      </c>
    </row>
    <row r="108" customFormat="false" ht="15" hidden="false" customHeight="false" outlineLevel="0" collapsed="false">
      <c r="B108" s="39" t="n">
        <v>-0.7</v>
      </c>
      <c r="C108" s="30" t="n">
        <f aca="false">$D$48+$D$49*$B108^1+$D$50*$B108^2+$D$51*$B108^3+$D$52*$B108^4+$D$53*C$90^1+$D$54*C$90^1*$B108^1+$D$55*C$90^1*$B108^2+$D$56*C$90^1*$B108^3+$D$57*C$90^2+$D$58*C$90^2*$B108^1+$D$59*C$90^2*$B108^2+$D$60*C$90^3+$D$61*C$90^3*$B108^1+$D$62*C$90^4</f>
        <v>0.548800574712644</v>
      </c>
      <c r="D108" s="30" t="n">
        <f aca="false">$D$48+$D$49*$B108^1+$D$50*$B108^2+$D$51*$B108^3+$D$52*$B108^4+$D$53*D$90^1+$D$54*D$90^1*$B108^1+$D$55*D$90^1*$B108^2+$D$56*D$90^1*$B108^3+$D$57*D$90^2+$D$58*D$90^2*$B108^1+$D$59*D$90^2*$B108^2+$D$60*D$90^3+$D$61*D$90^3*$B108^1+$D$62*D$90^4</f>
        <v>0.434336494252873</v>
      </c>
      <c r="E108" s="30" t="n">
        <f aca="false">$D$48+$D$49*$B108^1+$D$50*$B108^2+$D$51*$B108^3+$D$52*$B108^4+$D$53*E$90^1+$D$54*E$90^1*$B108^1+$D$55*E$90^1*$B108^2+$D$56*E$90^1*$B108^3+$D$57*E$90^2+$D$58*E$90^2*$B108^1+$D$59*E$90^2*$B108^2+$D$60*E$90^3+$D$61*E$90^3*$B108^1+$D$62*E$90^4</f>
        <v>0.354079885057471</v>
      </c>
      <c r="F108" s="30" t="n">
        <f aca="false">$D$48+$D$49*$B108^1+$D$50*$B108^2+$D$51*$B108^3+$D$52*$B108^4+$D$53*F$90^1+$D$54*F$90^1*$B108^1+$D$55*F$90^1*$B108^2+$D$56*F$90^1*$B108^3+$D$57*F$90^2+$D$58*F$90^2*$B108^1+$D$59*F$90^2*$B108^2+$D$60*F$90^3+$D$61*F$90^3*$B108^1+$D$62*F$90^4</f>
        <v>0.300644540229885</v>
      </c>
      <c r="G108" s="30" t="n">
        <f aca="false">$D$48+$D$49*$B108^1+$D$50*$B108^2+$D$51*$B108^3+$D$52*$B108^4+$D$53*G$90^1+$D$54*G$90^1*$B108^1+$D$55*G$90^1*$B108^2+$D$56*G$90^1*$B108^3+$D$57*G$90^2+$D$58*G$90^2*$B108^1+$D$59*G$90^2*$B108^2+$D$60*G$90^3+$D$61*G$90^3*$B108^1+$D$62*G$90^4</f>
        <v>0.267513218390805</v>
      </c>
      <c r="H108" s="30" t="n">
        <f aca="false">$D$48+$D$49*$B108^1+$D$50*$B108^2+$D$51*$B108^3+$D$52*$B108^4+$D$53*H$90^1+$D$54*H$90^1*$B108^1+$D$55*H$90^1*$B108^2+$D$56*H$90^1*$B108^3+$D$57*H$90^2+$D$58*H$90^2*$B108^1+$D$59*H$90^2*$B108^2+$D$60*H$90^3+$D$61*H$90^3*$B108^1+$D$62*H$90^4</f>
        <v>0.249037643678161</v>
      </c>
      <c r="I108" s="30" t="n">
        <f aca="false">$D$48+$D$49*$B108^1+$D$50*$B108^2+$D$51*$B108^3+$D$52*$B108^4+$D$53*I$90^1+$D$54*I$90^1*$B108^1+$D$55*I$90^1*$B108^2+$D$56*I$90^1*$B108^3+$D$57*I$90^2+$D$58*I$90^2*$B108^1+$D$59*I$90^2*$B108^2+$D$60*I$90^3+$D$61*I$90^3*$B108^1+$D$62*I$90^4</f>
        <v>0.240438505747126</v>
      </c>
      <c r="J108" s="30" t="n">
        <f aca="false">$D$48+$D$49*$B108^1+$D$50*$B108^2+$D$51*$B108^3+$D$52*$B108^4+$D$53*J$90^1+$D$54*J$90^1*$B108^1+$D$55*J$90^1*$B108^2+$D$56*J$90^1*$B108^3+$D$57*J$90^2+$D$58*J$90^2*$B108^1+$D$59*J$90^2*$B108^2+$D$60*J$90^3+$D$61*J$90^3*$B108^1+$D$62*J$90^4</f>
        <v>0.237805459770115</v>
      </c>
      <c r="K108" s="30" t="n">
        <f aca="false">$D$48+$D$49*$B108^1+$D$50*$B108^2+$D$51*$B108^3+$D$52*$B108^4+$D$53*K$90^1+$D$54*K$90^1*$B108^1+$D$55*K$90^1*$B108^2+$D$56*K$90^1*$B108^3+$D$57*K$90^2+$D$58*K$90^2*$B108^1+$D$59*K$90^2*$B108^2+$D$60*K$90^3+$D$61*K$90^3*$B108^1+$D$62*K$90^4</f>
        <v>0.238097126436782</v>
      </c>
      <c r="L108" s="30" t="n">
        <f aca="false">$D$48+$D$49*$B108^1+$D$50*$B108^2+$D$51*$B108^3+$D$52*$B108^4+$D$53*L$90^1+$D$54*L$90^1*$B108^1+$D$55*L$90^1*$B108^2+$D$56*L$90^1*$B108^3+$D$57*L$90^2+$D$58*L$90^2*$B108^1+$D$59*L$90^2*$B108^2+$D$60*L$90^3+$D$61*L$90^3*$B108^1+$D$62*L$90^4</f>
        <v>0.239141091954023</v>
      </c>
      <c r="M108" s="30" t="n">
        <f aca="false">$D$48+$D$49*$B108^1+$D$50*$B108^2+$D$51*$B108^3+$D$52*$B108^4+$D$53*M$90^1+$D$54*M$90^1*$B108^1+$D$55*M$90^1*$B108^2+$D$56*M$90^1*$B108^3+$D$57*M$90^2+$D$58*M$90^2*$B108^1+$D$59*M$90^2*$B108^2+$D$60*M$90^3+$D$61*M$90^3*$B108^1+$D$62*M$90^4</f>
        <v>0.239633908045977</v>
      </c>
      <c r="N108" s="30" t="n">
        <f aca="false">$D$48+$D$49*$B108^1+$D$50*$B108^2+$D$51*$B108^3+$D$52*$B108^4+$D$53*N$90^1+$D$54*N$90^1*$B108^1+$D$55*N$90^1*$B108^2+$D$56*N$90^1*$B108^3+$D$57*N$90^2+$D$58*N$90^2*$B108^1+$D$59*N$90^2*$B108^2+$D$60*N$90^3+$D$61*N$90^3*$B108^1+$D$62*N$90^4</f>
        <v>0.239141091954023</v>
      </c>
      <c r="O108" s="30" t="n">
        <f aca="false">$D$48+$D$49*$B108^1+$D$50*$B108^2+$D$51*$B108^3+$D$52*$B108^4+$D$53*O$90^1+$D$54*O$90^1*$B108^1+$D$55*O$90^1*$B108^2+$D$56*O$90^1*$B108^3+$D$57*O$90^2+$D$58*O$90^2*$B108^1+$D$59*O$90^2*$B108^2+$D$60*O$90^3+$D$61*O$90^3*$B108^1+$D$62*O$90^4</f>
        <v>0.238097126436782</v>
      </c>
      <c r="P108" s="30" t="n">
        <f aca="false">$D$48+$D$49*$B108^1+$D$50*$B108^2+$D$51*$B108^3+$D$52*$B108^4+$D$53*P$90^1+$D$54*P$90^1*$B108^1+$D$55*P$90^1*$B108^2+$D$56*P$90^1*$B108^3+$D$57*P$90^2+$D$58*P$90^2*$B108^1+$D$59*P$90^2*$B108^2+$D$60*P$90^3+$D$61*P$90^3*$B108^1+$D$62*P$90^4</f>
        <v>0.237805459770115</v>
      </c>
      <c r="Q108" s="30" t="n">
        <f aca="false">$D$48+$D$49*$B108^1+$D$50*$B108^2+$D$51*$B108^3+$D$52*$B108^4+$D$53*Q$90^1+$D$54*Q$90^1*$B108^1+$D$55*Q$90^1*$B108^2+$D$56*Q$90^1*$B108^3+$D$57*Q$90^2+$D$58*Q$90^2*$B108^1+$D$59*Q$90^2*$B108^2+$D$60*Q$90^3+$D$61*Q$90^3*$B108^1+$D$62*Q$90^4</f>
        <v>0.240438505747126</v>
      </c>
      <c r="R108" s="30" t="n">
        <f aca="false">$D$48+$D$49*$B108^1+$D$50*$B108^2+$D$51*$B108^3+$D$52*$B108^4+$D$53*R$90^1+$D$54*R$90^1*$B108^1+$D$55*R$90^1*$B108^2+$D$56*R$90^1*$B108^3+$D$57*R$90^2+$D$58*R$90^2*$B108^1+$D$59*R$90^2*$B108^2+$D$60*R$90^3+$D$61*R$90^3*$B108^1+$D$62*R$90^4</f>
        <v>0.249037643678161</v>
      </c>
      <c r="S108" s="30" t="n">
        <f aca="false">$D$48+$D$49*$B108^1+$D$50*$B108^2+$D$51*$B108^3+$D$52*$B108^4+$D$53*S$90^1+$D$54*S$90^1*$B108^1+$D$55*S$90^1*$B108^2+$D$56*S$90^1*$B108^3+$D$57*S$90^2+$D$58*S$90^2*$B108^1+$D$59*S$90^2*$B108^2+$D$60*S$90^3+$D$61*S$90^3*$B108^1+$D$62*S$90^4</f>
        <v>0.267513218390805</v>
      </c>
      <c r="T108" s="30" t="n">
        <f aca="false">$D$48+$D$49*$B108^1+$D$50*$B108^2+$D$51*$B108^3+$D$52*$B108^4+$D$53*T$90^1+$D$54*T$90^1*$B108^1+$D$55*T$90^1*$B108^2+$D$56*T$90^1*$B108^3+$D$57*T$90^2+$D$58*T$90^2*$B108^1+$D$59*T$90^2*$B108^2+$D$60*T$90^3+$D$61*T$90^3*$B108^1+$D$62*T$90^4</f>
        <v>0.300644540229885</v>
      </c>
      <c r="U108" s="30" t="n">
        <f aca="false">$D$48+$D$49*$B108^1+$D$50*$B108^2+$D$51*$B108^3+$D$52*$B108^4+$D$53*U$90^1+$D$54*U$90^1*$B108^1+$D$55*U$90^1*$B108^2+$D$56*U$90^1*$B108^3+$D$57*U$90^2+$D$58*U$90^2*$B108^1+$D$59*U$90^2*$B108^2+$D$60*U$90^3+$D$61*U$90^3*$B108^1+$D$62*U$90^4</f>
        <v>0.354079885057471</v>
      </c>
      <c r="V108" s="30" t="n">
        <f aca="false">$D$48+$D$49*$B108^1+$D$50*$B108^2+$D$51*$B108^3+$D$52*$B108^4+$D$53*V$90^1+$D$54*V$90^1*$B108^1+$D$55*V$90^1*$B108^2+$D$56*V$90^1*$B108^3+$D$57*V$90^2+$D$58*V$90^2*$B108^1+$D$59*V$90^2*$B108^2+$D$60*V$90^3+$D$61*V$90^3*$B108^1+$D$62*V$90^4</f>
        <v>0.434336494252873</v>
      </c>
      <c r="W108" s="30" t="n">
        <f aca="false">$D$48+$D$49*$B108^1+$D$50*$B108^2+$D$51*$B108^3+$D$52*$B108^4+$D$53*W$90^1+$D$54*W$90^1*$B108^1+$D$55*W$90^1*$B108^2+$D$56*W$90^1*$B108^3+$D$57*W$90^2+$D$58*W$90^2*$B108^1+$D$59*W$90^2*$B108^2+$D$60*W$90^3+$D$61*W$90^3*$B108^1+$D$62*W$90^4</f>
        <v>0.548800574712644</v>
      </c>
    </row>
    <row r="109" customFormat="false" ht="15" hidden="false" customHeight="false" outlineLevel="0" collapsed="false">
      <c r="B109" s="39" t="n">
        <v>-0.8</v>
      </c>
      <c r="C109" s="30" t="n">
        <f aca="false">$D$48+$D$49*$B109^1+$D$50*$B109^2+$D$51*$B109^3+$D$52*$B109^4+$D$53*C$90^1+$D$54*C$90^1*$B109^1+$D$55*C$90^1*$B109^2+$D$56*C$90^1*$B109^3+$D$57*C$90^2+$D$58*C$90^2*$B109^1+$D$59*C$90^2*$B109^2+$D$60*C$90^3+$D$61*C$90^3*$B109^1+$D$62*C$90^4</f>
        <v>0.600257471264368</v>
      </c>
      <c r="D109" s="30" t="n">
        <f aca="false">$D$48+$D$49*$B109^1+$D$50*$B109^2+$D$51*$B109^3+$D$52*$B109^4+$D$53*D$90^1+$D$54*D$90^1*$B109^1+$D$55*D$90^1*$B109^2+$D$56*D$90^1*$B109^3+$D$57*D$90^2+$D$58*D$90^2*$B109^1+$D$59*D$90^2*$B109^2+$D$60*D$90^3+$D$61*D$90^3*$B109^1+$D$62*D$90^4</f>
        <v>0.486530459770115</v>
      </c>
      <c r="E109" s="30" t="n">
        <f aca="false">$D$48+$D$49*$B109^1+$D$50*$B109^2+$D$51*$B109^3+$D$52*$B109^4+$D$53*E$90^1+$D$54*E$90^1*$B109^1+$D$55*E$90^1*$B109^2+$D$56*E$90^1*$B109^3+$D$57*E$90^2+$D$58*E$90^2*$B109^1+$D$59*E$90^2*$B109^2+$D$60*E$90^3+$D$61*E$90^3*$B109^1+$D$62*E$90^4</f>
        <v>0.406933333333333</v>
      </c>
      <c r="F109" s="30" t="n">
        <f aca="false">$D$48+$D$49*$B109^1+$D$50*$B109^2+$D$51*$B109^3+$D$52*$B109^4+$D$53*F$90^1+$D$54*F$90^1*$B109^1+$D$55*F$90^1*$B109^2+$D$56*F$90^1*$B109^3+$D$57*F$90^2+$D$58*F$90^2*$B109^1+$D$59*F$90^2*$B109^2+$D$60*F$90^3+$D$61*F$90^3*$B109^1+$D$62*F$90^4</f>
        <v>0.354079885057471</v>
      </c>
      <c r="G109" s="30" t="n">
        <f aca="false">$D$48+$D$49*$B109^1+$D$50*$B109^2+$D$51*$B109^3+$D$52*$B109^4+$D$53*G$90^1+$D$54*G$90^1*$B109^1+$D$55*G$90^1*$B109^2+$D$56*G$90^1*$B109^3+$D$57*G$90^2+$D$58*G$90^2*$B109^1+$D$59*G$90^2*$B109^2+$D$60*G$90^3+$D$61*G$90^3*$B109^1+$D$62*G$90^4</f>
        <v>0.321452873563219</v>
      </c>
      <c r="H109" s="30" t="n">
        <f aca="false">$D$48+$D$49*$B109^1+$D$50*$B109^2+$D$51*$B109^3+$D$52*$B109^4+$D$53*H$90^1+$D$54*H$90^1*$B109^1+$D$55*H$90^1*$B109^2+$D$56*H$90^1*$B109^3+$D$57*H$90^2+$D$58*H$90^2*$B109^1+$D$59*H$90^2*$B109^2+$D$60*H$90^3+$D$61*H$90^3*$B109^1+$D$62*H$90^4</f>
        <v>0.303404022988506</v>
      </c>
      <c r="I109" s="30" t="n">
        <f aca="false">$D$48+$D$49*$B109^1+$D$50*$B109^2+$D$51*$B109^3+$D$52*$B109^4+$D$53*I$90^1+$D$54*I$90^1*$B109^1+$D$55*I$90^1*$B109^2+$D$56*I$90^1*$B109^3+$D$57*I$90^2+$D$58*I$90^2*$B109^1+$D$59*I$90^2*$B109^2+$D$60*I$90^3+$D$61*I$90^3*$B109^1+$D$62*I$90^4</f>
        <v>0.295154022988506</v>
      </c>
      <c r="J109" s="30" t="n">
        <f aca="false">$D$48+$D$49*$B109^1+$D$50*$B109^2+$D$51*$B109^3+$D$52*$B109^4+$D$53*J$90^1+$D$54*J$90^1*$B109^1+$D$55*J$90^1*$B109^2+$D$56*J$90^1*$B109^3+$D$57*J$90^2+$D$58*J$90^2*$B109^1+$D$59*J$90^2*$B109^2+$D$60*J$90^3+$D$61*J$90^3*$B109^1+$D$62*J$90^4</f>
        <v>0.292792528735632</v>
      </c>
      <c r="K109" s="30" t="n">
        <f aca="false">$D$48+$D$49*$B109^1+$D$50*$B109^2+$D$51*$B109^3+$D$52*$B109^4+$D$53*K$90^1+$D$54*K$90^1*$B109^1+$D$55*K$90^1*$B109^2+$D$56*K$90^1*$B109^3+$D$57*K$90^2+$D$58*K$90^2*$B109^1+$D$59*K$90^2*$B109^2+$D$60*K$90^3+$D$61*K$90^3*$B109^1+$D$62*K$90^4</f>
        <v>0.29327816091954</v>
      </c>
      <c r="L109" s="30" t="n">
        <f aca="false">$D$48+$D$49*$B109^1+$D$50*$B109^2+$D$51*$B109^3+$D$52*$B109^4+$D$53*L$90^1+$D$54*L$90^1*$B109^1+$D$55*L$90^1*$B109^2+$D$56*L$90^1*$B109^3+$D$57*L$90^2+$D$58*L$90^2*$B109^1+$D$59*L$90^2*$B109^2+$D$60*L$90^3+$D$61*L$90^3*$B109^1+$D$62*L$90^4</f>
        <v>0.294438505747127</v>
      </c>
      <c r="M109" s="30" t="n">
        <f aca="false">$D$48+$D$49*$B109^1+$D$50*$B109^2+$D$51*$B109^3+$D$52*$B109^4+$D$53*M$90^1+$D$54*M$90^1*$B109^1+$D$55*M$90^1*$B109^2+$D$56*M$90^1*$B109^3+$D$57*M$90^2+$D$58*M$90^2*$B109^1+$D$59*M$90^2*$B109^2+$D$60*M$90^3+$D$61*M$90^3*$B109^1+$D$62*M$90^4</f>
        <v>0.294970114942529</v>
      </c>
      <c r="N109" s="30" t="n">
        <f aca="false">$D$48+$D$49*$B109^1+$D$50*$B109^2+$D$51*$B109^3+$D$52*$B109^4+$D$53*N$90^1+$D$54*N$90^1*$B109^1+$D$55*N$90^1*$B109^2+$D$56*N$90^1*$B109^3+$D$57*N$90^2+$D$58*N$90^2*$B109^1+$D$59*N$90^2*$B109^2+$D$60*N$90^3+$D$61*N$90^3*$B109^1+$D$62*N$90^4</f>
        <v>0.294438505747127</v>
      </c>
      <c r="O109" s="30" t="n">
        <f aca="false">$D$48+$D$49*$B109^1+$D$50*$B109^2+$D$51*$B109^3+$D$52*$B109^4+$D$53*O$90^1+$D$54*O$90^1*$B109^1+$D$55*O$90^1*$B109^2+$D$56*O$90^1*$B109^3+$D$57*O$90^2+$D$58*O$90^2*$B109^1+$D$59*O$90^2*$B109^2+$D$60*O$90^3+$D$61*O$90^3*$B109^1+$D$62*O$90^4</f>
        <v>0.29327816091954</v>
      </c>
      <c r="P109" s="30" t="n">
        <f aca="false">$D$48+$D$49*$B109^1+$D$50*$B109^2+$D$51*$B109^3+$D$52*$B109^4+$D$53*P$90^1+$D$54*P$90^1*$B109^1+$D$55*P$90^1*$B109^2+$D$56*P$90^1*$B109^3+$D$57*P$90^2+$D$58*P$90^2*$B109^1+$D$59*P$90^2*$B109^2+$D$60*P$90^3+$D$61*P$90^3*$B109^1+$D$62*P$90^4</f>
        <v>0.292792528735632</v>
      </c>
      <c r="Q109" s="30" t="n">
        <f aca="false">$D$48+$D$49*$B109^1+$D$50*$B109^2+$D$51*$B109^3+$D$52*$B109^4+$D$53*Q$90^1+$D$54*Q$90^1*$B109^1+$D$55*Q$90^1*$B109^2+$D$56*Q$90^1*$B109^3+$D$57*Q$90^2+$D$58*Q$90^2*$B109^1+$D$59*Q$90^2*$B109^2+$D$60*Q$90^3+$D$61*Q$90^3*$B109^1+$D$62*Q$90^4</f>
        <v>0.295154022988506</v>
      </c>
      <c r="R109" s="30" t="n">
        <f aca="false">$D$48+$D$49*$B109^1+$D$50*$B109^2+$D$51*$B109^3+$D$52*$B109^4+$D$53*R$90^1+$D$54*R$90^1*$B109^1+$D$55*R$90^1*$B109^2+$D$56*R$90^1*$B109^3+$D$57*R$90^2+$D$58*R$90^2*$B109^1+$D$59*R$90^2*$B109^2+$D$60*R$90^3+$D$61*R$90^3*$B109^1+$D$62*R$90^4</f>
        <v>0.303404022988506</v>
      </c>
      <c r="S109" s="30" t="n">
        <f aca="false">$D$48+$D$49*$B109^1+$D$50*$B109^2+$D$51*$B109^3+$D$52*$B109^4+$D$53*S$90^1+$D$54*S$90^1*$B109^1+$D$55*S$90^1*$B109^2+$D$56*S$90^1*$B109^3+$D$57*S$90^2+$D$58*S$90^2*$B109^1+$D$59*S$90^2*$B109^2+$D$60*S$90^3+$D$61*S$90^3*$B109^1+$D$62*S$90^4</f>
        <v>0.321452873563219</v>
      </c>
      <c r="T109" s="30" t="n">
        <f aca="false">$D$48+$D$49*$B109^1+$D$50*$B109^2+$D$51*$B109^3+$D$52*$B109^4+$D$53*T$90^1+$D$54*T$90^1*$B109^1+$D$55*T$90^1*$B109^2+$D$56*T$90^1*$B109^3+$D$57*T$90^2+$D$58*T$90^2*$B109^1+$D$59*T$90^2*$B109^2+$D$60*T$90^3+$D$61*T$90^3*$B109^1+$D$62*T$90^4</f>
        <v>0.354079885057471</v>
      </c>
      <c r="U109" s="30" t="n">
        <f aca="false">$D$48+$D$49*$B109^1+$D$50*$B109^2+$D$51*$B109^3+$D$52*$B109^4+$D$53*U$90^1+$D$54*U$90^1*$B109^1+$D$55*U$90^1*$B109^2+$D$56*U$90^1*$B109^3+$D$57*U$90^2+$D$58*U$90^2*$B109^1+$D$59*U$90^2*$B109^2+$D$60*U$90^3+$D$61*U$90^3*$B109^1+$D$62*U$90^4</f>
        <v>0.406933333333333</v>
      </c>
      <c r="V109" s="30" t="n">
        <f aca="false">$D$48+$D$49*$B109^1+$D$50*$B109^2+$D$51*$B109^3+$D$52*$B109^4+$D$53*V$90^1+$D$54*V$90^1*$B109^1+$D$55*V$90^1*$B109^2+$D$56*V$90^1*$B109^3+$D$57*V$90^2+$D$58*V$90^2*$B109^1+$D$59*V$90^2*$B109^2+$D$60*V$90^3+$D$61*V$90^3*$B109^1+$D$62*V$90^4</f>
        <v>0.486530459770115</v>
      </c>
      <c r="W109" s="30" t="n">
        <f aca="false">$D$48+$D$49*$B109^1+$D$50*$B109^2+$D$51*$B109^3+$D$52*$B109^4+$D$53*W$90^1+$D$54*W$90^1*$B109^1+$D$55*W$90^1*$B109^2+$D$56*W$90^1*$B109^3+$D$57*W$90^2+$D$58*W$90^2*$B109^1+$D$59*W$90^2*$B109^2+$D$60*W$90^3+$D$61*W$90^3*$B109^1+$D$62*W$90^4</f>
        <v>0.600257471264368</v>
      </c>
    </row>
    <row r="110" customFormat="false" ht="15" hidden="false" customHeight="false" outlineLevel="0" collapsed="false">
      <c r="B110" s="39" t="n">
        <v>-0.9</v>
      </c>
      <c r="C110" s="30" t="n">
        <f aca="false">$D$48+$D$49*$B110^1+$D$50*$B110^2+$D$51*$B110^3+$D$52*$B110^4+$D$53*C$90^1+$D$54*C$90^1*$B110^1+$D$55*C$90^1*$B110^2+$D$56*C$90^1*$B110^3+$D$57*C$90^2+$D$58*C$90^2*$B110^1+$D$59*C$90^2*$B110^2+$D$60*C$90^3+$D$61*C$90^3*$B110^1+$D$62*C$90^4</f>
        <v>0.67827183908046</v>
      </c>
      <c r="D110" s="30" t="n">
        <f aca="false">$D$48+$D$49*$B110^1+$D$50*$B110^2+$D$51*$B110^3+$D$52*$B110^4+$D$53*D$90^1+$D$54*D$90^1*$B110^1+$D$55*D$90^1*$B110^2+$D$56*D$90^1*$B110^3+$D$57*D$90^2+$D$58*D$90^2*$B110^1+$D$59*D$90^2*$B110^2+$D$60*D$90^3+$D$61*D$90^3*$B110^1+$D$62*D$90^4</f>
        <v>0.565380172413793</v>
      </c>
      <c r="E110" s="30" t="n">
        <f aca="false">$D$48+$D$49*$B110^1+$D$50*$B110^2+$D$51*$B110^3+$D$52*$B110^4+$D$53*E$90^1+$D$54*E$90^1*$B110^1+$D$55*E$90^1*$B110^2+$D$56*E$90^1*$B110^3+$D$57*E$90^2+$D$58*E$90^2*$B110^1+$D$59*E$90^2*$B110^2+$D$60*E$90^3+$D$61*E$90^3*$B110^1+$D$62*E$90^4</f>
        <v>0.486530459770115</v>
      </c>
      <c r="F110" s="30" t="n">
        <f aca="false">$D$48+$D$49*$B110^1+$D$50*$B110^2+$D$51*$B110^3+$D$52*$B110^4+$D$53*F$90^1+$D$54*F$90^1*$B110^1+$D$55*F$90^1*$B110^2+$D$56*F$90^1*$B110^3+$D$57*F$90^2+$D$58*F$90^2*$B110^1+$D$59*F$90^2*$B110^2+$D$60*F$90^3+$D$61*F$90^3*$B110^1+$D$62*F$90^4</f>
        <v>0.434336494252874</v>
      </c>
      <c r="G110" s="30" t="n">
        <f aca="false">$D$48+$D$49*$B110^1+$D$50*$B110^2+$D$51*$B110^3+$D$52*$B110^4+$D$53*G$90^1+$D$54*G$90^1*$B110^1+$D$55*G$90^1*$B110^2+$D$56*G$90^1*$B110^3+$D$57*G$90^2+$D$58*G$90^2*$B110^1+$D$59*G$90^2*$B110^2+$D$60*G$90^3+$D$61*G$90^3*$B110^1+$D$62*G$90^4</f>
        <v>0.402281034482759</v>
      </c>
      <c r="H110" s="30" t="n">
        <f aca="false">$D$48+$D$49*$B110^1+$D$50*$B110^2+$D$51*$B110^3+$D$52*$B110^4+$D$53*H$90^1+$D$54*H$90^1*$B110^1+$D$55*H$90^1*$B110^2+$D$56*H$90^1*$B110^3+$D$57*H$90^2+$D$58*H$90^2*$B110^1+$D$59*H$90^2*$B110^2+$D$60*H$90^3+$D$61*H$90^3*$B110^1+$D$62*H$90^4</f>
        <v>0.384715804597701</v>
      </c>
      <c r="I110" s="30" t="n">
        <f aca="false">$D$48+$D$49*$B110^1+$D$50*$B110^2+$D$51*$B110^3+$D$52*$B110^4+$D$53*I$90^1+$D$54*I$90^1*$B110^1+$D$55*I$90^1*$B110^2+$D$56*I$90^1*$B110^3+$D$57*I$90^2+$D$58*I$90^2*$B110^1+$D$59*I$90^2*$B110^2+$D$60*I$90^3+$D$61*I$90^3*$B110^1+$D$62*I$90^4</f>
        <v>0.376861494252874</v>
      </c>
      <c r="J110" s="30" t="n">
        <f aca="false">$D$48+$D$49*$B110^1+$D$50*$B110^2+$D$51*$B110^3+$D$52*$B110^4+$D$53*J$90^1+$D$54*J$90^1*$B110^1+$D$55*J$90^1*$B110^2+$D$56*J$90^1*$B110^3+$D$57*J$90^2+$D$58*J$90^2*$B110^1+$D$59*J$90^2*$B110^2+$D$60*J$90^3+$D$61*J$90^3*$B110^1+$D$62*J$90^4</f>
        <v>0.37480775862069</v>
      </c>
      <c r="K110" s="30" t="n">
        <f aca="false">$D$48+$D$49*$B110^1+$D$50*$B110^2+$D$51*$B110^3+$D$52*$B110^4+$D$53*K$90^1+$D$54*K$90^1*$B110^1+$D$55*K$90^1*$B110^2+$D$56*K$90^1*$B110^3+$D$57*K$90^2+$D$58*K$90^2*$B110^1+$D$59*K$90^2*$B110^2+$D$60*K$90^3+$D$61*K$90^3*$B110^1+$D$62*K$90^4</f>
        <v>0.375513218390805</v>
      </c>
      <c r="L110" s="30" t="n">
        <f aca="false">$D$48+$D$49*$B110^1+$D$50*$B110^2+$D$51*$B110^3+$D$52*$B110^4+$D$53*L$90^1+$D$54*L$90^1*$B110^1+$D$55*L$90^1*$B110^2+$D$56*L$90^1*$B110^3+$D$57*L$90^2+$D$58*L$90^2*$B110^1+$D$59*L$90^2*$B110^2+$D$60*L$90^3+$D$61*L$90^3*$B110^1+$D$62*L$90^4</f>
        <v>0.376805459770115</v>
      </c>
      <c r="M110" s="30" t="n">
        <f aca="false">$D$48+$D$49*$B110^1+$D$50*$B110^2+$D$51*$B110^3+$D$52*$B110^4+$D$53*M$90^1+$D$54*M$90^1*$B110^1+$D$55*M$90^1*$B110^2+$D$56*M$90^1*$B110^3+$D$57*M$90^2+$D$58*M$90^2*$B110^1+$D$59*M$90^2*$B110^2+$D$60*M$90^3+$D$61*M$90^3*$B110^1+$D$62*M$90^4</f>
        <v>0.377381034482759</v>
      </c>
      <c r="N110" s="30" t="n">
        <f aca="false">$D$48+$D$49*$B110^1+$D$50*$B110^2+$D$51*$B110^3+$D$52*$B110^4+$D$53*N$90^1+$D$54*N$90^1*$B110^1+$D$55*N$90^1*$B110^2+$D$56*N$90^1*$B110^3+$D$57*N$90^2+$D$58*N$90^2*$B110^1+$D$59*N$90^2*$B110^2+$D$60*N$90^3+$D$61*N$90^3*$B110^1+$D$62*N$90^4</f>
        <v>0.376805459770115</v>
      </c>
      <c r="O110" s="30" t="n">
        <f aca="false">$D$48+$D$49*$B110^1+$D$50*$B110^2+$D$51*$B110^3+$D$52*$B110^4+$D$53*O$90^1+$D$54*O$90^1*$B110^1+$D$55*O$90^1*$B110^2+$D$56*O$90^1*$B110^3+$D$57*O$90^2+$D$58*O$90^2*$B110^1+$D$59*O$90^2*$B110^2+$D$60*O$90^3+$D$61*O$90^3*$B110^1+$D$62*O$90^4</f>
        <v>0.375513218390805</v>
      </c>
      <c r="P110" s="30" t="n">
        <f aca="false">$D$48+$D$49*$B110^1+$D$50*$B110^2+$D$51*$B110^3+$D$52*$B110^4+$D$53*P$90^1+$D$54*P$90^1*$B110^1+$D$55*P$90^1*$B110^2+$D$56*P$90^1*$B110^3+$D$57*P$90^2+$D$58*P$90^2*$B110^1+$D$59*P$90^2*$B110^2+$D$60*P$90^3+$D$61*P$90^3*$B110^1+$D$62*P$90^4</f>
        <v>0.37480775862069</v>
      </c>
      <c r="Q110" s="30" t="n">
        <f aca="false">$D$48+$D$49*$B110^1+$D$50*$B110^2+$D$51*$B110^3+$D$52*$B110^4+$D$53*Q$90^1+$D$54*Q$90^1*$B110^1+$D$55*Q$90^1*$B110^2+$D$56*Q$90^1*$B110^3+$D$57*Q$90^2+$D$58*Q$90^2*$B110^1+$D$59*Q$90^2*$B110^2+$D$60*Q$90^3+$D$61*Q$90^3*$B110^1+$D$62*Q$90^4</f>
        <v>0.376861494252874</v>
      </c>
      <c r="R110" s="30" t="n">
        <f aca="false">$D$48+$D$49*$B110^1+$D$50*$B110^2+$D$51*$B110^3+$D$52*$B110^4+$D$53*R$90^1+$D$54*R$90^1*$B110^1+$D$55*R$90^1*$B110^2+$D$56*R$90^1*$B110^3+$D$57*R$90^2+$D$58*R$90^2*$B110^1+$D$59*R$90^2*$B110^2+$D$60*R$90^3+$D$61*R$90^3*$B110^1+$D$62*R$90^4</f>
        <v>0.384715804597701</v>
      </c>
      <c r="S110" s="30" t="n">
        <f aca="false">$D$48+$D$49*$B110^1+$D$50*$B110^2+$D$51*$B110^3+$D$52*$B110^4+$D$53*S$90^1+$D$54*S$90^1*$B110^1+$D$55*S$90^1*$B110^2+$D$56*S$90^1*$B110^3+$D$57*S$90^2+$D$58*S$90^2*$B110^1+$D$59*S$90^2*$B110^2+$D$60*S$90^3+$D$61*S$90^3*$B110^1+$D$62*S$90^4</f>
        <v>0.402281034482759</v>
      </c>
      <c r="T110" s="30" t="n">
        <f aca="false">$D$48+$D$49*$B110^1+$D$50*$B110^2+$D$51*$B110^3+$D$52*$B110^4+$D$53*T$90^1+$D$54*T$90^1*$B110^1+$D$55*T$90^1*$B110^2+$D$56*T$90^1*$B110^3+$D$57*T$90^2+$D$58*T$90^2*$B110^1+$D$59*T$90^2*$B110^2+$D$60*T$90^3+$D$61*T$90^3*$B110^1+$D$62*T$90^4</f>
        <v>0.434336494252874</v>
      </c>
      <c r="U110" s="30" t="n">
        <f aca="false">$D$48+$D$49*$B110^1+$D$50*$B110^2+$D$51*$B110^3+$D$52*$B110^4+$D$53*U$90^1+$D$54*U$90^1*$B110^1+$D$55*U$90^1*$B110^2+$D$56*U$90^1*$B110^3+$D$57*U$90^2+$D$58*U$90^2*$B110^1+$D$59*U$90^2*$B110^2+$D$60*U$90^3+$D$61*U$90^3*$B110^1+$D$62*U$90^4</f>
        <v>0.486530459770115</v>
      </c>
      <c r="V110" s="30" t="n">
        <f aca="false">$D$48+$D$49*$B110^1+$D$50*$B110^2+$D$51*$B110^3+$D$52*$B110^4+$D$53*V$90^1+$D$54*V$90^1*$B110^1+$D$55*V$90^1*$B110^2+$D$56*V$90^1*$B110^3+$D$57*V$90^2+$D$58*V$90^2*$B110^1+$D$59*V$90^2*$B110^2+$D$60*V$90^3+$D$61*V$90^3*$B110^1+$D$62*V$90^4</f>
        <v>0.565380172413793</v>
      </c>
      <c r="W110" s="30" t="n">
        <f aca="false">$D$48+$D$49*$B110^1+$D$50*$B110^2+$D$51*$B110^3+$D$52*$B110^4+$D$53*W$90^1+$D$54*W$90^1*$B110^1+$D$55*W$90^1*$B110^2+$D$56*W$90^1*$B110^3+$D$57*W$90^2+$D$58*W$90^2*$B110^1+$D$59*W$90^2*$B110^2+$D$60*W$90^3+$D$61*W$90^3*$B110^1+$D$62*W$90^4</f>
        <v>0.67827183908046</v>
      </c>
    </row>
    <row r="111" customFormat="false" ht="15" hidden="false" customHeight="false" outlineLevel="0" collapsed="false">
      <c r="B111" s="39" t="n">
        <v>-1</v>
      </c>
      <c r="C111" s="30" t="n">
        <f aca="false">$D$48+$D$49*$B111^1+$D$50*$B111^2+$D$51*$B111^3+$D$52*$B111^4+$D$53*C$90^1+$D$54*C$90^1*$B111^1+$D$55*C$90^1*$B111^2+$D$56*C$90^1*$B111^3+$D$57*C$90^2+$D$58*C$90^2*$B111^1+$D$59*C$90^2*$B111^2+$D$60*C$90^3+$D$61*C$90^3*$B111^1+$D$62*C$90^4</f>
        <v>0.790229885057471</v>
      </c>
      <c r="D111" s="30" t="n">
        <f aca="false">$D$48+$D$49*$B111^1+$D$50*$B111^2+$D$51*$B111^3+$D$52*$B111^4+$D$53*D$90^1+$D$54*D$90^1*$B111^1+$D$55*D$90^1*$B111^2+$D$56*D$90^1*$B111^3+$D$57*D$90^2+$D$58*D$90^2*$B111^1+$D$59*D$90^2*$B111^2+$D$60*D$90^3+$D$61*D$90^3*$B111^1+$D$62*D$90^4</f>
        <v>0.67827183908046</v>
      </c>
      <c r="E111" s="30" t="n">
        <f aca="false">$D$48+$D$49*$B111^1+$D$50*$B111^2+$D$51*$B111^3+$D$52*$B111^4+$D$53*E$90^1+$D$54*E$90^1*$B111^1+$D$55*E$90^1*$B111^2+$D$56*E$90^1*$B111^3+$D$57*E$90^2+$D$58*E$90^2*$B111^1+$D$59*E$90^2*$B111^2+$D$60*E$90^3+$D$61*E$90^3*$B111^1+$D$62*E$90^4</f>
        <v>0.600257471264368</v>
      </c>
      <c r="F111" s="30" t="n">
        <f aca="false">$D$48+$D$49*$B111^1+$D$50*$B111^2+$D$51*$B111^3+$D$52*$B111^4+$D$53*F$90^1+$D$54*F$90^1*$B111^1+$D$55*F$90^1*$B111^2+$D$56*F$90^1*$B111^3+$D$57*F$90^2+$D$58*F$90^2*$B111^1+$D$59*F$90^2*$B111^2+$D$60*F$90^3+$D$61*F$90^3*$B111^1+$D$62*F$90^4</f>
        <v>0.548800574712644</v>
      </c>
      <c r="G111" s="30" t="n">
        <f aca="false">$D$48+$D$49*$B111^1+$D$50*$B111^2+$D$51*$B111^3+$D$52*$B111^4+$D$53*G$90^1+$D$54*G$90^1*$B111^1+$D$55*G$90^1*$B111^2+$D$56*G$90^1*$B111^3+$D$57*G$90^2+$D$58*G$90^2*$B111^1+$D$59*G$90^2*$B111^2+$D$60*G$90^3+$D$61*G$90^3*$B111^1+$D$62*G$90^4</f>
        <v>0.517383908045977</v>
      </c>
      <c r="H111" s="30" t="n">
        <f aca="false">$D$48+$D$49*$B111^1+$D$50*$B111^2+$D$51*$B111^3+$D$52*$B111^4+$D$53*H$90^1+$D$54*H$90^1*$B111^1+$D$55*H$90^1*$B111^2+$D$56*H$90^1*$B111^3+$D$57*H$90^2+$D$58*H$90^2*$B111^1+$D$59*H$90^2*$B111^2+$D$60*H$90^3+$D$61*H$90^3*$B111^1+$D$62*H$90^4</f>
        <v>0.500359195402299</v>
      </c>
      <c r="I111" s="30" t="n">
        <f aca="false">$D$48+$D$49*$B111^1+$D$50*$B111^2+$D$51*$B111^3+$D$52*$B111^4+$D$53*I$90^1+$D$54*I$90^1*$B111^1+$D$55*I$90^1*$B111^2+$D$56*I$90^1*$B111^3+$D$57*I$90^2+$D$58*I$90^2*$B111^1+$D$59*I$90^2*$B111^2+$D$60*I$90^3+$D$61*I$90^3*$B111^1+$D$62*I$90^4</f>
        <v>0.492947126436782</v>
      </c>
      <c r="J111" s="30" t="n">
        <f aca="false">$D$48+$D$49*$B111^1+$D$50*$B111^2+$D$51*$B111^3+$D$52*$B111^4+$D$53*J$90^1+$D$54*J$90^1*$B111^1+$D$55*J$90^1*$B111^2+$D$56*J$90^1*$B111^3+$D$57*J$90^2+$D$58*J$90^2*$B111^1+$D$59*J$90^2*$B111^2+$D$60*J$90^3+$D$61*J$90^3*$B111^1+$D$62*J$90^4</f>
        <v>0.491237356321839</v>
      </c>
      <c r="K111" s="30" t="n">
        <f aca="false">$D$48+$D$49*$B111^1+$D$50*$B111^2+$D$51*$B111^3+$D$52*$B111^4+$D$53*K$90^1+$D$54*K$90^1*$B111^1+$D$55*K$90^1*$B111^2+$D$56*K$90^1*$B111^3+$D$57*K$90^2+$D$58*K$90^2*$B111^1+$D$59*K$90^2*$B111^2+$D$60*K$90^3+$D$61*K$90^3*$B111^1+$D$62*K$90^4</f>
        <v>0.492188505747126</v>
      </c>
      <c r="L111" s="30" t="n">
        <f aca="false">$D$48+$D$49*$B111^1+$D$50*$B111^2+$D$51*$B111^3+$D$52*$B111^4+$D$53*L$90^1+$D$54*L$90^1*$B111^1+$D$55*L$90^1*$B111^2+$D$56*L$90^1*$B111^3+$D$57*L$90^2+$D$58*L$90^2*$B111^1+$D$59*L$90^2*$B111^2+$D$60*L$90^3+$D$61*L$90^3*$B111^1+$D$62*L$90^4</f>
        <v>0.49362816091954</v>
      </c>
      <c r="M111" s="30" t="n">
        <f aca="false">$D$48+$D$49*$B111^1+$D$50*$B111^2+$D$51*$B111^3+$D$52*$B111^4+$D$53*M$90^1+$D$54*M$90^1*$B111^1+$D$55*M$90^1*$B111^2+$D$56*M$90^1*$B111^3+$D$57*M$90^2+$D$58*M$90^2*$B111^1+$D$59*M$90^2*$B111^2+$D$60*M$90^3+$D$61*M$90^3*$B111^1+$D$62*M$90^4</f>
        <v>0.494252873563218</v>
      </c>
      <c r="N111" s="30" t="n">
        <f aca="false">$D$48+$D$49*$B111^1+$D$50*$B111^2+$D$51*$B111^3+$D$52*$B111^4+$D$53*N$90^1+$D$54*N$90^1*$B111^1+$D$55*N$90^1*$B111^2+$D$56*N$90^1*$B111^3+$D$57*N$90^2+$D$58*N$90^2*$B111^1+$D$59*N$90^2*$B111^2+$D$60*N$90^3+$D$61*N$90^3*$B111^1+$D$62*N$90^4</f>
        <v>0.49362816091954</v>
      </c>
      <c r="O111" s="30" t="n">
        <f aca="false">$D$48+$D$49*$B111^1+$D$50*$B111^2+$D$51*$B111^3+$D$52*$B111^4+$D$53*O$90^1+$D$54*O$90^1*$B111^1+$D$55*O$90^1*$B111^2+$D$56*O$90^1*$B111^3+$D$57*O$90^2+$D$58*O$90^2*$B111^1+$D$59*O$90^2*$B111^2+$D$60*O$90^3+$D$61*O$90^3*$B111^1+$D$62*O$90^4</f>
        <v>0.492188505747126</v>
      </c>
      <c r="P111" s="30" t="n">
        <f aca="false">$D$48+$D$49*$B111^1+$D$50*$B111^2+$D$51*$B111^3+$D$52*$B111^4+$D$53*P$90^1+$D$54*P$90^1*$B111^1+$D$55*P$90^1*$B111^2+$D$56*P$90^1*$B111^3+$D$57*P$90^2+$D$58*P$90^2*$B111^1+$D$59*P$90^2*$B111^2+$D$60*P$90^3+$D$61*P$90^3*$B111^1+$D$62*P$90^4</f>
        <v>0.491237356321839</v>
      </c>
      <c r="Q111" s="30" t="n">
        <f aca="false">$D$48+$D$49*$B111^1+$D$50*$B111^2+$D$51*$B111^3+$D$52*$B111^4+$D$53*Q$90^1+$D$54*Q$90^1*$B111^1+$D$55*Q$90^1*$B111^2+$D$56*Q$90^1*$B111^3+$D$57*Q$90^2+$D$58*Q$90^2*$B111^1+$D$59*Q$90^2*$B111^2+$D$60*Q$90^3+$D$61*Q$90^3*$B111^1+$D$62*Q$90^4</f>
        <v>0.492947126436782</v>
      </c>
      <c r="R111" s="30" t="n">
        <f aca="false">$D$48+$D$49*$B111^1+$D$50*$B111^2+$D$51*$B111^3+$D$52*$B111^4+$D$53*R$90^1+$D$54*R$90^1*$B111^1+$D$55*R$90^1*$B111^2+$D$56*R$90^1*$B111^3+$D$57*R$90^2+$D$58*R$90^2*$B111^1+$D$59*R$90^2*$B111^2+$D$60*R$90^3+$D$61*R$90^3*$B111^1+$D$62*R$90^4</f>
        <v>0.500359195402299</v>
      </c>
      <c r="S111" s="30" t="n">
        <f aca="false">$D$48+$D$49*$B111^1+$D$50*$B111^2+$D$51*$B111^3+$D$52*$B111^4+$D$53*S$90^1+$D$54*S$90^1*$B111^1+$D$55*S$90^1*$B111^2+$D$56*S$90^1*$B111^3+$D$57*S$90^2+$D$58*S$90^2*$B111^1+$D$59*S$90^2*$B111^2+$D$60*S$90^3+$D$61*S$90^3*$B111^1+$D$62*S$90^4</f>
        <v>0.517383908045977</v>
      </c>
      <c r="T111" s="30" t="n">
        <f aca="false">$D$48+$D$49*$B111^1+$D$50*$B111^2+$D$51*$B111^3+$D$52*$B111^4+$D$53*T$90^1+$D$54*T$90^1*$B111^1+$D$55*T$90^1*$B111^2+$D$56*T$90^1*$B111^3+$D$57*T$90^2+$D$58*T$90^2*$B111^1+$D$59*T$90^2*$B111^2+$D$60*T$90^3+$D$61*T$90^3*$B111^1+$D$62*T$90^4</f>
        <v>0.548800574712644</v>
      </c>
      <c r="U111" s="30" t="n">
        <f aca="false">$D$48+$D$49*$B111^1+$D$50*$B111^2+$D$51*$B111^3+$D$52*$B111^4+$D$53*U$90^1+$D$54*U$90^1*$B111^1+$D$55*U$90^1*$B111^2+$D$56*U$90^1*$B111^3+$D$57*U$90^2+$D$58*U$90^2*$B111^1+$D$59*U$90^2*$B111^2+$D$60*U$90^3+$D$61*U$90^3*$B111^1+$D$62*U$90^4</f>
        <v>0.600257471264368</v>
      </c>
      <c r="V111" s="30" t="n">
        <f aca="false">$D$48+$D$49*$B111^1+$D$50*$B111^2+$D$51*$B111^3+$D$52*$B111^4+$D$53*V$90^1+$D$54*V$90^1*$B111^1+$D$55*V$90^1*$B111^2+$D$56*V$90^1*$B111^3+$D$57*V$90^2+$D$58*V$90^2*$B111^1+$D$59*V$90^2*$B111^2+$D$60*V$90^3+$D$61*V$90^3*$B111^1+$D$62*V$90^4</f>
        <v>0.67827183908046</v>
      </c>
      <c r="W111" s="30" t="n">
        <f aca="false">$D$48+$D$49*$B111^1+$D$50*$B111^2+$D$51*$B111^3+$D$52*$B111^4+$D$53*W$90^1+$D$54*W$90^1*$B111^1+$D$55*W$90^1*$B111^2+$D$56*W$90^1*$B111^3+$D$57*W$90^2+$D$58*W$90^2*$B111^1+$D$59*W$90^2*$B111^2+$D$60*W$90^3+$D$61*W$90^3*$B111^1+$D$62*W$90^4</f>
        <v>0.790229885057471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6A6A6"/>
    <pageSetUpPr fitToPage="false"/>
  </sheetPr>
  <dimension ref="A1:R9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21.6" hidden="false" customHeight="false" outlineLevel="0" collapsed="false">
      <c r="A1" s="1" t="s">
        <v>329</v>
      </c>
    </row>
    <row r="4" customFormat="false" ht="15" hidden="false" customHeight="false" outlineLevel="0" collapsed="false">
      <c r="A4" s="9" t="s">
        <v>185</v>
      </c>
      <c r="B4" s="9" t="s">
        <v>330</v>
      </c>
      <c r="C4" s="9" t="s">
        <v>64</v>
      </c>
      <c r="D4" s="9" t="s">
        <v>69</v>
      </c>
      <c r="E4" s="10" t="s">
        <v>136</v>
      </c>
      <c r="F4" s="9" t="s">
        <v>64</v>
      </c>
      <c r="G4" s="9" t="s">
        <v>69</v>
      </c>
      <c r="H4" s="9" t="s">
        <v>140</v>
      </c>
      <c r="I4" s="9" t="s">
        <v>142</v>
      </c>
      <c r="J4" s="9" t="s">
        <v>144</v>
      </c>
      <c r="K4" s="10" t="s">
        <v>220</v>
      </c>
      <c r="L4" s="9" t="s">
        <v>225</v>
      </c>
      <c r="M4" s="10" t="s">
        <v>331</v>
      </c>
      <c r="N4" s="10" t="s">
        <v>332</v>
      </c>
      <c r="O4" s="10" t="s">
        <v>277</v>
      </c>
      <c r="P4" s="10" t="s">
        <v>221</v>
      </c>
      <c r="Q4" s="10" t="s">
        <v>333</v>
      </c>
    </row>
    <row r="5" customFormat="false" ht="15" hidden="false" customHeight="false" outlineLevel="0" collapsed="false">
      <c r="A5" s="0" t="n">
        <v>1</v>
      </c>
      <c r="B5" s="0" t="n">
        <v>-1</v>
      </c>
      <c r="C5" s="0" t="n">
        <f aca="false">B5</f>
        <v>-1</v>
      </c>
      <c r="D5" s="57" t="n">
        <f aca="false">07_最適化!$B$7</f>
        <v>0.7</v>
      </c>
      <c r="E5" s="55" t="n">
        <f aca="false">1</f>
        <v>1</v>
      </c>
      <c r="F5" s="55" t="n">
        <f aca="false">C5</f>
        <v>-1</v>
      </c>
      <c r="G5" s="57" t="n">
        <f aca="false">D5</f>
        <v>0.7</v>
      </c>
      <c r="H5" s="55" t="n">
        <f aca="false">C5*D5</f>
        <v>-0.7</v>
      </c>
      <c r="I5" s="55" t="n">
        <f aca="false">C5*C5</f>
        <v>1</v>
      </c>
      <c r="J5" s="55" t="n">
        <f aca="false">D5*D5</f>
        <v>0.49</v>
      </c>
      <c r="K5" s="55" t="n">
        <f aca="false">SUMPRODUCT(E5:J5,_XtX!$B$53:$G$53)</f>
        <v>43.6467816091954</v>
      </c>
      <c r="L5" s="55" t="n">
        <f aca="false">SUMPRODUCT(MMULT(E5:J5,_XtX!$B$44:$G$49),E5:J5)</f>
        <v>0.548800574712644</v>
      </c>
      <c r="M5" s="55" t="n">
        <f aca="false">K5-04_回帰ANOVA!$K$19*04_回帰ANOVA!$K$14*SQRT(1+L5)</f>
        <v>41.9603282962148</v>
      </c>
      <c r="N5" s="55" t="n">
        <f aca="false">K5+04_回帰ANOVA!$K$19*04_回帰ANOVA!$K$14*SQRT(1+L5)</f>
        <v>45.333234922176</v>
      </c>
      <c r="O5" s="54" t="b">
        <f aca="false">AND(C5&gt;=01_因子設定!$L$5-0.000000001,C5&lt;=01_因子設定!$M$5+0.000000001,D5&gt;=01_因子設定!$L$6-0.000000001,D5&lt;=01_因子設定!$M$6+0.000000001,IF(01_因子設定!$B$20="Box-Behnken",C5^2+D5^2&lt;=2+0.000000001,TRUE()))</f>
        <v>1</v>
      </c>
      <c r="P5" s="55" t="n">
        <f aca="false">IF(O5,IF(01_因子設定!$B$13="最大化",M5-01_因子設定!$B$14,IF(01_因子設定!$B$13="最小化",01_因子設定!$B$15-N5,MIN(M5-01_因子設定!$B$14,01_因子設定!$B$15-N5))),-1E+030)</f>
        <v>-4.53967170378521</v>
      </c>
      <c r="Q5" s="55" t="n">
        <f aca="false">IF(P5&gt;=0,1,0)</f>
        <v>0</v>
      </c>
    </row>
    <row r="6" customFormat="false" ht="15" hidden="false" customHeight="false" outlineLevel="0" collapsed="false">
      <c r="A6" s="0" t="n">
        <v>1</v>
      </c>
      <c r="B6" s="0" t="n">
        <v>-0.95</v>
      </c>
      <c r="C6" s="0" t="n">
        <f aca="false">B6</f>
        <v>-0.95</v>
      </c>
      <c r="D6" s="57" t="n">
        <f aca="false">07_最適化!$B$7</f>
        <v>0.7</v>
      </c>
      <c r="E6" s="55" t="n">
        <f aca="false">1</f>
        <v>1</v>
      </c>
      <c r="F6" s="55" t="n">
        <f aca="false">C6</f>
        <v>-0.95</v>
      </c>
      <c r="G6" s="57" t="n">
        <f aca="false">D6</f>
        <v>0.7</v>
      </c>
      <c r="H6" s="55" t="n">
        <f aca="false">C6*D6</f>
        <v>-0.665</v>
      </c>
      <c r="I6" s="55" t="n">
        <f aca="false">C6*C6</f>
        <v>0.9025</v>
      </c>
      <c r="J6" s="55" t="n">
        <f aca="false">D6*D6</f>
        <v>0.49</v>
      </c>
      <c r="K6" s="55" t="n">
        <f aca="false">SUMPRODUCT(E6:J6,_XtX!$B$53:$G$53)</f>
        <v>44.0384425287356</v>
      </c>
      <c r="L6" s="55" t="n">
        <f aca="false">SUMPRODUCT(MMULT(E6:J6,_XtX!$B$44:$G$49),E6:J6)</f>
        <v>0.486797018678161</v>
      </c>
      <c r="M6" s="55" t="n">
        <f aca="false">K6-04_回帰ANOVA!$K$19*04_回帰ANOVA!$K$14*SQRT(1+L6)</f>
        <v>42.3860911273733</v>
      </c>
      <c r="N6" s="55" t="n">
        <f aca="false">K6+04_回帰ANOVA!$K$19*04_回帰ANOVA!$K$14*SQRT(1+L6)</f>
        <v>45.690793930098</v>
      </c>
      <c r="O6" s="54" t="b">
        <f aca="false">AND(C6&gt;=01_因子設定!$L$5-0.000000001,C6&lt;=01_因子設定!$M$5+0.000000001,D6&gt;=01_因子設定!$L$6-0.000000001,D6&lt;=01_因子設定!$M$6+0.000000001,IF(01_因子設定!$B$20="Box-Behnken",C6^2+D6^2&lt;=2+0.000000001,TRUE()))</f>
        <v>1</v>
      </c>
      <c r="P6" s="55" t="n">
        <f aca="false">IF(O6,IF(01_因子設定!$B$13="最大化",M6-01_因子設定!$B$14,IF(01_因子設定!$B$13="最小化",01_因子設定!$B$15-N6,MIN(M6-01_因子設定!$B$14,01_因子設定!$B$15-N6))),-1E+030)</f>
        <v>-4.11390887262672</v>
      </c>
      <c r="Q6" s="55" t="n">
        <f aca="false">IF(P6&gt;=0,1,0)</f>
        <v>0</v>
      </c>
    </row>
    <row r="7" customFormat="false" ht="15" hidden="false" customHeight="false" outlineLevel="0" collapsed="false">
      <c r="A7" s="0" t="n">
        <v>1</v>
      </c>
      <c r="B7" s="0" t="n">
        <v>-0.9</v>
      </c>
      <c r="C7" s="0" t="n">
        <f aca="false">B7</f>
        <v>-0.9</v>
      </c>
      <c r="D7" s="57" t="n">
        <f aca="false">07_最適化!$B$7</f>
        <v>0.7</v>
      </c>
      <c r="E7" s="55" t="n">
        <f aca="false">1</f>
        <v>1</v>
      </c>
      <c r="F7" s="55" t="n">
        <f aca="false">C7</f>
        <v>-0.9</v>
      </c>
      <c r="G7" s="57" t="n">
        <f aca="false">D7</f>
        <v>0.7</v>
      </c>
      <c r="H7" s="55" t="n">
        <f aca="false">C7*D7</f>
        <v>-0.63</v>
      </c>
      <c r="I7" s="55" t="n">
        <f aca="false">C7*C7</f>
        <v>0.81</v>
      </c>
      <c r="J7" s="55" t="n">
        <f aca="false">D7*D7</f>
        <v>0.49</v>
      </c>
      <c r="K7" s="55" t="n">
        <f aca="false">SUMPRODUCT(E7:J7,_XtX!$B$53:$G$53)</f>
        <v>44.4163879310345</v>
      </c>
      <c r="L7" s="55" t="n">
        <f aca="false">SUMPRODUCT(MMULT(E7:J7,_XtX!$B$44:$G$49),E7:J7)</f>
        <v>0.434336494252874</v>
      </c>
      <c r="M7" s="55" t="n">
        <f aca="false">K7-04_回帰ANOVA!$K$19*04_回帰ANOVA!$K$14*SQRT(1+L7)</f>
        <v>42.7934493052694</v>
      </c>
      <c r="N7" s="55" t="n">
        <f aca="false">K7+04_回帰ANOVA!$K$19*04_回帰ANOVA!$K$14*SQRT(1+L7)</f>
        <v>46.0393265567996</v>
      </c>
      <c r="O7" s="54" t="b">
        <f aca="false">AND(C7&gt;=01_因子設定!$L$5-0.000000001,C7&lt;=01_因子設定!$M$5+0.000000001,D7&gt;=01_因子設定!$L$6-0.000000001,D7&lt;=01_因子設定!$M$6+0.000000001,IF(01_因子設定!$B$20="Box-Behnken",C7^2+D7^2&lt;=2+0.000000001,TRUE()))</f>
        <v>1</v>
      </c>
      <c r="P7" s="55" t="n">
        <f aca="false">IF(O7,IF(01_因子設定!$B$13="最大化",M7-01_因子設定!$B$14,IF(01_因子設定!$B$13="最小化",01_因子設定!$B$15-N7,MIN(M7-01_因子設定!$B$14,01_因子設定!$B$15-N7))),-1E+030)</f>
        <v>-3.70655069473065</v>
      </c>
      <c r="Q7" s="55" t="n">
        <f aca="false">IF(P7&gt;=0,1,0)</f>
        <v>0</v>
      </c>
    </row>
    <row r="8" customFormat="false" ht="15" hidden="false" customHeight="false" outlineLevel="0" collapsed="false">
      <c r="A8" s="0" t="n">
        <v>1</v>
      </c>
      <c r="B8" s="0" t="n">
        <v>-0.85</v>
      </c>
      <c r="C8" s="0" t="n">
        <f aca="false">B8</f>
        <v>-0.85</v>
      </c>
      <c r="D8" s="57" t="n">
        <f aca="false">07_最適化!$B$7</f>
        <v>0.7</v>
      </c>
      <c r="E8" s="55" t="n">
        <f aca="false">1</f>
        <v>1</v>
      </c>
      <c r="F8" s="55" t="n">
        <f aca="false">C8</f>
        <v>-0.85</v>
      </c>
      <c r="G8" s="57" t="n">
        <f aca="false">D8</f>
        <v>0.7</v>
      </c>
      <c r="H8" s="55" t="n">
        <f aca="false">C8*D8</f>
        <v>-0.595</v>
      </c>
      <c r="I8" s="55" t="n">
        <f aca="false">C8*C8</f>
        <v>0.7225</v>
      </c>
      <c r="J8" s="55" t="n">
        <f aca="false">D8*D8</f>
        <v>0.49</v>
      </c>
      <c r="K8" s="55" t="n">
        <f aca="false">SUMPRODUCT(E8:J8,_XtX!$B$53:$G$53)</f>
        <v>44.7806178160919</v>
      </c>
      <c r="L8" s="55" t="n">
        <f aca="false">SUMPRODUCT(MMULT(E8:J8,_XtX!$B$44:$G$49),E8:J8)</f>
        <v>0.390414260057471</v>
      </c>
      <c r="M8" s="55" t="n">
        <f aca="false">K8-04_回帰ANOVA!$K$19*04_回帰ANOVA!$K$14*SQRT(1+L8)</f>
        <v>43.1827211929921</v>
      </c>
      <c r="N8" s="55" t="n">
        <f aca="false">K8+04_回帰ANOVA!$K$19*04_回帰ANOVA!$K$14*SQRT(1+L8)</f>
        <v>46.3785144391918</v>
      </c>
      <c r="O8" s="54" t="b">
        <f aca="false">AND(C8&gt;=01_因子設定!$L$5-0.000000001,C8&lt;=01_因子設定!$M$5+0.000000001,D8&gt;=01_因子設定!$L$6-0.000000001,D8&lt;=01_因子設定!$M$6+0.000000001,IF(01_因子設定!$B$20="Box-Behnken",C8^2+D8^2&lt;=2+0.000000001,TRUE()))</f>
        <v>1</v>
      </c>
      <c r="P8" s="55" t="n">
        <f aca="false">IF(O8,IF(01_因子設定!$B$13="最大化",M8-01_因子設定!$B$14,IF(01_因子設定!$B$13="最小化",01_因子設定!$B$15-N8,MIN(M8-01_因子設定!$B$14,01_因子設定!$B$15-N8))),-1E+030)</f>
        <v>-3.3172788070079</v>
      </c>
      <c r="Q8" s="55" t="n">
        <f aca="false">IF(P8&gt;=0,1,0)</f>
        <v>0</v>
      </c>
    </row>
    <row r="9" customFormat="false" ht="15" hidden="false" customHeight="false" outlineLevel="0" collapsed="false">
      <c r="A9" s="0" t="n">
        <v>1</v>
      </c>
      <c r="B9" s="0" t="n">
        <v>-0.8</v>
      </c>
      <c r="C9" s="0" t="n">
        <f aca="false">B9</f>
        <v>-0.8</v>
      </c>
      <c r="D9" s="57" t="n">
        <f aca="false">07_最適化!$B$7</f>
        <v>0.7</v>
      </c>
      <c r="E9" s="55" t="n">
        <f aca="false">1</f>
        <v>1</v>
      </c>
      <c r="F9" s="55" t="n">
        <f aca="false">C9</f>
        <v>-0.8</v>
      </c>
      <c r="G9" s="57" t="n">
        <f aca="false">D9</f>
        <v>0.7</v>
      </c>
      <c r="H9" s="55" t="n">
        <f aca="false">C9*D9</f>
        <v>-0.56</v>
      </c>
      <c r="I9" s="55" t="n">
        <f aca="false">C9*C9</f>
        <v>0.64</v>
      </c>
      <c r="J9" s="55" t="n">
        <f aca="false">D9*D9</f>
        <v>0.49</v>
      </c>
      <c r="K9" s="55" t="n">
        <f aca="false">SUMPRODUCT(E9:J9,_XtX!$B$53:$G$53)</f>
        <v>45.131132183908</v>
      </c>
      <c r="L9" s="55" t="n">
        <f aca="false">SUMPRODUCT(MMULT(E9:J9,_XtX!$B$44:$G$49),E9:J9)</f>
        <v>0.354079885057471</v>
      </c>
      <c r="M9" s="55" t="n">
        <f aca="false">K9-04_回帰ANOVA!$K$19*04_回帰ANOVA!$K$14*SQRT(1+L9)</f>
        <v>43.5542519271363</v>
      </c>
      <c r="N9" s="55" t="n">
        <f aca="false">K9+04_回帰ANOVA!$K$19*04_回帰ANOVA!$K$14*SQRT(1+L9)</f>
        <v>46.7080124406798</v>
      </c>
      <c r="O9" s="54" t="b">
        <f aca="false">AND(C9&gt;=01_因子設定!$L$5-0.000000001,C9&lt;=01_因子設定!$M$5+0.000000001,D9&gt;=01_因子設定!$L$6-0.000000001,D9&lt;=01_因子設定!$M$6+0.000000001,IF(01_因子設定!$B$20="Box-Behnken",C9^2+D9^2&lt;=2+0.000000001,TRUE()))</f>
        <v>1</v>
      </c>
      <c r="P9" s="55" t="n">
        <f aca="false">IF(O9,IF(01_因子設定!$B$13="最大化",M9-01_因子設定!$B$14,IF(01_因子設定!$B$13="最小化",01_因子設定!$B$15-N9,MIN(M9-01_因子設定!$B$14,01_因子設定!$B$15-N9))),-1E+030)</f>
        <v>-2.9457480728637</v>
      </c>
      <c r="Q9" s="55" t="n">
        <f aca="false">IF(P9&gt;=0,1,0)</f>
        <v>0</v>
      </c>
    </row>
    <row r="10" customFormat="false" ht="15" hidden="false" customHeight="false" outlineLevel="0" collapsed="false">
      <c r="A10" s="0" t="n">
        <v>1</v>
      </c>
      <c r="B10" s="0" t="n">
        <v>-0.75</v>
      </c>
      <c r="C10" s="0" t="n">
        <f aca="false">B10</f>
        <v>-0.75</v>
      </c>
      <c r="D10" s="57" t="n">
        <f aca="false">07_最適化!$B$7</f>
        <v>0.7</v>
      </c>
      <c r="E10" s="55" t="n">
        <f aca="false">1</f>
        <v>1</v>
      </c>
      <c r="F10" s="55" t="n">
        <f aca="false">C10</f>
        <v>-0.75</v>
      </c>
      <c r="G10" s="57" t="n">
        <f aca="false">D10</f>
        <v>0.7</v>
      </c>
      <c r="H10" s="55" t="n">
        <f aca="false">C10*D10</f>
        <v>-0.525</v>
      </c>
      <c r="I10" s="55" t="n">
        <f aca="false">C10*C10</f>
        <v>0.5625</v>
      </c>
      <c r="J10" s="55" t="n">
        <f aca="false">D10*D10</f>
        <v>0.49</v>
      </c>
      <c r="K10" s="55" t="n">
        <f aca="false">SUMPRODUCT(E10:J10,_XtX!$B$53:$G$53)</f>
        <v>45.4679310344827</v>
      </c>
      <c r="L10" s="55" t="n">
        <f aca="false">SUMPRODUCT(MMULT(E10:J10,_XtX!$B$44:$G$49),E10:J10)</f>
        <v>0.324437248563218</v>
      </c>
      <c r="M10" s="55" t="n">
        <f aca="false">K10-04_回帰ANOVA!$K$19*04_回帰ANOVA!$K$14*SQRT(1+L10)</f>
        <v>43.9084063059868</v>
      </c>
      <c r="N10" s="55" t="n">
        <f aca="false">K10+04_回帰ANOVA!$K$19*04_回帰ANOVA!$K$14*SQRT(1+L10)</f>
        <v>47.0274557629787</v>
      </c>
      <c r="O10" s="54" t="b">
        <f aca="false">AND(C10&gt;=01_因子設定!$L$5-0.000000001,C10&lt;=01_因子設定!$M$5+0.000000001,D10&gt;=01_因子設定!$L$6-0.000000001,D10&lt;=01_因子設定!$M$6+0.000000001,IF(01_因子設定!$B$20="Box-Behnken",C10^2+D10^2&lt;=2+0.000000001,TRUE()))</f>
        <v>1</v>
      </c>
      <c r="P10" s="55" t="n">
        <f aca="false">IF(O10,IF(01_因子設定!$B$13="最大化",M10-01_因子設定!$B$14,IF(01_因子設定!$B$13="最小化",01_因子設定!$B$15-N10,MIN(M10-01_因子設定!$B$14,01_因子設定!$B$15-N10))),-1E+030)</f>
        <v>-2.59159369401322</v>
      </c>
      <c r="Q10" s="55" t="n">
        <f aca="false">IF(P10&gt;=0,1,0)</f>
        <v>0</v>
      </c>
    </row>
    <row r="11" customFormat="false" ht="15" hidden="false" customHeight="false" outlineLevel="0" collapsed="false">
      <c r="A11" s="0" t="n">
        <v>1</v>
      </c>
      <c r="B11" s="0" t="n">
        <v>-0.7</v>
      </c>
      <c r="C11" s="0" t="n">
        <f aca="false">B11</f>
        <v>-0.7</v>
      </c>
      <c r="D11" s="57" t="n">
        <f aca="false">07_最適化!$B$7</f>
        <v>0.7</v>
      </c>
      <c r="E11" s="55" t="n">
        <f aca="false">1</f>
        <v>1</v>
      </c>
      <c r="F11" s="55" t="n">
        <f aca="false">C11</f>
        <v>-0.7</v>
      </c>
      <c r="G11" s="57" t="n">
        <f aca="false">D11</f>
        <v>0.7</v>
      </c>
      <c r="H11" s="55" t="n">
        <f aca="false">C11*D11</f>
        <v>-0.49</v>
      </c>
      <c r="I11" s="55" t="n">
        <f aca="false">C11*C11</f>
        <v>0.49</v>
      </c>
      <c r="J11" s="55" t="n">
        <f aca="false">D11*D11</f>
        <v>0.49</v>
      </c>
      <c r="K11" s="55" t="n">
        <f aca="false">SUMPRODUCT(E11:J11,_XtX!$B$53:$G$53)</f>
        <v>45.7910143678161</v>
      </c>
      <c r="L11" s="55" t="n">
        <f aca="false">SUMPRODUCT(MMULT(E11:J11,_XtX!$B$44:$G$49),E11:J11)</f>
        <v>0.300644540229885</v>
      </c>
      <c r="M11" s="55" t="n">
        <f aca="false">K11-04_回帰ANOVA!$K$19*04_回帰ANOVA!$K$14*SQRT(1+L11)</f>
        <v>44.2455610777721</v>
      </c>
      <c r="N11" s="55" t="n">
        <f aca="false">K11+04_回帰ANOVA!$K$19*04_回帰ANOVA!$K$14*SQRT(1+L11)</f>
        <v>47.3364676578601</v>
      </c>
      <c r="O11" s="54" t="b">
        <f aca="false">AND(C11&gt;=01_因子設定!$L$5-0.000000001,C11&lt;=01_因子設定!$M$5+0.000000001,D11&gt;=01_因子設定!$L$6-0.000000001,D11&lt;=01_因子設定!$M$6+0.000000001,IF(01_因子設定!$B$20="Box-Behnken",C11^2+D11^2&lt;=2+0.000000001,TRUE()))</f>
        <v>1</v>
      </c>
      <c r="P11" s="55" t="n">
        <f aca="false">IF(O11,IF(01_因子設定!$B$13="最大化",M11-01_因子設定!$B$14,IF(01_因子設定!$B$13="最小化",01_因子設定!$B$15-N11,MIN(M11-01_因子設定!$B$14,01_因子設定!$B$15-N11))),-1E+030)</f>
        <v>-2.25443892222793</v>
      </c>
      <c r="Q11" s="55" t="n">
        <f aca="false">IF(P11&gt;=0,1,0)</f>
        <v>0</v>
      </c>
    </row>
    <row r="12" customFormat="false" ht="15" hidden="false" customHeight="false" outlineLevel="0" collapsed="false">
      <c r="A12" s="0" t="n">
        <v>1</v>
      </c>
      <c r="B12" s="0" t="n">
        <v>-0.65</v>
      </c>
      <c r="C12" s="0" t="n">
        <f aca="false">B12</f>
        <v>-0.65</v>
      </c>
      <c r="D12" s="57" t="n">
        <f aca="false">07_最適化!$B$7</f>
        <v>0.7</v>
      </c>
      <c r="E12" s="55" t="n">
        <f aca="false">1</f>
        <v>1</v>
      </c>
      <c r="F12" s="55" t="n">
        <f aca="false">C12</f>
        <v>-0.65</v>
      </c>
      <c r="G12" s="57" t="n">
        <f aca="false">D12</f>
        <v>0.7</v>
      </c>
      <c r="H12" s="55" t="n">
        <f aca="false">C12*D12</f>
        <v>-0.455</v>
      </c>
      <c r="I12" s="55" t="n">
        <f aca="false">C12*C12</f>
        <v>0.4225</v>
      </c>
      <c r="J12" s="55" t="n">
        <f aca="false">D12*D12</f>
        <v>0.49</v>
      </c>
      <c r="K12" s="55" t="n">
        <f aca="false">SUMPRODUCT(E12:J12,_XtX!$B$53:$G$53)</f>
        <v>46.100382183908</v>
      </c>
      <c r="L12" s="55" t="n">
        <f aca="false">SUMPRODUCT(MMULT(E12:J12,_XtX!$B$44:$G$49),E12:J12)</f>
        <v>0.281914260057471</v>
      </c>
      <c r="M12" s="55" t="n">
        <f aca="false">K12-04_回帰ANOVA!$K$19*04_回帰ANOVA!$K$14*SQRT(1+L12)</f>
        <v>44.5660971044553</v>
      </c>
      <c r="N12" s="55" t="n">
        <f aca="false">K12+04_回帰ANOVA!$K$19*04_回帰ANOVA!$K$14*SQRT(1+L12)</f>
        <v>47.6346672633608</v>
      </c>
      <c r="O12" s="54" t="b">
        <f aca="false">AND(C12&gt;=01_因子設定!$L$5-0.000000001,C12&lt;=01_因子設定!$M$5+0.000000001,D12&gt;=01_因子設定!$L$6-0.000000001,D12&lt;=01_因子設定!$M$6+0.000000001,IF(01_因子設定!$B$20="Box-Behnken",C12^2+D12^2&lt;=2+0.000000001,TRUE()))</f>
        <v>1</v>
      </c>
      <c r="P12" s="55" t="n">
        <f aca="false">IF(O12,IF(01_因子設定!$B$13="最大化",M12-01_因子設定!$B$14,IF(01_因子設定!$B$13="最小化",01_因子設定!$B$15-N12,MIN(M12-01_因子設定!$B$14,01_因子設定!$B$15-N12))),-1E+030)</f>
        <v>-1.93390289554471</v>
      </c>
      <c r="Q12" s="55" t="n">
        <f aca="false">IF(P12&gt;=0,1,0)</f>
        <v>0</v>
      </c>
    </row>
    <row r="13" customFormat="false" ht="15" hidden="false" customHeight="false" outlineLevel="0" collapsed="false">
      <c r="A13" s="0" t="n">
        <v>1</v>
      </c>
      <c r="B13" s="0" t="n">
        <v>-0.6</v>
      </c>
      <c r="C13" s="0" t="n">
        <f aca="false">B13</f>
        <v>-0.6</v>
      </c>
      <c r="D13" s="57" t="n">
        <f aca="false">07_最適化!$B$7</f>
        <v>0.7</v>
      </c>
      <c r="E13" s="55" t="n">
        <f aca="false">1</f>
        <v>1</v>
      </c>
      <c r="F13" s="55" t="n">
        <f aca="false">C13</f>
        <v>-0.6</v>
      </c>
      <c r="G13" s="57" t="n">
        <f aca="false">D13</f>
        <v>0.7</v>
      </c>
      <c r="H13" s="55" t="n">
        <f aca="false">C13*D13</f>
        <v>-0.42</v>
      </c>
      <c r="I13" s="55" t="n">
        <f aca="false">C13*C13</f>
        <v>0.36</v>
      </c>
      <c r="J13" s="55" t="n">
        <f aca="false">D13*D13</f>
        <v>0.49</v>
      </c>
      <c r="K13" s="55" t="n">
        <f aca="false">SUMPRODUCT(E13:J13,_XtX!$B$53:$G$53)</f>
        <v>46.3960344827586</v>
      </c>
      <c r="L13" s="55" t="n">
        <f aca="false">SUMPRODUCT(MMULT(E13:J13,_XtX!$B$44:$G$49),E13:J13)</f>
        <v>0.267513218390805</v>
      </c>
      <c r="M13" s="55" t="n">
        <f aca="false">K13-04_回帰ANOVA!$K$19*04_回帰ANOVA!$K$14*SQRT(1+L13)</f>
        <v>44.8703918335404</v>
      </c>
      <c r="N13" s="55" t="n">
        <f aca="false">K13+04_回帰ANOVA!$K$19*04_回帰ANOVA!$K$14*SQRT(1+L13)</f>
        <v>47.9216771319768</v>
      </c>
      <c r="O13" s="54" t="b">
        <f aca="false">AND(C13&gt;=01_因子設定!$L$5-0.000000001,C13&lt;=01_因子設定!$M$5+0.000000001,D13&gt;=01_因子設定!$L$6-0.000000001,D13&lt;=01_因子設定!$M$6+0.000000001,IF(01_因子設定!$B$20="Box-Behnken",C13^2+D13^2&lt;=2+0.000000001,TRUE()))</f>
        <v>1</v>
      </c>
      <c r="P13" s="55" t="n">
        <f aca="false">IF(O13,IF(01_因子設定!$B$13="最大化",M13-01_因子設定!$B$14,IF(01_因子設定!$B$13="最小化",01_因子設定!$B$15-N13,MIN(M13-01_因子設定!$B$14,01_因子設定!$B$15-N13))),-1E+030)</f>
        <v>-1.62960816645956</v>
      </c>
      <c r="Q13" s="55" t="n">
        <f aca="false">IF(P13&gt;=0,1,0)</f>
        <v>0</v>
      </c>
    </row>
    <row r="14" customFormat="false" ht="15" hidden="false" customHeight="false" outlineLevel="0" collapsed="false">
      <c r="A14" s="0" t="n">
        <v>1</v>
      </c>
      <c r="B14" s="0" t="n">
        <v>-0.55</v>
      </c>
      <c r="C14" s="0" t="n">
        <f aca="false">B14</f>
        <v>-0.55</v>
      </c>
      <c r="D14" s="57" t="n">
        <f aca="false">07_最適化!$B$7</f>
        <v>0.7</v>
      </c>
      <c r="E14" s="55" t="n">
        <f aca="false">1</f>
        <v>1</v>
      </c>
      <c r="F14" s="55" t="n">
        <f aca="false">C14</f>
        <v>-0.55</v>
      </c>
      <c r="G14" s="57" t="n">
        <f aca="false">D14</f>
        <v>0.7</v>
      </c>
      <c r="H14" s="55" t="n">
        <f aca="false">C14*D14</f>
        <v>-0.385</v>
      </c>
      <c r="I14" s="55" t="n">
        <f aca="false">C14*C14</f>
        <v>0.3025</v>
      </c>
      <c r="J14" s="55" t="n">
        <f aca="false">D14*D14</f>
        <v>0.49</v>
      </c>
      <c r="K14" s="55" t="n">
        <f aca="false">SUMPRODUCT(E14:J14,_XtX!$B$53:$G$53)</f>
        <v>46.6779712643678</v>
      </c>
      <c r="L14" s="55" t="n">
        <f aca="false">SUMPRODUCT(MMULT(E14:J14,_XtX!$B$44:$G$49),E14:J14)</f>
        <v>0.25676253591954</v>
      </c>
      <c r="M14" s="55" t="n">
        <f aca="false">K14-04_回帰ANOVA!$K$19*04_回帰ANOVA!$K$14*SQRT(1+L14)</f>
        <v>45.1588124238982</v>
      </c>
      <c r="N14" s="55" t="n">
        <f aca="false">K14+04_回帰ANOVA!$K$19*04_回帰ANOVA!$K$14*SQRT(1+L14)</f>
        <v>48.1971301048375</v>
      </c>
      <c r="O14" s="54" t="b">
        <f aca="false">AND(C14&gt;=01_因子設定!$L$5-0.000000001,C14&lt;=01_因子設定!$M$5+0.000000001,D14&gt;=01_因子設定!$L$6-0.000000001,D14&lt;=01_因子設定!$M$6+0.000000001,IF(01_因子設定!$B$20="Box-Behnken",C14^2+D14^2&lt;=2+0.000000001,TRUE()))</f>
        <v>1</v>
      </c>
      <c r="P14" s="55" t="n">
        <f aca="false">IF(O14,IF(01_因子設定!$B$13="最大化",M14-01_因子設定!$B$14,IF(01_因子設定!$B$13="最小化",01_因子設定!$B$15-N14,MIN(M14-01_因子設定!$B$14,01_因子設定!$B$15-N14))),-1E+030)</f>
        <v>-1.34118757610182</v>
      </c>
      <c r="Q14" s="55" t="n">
        <f aca="false">IF(P14&gt;=0,1,0)</f>
        <v>0</v>
      </c>
    </row>
    <row r="15" customFormat="false" ht="15" hidden="false" customHeight="false" outlineLevel="0" collapsed="false">
      <c r="A15" s="0" t="n">
        <v>1</v>
      </c>
      <c r="B15" s="0" t="n">
        <v>-0.5</v>
      </c>
      <c r="C15" s="0" t="n">
        <f aca="false">B15</f>
        <v>-0.5</v>
      </c>
      <c r="D15" s="57" t="n">
        <f aca="false">07_最適化!$B$7</f>
        <v>0.7</v>
      </c>
      <c r="E15" s="55" t="n">
        <f aca="false">1</f>
        <v>1</v>
      </c>
      <c r="F15" s="55" t="n">
        <f aca="false">C15</f>
        <v>-0.5</v>
      </c>
      <c r="G15" s="57" t="n">
        <f aca="false">D15</f>
        <v>0.7</v>
      </c>
      <c r="H15" s="55" t="n">
        <f aca="false">C15*D15</f>
        <v>-0.35</v>
      </c>
      <c r="I15" s="55" t="n">
        <f aca="false">C15*C15</f>
        <v>0.25</v>
      </c>
      <c r="J15" s="55" t="n">
        <f aca="false">D15*D15</f>
        <v>0.49</v>
      </c>
      <c r="K15" s="55" t="n">
        <f aca="false">SUMPRODUCT(E15:J15,_XtX!$B$53:$G$53)</f>
        <v>46.9461925287356</v>
      </c>
      <c r="L15" s="55" t="n">
        <f aca="false">SUMPRODUCT(MMULT(E15:J15,_XtX!$B$44:$G$49),E15:J15)</f>
        <v>0.249037643678161</v>
      </c>
      <c r="M15" s="55" t="n">
        <f aca="false">K15-04_回帰ANOVA!$K$19*04_回帰ANOVA!$K$14*SQRT(1+L15)</f>
        <v>45.4317097614797</v>
      </c>
      <c r="N15" s="55" t="n">
        <f aca="false">K15+04_回帰ANOVA!$K$19*04_回帰ANOVA!$K$14*SQRT(1+L15)</f>
        <v>48.4606752959915</v>
      </c>
      <c r="O15" s="54" t="b">
        <f aca="false">AND(C15&gt;=01_因子設定!$L$5-0.000000001,C15&lt;=01_因子設定!$M$5+0.000000001,D15&gt;=01_因子設定!$L$6-0.000000001,D15&lt;=01_因子設定!$M$6+0.000000001,IF(01_因子設定!$B$20="Box-Behnken",C15^2+D15^2&lt;=2+0.000000001,TRUE()))</f>
        <v>1</v>
      </c>
      <c r="P15" s="55" t="n">
        <f aca="false">IF(O15,IF(01_因子設定!$B$13="最大化",M15-01_因子設定!$B$14,IF(01_因子設定!$B$13="最小化",01_因子設定!$B$15-N15,MIN(M15-01_因子設定!$B$14,01_因子設定!$B$15-N15))),-1E+030)</f>
        <v>-1.06829023852028</v>
      </c>
      <c r="Q15" s="55" t="n">
        <f aca="false">IF(P15&gt;=0,1,0)</f>
        <v>0</v>
      </c>
    </row>
    <row r="16" customFormat="false" ht="15" hidden="false" customHeight="false" outlineLevel="0" collapsed="false">
      <c r="A16" s="0" t="n">
        <v>1</v>
      </c>
      <c r="B16" s="0" t="n">
        <v>-0.45</v>
      </c>
      <c r="C16" s="0" t="n">
        <f aca="false">B16</f>
        <v>-0.45</v>
      </c>
      <c r="D16" s="57" t="n">
        <f aca="false">07_最適化!$B$7</f>
        <v>0.7</v>
      </c>
      <c r="E16" s="55" t="n">
        <f aca="false">1</f>
        <v>1</v>
      </c>
      <c r="F16" s="55" t="n">
        <f aca="false">C16</f>
        <v>-0.45</v>
      </c>
      <c r="G16" s="57" t="n">
        <f aca="false">D16</f>
        <v>0.7</v>
      </c>
      <c r="H16" s="55" t="n">
        <f aca="false">C16*D16</f>
        <v>-0.315</v>
      </c>
      <c r="I16" s="55" t="n">
        <f aca="false">C16*C16</f>
        <v>0.2025</v>
      </c>
      <c r="J16" s="55" t="n">
        <f aca="false">D16*D16</f>
        <v>0.49</v>
      </c>
      <c r="K16" s="55" t="n">
        <f aca="false">SUMPRODUCT(E16:J16,_XtX!$B$53:$G$53)</f>
        <v>47.2006982758621</v>
      </c>
      <c r="L16" s="55" t="n">
        <f aca="false">SUMPRODUCT(MMULT(E16:J16,_XtX!$B$44:$G$49),E16:J16)</f>
        <v>0.243768283045977</v>
      </c>
      <c r="M16" s="55" t="n">
        <f aca="false">K16-04_回帰ANOVA!$K$19*04_回帰ANOVA!$K$14*SQRT(1+L16)</f>
        <v>45.6894134868528</v>
      </c>
      <c r="N16" s="55" t="n">
        <f aca="false">K16+04_回帰ANOVA!$K$19*04_回帰ANOVA!$K$14*SQRT(1+L16)</f>
        <v>48.7119830648713</v>
      </c>
      <c r="O16" s="54" t="b">
        <f aca="false">AND(C16&gt;=01_因子設定!$L$5-0.000000001,C16&lt;=01_因子設定!$M$5+0.000000001,D16&gt;=01_因子設定!$L$6-0.000000001,D16&lt;=01_因子設定!$M$6+0.000000001,IF(01_因子設定!$B$20="Box-Behnken",C16^2+D16^2&lt;=2+0.000000001,TRUE()))</f>
        <v>1</v>
      </c>
      <c r="P16" s="55" t="n">
        <f aca="false">IF(O16,IF(01_因子設定!$B$13="最大化",M16-01_因子設定!$B$14,IF(01_因子設定!$B$13="最小化",01_因子設定!$B$15-N16,MIN(M16-01_因子設定!$B$14,01_因子設定!$B$15-N16))),-1E+030)</f>
        <v>-0.8105865131472</v>
      </c>
      <c r="Q16" s="55" t="n">
        <f aca="false">IF(P16&gt;=0,1,0)</f>
        <v>0</v>
      </c>
    </row>
    <row r="17" customFormat="false" ht="15" hidden="false" customHeight="false" outlineLevel="0" collapsed="false">
      <c r="A17" s="0" t="n">
        <v>1</v>
      </c>
      <c r="B17" s="0" t="n">
        <v>-0.4</v>
      </c>
      <c r="C17" s="0" t="n">
        <f aca="false">B17</f>
        <v>-0.4</v>
      </c>
      <c r="D17" s="57" t="n">
        <f aca="false">07_最適化!$B$7</f>
        <v>0.7</v>
      </c>
      <c r="E17" s="55" t="n">
        <f aca="false">1</f>
        <v>1</v>
      </c>
      <c r="F17" s="55" t="n">
        <f aca="false">C17</f>
        <v>-0.4</v>
      </c>
      <c r="G17" s="57" t="n">
        <f aca="false">D17</f>
        <v>0.7</v>
      </c>
      <c r="H17" s="55" t="n">
        <f aca="false">C17*D17</f>
        <v>-0.28</v>
      </c>
      <c r="I17" s="55" t="n">
        <f aca="false">C17*C17</f>
        <v>0.16</v>
      </c>
      <c r="J17" s="55" t="n">
        <f aca="false">D17*D17</f>
        <v>0.49</v>
      </c>
      <c r="K17" s="55" t="n">
        <f aca="false">SUMPRODUCT(E17:J17,_XtX!$B$53:$G$53)</f>
        <v>47.4414885057471</v>
      </c>
      <c r="L17" s="55" t="n">
        <f aca="false">SUMPRODUCT(MMULT(E17:J17,_XtX!$B$44:$G$49),E17:J17)</f>
        <v>0.240438505747127</v>
      </c>
      <c r="M17" s="55" t="n">
        <f aca="false">K17-04_回帰ANOVA!$K$19*04_回帰ANOVA!$K$14*SQRT(1+L17)</f>
        <v>45.9322280545534</v>
      </c>
      <c r="N17" s="55" t="n">
        <f aca="false">K17+04_回帰ANOVA!$K$19*04_回帰ANOVA!$K$14*SQRT(1+L17)</f>
        <v>48.9507489569408</v>
      </c>
      <c r="O17" s="54" t="b">
        <f aca="false">AND(C17&gt;=01_因子設定!$L$5-0.000000001,C17&lt;=01_因子設定!$M$5+0.000000001,D17&gt;=01_因子設定!$L$6-0.000000001,D17&lt;=01_因子設定!$M$6+0.000000001,IF(01_因子設定!$B$20="Box-Behnken",C17^2+D17^2&lt;=2+0.000000001,TRUE()))</f>
        <v>1</v>
      </c>
      <c r="P17" s="55" t="n">
        <f aca="false">IF(O17,IF(01_因子設定!$B$13="最大化",M17-01_因子設定!$B$14,IF(01_因子設定!$B$13="最小化",01_因子設定!$B$15-N17,MIN(M17-01_因子設定!$B$14,01_因子設定!$B$15-N17))),-1E+030)</f>
        <v>-0.56777194544658</v>
      </c>
      <c r="Q17" s="55" t="n">
        <f aca="false">IF(P17&gt;=0,1,0)</f>
        <v>0</v>
      </c>
    </row>
    <row r="18" customFormat="false" ht="15" hidden="false" customHeight="false" outlineLevel="0" collapsed="false">
      <c r="A18" s="0" t="n">
        <v>1</v>
      </c>
      <c r="B18" s="0" t="n">
        <v>-0.35</v>
      </c>
      <c r="C18" s="0" t="n">
        <f aca="false">B18</f>
        <v>-0.35</v>
      </c>
      <c r="D18" s="57" t="n">
        <f aca="false">07_最適化!$B$7</f>
        <v>0.7</v>
      </c>
      <c r="E18" s="55" t="n">
        <f aca="false">1</f>
        <v>1</v>
      </c>
      <c r="F18" s="55" t="n">
        <f aca="false">C18</f>
        <v>-0.35</v>
      </c>
      <c r="G18" s="57" t="n">
        <f aca="false">D18</f>
        <v>0.7</v>
      </c>
      <c r="H18" s="55" t="n">
        <f aca="false">C18*D18</f>
        <v>-0.245</v>
      </c>
      <c r="I18" s="55" t="n">
        <f aca="false">C18*C18</f>
        <v>0.1225</v>
      </c>
      <c r="J18" s="55" t="n">
        <f aca="false">D18*D18</f>
        <v>0.49</v>
      </c>
      <c r="K18" s="55" t="n">
        <f aca="false">SUMPRODUCT(E18:J18,_XtX!$B$53:$G$53)</f>
        <v>47.6685632183908</v>
      </c>
      <c r="L18" s="55" t="n">
        <f aca="false">SUMPRODUCT(MMULT(E18:J18,_XtX!$B$44:$G$49),E18:J18)</f>
        <v>0.238586673850575</v>
      </c>
      <c r="M18" s="55" t="n">
        <f aca="false">K18-04_回帰ANOVA!$K$19*04_回帰ANOVA!$K$14*SQRT(1+L18)</f>
        <v>46.1604297640312</v>
      </c>
      <c r="N18" s="55" t="n">
        <f aca="false">K18+04_回帰ANOVA!$K$19*04_回帰ANOVA!$K$14*SQRT(1+L18)</f>
        <v>49.1766966727504</v>
      </c>
      <c r="O18" s="54" t="b">
        <f aca="false">AND(C18&gt;=01_因子設定!$L$5-0.000000001,C18&lt;=01_因子設定!$M$5+0.000000001,D18&gt;=01_因子設定!$L$6-0.000000001,D18&lt;=01_因子設定!$M$6+0.000000001,IF(01_因子設定!$B$20="Box-Behnken",C18^2+D18^2&lt;=2+0.000000001,TRUE()))</f>
        <v>1</v>
      </c>
      <c r="P18" s="55" t="n">
        <f aca="false">IF(O18,IF(01_因子設定!$B$13="最大化",M18-01_因子設定!$B$14,IF(01_因子設定!$B$13="最小化",01_因子設定!$B$15-N18,MIN(M18-01_因子設定!$B$14,01_因子設定!$B$15-N18))),-1E+030)</f>
        <v>-0.339570235968772</v>
      </c>
      <c r="Q18" s="55" t="n">
        <f aca="false">IF(P18&gt;=0,1,0)</f>
        <v>0</v>
      </c>
    </row>
    <row r="19" customFormat="false" ht="15" hidden="false" customHeight="false" outlineLevel="0" collapsed="false">
      <c r="A19" s="0" t="n">
        <v>1</v>
      </c>
      <c r="B19" s="0" t="n">
        <v>-0.3</v>
      </c>
      <c r="C19" s="0" t="n">
        <f aca="false">B19</f>
        <v>-0.3</v>
      </c>
      <c r="D19" s="57" t="n">
        <f aca="false">07_最適化!$B$7</f>
        <v>0.7</v>
      </c>
      <c r="E19" s="55" t="n">
        <f aca="false">1</f>
        <v>1</v>
      </c>
      <c r="F19" s="55" t="n">
        <f aca="false">C19</f>
        <v>-0.3</v>
      </c>
      <c r="G19" s="57" t="n">
        <f aca="false">D19</f>
        <v>0.7</v>
      </c>
      <c r="H19" s="55" t="n">
        <f aca="false">C19*D19</f>
        <v>-0.21</v>
      </c>
      <c r="I19" s="55" t="n">
        <f aca="false">C19*C19</f>
        <v>0.09</v>
      </c>
      <c r="J19" s="55" t="n">
        <f aca="false">D19*D19</f>
        <v>0.49</v>
      </c>
      <c r="K19" s="55" t="n">
        <f aca="false">SUMPRODUCT(E19:J19,_XtX!$B$53:$G$53)</f>
        <v>47.8819224137931</v>
      </c>
      <c r="L19" s="55" t="n">
        <f aca="false">SUMPRODUCT(MMULT(E19:J19,_XtX!$B$44:$G$49),E19:J19)</f>
        <v>0.237805459770115</v>
      </c>
      <c r="M19" s="55" t="n">
        <f aca="false">K19-04_回帰ANOVA!$K$19*04_回帰ANOVA!$K$14*SQRT(1+L19)</f>
        <v>46.3742646471472</v>
      </c>
      <c r="N19" s="55" t="n">
        <f aca="false">K19+04_回帰ANOVA!$K$19*04_回帰ANOVA!$K$14*SQRT(1+L19)</f>
        <v>49.389580180439</v>
      </c>
      <c r="O19" s="54" t="b">
        <f aca="false">AND(C19&gt;=01_因子設定!$L$5-0.000000001,C19&lt;=01_因子設定!$M$5+0.000000001,D19&gt;=01_因子設定!$L$6-0.000000001,D19&lt;=01_因子設定!$M$6+0.000000001,IF(01_因子設定!$B$20="Box-Behnken",C19^2+D19^2&lt;=2+0.000000001,TRUE()))</f>
        <v>1</v>
      </c>
      <c r="P19" s="55" t="n">
        <f aca="false">IF(O19,IF(01_因子設定!$B$13="最大化",M19-01_因子設定!$B$14,IF(01_因子設定!$B$13="最小化",01_因子設定!$B$15-N19,MIN(M19-01_因子設定!$B$14,01_因子設定!$B$15-N19))),-1E+030)</f>
        <v>-0.125735352852843</v>
      </c>
      <c r="Q19" s="55" t="n">
        <f aca="false">IF(P19&gt;=0,1,0)</f>
        <v>0</v>
      </c>
    </row>
    <row r="20" customFormat="false" ht="15" hidden="false" customHeight="false" outlineLevel="0" collapsed="false">
      <c r="A20" s="0" t="n">
        <v>1</v>
      </c>
      <c r="B20" s="0" t="n">
        <v>-0.25</v>
      </c>
      <c r="C20" s="0" t="n">
        <f aca="false">B20</f>
        <v>-0.25</v>
      </c>
      <c r="D20" s="57" t="n">
        <f aca="false">07_最適化!$B$7</f>
        <v>0.7</v>
      </c>
      <c r="E20" s="55" t="n">
        <f aca="false">1</f>
        <v>1</v>
      </c>
      <c r="F20" s="55" t="n">
        <f aca="false">C20</f>
        <v>-0.25</v>
      </c>
      <c r="G20" s="57" t="n">
        <f aca="false">D20</f>
        <v>0.7</v>
      </c>
      <c r="H20" s="55" t="n">
        <f aca="false">C20*D20</f>
        <v>-0.175</v>
      </c>
      <c r="I20" s="55" t="n">
        <f aca="false">C20*C20</f>
        <v>0.0625</v>
      </c>
      <c r="J20" s="55" t="n">
        <f aca="false">D20*D20</f>
        <v>0.49</v>
      </c>
      <c r="K20" s="55" t="n">
        <f aca="false">SUMPRODUCT(E20:J20,_XtX!$B$53:$G$53)</f>
        <v>48.081566091954</v>
      </c>
      <c r="L20" s="55" t="n">
        <f aca="false">SUMPRODUCT(MMULT(E20:J20,_XtX!$B$44:$G$49),E20:J20)</f>
        <v>0.237741846264368</v>
      </c>
      <c r="M20" s="55" t="n">
        <f aca="false">K20-04_回帰ANOVA!$K$19*04_回帰ANOVA!$K$14*SQRT(1+L20)</f>
        <v>46.5739470667062</v>
      </c>
      <c r="N20" s="55" t="n">
        <f aca="false">K20+04_回帰ANOVA!$K$19*04_回帰ANOVA!$K$14*SQRT(1+L20)</f>
        <v>49.5891851172018</v>
      </c>
      <c r="O20" s="54" t="b">
        <f aca="false">AND(C20&gt;=01_因子設定!$L$5-0.000000001,C20&lt;=01_因子設定!$M$5+0.000000001,D20&gt;=01_因子設定!$L$6-0.000000001,D20&lt;=01_因子設定!$M$6+0.000000001,IF(01_因子設定!$B$20="Box-Behnken",C20^2+D20^2&lt;=2+0.000000001,TRUE()))</f>
        <v>1</v>
      </c>
      <c r="P20" s="55" t="n">
        <f aca="false">IF(O20,IF(01_因子設定!$B$13="最大化",M20-01_因子設定!$B$14,IF(01_因子設定!$B$13="最小化",01_因子設定!$B$15-N20,MIN(M20-01_因子設定!$B$14,01_因子設定!$B$15-N20))),-1E+030)</f>
        <v>0.0739470667062108</v>
      </c>
      <c r="Q20" s="55" t="n">
        <f aca="false">IF(P20&gt;=0,1,0)</f>
        <v>1</v>
      </c>
    </row>
    <row r="21" customFormat="false" ht="15" hidden="false" customHeight="false" outlineLevel="0" collapsed="false">
      <c r="A21" s="0" t="n">
        <v>1</v>
      </c>
      <c r="B21" s="0" t="n">
        <v>-0.2</v>
      </c>
      <c r="C21" s="0" t="n">
        <f aca="false">B21</f>
        <v>-0.2</v>
      </c>
      <c r="D21" s="57" t="n">
        <f aca="false">07_最適化!$B$7</f>
        <v>0.7</v>
      </c>
      <c r="E21" s="55" t="n">
        <f aca="false">1</f>
        <v>1</v>
      </c>
      <c r="F21" s="55" t="n">
        <f aca="false">C21</f>
        <v>-0.2</v>
      </c>
      <c r="G21" s="57" t="n">
        <f aca="false">D21</f>
        <v>0.7</v>
      </c>
      <c r="H21" s="55" t="n">
        <f aca="false">C21*D21</f>
        <v>-0.14</v>
      </c>
      <c r="I21" s="55" t="n">
        <f aca="false">C21*C21</f>
        <v>0.04</v>
      </c>
      <c r="J21" s="55" t="n">
        <f aca="false">D21*D21</f>
        <v>0.49</v>
      </c>
      <c r="K21" s="55" t="n">
        <f aca="false">SUMPRODUCT(E21:J21,_XtX!$B$53:$G$53)</f>
        <v>48.2674942528736</v>
      </c>
      <c r="L21" s="55" t="n">
        <f aca="false">SUMPRODUCT(MMULT(E21:J21,_XtX!$B$44:$G$49),E21:J21)</f>
        <v>0.238097126436782</v>
      </c>
      <c r="M21" s="55" t="n">
        <f aca="false">K21-04_回帰ANOVA!$K$19*04_回帰ANOVA!$K$14*SQRT(1+L21)</f>
        <v>46.7596588704274</v>
      </c>
      <c r="N21" s="55" t="n">
        <f aca="false">K21+04_回帰ANOVA!$K$19*04_回帰ANOVA!$K$14*SQRT(1+L21)</f>
        <v>49.7753296353197</v>
      </c>
      <c r="O21" s="54" t="b">
        <f aca="false">AND(C21&gt;=01_因子設定!$L$5-0.000000001,C21&lt;=01_因子設定!$M$5+0.000000001,D21&gt;=01_因子設定!$L$6-0.000000001,D21&lt;=01_因子設定!$M$6+0.000000001,IF(01_因子設定!$B$20="Box-Behnken",C21^2+D21^2&lt;=2+0.000000001,TRUE()))</f>
        <v>1</v>
      </c>
      <c r="P21" s="55" t="n">
        <f aca="false">IF(O21,IF(01_因子設定!$B$13="最大化",M21-01_因子設定!$B$14,IF(01_因子設定!$B$13="最小化",01_因子設定!$B$15-N21,MIN(M21-01_因子設定!$B$14,01_因子設定!$B$15-N21))),-1E+030)</f>
        <v>0.259658870427401</v>
      </c>
      <c r="Q21" s="55" t="n">
        <f aca="false">IF(P21&gt;=0,1,0)</f>
        <v>1</v>
      </c>
    </row>
    <row r="22" customFormat="false" ht="15" hidden="false" customHeight="false" outlineLevel="0" collapsed="false">
      <c r="A22" s="0" t="n">
        <v>1</v>
      </c>
      <c r="B22" s="0" t="n">
        <v>-0.15</v>
      </c>
      <c r="C22" s="0" t="n">
        <f aca="false">B22</f>
        <v>-0.15</v>
      </c>
      <c r="D22" s="57" t="n">
        <f aca="false">07_最適化!$B$7</f>
        <v>0.7</v>
      </c>
      <c r="E22" s="55" t="n">
        <f aca="false">1</f>
        <v>1</v>
      </c>
      <c r="F22" s="55" t="n">
        <f aca="false">C22</f>
        <v>-0.15</v>
      </c>
      <c r="G22" s="57" t="n">
        <f aca="false">D22</f>
        <v>0.7</v>
      </c>
      <c r="H22" s="55" t="n">
        <f aca="false">C22*D22</f>
        <v>-0.105</v>
      </c>
      <c r="I22" s="55" t="n">
        <f aca="false">C22*C22</f>
        <v>0.0225</v>
      </c>
      <c r="J22" s="55" t="n">
        <f aca="false">D22*D22</f>
        <v>0.49</v>
      </c>
      <c r="K22" s="55" t="n">
        <f aca="false">SUMPRODUCT(E22:J22,_XtX!$B$53:$G$53)</f>
        <v>48.4397068965517</v>
      </c>
      <c r="L22" s="55" t="n">
        <f aca="false">SUMPRODUCT(MMULT(E22:J22,_XtX!$B$44:$G$49),E22:J22)</f>
        <v>0.238626903735632</v>
      </c>
      <c r="M22" s="55" t="n">
        <f aca="false">K22-04_回帰ANOVA!$K$19*04_回帰ANOVA!$K$14*SQRT(1+L22)</f>
        <v>46.9315489499446</v>
      </c>
      <c r="N22" s="55" t="n">
        <f aca="false">K22+04_回帰ANOVA!$K$19*04_回帰ANOVA!$K$14*SQRT(1+L22)</f>
        <v>49.9478648431589</v>
      </c>
      <c r="O22" s="54" t="b">
        <f aca="false">AND(C22&gt;=01_因子設定!$L$5-0.000000001,C22&lt;=01_因子設定!$M$5+0.000000001,D22&gt;=01_因子設定!$L$6-0.000000001,D22&lt;=01_因子設定!$M$6+0.000000001,IF(01_因子設定!$B$20="Box-Behnken",C22^2+D22^2&lt;=2+0.000000001,TRUE()))</f>
        <v>1</v>
      </c>
      <c r="P22" s="55" t="n">
        <f aca="false">IF(O22,IF(01_因子設定!$B$13="最大化",M22-01_因子設定!$B$14,IF(01_因子設定!$B$13="最小化",01_因子設定!$B$15-N22,MIN(M22-01_因子設定!$B$14,01_因子設定!$B$15-N22))),-1E+030)</f>
        <v>0.431548949944599</v>
      </c>
      <c r="Q22" s="55" t="n">
        <f aca="false">IF(P22&gt;=0,1,0)</f>
        <v>1</v>
      </c>
    </row>
    <row r="23" customFormat="false" ht="15" hidden="false" customHeight="false" outlineLevel="0" collapsed="false">
      <c r="A23" s="0" t="n">
        <v>1</v>
      </c>
      <c r="B23" s="0" t="n">
        <v>-0.1</v>
      </c>
      <c r="C23" s="0" t="n">
        <f aca="false">B23</f>
        <v>-0.1</v>
      </c>
      <c r="D23" s="57" t="n">
        <f aca="false">07_最適化!$B$7</f>
        <v>0.7</v>
      </c>
      <c r="E23" s="55" t="n">
        <f aca="false">1</f>
        <v>1</v>
      </c>
      <c r="F23" s="55" t="n">
        <f aca="false">C23</f>
        <v>-0.1</v>
      </c>
      <c r="G23" s="57" t="n">
        <f aca="false">D23</f>
        <v>0.7</v>
      </c>
      <c r="H23" s="55" t="n">
        <f aca="false">C23*D23</f>
        <v>-0.07</v>
      </c>
      <c r="I23" s="55" t="n">
        <f aca="false">C23*C23</f>
        <v>0.01</v>
      </c>
      <c r="J23" s="55" t="n">
        <f aca="false">D23*D23</f>
        <v>0.49</v>
      </c>
      <c r="K23" s="55" t="n">
        <f aca="false">SUMPRODUCT(E23:J23,_XtX!$B$53:$G$53)</f>
        <v>48.5982040229885</v>
      </c>
      <c r="L23" s="55" t="n">
        <f aca="false">SUMPRODUCT(MMULT(E23:J23,_XtX!$B$44:$G$49),E23:J23)</f>
        <v>0.239141091954023</v>
      </c>
      <c r="M23" s="55" t="n">
        <f aca="false">K23-04_回帰ANOVA!$K$19*04_回帰ANOVA!$K$14*SQRT(1+L23)</f>
        <v>47.0897330698653</v>
      </c>
      <c r="N23" s="55" t="n">
        <f aca="false">K23+04_回帰ANOVA!$K$19*04_回帰ANOVA!$K$14*SQRT(1+L23)</f>
        <v>50.1066749761118</v>
      </c>
      <c r="O23" s="54" t="b">
        <f aca="false">AND(C23&gt;=01_因子設定!$L$5-0.000000001,C23&lt;=01_因子設定!$M$5+0.000000001,D23&gt;=01_因子設定!$L$6-0.000000001,D23&lt;=01_因子設定!$M$6+0.000000001,IF(01_因子設定!$B$20="Box-Behnken",C23^2+D23^2&lt;=2+0.000000001,TRUE()))</f>
        <v>1</v>
      </c>
      <c r="P23" s="55" t="n">
        <f aca="false">IF(O23,IF(01_因子設定!$B$13="最大化",M23-01_因子設定!$B$14,IF(01_因子設定!$B$13="最小化",01_因子設定!$B$15-N23,MIN(M23-01_因子設定!$B$14,01_因子設定!$B$15-N23))),-1E+030)</f>
        <v>0.589733069865247</v>
      </c>
      <c r="Q23" s="55" t="n">
        <f aca="false">IF(P23&gt;=0,1,0)</f>
        <v>1</v>
      </c>
    </row>
    <row r="24" customFormat="false" ht="15" hidden="false" customHeight="false" outlineLevel="0" collapsed="false">
      <c r="A24" s="0" t="n">
        <v>1</v>
      </c>
      <c r="B24" s="0" t="n">
        <v>-0.05</v>
      </c>
      <c r="C24" s="0" t="n">
        <f aca="false">B24</f>
        <v>-0.05</v>
      </c>
      <c r="D24" s="57" t="n">
        <f aca="false">07_最適化!$B$7</f>
        <v>0.7</v>
      </c>
      <c r="E24" s="55" t="n">
        <f aca="false">1</f>
        <v>1</v>
      </c>
      <c r="F24" s="55" t="n">
        <f aca="false">C24</f>
        <v>-0.05</v>
      </c>
      <c r="G24" s="57" t="n">
        <f aca="false">D24</f>
        <v>0.7</v>
      </c>
      <c r="H24" s="55" t="n">
        <f aca="false">C24*D24</f>
        <v>-0.035</v>
      </c>
      <c r="I24" s="55" t="n">
        <f aca="false">C24*C24</f>
        <v>0.0025</v>
      </c>
      <c r="J24" s="55" t="n">
        <f aca="false">D24*D24</f>
        <v>0.49</v>
      </c>
      <c r="K24" s="55" t="n">
        <f aca="false">SUMPRODUCT(E24:J24,_XtX!$B$53:$G$53)</f>
        <v>48.7429856321839</v>
      </c>
      <c r="L24" s="55" t="n">
        <f aca="false">SUMPRODUCT(MMULT(E24:J24,_XtX!$B$44:$G$49),E24:J24)</f>
        <v>0.239503915229885</v>
      </c>
      <c r="M24" s="55" t="n">
        <f aca="false">K24-04_回帰ANOVA!$K$19*04_回帰ANOVA!$K$14*SQRT(1+L24)</f>
        <v>47.234293853394</v>
      </c>
      <c r="N24" s="55" t="n">
        <f aca="false">K24+04_回帰ANOVA!$K$19*04_回帰ANOVA!$K$14*SQRT(1+L24)</f>
        <v>50.2516774109738</v>
      </c>
      <c r="O24" s="54" t="b">
        <f aca="false">AND(C24&gt;=01_因子設定!$L$5-0.000000001,C24&lt;=01_因子設定!$M$5+0.000000001,D24&gt;=01_因子設定!$L$6-0.000000001,D24&lt;=01_因子設定!$M$6+0.000000001,IF(01_因子設定!$B$20="Box-Behnken",C24^2+D24^2&lt;=2+0.000000001,TRUE()))</f>
        <v>1</v>
      </c>
      <c r="P24" s="55" t="n">
        <f aca="false">IF(O24,IF(01_因子設定!$B$13="最大化",M24-01_因子設定!$B$14,IF(01_因子設定!$B$13="最小化",01_因子設定!$B$15-N24,MIN(M24-01_因子設定!$B$14,01_因子設定!$B$15-N24))),-1E+030)</f>
        <v>0.734293853394036</v>
      </c>
      <c r="Q24" s="55" t="n">
        <f aca="false">IF(P24&gt;=0,1,0)</f>
        <v>1</v>
      </c>
    </row>
    <row r="25" customFormat="false" ht="15" hidden="false" customHeight="false" outlineLevel="0" collapsed="false">
      <c r="A25" s="0" t="n">
        <v>1</v>
      </c>
      <c r="B25" s="0" t="n">
        <v>0</v>
      </c>
      <c r="C25" s="0" t="n">
        <f aca="false">B25</f>
        <v>0</v>
      </c>
      <c r="D25" s="57" t="n">
        <f aca="false">07_最適化!$B$7</f>
        <v>0.7</v>
      </c>
      <c r="E25" s="55" t="n">
        <f aca="false">1</f>
        <v>1</v>
      </c>
      <c r="F25" s="55" t="n">
        <f aca="false">C25</f>
        <v>0</v>
      </c>
      <c r="G25" s="57" t="n">
        <f aca="false">D25</f>
        <v>0.7</v>
      </c>
      <c r="H25" s="55" t="n">
        <f aca="false">C25*D25</f>
        <v>0</v>
      </c>
      <c r="I25" s="55" t="n">
        <f aca="false">C25*C25</f>
        <v>0</v>
      </c>
      <c r="J25" s="55" t="n">
        <f aca="false">D25*D25</f>
        <v>0.49</v>
      </c>
      <c r="K25" s="55" t="n">
        <f aca="false">SUMPRODUCT(E25:J25,_XtX!$B$53:$G$53)</f>
        <v>48.8740517241379</v>
      </c>
      <c r="L25" s="55" t="n">
        <f aca="false">SUMPRODUCT(MMULT(E25:J25,_XtX!$B$44:$G$49),E25:J25)</f>
        <v>0.239633908045977</v>
      </c>
      <c r="M25" s="55" t="n">
        <f aca="false">K25-04_回帰ANOVA!$K$19*04_回帰ANOVA!$K$14*SQRT(1+L25)</f>
        <v>47.3652808354926</v>
      </c>
      <c r="N25" s="55" t="n">
        <f aca="false">K25+04_回帰ANOVA!$K$19*04_回帰ANOVA!$K$14*SQRT(1+L25)</f>
        <v>50.3828226127833</v>
      </c>
      <c r="O25" s="54" t="b">
        <f aca="false">AND(C25&gt;=01_因子設定!$L$5-0.000000001,C25&lt;=01_因子設定!$M$5+0.000000001,D25&gt;=01_因子設定!$L$6-0.000000001,D25&lt;=01_因子設定!$M$6+0.000000001,IF(01_因子設定!$B$20="Box-Behnken",C25^2+D25^2&lt;=2+0.000000001,TRUE()))</f>
        <v>1</v>
      </c>
      <c r="P25" s="55" t="n">
        <f aca="false">IF(O25,IF(01_因子設定!$B$13="最大化",M25-01_因子設定!$B$14,IF(01_因子設定!$B$13="最小化",01_因子設定!$B$15-N25,MIN(M25-01_因子設定!$B$14,01_因子設定!$B$15-N25))),-1E+030)</f>
        <v>0.865280835492563</v>
      </c>
      <c r="Q25" s="55" t="n">
        <f aca="false">IF(P25&gt;=0,1,0)</f>
        <v>1</v>
      </c>
    </row>
    <row r="26" customFormat="false" ht="15" hidden="false" customHeight="false" outlineLevel="0" collapsed="false">
      <c r="A26" s="0" t="n">
        <v>1</v>
      </c>
      <c r="B26" s="0" t="n">
        <v>0.05</v>
      </c>
      <c r="C26" s="0" t="n">
        <f aca="false">B26</f>
        <v>0.05</v>
      </c>
      <c r="D26" s="57" t="n">
        <f aca="false">07_最適化!$B$7</f>
        <v>0.7</v>
      </c>
      <c r="E26" s="55" t="n">
        <f aca="false">1</f>
        <v>1</v>
      </c>
      <c r="F26" s="55" t="n">
        <f aca="false">C26</f>
        <v>0.05</v>
      </c>
      <c r="G26" s="57" t="n">
        <f aca="false">D26</f>
        <v>0.7</v>
      </c>
      <c r="H26" s="55" t="n">
        <f aca="false">C26*D26</f>
        <v>0.035</v>
      </c>
      <c r="I26" s="55" t="n">
        <f aca="false">C26*C26</f>
        <v>0.0025</v>
      </c>
      <c r="J26" s="55" t="n">
        <f aca="false">D26*D26</f>
        <v>0.49</v>
      </c>
      <c r="K26" s="55" t="n">
        <f aca="false">SUMPRODUCT(E26:J26,_XtX!$B$53:$G$53)</f>
        <v>48.9914022988506</v>
      </c>
      <c r="L26" s="55" t="n">
        <f aca="false">SUMPRODUCT(MMULT(E26:J26,_XtX!$B$44:$G$49),E26:J26)</f>
        <v>0.239503915229885</v>
      </c>
      <c r="M26" s="55" t="n">
        <f aca="false">K26-04_回帰ANOVA!$K$19*04_回帰ANOVA!$K$14*SQRT(1+L26)</f>
        <v>47.4827105200607</v>
      </c>
      <c r="N26" s="55" t="n">
        <f aca="false">K26+04_回帰ANOVA!$K$19*04_回帰ANOVA!$K$14*SQRT(1+L26)</f>
        <v>50.5000940776405</v>
      </c>
      <c r="O26" s="54" t="b">
        <f aca="false">AND(C26&gt;=01_因子設定!$L$5-0.000000001,C26&lt;=01_因子設定!$M$5+0.000000001,D26&gt;=01_因子設定!$L$6-0.000000001,D26&lt;=01_因子設定!$M$6+0.000000001,IF(01_因子設定!$B$20="Box-Behnken",C26^2+D26^2&lt;=2+0.000000001,TRUE()))</f>
        <v>1</v>
      </c>
      <c r="P26" s="55" t="n">
        <f aca="false">IF(O26,IF(01_因子設定!$B$13="最大化",M26-01_因子設定!$B$14,IF(01_因子設定!$B$13="最小化",01_因子設定!$B$15-N26,MIN(M26-01_因子設定!$B$14,01_因子設定!$B$15-N26))),-1E+030)</f>
        <v>0.982710520060699</v>
      </c>
      <c r="Q26" s="55" t="n">
        <f aca="false">IF(P26&gt;=0,1,0)</f>
        <v>1</v>
      </c>
    </row>
    <row r="27" customFormat="false" ht="15" hidden="false" customHeight="false" outlineLevel="0" collapsed="false">
      <c r="A27" s="0" t="n">
        <v>1</v>
      </c>
      <c r="B27" s="0" t="n">
        <v>0.1</v>
      </c>
      <c r="C27" s="0" t="n">
        <f aca="false">B27</f>
        <v>0.1</v>
      </c>
      <c r="D27" s="57" t="n">
        <f aca="false">07_最適化!$B$7</f>
        <v>0.7</v>
      </c>
      <c r="E27" s="55" t="n">
        <f aca="false">1</f>
        <v>1</v>
      </c>
      <c r="F27" s="55" t="n">
        <f aca="false">C27</f>
        <v>0.1</v>
      </c>
      <c r="G27" s="57" t="n">
        <f aca="false">D27</f>
        <v>0.7</v>
      </c>
      <c r="H27" s="55" t="n">
        <f aca="false">C27*D27</f>
        <v>0.07</v>
      </c>
      <c r="I27" s="55" t="n">
        <f aca="false">C27*C27</f>
        <v>0.01</v>
      </c>
      <c r="J27" s="55" t="n">
        <f aca="false">D27*D27</f>
        <v>0.49</v>
      </c>
      <c r="K27" s="55" t="n">
        <f aca="false">SUMPRODUCT(E27:J27,_XtX!$B$53:$G$53)</f>
        <v>49.0950373563218</v>
      </c>
      <c r="L27" s="55" t="n">
        <f aca="false">SUMPRODUCT(MMULT(E27:J27,_XtX!$B$44:$G$49),E27:J27)</f>
        <v>0.239141091954023</v>
      </c>
      <c r="M27" s="55" t="n">
        <f aca="false">K27-04_回帰ANOVA!$K$19*04_回帰ANOVA!$K$14*SQRT(1+L27)</f>
        <v>47.5865664031986</v>
      </c>
      <c r="N27" s="55" t="n">
        <f aca="false">K27+04_回帰ANOVA!$K$19*04_回帰ANOVA!$K$14*SQRT(1+L27)</f>
        <v>50.6035083094451</v>
      </c>
      <c r="O27" s="54" t="b">
        <f aca="false">AND(C27&gt;=01_因子設定!$L$5-0.000000001,C27&lt;=01_因子設定!$M$5+0.000000001,D27&gt;=01_因子設定!$L$6-0.000000001,D27&lt;=01_因子設定!$M$6+0.000000001,IF(01_因子設定!$B$20="Box-Behnken",C27^2+D27^2&lt;=2+0.000000001,TRUE()))</f>
        <v>1</v>
      </c>
      <c r="P27" s="55" t="n">
        <f aca="false">IF(O27,IF(01_因子設定!$B$13="最大化",M27-01_因子設定!$B$14,IF(01_因子設定!$B$13="最小化",01_因子設定!$B$15-N27,MIN(M27-01_因子設定!$B$14,01_因子設定!$B$15-N27))),-1E+030)</f>
        <v>1.08656640319859</v>
      </c>
      <c r="Q27" s="55" t="n">
        <f aca="false">IF(P27&gt;=0,1,0)</f>
        <v>1</v>
      </c>
    </row>
    <row r="28" customFormat="false" ht="15" hidden="false" customHeight="false" outlineLevel="0" collapsed="false">
      <c r="A28" s="0" t="n">
        <v>1</v>
      </c>
      <c r="B28" s="0" t="n">
        <v>0.15</v>
      </c>
      <c r="C28" s="0" t="n">
        <f aca="false">B28</f>
        <v>0.15</v>
      </c>
      <c r="D28" s="57" t="n">
        <f aca="false">07_最適化!$B$7</f>
        <v>0.7</v>
      </c>
      <c r="E28" s="55" t="n">
        <f aca="false">1</f>
        <v>1</v>
      </c>
      <c r="F28" s="55" t="n">
        <f aca="false">C28</f>
        <v>0.15</v>
      </c>
      <c r="G28" s="57" t="n">
        <f aca="false">D28</f>
        <v>0.7</v>
      </c>
      <c r="H28" s="55" t="n">
        <f aca="false">C28*D28</f>
        <v>0.105</v>
      </c>
      <c r="I28" s="55" t="n">
        <f aca="false">C28*C28</f>
        <v>0.0225</v>
      </c>
      <c r="J28" s="55" t="n">
        <f aca="false">D28*D28</f>
        <v>0.49</v>
      </c>
      <c r="K28" s="55" t="n">
        <f aca="false">SUMPRODUCT(E28:J28,_XtX!$B$53:$G$53)</f>
        <v>49.1849568965517</v>
      </c>
      <c r="L28" s="55" t="n">
        <f aca="false">SUMPRODUCT(MMULT(E28:J28,_XtX!$B$44:$G$49),E28:J28)</f>
        <v>0.238626903735632</v>
      </c>
      <c r="M28" s="55" t="n">
        <f aca="false">K28-04_回帰ANOVA!$K$19*04_回帰ANOVA!$K$14*SQRT(1+L28)</f>
        <v>47.6767989499446</v>
      </c>
      <c r="N28" s="55" t="n">
        <f aca="false">K28+04_回帰ANOVA!$K$19*04_回帰ANOVA!$K$14*SQRT(1+L28)</f>
        <v>50.6931148431589</v>
      </c>
      <c r="O28" s="54" t="b">
        <f aca="false">AND(C28&gt;=01_因子設定!$L$5-0.000000001,C28&lt;=01_因子設定!$M$5+0.000000001,D28&gt;=01_因子設定!$L$6-0.000000001,D28&lt;=01_因子設定!$M$6+0.000000001,IF(01_因子設定!$B$20="Box-Behnken",C28^2+D28^2&lt;=2+0.000000001,TRUE()))</f>
        <v>1</v>
      </c>
      <c r="P28" s="55" t="n">
        <f aca="false">IF(O28,IF(01_因子設定!$B$13="最大化",M28-01_因子設定!$B$14,IF(01_因子設定!$B$13="最小化",01_因子設定!$B$15-N28,MIN(M28-01_因子設定!$B$14,01_因子設定!$B$15-N28))),-1E+030)</f>
        <v>1.1767989499446</v>
      </c>
      <c r="Q28" s="55" t="n">
        <f aca="false">IF(P28&gt;=0,1,0)</f>
        <v>1</v>
      </c>
    </row>
    <row r="29" customFormat="false" ht="15" hidden="false" customHeight="false" outlineLevel="0" collapsed="false">
      <c r="A29" s="0" t="n">
        <v>1</v>
      </c>
      <c r="B29" s="0" t="n">
        <v>0.2</v>
      </c>
      <c r="C29" s="0" t="n">
        <f aca="false">B29</f>
        <v>0.2</v>
      </c>
      <c r="D29" s="57" t="n">
        <f aca="false">07_最適化!$B$7</f>
        <v>0.7</v>
      </c>
      <c r="E29" s="55" t="n">
        <f aca="false">1</f>
        <v>1</v>
      </c>
      <c r="F29" s="55" t="n">
        <f aca="false">C29</f>
        <v>0.2</v>
      </c>
      <c r="G29" s="57" t="n">
        <f aca="false">D29</f>
        <v>0.7</v>
      </c>
      <c r="H29" s="55" t="n">
        <f aca="false">C29*D29</f>
        <v>0.14</v>
      </c>
      <c r="I29" s="55" t="n">
        <f aca="false">C29*C29</f>
        <v>0.04</v>
      </c>
      <c r="J29" s="55" t="n">
        <f aca="false">D29*D29</f>
        <v>0.49</v>
      </c>
      <c r="K29" s="55" t="n">
        <f aca="false">SUMPRODUCT(E29:J29,_XtX!$B$53:$G$53)</f>
        <v>49.2611609195402</v>
      </c>
      <c r="L29" s="55" t="n">
        <f aca="false">SUMPRODUCT(MMULT(E29:J29,_XtX!$B$44:$G$49),E29:J29)</f>
        <v>0.238097126436782</v>
      </c>
      <c r="M29" s="55" t="n">
        <f aca="false">K29-04_回帰ANOVA!$K$19*04_回帰ANOVA!$K$14*SQRT(1+L29)</f>
        <v>47.7533255370941</v>
      </c>
      <c r="N29" s="55" t="n">
        <f aca="false">K29+04_回帰ANOVA!$K$19*04_回帰ANOVA!$K$14*SQRT(1+L29)</f>
        <v>50.7689963019864</v>
      </c>
      <c r="O29" s="54" t="b">
        <f aca="false">AND(C29&gt;=01_因子設定!$L$5-0.000000001,C29&lt;=01_因子設定!$M$5+0.000000001,D29&gt;=01_因子設定!$L$6-0.000000001,D29&lt;=01_因子設定!$M$6+0.000000001,IF(01_因子設定!$B$20="Box-Behnken",C29^2+D29^2&lt;=2+0.000000001,TRUE()))</f>
        <v>1</v>
      </c>
      <c r="P29" s="55" t="n">
        <f aca="false">IF(O29,IF(01_因子設定!$B$13="最大化",M29-01_因子設定!$B$14,IF(01_因子設定!$B$13="最小化",01_因子設定!$B$15-N29,MIN(M29-01_因子設定!$B$14,01_因子設定!$B$15-N29))),-1E+030)</f>
        <v>1.25332553709407</v>
      </c>
      <c r="Q29" s="55" t="n">
        <f aca="false">IF(P29&gt;=0,1,0)</f>
        <v>1</v>
      </c>
    </row>
    <row r="30" customFormat="false" ht="15" hidden="false" customHeight="false" outlineLevel="0" collapsed="false">
      <c r="A30" s="0" t="n">
        <v>1</v>
      </c>
      <c r="B30" s="0" t="n">
        <v>0.25</v>
      </c>
      <c r="C30" s="0" t="n">
        <f aca="false">B30</f>
        <v>0.25</v>
      </c>
      <c r="D30" s="57" t="n">
        <f aca="false">07_最適化!$B$7</f>
        <v>0.7</v>
      </c>
      <c r="E30" s="55" t="n">
        <f aca="false">1</f>
        <v>1</v>
      </c>
      <c r="F30" s="55" t="n">
        <f aca="false">C30</f>
        <v>0.25</v>
      </c>
      <c r="G30" s="57" t="n">
        <f aca="false">D30</f>
        <v>0.7</v>
      </c>
      <c r="H30" s="55" t="n">
        <f aca="false">C30*D30</f>
        <v>0.175</v>
      </c>
      <c r="I30" s="55" t="n">
        <f aca="false">C30*C30</f>
        <v>0.0625</v>
      </c>
      <c r="J30" s="55" t="n">
        <f aca="false">D30*D30</f>
        <v>0.49</v>
      </c>
      <c r="K30" s="55" t="n">
        <f aca="false">SUMPRODUCT(E30:J30,_XtX!$B$53:$G$53)</f>
        <v>49.3236494252874</v>
      </c>
      <c r="L30" s="55" t="n">
        <f aca="false">SUMPRODUCT(MMULT(E30:J30,_XtX!$B$44:$G$49),E30:J30)</f>
        <v>0.237741846264368</v>
      </c>
      <c r="M30" s="55" t="n">
        <f aca="false">K30-04_回帰ANOVA!$K$19*04_回帰ANOVA!$K$14*SQRT(1+L30)</f>
        <v>47.8160304000395</v>
      </c>
      <c r="N30" s="55" t="n">
        <f aca="false">K30+04_回帰ANOVA!$K$19*04_回帰ANOVA!$K$14*SQRT(1+L30)</f>
        <v>50.8312684505352</v>
      </c>
      <c r="O30" s="54" t="b">
        <f aca="false">AND(C30&gt;=01_因子設定!$L$5-0.000000001,C30&lt;=01_因子設定!$M$5+0.000000001,D30&gt;=01_因子設定!$L$6-0.000000001,D30&lt;=01_因子設定!$M$6+0.000000001,IF(01_因子設定!$B$20="Box-Behnken",C30^2+D30^2&lt;=2+0.000000001,TRUE()))</f>
        <v>1</v>
      </c>
      <c r="P30" s="55" t="n">
        <f aca="false">IF(O30,IF(01_因子設定!$B$13="最大化",M30-01_因子設定!$B$14,IF(01_因子設定!$B$13="最小化",01_因子設定!$B$15-N30,MIN(M30-01_因子設定!$B$14,01_因子設定!$B$15-N30))),-1E+030)</f>
        <v>1.31603040003954</v>
      </c>
      <c r="Q30" s="55" t="n">
        <f aca="false">IF(P30&gt;=0,1,0)</f>
        <v>1</v>
      </c>
    </row>
    <row r="31" customFormat="false" ht="15" hidden="false" customHeight="false" outlineLevel="0" collapsed="false">
      <c r="A31" s="0" t="n">
        <v>1</v>
      </c>
      <c r="B31" s="0" t="n">
        <v>0.3</v>
      </c>
      <c r="C31" s="0" t="n">
        <f aca="false">B31</f>
        <v>0.3</v>
      </c>
      <c r="D31" s="57" t="n">
        <f aca="false">07_最適化!$B$7</f>
        <v>0.7</v>
      </c>
      <c r="E31" s="55" t="n">
        <f aca="false">1</f>
        <v>1</v>
      </c>
      <c r="F31" s="55" t="n">
        <f aca="false">C31</f>
        <v>0.3</v>
      </c>
      <c r="G31" s="57" t="n">
        <f aca="false">D31</f>
        <v>0.7</v>
      </c>
      <c r="H31" s="55" t="n">
        <f aca="false">C31*D31</f>
        <v>0.21</v>
      </c>
      <c r="I31" s="55" t="n">
        <f aca="false">C31*C31</f>
        <v>0.09</v>
      </c>
      <c r="J31" s="55" t="n">
        <f aca="false">D31*D31</f>
        <v>0.49</v>
      </c>
      <c r="K31" s="55" t="n">
        <f aca="false">SUMPRODUCT(E31:J31,_XtX!$B$53:$G$53)</f>
        <v>49.3724224137931</v>
      </c>
      <c r="L31" s="55" t="n">
        <f aca="false">SUMPRODUCT(MMULT(E31:J31,_XtX!$B$44:$G$49),E31:J31)</f>
        <v>0.237805459770115</v>
      </c>
      <c r="M31" s="55" t="n">
        <f aca="false">K31-04_回帰ANOVA!$K$19*04_回帰ANOVA!$K$14*SQRT(1+L31)</f>
        <v>47.8647646471472</v>
      </c>
      <c r="N31" s="55" t="n">
        <f aca="false">K31+04_回帰ANOVA!$K$19*04_回帰ANOVA!$K$14*SQRT(1+L31)</f>
        <v>50.880080180439</v>
      </c>
      <c r="O31" s="54" t="b">
        <f aca="false">AND(C31&gt;=01_因子設定!$L$5-0.000000001,C31&lt;=01_因子設定!$M$5+0.000000001,D31&gt;=01_因子設定!$L$6-0.000000001,D31&lt;=01_因子設定!$M$6+0.000000001,IF(01_因子設定!$B$20="Box-Behnken",C31^2+D31^2&lt;=2+0.000000001,TRUE()))</f>
        <v>1</v>
      </c>
      <c r="P31" s="55" t="n">
        <f aca="false">IF(O31,IF(01_因子設定!$B$13="最大化",M31-01_因子設定!$B$14,IF(01_因子設定!$B$13="最小化",01_因子設定!$B$15-N31,MIN(M31-01_因子設定!$B$14,01_因子設定!$B$15-N31))),-1E+030)</f>
        <v>1.36476464714716</v>
      </c>
      <c r="Q31" s="55" t="n">
        <f aca="false">IF(P31&gt;=0,1,0)</f>
        <v>1</v>
      </c>
    </row>
    <row r="32" customFormat="false" ht="15" hidden="false" customHeight="false" outlineLevel="0" collapsed="false">
      <c r="A32" s="0" t="n">
        <v>1</v>
      </c>
      <c r="B32" s="0" t="n">
        <v>0.35</v>
      </c>
      <c r="C32" s="0" t="n">
        <f aca="false">B32</f>
        <v>0.35</v>
      </c>
      <c r="D32" s="57" t="n">
        <f aca="false">07_最適化!$B$7</f>
        <v>0.7</v>
      </c>
      <c r="E32" s="55" t="n">
        <f aca="false">1</f>
        <v>1</v>
      </c>
      <c r="F32" s="55" t="n">
        <f aca="false">C32</f>
        <v>0.35</v>
      </c>
      <c r="G32" s="57" t="n">
        <f aca="false">D32</f>
        <v>0.7</v>
      </c>
      <c r="H32" s="55" t="n">
        <f aca="false">C32*D32</f>
        <v>0.245</v>
      </c>
      <c r="I32" s="55" t="n">
        <f aca="false">C32*C32</f>
        <v>0.1225</v>
      </c>
      <c r="J32" s="55" t="n">
        <f aca="false">D32*D32</f>
        <v>0.49</v>
      </c>
      <c r="K32" s="55" t="n">
        <f aca="false">SUMPRODUCT(E32:J32,_XtX!$B$53:$G$53)</f>
        <v>49.4074798850575</v>
      </c>
      <c r="L32" s="55" t="n">
        <f aca="false">SUMPRODUCT(MMULT(E32:J32,_XtX!$B$44:$G$49),E32:J32)</f>
        <v>0.238586673850575</v>
      </c>
      <c r="M32" s="55" t="n">
        <f aca="false">K32-04_回帰ANOVA!$K$19*04_回帰ANOVA!$K$14*SQRT(1+L32)</f>
        <v>47.8993464306979</v>
      </c>
      <c r="N32" s="55" t="n">
        <f aca="false">K32+04_回帰ANOVA!$K$19*04_回帰ANOVA!$K$14*SQRT(1+L32)</f>
        <v>50.915613339417</v>
      </c>
      <c r="O32" s="54" t="b">
        <f aca="false">AND(C32&gt;=01_因子設定!$L$5-0.000000001,C32&lt;=01_因子設定!$M$5+0.000000001,D32&gt;=01_因子設定!$L$6-0.000000001,D32&lt;=01_因子設定!$M$6+0.000000001,IF(01_因子設定!$B$20="Box-Behnken",C32^2+D32^2&lt;=2+0.000000001,TRUE()))</f>
        <v>1</v>
      </c>
      <c r="P32" s="55" t="n">
        <f aca="false">IF(O32,IF(01_因子設定!$B$13="最大化",M32-01_因子設定!$B$14,IF(01_因子設定!$B$13="最小化",01_因子設定!$B$15-N32,MIN(M32-01_因子設定!$B$14,01_因子設定!$B$15-N32))),-1E+030)</f>
        <v>1.3993464306979</v>
      </c>
      <c r="Q32" s="55" t="n">
        <f aca="false">IF(P32&gt;=0,1,0)</f>
        <v>1</v>
      </c>
    </row>
    <row r="33" customFormat="false" ht="15" hidden="false" customHeight="false" outlineLevel="0" collapsed="false">
      <c r="A33" s="0" t="n">
        <v>1</v>
      </c>
      <c r="B33" s="0" t="n">
        <v>0.4</v>
      </c>
      <c r="C33" s="0" t="n">
        <f aca="false">B33</f>
        <v>0.4</v>
      </c>
      <c r="D33" s="57" t="n">
        <f aca="false">07_最適化!$B$7</f>
        <v>0.7</v>
      </c>
      <c r="E33" s="55" t="n">
        <f aca="false">1</f>
        <v>1</v>
      </c>
      <c r="F33" s="55" t="n">
        <f aca="false">C33</f>
        <v>0.4</v>
      </c>
      <c r="G33" s="57" t="n">
        <f aca="false">D33</f>
        <v>0.7</v>
      </c>
      <c r="H33" s="55" t="n">
        <f aca="false">C33*D33</f>
        <v>0.28</v>
      </c>
      <c r="I33" s="55" t="n">
        <f aca="false">C33*C33</f>
        <v>0.16</v>
      </c>
      <c r="J33" s="55" t="n">
        <f aca="false">D33*D33</f>
        <v>0.49</v>
      </c>
      <c r="K33" s="55" t="n">
        <f aca="false">SUMPRODUCT(E33:J33,_XtX!$B$53:$G$53)</f>
        <v>49.4288218390805</v>
      </c>
      <c r="L33" s="55" t="n">
        <f aca="false">SUMPRODUCT(MMULT(E33:J33,_XtX!$B$44:$G$49),E33:J33)</f>
        <v>0.240438505747127</v>
      </c>
      <c r="M33" s="55" t="n">
        <f aca="false">K33-04_回帰ANOVA!$K$19*04_回帰ANOVA!$K$14*SQRT(1+L33)</f>
        <v>47.9195613878868</v>
      </c>
      <c r="N33" s="55" t="n">
        <f aca="false">K33+04_回帰ANOVA!$K$19*04_回帰ANOVA!$K$14*SQRT(1+L33)</f>
        <v>50.9380822902742</v>
      </c>
      <c r="O33" s="54" t="b">
        <f aca="false">AND(C33&gt;=01_因子設定!$L$5-0.000000001,C33&lt;=01_因子設定!$M$5+0.000000001,D33&gt;=01_因子設定!$L$6-0.000000001,D33&lt;=01_因子設定!$M$6+0.000000001,IF(01_因子設定!$B$20="Box-Behnken",C33^2+D33^2&lt;=2+0.000000001,TRUE()))</f>
        <v>1</v>
      </c>
      <c r="P33" s="55" t="n">
        <f aca="false">IF(O33,IF(01_因子設定!$B$13="最大化",M33-01_因子設定!$B$14,IF(01_因子設定!$B$13="最小化",01_因子設定!$B$15-N33,MIN(M33-01_因子設定!$B$14,01_因子設定!$B$15-N33))),-1E+030)</f>
        <v>1.41956138788675</v>
      </c>
      <c r="Q33" s="55" t="n">
        <f aca="false">IF(P33&gt;=0,1,0)</f>
        <v>1</v>
      </c>
    </row>
    <row r="34" customFormat="false" ht="15" hidden="false" customHeight="false" outlineLevel="0" collapsed="false">
      <c r="A34" s="0" t="n">
        <v>1</v>
      </c>
      <c r="B34" s="0" t="n">
        <v>0.45</v>
      </c>
      <c r="C34" s="0" t="n">
        <f aca="false">B34</f>
        <v>0.45</v>
      </c>
      <c r="D34" s="57" t="n">
        <f aca="false">07_最適化!$B$7</f>
        <v>0.7</v>
      </c>
      <c r="E34" s="55" t="n">
        <f aca="false">1</f>
        <v>1</v>
      </c>
      <c r="F34" s="55" t="n">
        <f aca="false">C34</f>
        <v>0.45</v>
      </c>
      <c r="G34" s="57" t="n">
        <f aca="false">D34</f>
        <v>0.7</v>
      </c>
      <c r="H34" s="55" t="n">
        <f aca="false">C34*D34</f>
        <v>0.315</v>
      </c>
      <c r="I34" s="55" t="n">
        <f aca="false">C34*C34</f>
        <v>0.2025</v>
      </c>
      <c r="J34" s="55" t="n">
        <f aca="false">D34*D34</f>
        <v>0.49</v>
      </c>
      <c r="K34" s="55" t="n">
        <f aca="false">SUMPRODUCT(E34:J34,_XtX!$B$53:$G$53)</f>
        <v>49.4364482758621</v>
      </c>
      <c r="L34" s="55" t="n">
        <f aca="false">SUMPRODUCT(MMULT(E34:J34,_XtX!$B$44:$G$49),E34:J34)</f>
        <v>0.243768283045977</v>
      </c>
      <c r="M34" s="55" t="n">
        <f aca="false">K34-04_回帰ANOVA!$K$19*04_回帰ANOVA!$K$14*SQRT(1+L34)</f>
        <v>47.9251634868528</v>
      </c>
      <c r="N34" s="55" t="n">
        <f aca="false">K34+04_回帰ANOVA!$K$19*04_回帰ANOVA!$K$14*SQRT(1+L34)</f>
        <v>50.9477330648713</v>
      </c>
      <c r="O34" s="54" t="b">
        <f aca="false">AND(C34&gt;=01_因子設定!$L$5-0.000000001,C34&lt;=01_因子設定!$M$5+0.000000001,D34&gt;=01_因子設定!$L$6-0.000000001,D34&lt;=01_因子設定!$M$6+0.000000001,IF(01_因子設定!$B$20="Box-Behnken",C34^2+D34^2&lt;=2+0.000000001,TRUE()))</f>
        <v>1</v>
      </c>
      <c r="P34" s="55" t="n">
        <f aca="false">IF(O34,IF(01_因子設定!$B$13="最大化",M34-01_因子設定!$B$14,IF(01_因子設定!$B$13="最小化",01_因子設定!$B$15-N34,MIN(M34-01_因子設定!$B$14,01_因子設定!$B$15-N34))),-1E+030)</f>
        <v>1.4251634868528</v>
      </c>
      <c r="Q34" s="55" t="n">
        <f aca="false">IF(P34&gt;=0,1,0)</f>
        <v>1</v>
      </c>
    </row>
    <row r="35" customFormat="false" ht="15" hidden="false" customHeight="false" outlineLevel="0" collapsed="false">
      <c r="A35" s="0" t="n">
        <v>1</v>
      </c>
      <c r="B35" s="0" t="n">
        <v>0.5</v>
      </c>
      <c r="C35" s="0" t="n">
        <f aca="false">B35</f>
        <v>0.5</v>
      </c>
      <c r="D35" s="57" t="n">
        <f aca="false">07_最適化!$B$7</f>
        <v>0.7</v>
      </c>
      <c r="E35" s="55" t="n">
        <f aca="false">1</f>
        <v>1</v>
      </c>
      <c r="F35" s="55" t="n">
        <f aca="false">C35</f>
        <v>0.5</v>
      </c>
      <c r="G35" s="57" t="n">
        <f aca="false">D35</f>
        <v>0.7</v>
      </c>
      <c r="H35" s="55" t="n">
        <f aca="false">C35*D35</f>
        <v>0.35</v>
      </c>
      <c r="I35" s="55" t="n">
        <f aca="false">C35*C35</f>
        <v>0.25</v>
      </c>
      <c r="J35" s="55" t="n">
        <f aca="false">D35*D35</f>
        <v>0.49</v>
      </c>
      <c r="K35" s="55" t="n">
        <f aca="false">SUMPRODUCT(E35:J35,_XtX!$B$53:$G$53)</f>
        <v>49.4303591954023</v>
      </c>
      <c r="L35" s="55" t="n">
        <f aca="false">SUMPRODUCT(MMULT(E35:J35,_XtX!$B$44:$G$49),E35:J35)</f>
        <v>0.249037643678161</v>
      </c>
      <c r="M35" s="55" t="n">
        <f aca="false">K35-04_回帰ANOVA!$K$19*04_回帰ANOVA!$K$14*SQRT(1+L35)</f>
        <v>47.9158764281464</v>
      </c>
      <c r="N35" s="55" t="n">
        <f aca="false">K35+04_回帰ANOVA!$K$19*04_回帰ANOVA!$K$14*SQRT(1+L35)</f>
        <v>50.9448419626582</v>
      </c>
      <c r="O35" s="54" t="b">
        <f aca="false">AND(C35&gt;=01_因子設定!$L$5-0.000000001,C35&lt;=01_因子設定!$M$5+0.000000001,D35&gt;=01_因子設定!$L$6-0.000000001,D35&lt;=01_因子設定!$M$6+0.000000001,IF(01_因子設定!$B$20="Box-Behnken",C35^2+D35^2&lt;=2+0.000000001,TRUE()))</f>
        <v>1</v>
      </c>
      <c r="P35" s="55" t="n">
        <f aca="false">IF(O35,IF(01_因子設定!$B$13="最大化",M35-01_因子設定!$B$14,IF(01_因子設定!$B$13="最小化",01_因子設定!$B$15-N35,MIN(M35-01_因子設定!$B$14,01_因子設定!$B$15-N35))),-1E+030)</f>
        <v>1.41587642814639</v>
      </c>
      <c r="Q35" s="55" t="n">
        <f aca="false">IF(P35&gt;=0,1,0)</f>
        <v>1</v>
      </c>
    </row>
    <row r="36" customFormat="false" ht="15" hidden="false" customHeight="false" outlineLevel="0" collapsed="false">
      <c r="A36" s="0" t="n">
        <v>1</v>
      </c>
      <c r="B36" s="0" t="n">
        <v>0.55</v>
      </c>
      <c r="C36" s="0" t="n">
        <f aca="false">B36</f>
        <v>0.55</v>
      </c>
      <c r="D36" s="57" t="n">
        <f aca="false">07_最適化!$B$7</f>
        <v>0.7</v>
      </c>
      <c r="E36" s="55" t="n">
        <f aca="false">1</f>
        <v>1</v>
      </c>
      <c r="F36" s="55" t="n">
        <f aca="false">C36</f>
        <v>0.55</v>
      </c>
      <c r="G36" s="57" t="n">
        <f aca="false">D36</f>
        <v>0.7</v>
      </c>
      <c r="H36" s="55" t="n">
        <f aca="false">C36*D36</f>
        <v>0.385</v>
      </c>
      <c r="I36" s="55" t="n">
        <f aca="false">C36*C36</f>
        <v>0.3025</v>
      </c>
      <c r="J36" s="55" t="n">
        <f aca="false">D36*D36</f>
        <v>0.49</v>
      </c>
      <c r="K36" s="55" t="n">
        <f aca="false">SUMPRODUCT(E36:J36,_XtX!$B$53:$G$53)</f>
        <v>49.4105545977011</v>
      </c>
      <c r="L36" s="55" t="n">
        <f aca="false">SUMPRODUCT(MMULT(E36:J36,_XtX!$B$44:$G$49),E36:J36)</f>
        <v>0.25676253591954</v>
      </c>
      <c r="M36" s="55" t="n">
        <f aca="false">K36-04_回帰ANOVA!$K$19*04_回帰ANOVA!$K$14*SQRT(1+L36)</f>
        <v>47.8913957572315</v>
      </c>
      <c r="N36" s="55" t="n">
        <f aca="false">K36+04_回帰ANOVA!$K$19*04_回帰ANOVA!$K$14*SQRT(1+L36)</f>
        <v>50.9297134381708</v>
      </c>
      <c r="O36" s="54" t="b">
        <f aca="false">AND(C36&gt;=01_因子設定!$L$5-0.000000001,C36&lt;=01_因子設定!$M$5+0.000000001,D36&gt;=01_因子設定!$L$6-0.000000001,D36&lt;=01_因子設定!$M$6+0.000000001,IF(01_因子設定!$B$20="Box-Behnken",C36^2+D36^2&lt;=2+0.000000001,TRUE()))</f>
        <v>1</v>
      </c>
      <c r="P36" s="55" t="n">
        <f aca="false">IF(O36,IF(01_因子設定!$B$13="最大化",M36-01_因子設定!$B$14,IF(01_因子設定!$B$13="最小化",01_因子設定!$B$15-N36,MIN(M36-01_因子設定!$B$14,01_因子設定!$B$15-N36))),-1E+030)</f>
        <v>1.39139575723151</v>
      </c>
      <c r="Q36" s="55" t="n">
        <f aca="false">IF(P36&gt;=0,1,0)</f>
        <v>1</v>
      </c>
    </row>
    <row r="37" customFormat="false" ht="15" hidden="false" customHeight="false" outlineLevel="0" collapsed="false">
      <c r="A37" s="0" t="n">
        <v>1</v>
      </c>
      <c r="B37" s="0" t="n">
        <v>0.6</v>
      </c>
      <c r="C37" s="0" t="n">
        <f aca="false">B37</f>
        <v>0.6</v>
      </c>
      <c r="D37" s="57" t="n">
        <f aca="false">07_最適化!$B$7</f>
        <v>0.7</v>
      </c>
      <c r="E37" s="55" t="n">
        <f aca="false">1</f>
        <v>1</v>
      </c>
      <c r="F37" s="55" t="n">
        <f aca="false">C37</f>
        <v>0.6</v>
      </c>
      <c r="G37" s="57" t="n">
        <f aca="false">D37</f>
        <v>0.7</v>
      </c>
      <c r="H37" s="55" t="n">
        <f aca="false">C37*D37</f>
        <v>0.42</v>
      </c>
      <c r="I37" s="55" t="n">
        <f aca="false">C37*C37</f>
        <v>0.36</v>
      </c>
      <c r="J37" s="55" t="n">
        <f aca="false">D37*D37</f>
        <v>0.49</v>
      </c>
      <c r="K37" s="55" t="n">
        <f aca="false">SUMPRODUCT(E37:J37,_XtX!$B$53:$G$53)</f>
        <v>49.3770344827586</v>
      </c>
      <c r="L37" s="55" t="n">
        <f aca="false">SUMPRODUCT(MMULT(E37:J37,_XtX!$B$44:$G$49),E37:J37)</f>
        <v>0.267513218390805</v>
      </c>
      <c r="M37" s="55" t="n">
        <f aca="false">K37-04_回帰ANOVA!$K$19*04_回帰ANOVA!$K$14*SQRT(1+L37)</f>
        <v>47.8513918335404</v>
      </c>
      <c r="N37" s="55" t="n">
        <f aca="false">K37+04_回帰ANOVA!$K$19*04_回帰ANOVA!$K$14*SQRT(1+L37)</f>
        <v>50.9026771319768</v>
      </c>
      <c r="O37" s="54" t="b">
        <f aca="false">AND(C37&gt;=01_因子設定!$L$5-0.000000001,C37&lt;=01_因子設定!$M$5+0.000000001,D37&gt;=01_因子設定!$L$6-0.000000001,D37&lt;=01_因子設定!$M$6+0.000000001,IF(01_因子設定!$B$20="Box-Behnken",C37^2+D37^2&lt;=2+0.000000001,TRUE()))</f>
        <v>1</v>
      </c>
      <c r="P37" s="55" t="n">
        <f aca="false">IF(O37,IF(01_因子設定!$B$13="最大化",M37-01_因子設定!$B$14,IF(01_因子設定!$B$13="最小化",01_因子設定!$B$15-N37,MIN(M37-01_因子設定!$B$14,01_因子設定!$B$15-N37))),-1E+030)</f>
        <v>1.35139183354043</v>
      </c>
      <c r="Q37" s="55" t="n">
        <f aca="false">IF(P37&gt;=0,1,0)</f>
        <v>1</v>
      </c>
    </row>
    <row r="38" customFormat="false" ht="15" hidden="false" customHeight="false" outlineLevel="0" collapsed="false">
      <c r="A38" s="0" t="n">
        <v>1</v>
      </c>
      <c r="B38" s="0" t="n">
        <v>0.65</v>
      </c>
      <c r="C38" s="0" t="n">
        <f aca="false">B38</f>
        <v>0.65</v>
      </c>
      <c r="D38" s="57" t="n">
        <f aca="false">07_最適化!$B$7</f>
        <v>0.7</v>
      </c>
      <c r="E38" s="55" t="n">
        <f aca="false">1</f>
        <v>1</v>
      </c>
      <c r="F38" s="55" t="n">
        <f aca="false">C38</f>
        <v>0.65</v>
      </c>
      <c r="G38" s="57" t="n">
        <f aca="false">D38</f>
        <v>0.7</v>
      </c>
      <c r="H38" s="55" t="n">
        <f aca="false">C38*D38</f>
        <v>0.455</v>
      </c>
      <c r="I38" s="55" t="n">
        <f aca="false">C38*C38</f>
        <v>0.4225</v>
      </c>
      <c r="J38" s="55" t="n">
        <f aca="false">D38*D38</f>
        <v>0.49</v>
      </c>
      <c r="K38" s="55" t="n">
        <f aca="false">SUMPRODUCT(E38:J38,_XtX!$B$53:$G$53)</f>
        <v>49.3297988505747</v>
      </c>
      <c r="L38" s="55" t="n">
        <f aca="false">SUMPRODUCT(MMULT(E38:J38,_XtX!$B$44:$G$49),E38:J38)</f>
        <v>0.281914260057471</v>
      </c>
      <c r="M38" s="55" t="n">
        <f aca="false">K38-04_回帰ANOVA!$K$19*04_回帰ANOVA!$K$14*SQRT(1+L38)</f>
        <v>47.795513771122</v>
      </c>
      <c r="N38" s="55" t="n">
        <f aca="false">K38+04_回帰ANOVA!$K$19*04_回帰ANOVA!$K$14*SQRT(1+L38)</f>
        <v>50.8640839300275</v>
      </c>
      <c r="O38" s="54" t="b">
        <f aca="false">AND(C38&gt;=01_因子設定!$L$5-0.000000001,C38&lt;=01_因子設定!$M$5+0.000000001,D38&gt;=01_因子設定!$L$6-0.000000001,D38&lt;=01_因子設定!$M$6+0.000000001,IF(01_因子設定!$B$20="Box-Behnken",C38^2+D38^2&lt;=2+0.000000001,TRUE()))</f>
        <v>1</v>
      </c>
      <c r="P38" s="55" t="n">
        <f aca="false">IF(O38,IF(01_因子設定!$B$13="最大化",M38-01_因子設定!$B$14,IF(01_因子設定!$B$13="最小化",01_因子設定!$B$15-N38,MIN(M38-01_因子設定!$B$14,01_因子設定!$B$15-N38))),-1E+030)</f>
        <v>1.29551377112195</v>
      </c>
      <c r="Q38" s="55" t="n">
        <f aca="false">IF(P38&gt;=0,1,0)</f>
        <v>1</v>
      </c>
    </row>
    <row r="39" customFormat="false" ht="15" hidden="false" customHeight="false" outlineLevel="0" collapsed="false">
      <c r="A39" s="0" t="n">
        <v>1</v>
      </c>
      <c r="B39" s="0" t="n">
        <v>0.7</v>
      </c>
      <c r="C39" s="0" t="n">
        <f aca="false">B39</f>
        <v>0.7</v>
      </c>
      <c r="D39" s="57" t="n">
        <f aca="false">07_最適化!$B$7</f>
        <v>0.7</v>
      </c>
      <c r="E39" s="55" t="n">
        <f aca="false">1</f>
        <v>1</v>
      </c>
      <c r="F39" s="55" t="n">
        <f aca="false">C39</f>
        <v>0.7</v>
      </c>
      <c r="G39" s="57" t="n">
        <f aca="false">D39</f>
        <v>0.7</v>
      </c>
      <c r="H39" s="55" t="n">
        <f aca="false">C39*D39</f>
        <v>0.49</v>
      </c>
      <c r="I39" s="55" t="n">
        <f aca="false">C39*C39</f>
        <v>0.49</v>
      </c>
      <c r="J39" s="55" t="n">
        <f aca="false">D39*D39</f>
        <v>0.49</v>
      </c>
      <c r="K39" s="55" t="n">
        <f aca="false">SUMPRODUCT(E39:J39,_XtX!$B$53:$G$53)</f>
        <v>49.2688477011494</v>
      </c>
      <c r="L39" s="55" t="n">
        <f aca="false">SUMPRODUCT(MMULT(E39:J39,_XtX!$B$44:$G$49),E39:J39)</f>
        <v>0.300644540229885</v>
      </c>
      <c r="M39" s="55" t="n">
        <f aca="false">K39-04_回帰ANOVA!$K$19*04_回帰ANOVA!$K$14*SQRT(1+L39)</f>
        <v>47.7233944111054</v>
      </c>
      <c r="N39" s="55" t="n">
        <f aca="false">K39+04_回帰ANOVA!$K$19*04_回帰ANOVA!$K$14*SQRT(1+L39)</f>
        <v>50.8143009911934</v>
      </c>
      <c r="O39" s="54" t="b">
        <f aca="false">AND(C39&gt;=01_因子設定!$L$5-0.000000001,C39&lt;=01_因子設定!$M$5+0.000000001,D39&gt;=01_因子設定!$L$6-0.000000001,D39&lt;=01_因子設定!$M$6+0.000000001,IF(01_因子設定!$B$20="Box-Behnken",C39^2+D39^2&lt;=2+0.000000001,TRUE()))</f>
        <v>1</v>
      </c>
      <c r="P39" s="55" t="n">
        <f aca="false">IF(O39,IF(01_因子設定!$B$13="最大化",M39-01_因子設定!$B$14,IF(01_因子設定!$B$13="最小化",01_因子設定!$B$15-N39,MIN(M39-01_因子設定!$B$14,01_因子設定!$B$15-N39))),-1E+030)</f>
        <v>1.22339441110541</v>
      </c>
      <c r="Q39" s="55" t="n">
        <f aca="false">IF(P39&gt;=0,1,0)</f>
        <v>1</v>
      </c>
    </row>
    <row r="40" customFormat="false" ht="15" hidden="false" customHeight="false" outlineLevel="0" collapsed="false">
      <c r="A40" s="0" t="n">
        <v>1</v>
      </c>
      <c r="B40" s="0" t="n">
        <v>0.75</v>
      </c>
      <c r="C40" s="0" t="n">
        <f aca="false">B40</f>
        <v>0.75</v>
      </c>
      <c r="D40" s="57" t="n">
        <f aca="false">07_最適化!$B$7</f>
        <v>0.7</v>
      </c>
      <c r="E40" s="55" t="n">
        <f aca="false">1</f>
        <v>1</v>
      </c>
      <c r="F40" s="55" t="n">
        <f aca="false">C40</f>
        <v>0.75</v>
      </c>
      <c r="G40" s="57" t="n">
        <f aca="false">D40</f>
        <v>0.7</v>
      </c>
      <c r="H40" s="55" t="n">
        <f aca="false">C40*D40</f>
        <v>0.525</v>
      </c>
      <c r="I40" s="55" t="n">
        <f aca="false">C40*C40</f>
        <v>0.5625</v>
      </c>
      <c r="J40" s="55" t="n">
        <f aca="false">D40*D40</f>
        <v>0.49</v>
      </c>
      <c r="K40" s="55" t="n">
        <f aca="false">SUMPRODUCT(E40:J40,_XtX!$B$53:$G$53)</f>
        <v>49.1941810344827</v>
      </c>
      <c r="L40" s="55" t="n">
        <f aca="false">SUMPRODUCT(MMULT(E40:J40,_XtX!$B$44:$G$49),E40:J40)</f>
        <v>0.324437248563218</v>
      </c>
      <c r="M40" s="55" t="n">
        <f aca="false">K40-04_回帰ANOVA!$K$19*04_回帰ANOVA!$K$14*SQRT(1+L40)</f>
        <v>47.6346563059868</v>
      </c>
      <c r="N40" s="55" t="n">
        <f aca="false">K40+04_回帰ANOVA!$K$19*04_回帰ANOVA!$K$14*SQRT(1+L40)</f>
        <v>50.7537057629787</v>
      </c>
      <c r="O40" s="54" t="b">
        <f aca="false">AND(C40&gt;=01_因子設定!$L$5-0.000000001,C40&lt;=01_因子設定!$M$5+0.000000001,D40&gt;=01_因子設定!$L$6-0.000000001,D40&lt;=01_因子設定!$M$6+0.000000001,IF(01_因子設定!$B$20="Box-Behnken",C40^2+D40^2&lt;=2+0.000000001,TRUE()))</f>
        <v>1</v>
      </c>
      <c r="P40" s="55" t="n">
        <f aca="false">IF(O40,IF(01_因子設定!$B$13="最大化",M40-01_因子設定!$B$14,IF(01_因子設定!$B$13="最小化",01_因子設定!$B$15-N40,MIN(M40-01_因子設定!$B$14,01_因子設定!$B$15-N40))),-1E+030)</f>
        <v>1.13465630598678</v>
      </c>
      <c r="Q40" s="55" t="n">
        <f aca="false">IF(P40&gt;=0,1,0)</f>
        <v>1</v>
      </c>
    </row>
    <row r="41" customFormat="false" ht="15" hidden="false" customHeight="false" outlineLevel="0" collapsed="false">
      <c r="A41" s="0" t="n">
        <v>1</v>
      </c>
      <c r="B41" s="0" t="n">
        <v>0.8</v>
      </c>
      <c r="C41" s="0" t="n">
        <f aca="false">B41</f>
        <v>0.8</v>
      </c>
      <c r="D41" s="57" t="n">
        <f aca="false">07_最適化!$B$7</f>
        <v>0.7</v>
      </c>
      <c r="E41" s="55" t="n">
        <f aca="false">1</f>
        <v>1</v>
      </c>
      <c r="F41" s="55" t="n">
        <f aca="false">C41</f>
        <v>0.8</v>
      </c>
      <c r="G41" s="57" t="n">
        <f aca="false">D41</f>
        <v>0.7</v>
      </c>
      <c r="H41" s="55" t="n">
        <f aca="false">C41*D41</f>
        <v>0.56</v>
      </c>
      <c r="I41" s="55" t="n">
        <f aca="false">C41*C41</f>
        <v>0.64</v>
      </c>
      <c r="J41" s="55" t="n">
        <f aca="false">D41*D41</f>
        <v>0.49</v>
      </c>
      <c r="K41" s="55" t="n">
        <f aca="false">SUMPRODUCT(E41:J41,_XtX!$B$53:$G$53)</f>
        <v>49.1057988505747</v>
      </c>
      <c r="L41" s="55" t="n">
        <f aca="false">SUMPRODUCT(MMULT(E41:J41,_XtX!$B$44:$G$49),E41:J41)</f>
        <v>0.354079885057471</v>
      </c>
      <c r="M41" s="55" t="n">
        <f aca="false">K41-04_回帰ANOVA!$K$19*04_回帰ANOVA!$K$14*SQRT(1+L41)</f>
        <v>47.528918593803</v>
      </c>
      <c r="N41" s="55" t="n">
        <f aca="false">K41+04_回帰ANOVA!$K$19*04_回帰ANOVA!$K$14*SQRT(1+L41)</f>
        <v>50.6826791073464</v>
      </c>
      <c r="O41" s="54" t="b">
        <f aca="false">AND(C41&gt;=01_因子設定!$L$5-0.000000001,C41&lt;=01_因子設定!$M$5+0.000000001,D41&gt;=01_因子設定!$L$6-0.000000001,D41&lt;=01_因子設定!$M$6+0.000000001,IF(01_因子設定!$B$20="Box-Behnken",C41^2+D41^2&lt;=2+0.000000001,TRUE()))</f>
        <v>1</v>
      </c>
      <c r="P41" s="55" t="n">
        <f aca="false">IF(O41,IF(01_因子設定!$B$13="最大化",M41-01_因子設定!$B$14,IF(01_因子設定!$B$13="最小化",01_因子設定!$B$15-N41,MIN(M41-01_因子設定!$B$14,01_因子設定!$B$15-N41))),-1E+030)</f>
        <v>1.02891859380296</v>
      </c>
      <c r="Q41" s="55" t="n">
        <f aca="false">IF(P41&gt;=0,1,0)</f>
        <v>1</v>
      </c>
    </row>
    <row r="42" customFormat="false" ht="15" hidden="false" customHeight="false" outlineLevel="0" collapsed="false">
      <c r="A42" s="0" t="n">
        <v>1</v>
      </c>
      <c r="B42" s="0" t="n">
        <v>0.85</v>
      </c>
      <c r="C42" s="0" t="n">
        <f aca="false">B42</f>
        <v>0.85</v>
      </c>
      <c r="D42" s="57" t="n">
        <f aca="false">07_最適化!$B$7</f>
        <v>0.7</v>
      </c>
      <c r="E42" s="55" t="n">
        <f aca="false">1</f>
        <v>1</v>
      </c>
      <c r="F42" s="55" t="n">
        <f aca="false">C42</f>
        <v>0.85</v>
      </c>
      <c r="G42" s="57" t="n">
        <f aca="false">D42</f>
        <v>0.7</v>
      </c>
      <c r="H42" s="55" t="n">
        <f aca="false">C42*D42</f>
        <v>0.595</v>
      </c>
      <c r="I42" s="55" t="n">
        <f aca="false">C42*C42</f>
        <v>0.7225</v>
      </c>
      <c r="J42" s="55" t="n">
        <f aca="false">D42*D42</f>
        <v>0.49</v>
      </c>
      <c r="K42" s="55" t="n">
        <f aca="false">SUMPRODUCT(E42:J42,_XtX!$B$53:$G$53)</f>
        <v>49.0037011494253</v>
      </c>
      <c r="L42" s="55" t="n">
        <f aca="false">SUMPRODUCT(MMULT(E42:J42,_XtX!$B$44:$G$49),E42:J42)</f>
        <v>0.390414260057471</v>
      </c>
      <c r="M42" s="55" t="n">
        <f aca="false">K42-04_回帰ANOVA!$K$19*04_回帰ANOVA!$K$14*SQRT(1+L42)</f>
        <v>47.4058045263254</v>
      </c>
      <c r="N42" s="55" t="n">
        <f aca="false">K42+04_回帰ANOVA!$K$19*04_回帰ANOVA!$K$14*SQRT(1+L42)</f>
        <v>50.6015977725251</v>
      </c>
      <c r="O42" s="54" t="b">
        <f aca="false">AND(C42&gt;=01_因子設定!$L$5-0.000000001,C42&lt;=01_因子設定!$M$5+0.000000001,D42&gt;=01_因子設定!$L$6-0.000000001,D42&lt;=01_因子設定!$M$6+0.000000001,IF(01_因子設定!$B$20="Box-Behnken",C42^2+D42^2&lt;=2+0.000000001,TRUE()))</f>
        <v>1</v>
      </c>
      <c r="P42" s="55" t="n">
        <f aca="false">IF(O42,IF(01_因子設定!$B$13="最大化",M42-01_因子設定!$B$14,IF(01_因子設定!$B$13="最小化",01_因子設定!$B$15-N42,MIN(M42-01_因子設定!$B$14,01_因子設定!$B$15-N42))),-1E+030)</f>
        <v>0.90580452632544</v>
      </c>
      <c r="Q42" s="55" t="n">
        <f aca="false">IF(P42&gt;=0,1,0)</f>
        <v>1</v>
      </c>
    </row>
    <row r="43" customFormat="false" ht="15" hidden="false" customHeight="false" outlineLevel="0" collapsed="false">
      <c r="A43" s="0" t="n">
        <v>1</v>
      </c>
      <c r="B43" s="0" t="n">
        <v>0.9</v>
      </c>
      <c r="C43" s="0" t="n">
        <f aca="false">B43</f>
        <v>0.9</v>
      </c>
      <c r="D43" s="57" t="n">
        <f aca="false">07_最適化!$B$7</f>
        <v>0.7</v>
      </c>
      <c r="E43" s="55" t="n">
        <f aca="false">1</f>
        <v>1</v>
      </c>
      <c r="F43" s="55" t="n">
        <f aca="false">C43</f>
        <v>0.9</v>
      </c>
      <c r="G43" s="57" t="n">
        <f aca="false">D43</f>
        <v>0.7</v>
      </c>
      <c r="H43" s="55" t="n">
        <f aca="false">C43*D43</f>
        <v>0.63</v>
      </c>
      <c r="I43" s="55" t="n">
        <f aca="false">C43*C43</f>
        <v>0.81</v>
      </c>
      <c r="J43" s="55" t="n">
        <f aca="false">D43*D43</f>
        <v>0.49</v>
      </c>
      <c r="K43" s="55" t="n">
        <f aca="false">SUMPRODUCT(E43:J43,_XtX!$B$53:$G$53)</f>
        <v>48.8878879310345</v>
      </c>
      <c r="L43" s="55" t="n">
        <f aca="false">SUMPRODUCT(MMULT(E43:J43,_XtX!$B$44:$G$49),E43:J43)</f>
        <v>0.434336494252874</v>
      </c>
      <c r="M43" s="55" t="n">
        <f aca="false">K43-04_回帰ANOVA!$K$19*04_回帰ANOVA!$K$14*SQRT(1+L43)</f>
        <v>47.2649493052694</v>
      </c>
      <c r="N43" s="55" t="n">
        <f aca="false">K43+04_回帰ANOVA!$K$19*04_回帰ANOVA!$K$14*SQRT(1+L43)</f>
        <v>50.5108265567996</v>
      </c>
      <c r="O43" s="54" t="b">
        <f aca="false">AND(C43&gt;=01_因子設定!$L$5-0.000000001,C43&lt;=01_因子設定!$M$5+0.000000001,D43&gt;=01_因子設定!$L$6-0.000000001,D43&lt;=01_因子設定!$M$6+0.000000001,IF(01_因子設定!$B$20="Box-Behnken",C43^2+D43^2&lt;=2+0.000000001,TRUE()))</f>
        <v>1</v>
      </c>
      <c r="P43" s="55" t="n">
        <f aca="false">IF(O43,IF(01_因子設定!$B$13="最大化",M43-01_因子設定!$B$14,IF(01_因子設定!$B$13="最小化",01_因子設定!$B$15-N43,MIN(M43-01_因子設定!$B$14,01_因子設定!$B$15-N43))),-1E+030)</f>
        <v>0.764949305269347</v>
      </c>
      <c r="Q43" s="55" t="n">
        <f aca="false">IF(P43&gt;=0,1,0)</f>
        <v>1</v>
      </c>
    </row>
    <row r="44" customFormat="false" ht="15" hidden="false" customHeight="false" outlineLevel="0" collapsed="false">
      <c r="A44" s="0" t="n">
        <v>1</v>
      </c>
      <c r="B44" s="0" t="n">
        <v>0.95</v>
      </c>
      <c r="C44" s="0" t="n">
        <f aca="false">B44</f>
        <v>0.95</v>
      </c>
      <c r="D44" s="57" t="n">
        <f aca="false">07_最適化!$B$7</f>
        <v>0.7</v>
      </c>
      <c r="E44" s="55" t="n">
        <f aca="false">1</f>
        <v>1</v>
      </c>
      <c r="F44" s="55" t="n">
        <f aca="false">C44</f>
        <v>0.95</v>
      </c>
      <c r="G44" s="57" t="n">
        <f aca="false">D44</f>
        <v>0.7</v>
      </c>
      <c r="H44" s="55" t="n">
        <f aca="false">C44*D44</f>
        <v>0.665</v>
      </c>
      <c r="I44" s="55" t="n">
        <f aca="false">C44*C44</f>
        <v>0.9025</v>
      </c>
      <c r="J44" s="55" t="n">
        <f aca="false">D44*D44</f>
        <v>0.49</v>
      </c>
      <c r="K44" s="55" t="n">
        <f aca="false">SUMPRODUCT(E44:J44,_XtX!$B$53:$G$53)</f>
        <v>48.7583591954023</v>
      </c>
      <c r="L44" s="55" t="n">
        <f aca="false">SUMPRODUCT(MMULT(E44:J44,_XtX!$B$44:$G$49),E44:J44)</f>
        <v>0.486797018678161</v>
      </c>
      <c r="M44" s="55" t="n">
        <f aca="false">K44-04_回帰ANOVA!$K$19*04_回帰ANOVA!$K$14*SQRT(1+L44)</f>
        <v>47.1060077940399</v>
      </c>
      <c r="N44" s="55" t="n">
        <f aca="false">K44+04_回帰ANOVA!$K$19*04_回帰ANOVA!$K$14*SQRT(1+L44)</f>
        <v>50.4107105967646</v>
      </c>
      <c r="O44" s="54" t="b">
        <f aca="false">AND(C44&gt;=01_因子設定!$L$5-0.000000001,C44&lt;=01_因子設定!$M$5+0.000000001,D44&gt;=01_因子設定!$L$6-0.000000001,D44&lt;=01_因子設定!$M$6+0.000000001,IF(01_因子設定!$B$20="Box-Behnken",C44^2+D44^2&lt;=2+0.000000001,TRUE()))</f>
        <v>1</v>
      </c>
      <c r="P44" s="55" t="n">
        <f aca="false">IF(O44,IF(01_因子設定!$B$13="最大化",M44-01_因子設定!$B$14,IF(01_因子設定!$B$13="最小化",01_因子設定!$B$15-N44,MIN(M44-01_因子設定!$B$14,01_因子設定!$B$15-N44))),-1E+030)</f>
        <v>0.60600779403994</v>
      </c>
      <c r="Q44" s="55" t="n">
        <f aca="false">IF(P44&gt;=0,1,0)</f>
        <v>1</v>
      </c>
    </row>
    <row r="45" customFormat="false" ht="15" hidden="false" customHeight="false" outlineLevel="0" collapsed="false">
      <c r="A45" s="0" t="n">
        <v>1</v>
      </c>
      <c r="B45" s="0" t="n">
        <v>1</v>
      </c>
      <c r="C45" s="0" t="n">
        <f aca="false">B45</f>
        <v>1</v>
      </c>
      <c r="D45" s="57" t="n">
        <f aca="false">07_最適化!$B$7</f>
        <v>0.7</v>
      </c>
      <c r="E45" s="55" t="n">
        <f aca="false">1</f>
        <v>1</v>
      </c>
      <c r="F45" s="55" t="n">
        <f aca="false">C45</f>
        <v>1</v>
      </c>
      <c r="G45" s="57" t="n">
        <f aca="false">D45</f>
        <v>0.7</v>
      </c>
      <c r="H45" s="55" t="n">
        <f aca="false">C45*D45</f>
        <v>0.7</v>
      </c>
      <c r="I45" s="55" t="n">
        <f aca="false">C45*C45</f>
        <v>1</v>
      </c>
      <c r="J45" s="55" t="n">
        <f aca="false">D45*D45</f>
        <v>0.49</v>
      </c>
      <c r="K45" s="55" t="n">
        <f aca="false">SUMPRODUCT(E45:J45,_XtX!$B$53:$G$53)</f>
        <v>48.6151149425287</v>
      </c>
      <c r="L45" s="55" t="n">
        <f aca="false">SUMPRODUCT(MMULT(E45:J45,_XtX!$B$44:$G$49),E45:J45)</f>
        <v>0.548800574712644</v>
      </c>
      <c r="M45" s="55" t="n">
        <f aca="false">K45-04_回帰ANOVA!$K$19*04_回帰ANOVA!$K$14*SQRT(1+L45)</f>
        <v>46.9286616295481</v>
      </c>
      <c r="N45" s="55" t="n">
        <f aca="false">K45+04_回帰ANOVA!$K$19*04_回帰ANOVA!$K$14*SQRT(1+L45)</f>
        <v>50.3015682555093</v>
      </c>
      <c r="O45" s="54" t="b">
        <f aca="false">AND(C45&gt;=01_因子設定!$L$5-0.000000001,C45&lt;=01_因子設定!$M$5+0.000000001,D45&gt;=01_因子設定!$L$6-0.000000001,D45&lt;=01_因子設定!$M$6+0.000000001,IF(01_因子設定!$B$20="Box-Behnken",C45^2+D45^2&lt;=2+0.000000001,TRUE()))</f>
        <v>1</v>
      </c>
      <c r="P45" s="55" t="n">
        <f aca="false">IF(O45,IF(01_因子設定!$B$13="最大化",M45-01_因子設定!$B$14,IF(01_因子設定!$B$13="最小化",01_因子設定!$B$15-N45,MIN(M45-01_因子設定!$B$14,01_因子設定!$B$15-N45))),-1E+030)</f>
        <v>0.428661629548124</v>
      </c>
      <c r="Q45" s="55" t="n">
        <f aca="false">IF(P45&gt;=0,1,0)</f>
        <v>1</v>
      </c>
    </row>
    <row r="46" customFormat="false" ht="15" hidden="false" customHeight="false" outlineLevel="0" collapsed="false">
      <c r="A46" s="0" t="n">
        <v>2</v>
      </c>
      <c r="B46" s="0" t="n">
        <v>-1</v>
      </c>
      <c r="C46" s="57" t="n">
        <f aca="false">07_最適化!$B$6</f>
        <v>0.45</v>
      </c>
      <c r="D46" s="55" t="n">
        <f aca="false">B46</f>
        <v>-1</v>
      </c>
      <c r="E46" s="55" t="n">
        <f aca="false">1</f>
        <v>1</v>
      </c>
      <c r="F46" s="57" t="n">
        <f aca="false">C46</f>
        <v>0.45</v>
      </c>
      <c r="G46" s="55" t="n">
        <f aca="false">D46</f>
        <v>-1</v>
      </c>
      <c r="H46" s="55" t="n">
        <f aca="false">C46*D46</f>
        <v>-0.45</v>
      </c>
      <c r="I46" s="55" t="n">
        <f aca="false">C46*C46</f>
        <v>0.2025</v>
      </c>
      <c r="J46" s="55" t="n">
        <f aca="false">D46*D46</f>
        <v>1</v>
      </c>
      <c r="K46" s="55" t="n">
        <f aca="false">SUMPRODUCT(E46:J46,_XtX!$B$53:$G$53)</f>
        <v>44.4228405172414</v>
      </c>
      <c r="L46" s="55" t="n">
        <f aca="false">SUMPRODUCT(MMULT(E46:J46,_XtX!$B$44:$G$49),E46:J46)</f>
        <v>0.495716343390805</v>
      </c>
      <c r="M46" s="55" t="n">
        <f aca="false">K46-04_回帰ANOVA!$K$19*04_回帰ANOVA!$K$14*SQRT(1+L46)</f>
        <v>42.7655402824546</v>
      </c>
      <c r="N46" s="55" t="n">
        <f aca="false">K46+04_回帰ANOVA!$K$19*04_回帰ANOVA!$K$14*SQRT(1+L46)</f>
        <v>46.0801407520282</v>
      </c>
      <c r="O46" s="54" t="b">
        <f aca="false">AND(C46&gt;=01_因子設定!$L$5-0.000000001,C46&lt;=01_因子設定!$M$5+0.000000001,D46&gt;=01_因子設定!$L$6-0.000000001,D46&lt;=01_因子設定!$M$6+0.000000001,IF(01_因子設定!$B$20="Box-Behnken",C46^2+D46^2&lt;=2+0.000000001,TRUE()))</f>
        <v>1</v>
      </c>
      <c r="P46" s="55" t="n">
        <f aca="false">IF(O46,IF(01_因子設定!$B$13="最大化",M46-01_因子設定!$B$14,IF(01_因子設定!$B$13="最小化",01_因子設定!$B$15-N46,MIN(M46-01_因子設定!$B$14,01_因子設定!$B$15-N46))),-1E+030)</f>
        <v>-3.73445971754543</v>
      </c>
      <c r="Q46" s="55" t="n">
        <f aca="false">IF(P46&gt;=0,1,0)</f>
        <v>0</v>
      </c>
    </row>
    <row r="47" customFormat="false" ht="15" hidden="false" customHeight="false" outlineLevel="0" collapsed="false">
      <c r="A47" s="0" t="n">
        <v>2</v>
      </c>
      <c r="B47" s="0" t="n">
        <v>-0.95</v>
      </c>
      <c r="C47" s="57" t="n">
        <f aca="false">07_最適化!$B$6</f>
        <v>0.45</v>
      </c>
      <c r="D47" s="55" t="n">
        <f aca="false">B47</f>
        <v>-0.95</v>
      </c>
      <c r="E47" s="55" t="n">
        <f aca="false">1</f>
        <v>1</v>
      </c>
      <c r="F47" s="57" t="n">
        <f aca="false">C47</f>
        <v>0.45</v>
      </c>
      <c r="G47" s="55" t="n">
        <f aca="false">D47</f>
        <v>-0.95</v>
      </c>
      <c r="H47" s="55" t="n">
        <f aca="false">C47*D47</f>
        <v>-0.4275</v>
      </c>
      <c r="I47" s="55" t="n">
        <f aca="false">C47*C47</f>
        <v>0.2025</v>
      </c>
      <c r="J47" s="55" t="n">
        <f aca="false">D47*D47</f>
        <v>0.9025</v>
      </c>
      <c r="K47" s="55" t="n">
        <f aca="false">SUMPRODUCT(E47:J47,_XtX!$B$53:$G$53)</f>
        <v>44.6976056034483</v>
      </c>
      <c r="L47" s="55" t="n">
        <f aca="false">SUMPRODUCT(MMULT(E47:J47,_XtX!$B$44:$G$49),E47:J47)</f>
        <v>0.432987841235632</v>
      </c>
      <c r="M47" s="55" t="n">
        <f aca="false">K47-04_回帰ANOVA!$K$19*04_回帰ANOVA!$K$14*SQRT(1+L47)</f>
        <v>43.0754301513988</v>
      </c>
      <c r="N47" s="55" t="n">
        <f aca="false">K47+04_回帰ANOVA!$K$19*04_回帰ANOVA!$K$14*SQRT(1+L47)</f>
        <v>46.3197810554977</v>
      </c>
      <c r="O47" s="54" t="b">
        <f aca="false">AND(C47&gt;=01_因子設定!$L$5-0.000000001,C47&lt;=01_因子設定!$M$5+0.000000001,D47&gt;=01_因子設定!$L$6-0.000000001,D47&lt;=01_因子設定!$M$6+0.000000001,IF(01_因子設定!$B$20="Box-Behnken",C47^2+D47^2&lt;=2+0.000000001,TRUE()))</f>
        <v>1</v>
      </c>
      <c r="P47" s="55" t="n">
        <f aca="false">IF(O47,IF(01_因子設定!$B$13="最大化",M47-01_因子設定!$B$14,IF(01_因子設定!$B$13="最小化",01_因子設定!$B$15-N47,MIN(M47-01_因子設定!$B$14,01_因子設定!$B$15-N47))),-1E+030)</f>
        <v>-3.42456984860116</v>
      </c>
      <c r="Q47" s="55" t="n">
        <f aca="false">IF(P47&gt;=0,1,0)</f>
        <v>0</v>
      </c>
    </row>
    <row r="48" customFormat="false" ht="15" hidden="false" customHeight="false" outlineLevel="0" collapsed="false">
      <c r="A48" s="0" t="n">
        <v>2</v>
      </c>
      <c r="B48" s="0" t="n">
        <v>-0.9</v>
      </c>
      <c r="C48" s="57" t="n">
        <f aca="false">07_最適化!$B$6</f>
        <v>0.45</v>
      </c>
      <c r="D48" s="55" t="n">
        <f aca="false">B48</f>
        <v>-0.9</v>
      </c>
      <c r="E48" s="55" t="n">
        <f aca="false">1</f>
        <v>1</v>
      </c>
      <c r="F48" s="57" t="n">
        <f aca="false">C48</f>
        <v>0.45</v>
      </c>
      <c r="G48" s="55" t="n">
        <f aca="false">D48</f>
        <v>-0.9</v>
      </c>
      <c r="H48" s="55" t="n">
        <f aca="false">C48*D48</f>
        <v>-0.405</v>
      </c>
      <c r="I48" s="55" t="n">
        <f aca="false">C48*C48</f>
        <v>0.2025</v>
      </c>
      <c r="J48" s="55" t="n">
        <f aca="false">D48*D48</f>
        <v>0.81</v>
      </c>
      <c r="K48" s="55" t="n">
        <f aca="false">SUMPRODUCT(E48:J48,_XtX!$B$53:$G$53)</f>
        <v>44.9646551724138</v>
      </c>
      <c r="L48" s="55" t="n">
        <f aca="false">SUMPRODUCT(MMULT(E48:J48,_XtX!$B$44:$G$49),E48:J48)</f>
        <v>0.379839547413793</v>
      </c>
      <c r="M48" s="55" t="n">
        <f aca="false">K48-04_回帰ANOVA!$K$19*04_回帰ANOVA!$K$14*SQRT(1+L48)</f>
        <v>43.3728465004786</v>
      </c>
      <c r="N48" s="55" t="n">
        <f aca="false">K48+04_回帰ANOVA!$K$19*04_回帰ANOVA!$K$14*SQRT(1+L48)</f>
        <v>46.556463844349</v>
      </c>
      <c r="O48" s="54" t="b">
        <f aca="false">AND(C48&gt;=01_因子設定!$L$5-0.000000001,C48&lt;=01_因子設定!$M$5+0.000000001,D48&gt;=01_因子設定!$L$6-0.000000001,D48&lt;=01_因子設定!$M$6+0.000000001,IF(01_因子設定!$B$20="Box-Behnken",C48^2+D48^2&lt;=2+0.000000001,TRUE()))</f>
        <v>1</v>
      </c>
      <c r="P48" s="55" t="n">
        <f aca="false">IF(O48,IF(01_因子設定!$B$13="最大化",M48-01_因子設定!$B$14,IF(01_因子設定!$B$13="最小化",01_因子設定!$B$15-N48,MIN(M48-01_因子設定!$B$14,01_因子設定!$B$15-N48))),-1E+030)</f>
        <v>-3.1271534995214</v>
      </c>
      <c r="Q48" s="55" t="n">
        <f aca="false">IF(P48&gt;=0,1,0)</f>
        <v>0</v>
      </c>
    </row>
    <row r="49" customFormat="false" ht="15" hidden="false" customHeight="false" outlineLevel="0" collapsed="false">
      <c r="A49" s="0" t="n">
        <v>2</v>
      </c>
      <c r="B49" s="0" t="n">
        <v>-0.85</v>
      </c>
      <c r="C49" s="57" t="n">
        <f aca="false">07_最適化!$B$6</f>
        <v>0.45</v>
      </c>
      <c r="D49" s="55" t="n">
        <f aca="false">B49</f>
        <v>-0.85</v>
      </c>
      <c r="E49" s="55" t="n">
        <f aca="false">1</f>
        <v>1</v>
      </c>
      <c r="F49" s="57" t="n">
        <f aca="false">C49</f>
        <v>0.45</v>
      </c>
      <c r="G49" s="55" t="n">
        <f aca="false">D49</f>
        <v>-0.85</v>
      </c>
      <c r="H49" s="55" t="n">
        <f aca="false">C49*D49</f>
        <v>-0.3825</v>
      </c>
      <c r="I49" s="55" t="n">
        <f aca="false">C49*C49</f>
        <v>0.2025</v>
      </c>
      <c r="J49" s="55" t="n">
        <f aca="false">D49*D49</f>
        <v>0.7225</v>
      </c>
      <c r="K49" s="55" t="n">
        <f aca="false">SUMPRODUCT(E49:J49,_XtX!$B$53:$G$53)</f>
        <v>45.2239892241379</v>
      </c>
      <c r="L49" s="55" t="n">
        <f aca="false">SUMPRODUCT(MMULT(E49:J49,_XtX!$B$44:$G$49),E49:J49)</f>
        <v>0.335266720545977</v>
      </c>
      <c r="M49" s="55" t="n">
        <f aca="false">K49-04_回帰ANOVA!$K$19*04_回帰ANOVA!$K$14*SQRT(1+L49)</f>
        <v>43.6581016248272</v>
      </c>
      <c r="N49" s="55" t="n">
        <f aca="false">K49+04_回帰ANOVA!$K$19*04_回帰ANOVA!$K$14*SQRT(1+L49)</f>
        <v>46.7898768234487</v>
      </c>
      <c r="O49" s="54" t="b">
        <f aca="false">AND(C49&gt;=01_因子設定!$L$5-0.000000001,C49&lt;=01_因子設定!$M$5+0.000000001,D49&gt;=01_因子設定!$L$6-0.000000001,D49&lt;=01_因子設定!$M$6+0.000000001,IF(01_因子設定!$B$20="Box-Behnken",C49^2+D49^2&lt;=2+0.000000001,TRUE()))</f>
        <v>1</v>
      </c>
      <c r="P49" s="55" t="n">
        <f aca="false">IF(O49,IF(01_因子設定!$B$13="最大化",M49-01_因子設定!$B$14,IF(01_因子設定!$B$13="最小化",01_因子設定!$B$15-N49,MIN(M49-01_因子設定!$B$14,01_因子設定!$B$15-N49))),-1E+030)</f>
        <v>-2.8418983751728</v>
      </c>
      <c r="Q49" s="55" t="n">
        <f aca="false">IF(P49&gt;=0,1,0)</f>
        <v>0</v>
      </c>
    </row>
    <row r="50" customFormat="false" ht="15" hidden="false" customHeight="false" outlineLevel="0" collapsed="false">
      <c r="A50" s="0" t="n">
        <v>2</v>
      </c>
      <c r="B50" s="0" t="n">
        <v>-0.8</v>
      </c>
      <c r="C50" s="57" t="n">
        <f aca="false">07_最適化!$B$6</f>
        <v>0.45</v>
      </c>
      <c r="D50" s="55" t="n">
        <f aca="false">B50</f>
        <v>-0.8</v>
      </c>
      <c r="E50" s="55" t="n">
        <f aca="false">1</f>
        <v>1</v>
      </c>
      <c r="F50" s="57" t="n">
        <f aca="false">C50</f>
        <v>0.45</v>
      </c>
      <c r="G50" s="55" t="n">
        <f aca="false">D50</f>
        <v>-0.8</v>
      </c>
      <c r="H50" s="55" t="n">
        <f aca="false">C50*D50</f>
        <v>-0.36</v>
      </c>
      <c r="I50" s="55" t="n">
        <f aca="false">C50*C50</f>
        <v>0.2025</v>
      </c>
      <c r="J50" s="55" t="n">
        <f aca="false">D50*D50</f>
        <v>0.64</v>
      </c>
      <c r="K50" s="55" t="n">
        <f aca="false">SUMPRODUCT(E50:J50,_XtX!$B$53:$G$53)</f>
        <v>45.4756077586207</v>
      </c>
      <c r="L50" s="55" t="n">
        <f aca="false">SUMPRODUCT(MMULT(E50:J50,_XtX!$B$44:$G$49),E50:J50)</f>
        <v>0.298318929597701</v>
      </c>
      <c r="M50" s="55" t="n">
        <f aca="false">K50-04_回帰ANOVA!$K$19*04_回帰ANOVA!$K$14*SQRT(1+L50)</f>
        <v>43.9315367565664</v>
      </c>
      <c r="N50" s="55" t="n">
        <f aca="false">K50+04_回帰ANOVA!$K$19*04_回帰ANOVA!$K$14*SQRT(1+L50)</f>
        <v>47.0196787606749</v>
      </c>
      <c r="O50" s="54" t="b">
        <f aca="false">AND(C50&gt;=01_因子設定!$L$5-0.000000001,C50&lt;=01_因子設定!$M$5+0.000000001,D50&gt;=01_因子設定!$L$6-0.000000001,D50&lt;=01_因子設定!$M$6+0.000000001,IF(01_因子設定!$B$20="Box-Behnken",C50^2+D50^2&lt;=2+0.000000001,TRUE()))</f>
        <v>1</v>
      </c>
      <c r="P50" s="55" t="n">
        <f aca="false">IF(O50,IF(01_因子設定!$B$13="最大化",M50-01_因子設定!$B$14,IF(01_因子設定!$B$13="最小化",01_因子設定!$B$15-N50,MIN(M50-01_因子設定!$B$14,01_因子設定!$B$15-N50))),-1E+030)</f>
        <v>-2.56846324343356</v>
      </c>
      <c r="Q50" s="55" t="n">
        <f aca="false">IF(P50&gt;=0,1,0)</f>
        <v>0</v>
      </c>
    </row>
    <row r="51" customFormat="false" ht="15" hidden="false" customHeight="false" outlineLevel="0" collapsed="false">
      <c r="A51" s="0" t="n">
        <v>2</v>
      </c>
      <c r="B51" s="0" t="n">
        <v>-0.75</v>
      </c>
      <c r="C51" s="57" t="n">
        <f aca="false">07_最適化!$B$6</f>
        <v>0.45</v>
      </c>
      <c r="D51" s="55" t="n">
        <f aca="false">B51</f>
        <v>-0.75</v>
      </c>
      <c r="E51" s="55" t="n">
        <f aca="false">1</f>
        <v>1</v>
      </c>
      <c r="F51" s="57" t="n">
        <f aca="false">C51</f>
        <v>0.45</v>
      </c>
      <c r="G51" s="55" t="n">
        <f aca="false">D51</f>
        <v>-0.75</v>
      </c>
      <c r="H51" s="55" t="n">
        <f aca="false">C51*D51</f>
        <v>-0.3375</v>
      </c>
      <c r="I51" s="55" t="n">
        <f aca="false">C51*C51</f>
        <v>0.2025</v>
      </c>
      <c r="J51" s="55" t="n">
        <f aca="false">D51*D51</f>
        <v>0.5625</v>
      </c>
      <c r="K51" s="55" t="n">
        <f aca="false">SUMPRODUCT(E51:J51,_XtX!$B$53:$G$53)</f>
        <v>45.7195107758621</v>
      </c>
      <c r="L51" s="55" t="n">
        <f aca="false">SUMPRODUCT(MMULT(E51:J51,_XtX!$B$44:$G$49),E51:J51)</f>
        <v>0.26810005387931</v>
      </c>
      <c r="M51" s="55" t="n">
        <f aca="false">K51-04_回帰ANOVA!$K$19*04_回帰ANOVA!$K$14*SQRT(1+L51)</f>
        <v>44.1935149951604</v>
      </c>
      <c r="N51" s="55" t="n">
        <f aca="false">K51+04_回帰ANOVA!$K$19*04_回帰ANOVA!$K$14*SQRT(1+L51)</f>
        <v>47.2455065565637</v>
      </c>
      <c r="O51" s="54" t="b">
        <f aca="false">AND(C51&gt;=01_因子設定!$L$5-0.000000001,C51&lt;=01_因子設定!$M$5+0.000000001,D51&gt;=01_因子設定!$L$6-0.000000001,D51&lt;=01_因子設定!$M$6+0.000000001,IF(01_因子設定!$B$20="Box-Behnken",C51^2+D51^2&lt;=2+0.000000001,TRUE()))</f>
        <v>1</v>
      </c>
      <c r="P51" s="55" t="n">
        <f aca="false">IF(O51,IF(01_因子設定!$B$13="最大化",M51-01_因子設定!$B$14,IF(01_因子設定!$B$13="最小化",01_因子設定!$B$15-N51,MIN(M51-01_因子設定!$B$14,01_因子設定!$B$15-N51))),-1E+030)</f>
        <v>-2.30648500483959</v>
      </c>
      <c r="Q51" s="55" t="n">
        <f aca="false">IF(P51&gt;=0,1,0)</f>
        <v>0</v>
      </c>
    </row>
    <row r="52" customFormat="false" ht="15" hidden="false" customHeight="false" outlineLevel="0" collapsed="false">
      <c r="A52" s="0" t="n">
        <v>2</v>
      </c>
      <c r="B52" s="0" t="n">
        <v>-0.7</v>
      </c>
      <c r="C52" s="57" t="n">
        <f aca="false">07_最適化!$B$6</f>
        <v>0.45</v>
      </c>
      <c r="D52" s="55" t="n">
        <f aca="false">B52</f>
        <v>-0.7</v>
      </c>
      <c r="E52" s="55" t="n">
        <f aca="false">1</f>
        <v>1</v>
      </c>
      <c r="F52" s="57" t="n">
        <f aca="false">C52</f>
        <v>0.45</v>
      </c>
      <c r="G52" s="55" t="n">
        <f aca="false">D52</f>
        <v>-0.7</v>
      </c>
      <c r="H52" s="55" t="n">
        <f aca="false">C52*D52</f>
        <v>-0.315</v>
      </c>
      <c r="I52" s="55" t="n">
        <f aca="false">C52*C52</f>
        <v>0.2025</v>
      </c>
      <c r="J52" s="55" t="n">
        <f aca="false">D52*D52</f>
        <v>0.49</v>
      </c>
      <c r="K52" s="55" t="n">
        <f aca="false">SUMPRODUCT(E52:J52,_XtX!$B$53:$G$53)</f>
        <v>45.9556982758621</v>
      </c>
      <c r="L52" s="55" t="n">
        <f aca="false">SUMPRODUCT(MMULT(E52:J52,_XtX!$B$44:$G$49),E52:J52)</f>
        <v>0.243768283045977</v>
      </c>
      <c r="M52" s="55" t="n">
        <f aca="false">K52-04_回帰ANOVA!$K$19*04_回帰ANOVA!$K$14*SQRT(1+L52)</f>
        <v>44.4444134868528</v>
      </c>
      <c r="N52" s="55" t="n">
        <f aca="false">K52+04_回帰ANOVA!$K$19*04_回帰ANOVA!$K$14*SQRT(1+L52)</f>
        <v>47.4669830648713</v>
      </c>
      <c r="O52" s="54" t="b">
        <f aca="false">AND(C52&gt;=01_因子設定!$L$5-0.000000001,C52&lt;=01_因子設定!$M$5+0.000000001,D52&gt;=01_因子設定!$L$6-0.000000001,D52&lt;=01_因子設定!$M$6+0.000000001,IF(01_因子設定!$B$20="Box-Behnken",C52^2+D52^2&lt;=2+0.000000001,TRUE()))</f>
        <v>1</v>
      </c>
      <c r="P52" s="55" t="n">
        <f aca="false">IF(O52,IF(01_因子設定!$B$13="最大化",M52-01_因子設定!$B$14,IF(01_因子設定!$B$13="最小化",01_因子設定!$B$15-N52,MIN(M52-01_因子設定!$B$14,01_因子設定!$B$15-N52))),-1E+030)</f>
        <v>-2.0555865131472</v>
      </c>
      <c r="Q52" s="55" t="n">
        <f aca="false">IF(P52&gt;=0,1,0)</f>
        <v>0</v>
      </c>
    </row>
    <row r="53" customFormat="false" ht="15" hidden="false" customHeight="false" outlineLevel="0" collapsed="false">
      <c r="A53" s="0" t="n">
        <v>2</v>
      </c>
      <c r="B53" s="0" t="n">
        <v>-0.65</v>
      </c>
      <c r="C53" s="57" t="n">
        <f aca="false">07_最適化!$B$6</f>
        <v>0.45</v>
      </c>
      <c r="D53" s="55" t="n">
        <f aca="false">B53</f>
        <v>-0.65</v>
      </c>
      <c r="E53" s="55" t="n">
        <f aca="false">1</f>
        <v>1</v>
      </c>
      <c r="F53" s="57" t="n">
        <f aca="false">C53</f>
        <v>0.45</v>
      </c>
      <c r="G53" s="55" t="n">
        <f aca="false">D53</f>
        <v>-0.65</v>
      </c>
      <c r="H53" s="55" t="n">
        <f aca="false">C53*D53</f>
        <v>-0.2925</v>
      </c>
      <c r="I53" s="55" t="n">
        <f aca="false">C53*C53</f>
        <v>0.2025</v>
      </c>
      <c r="J53" s="55" t="n">
        <f aca="false">D53*D53</f>
        <v>0.4225</v>
      </c>
      <c r="K53" s="55" t="n">
        <f aca="false">SUMPRODUCT(E53:J53,_XtX!$B$53:$G$53)</f>
        <v>46.1841702586207</v>
      </c>
      <c r="L53" s="55" t="n">
        <f aca="false">SUMPRODUCT(MMULT(E53:J53,_XtX!$B$44:$G$49),E53:J53)</f>
        <v>0.224536117097701</v>
      </c>
      <c r="M53" s="55" t="n">
        <f aca="false">K53-04_回帰ANOVA!$K$19*04_回帰ANOVA!$K$14*SQRT(1+L53)</f>
        <v>44.6846153533965</v>
      </c>
      <c r="N53" s="55" t="n">
        <f aca="false">K53+04_回帰ANOVA!$K$19*04_回帰ANOVA!$K$14*SQRT(1+L53)</f>
        <v>47.6837251638448</v>
      </c>
      <c r="O53" s="54" t="b">
        <f aca="false">AND(C53&gt;=01_因子設定!$L$5-0.000000001,C53&lt;=01_因子設定!$M$5+0.000000001,D53&gt;=01_因子設定!$L$6-0.000000001,D53&lt;=01_因子設定!$M$6+0.000000001,IF(01_因子設定!$B$20="Box-Behnken",C53^2+D53^2&lt;=2+0.000000001,TRUE()))</f>
        <v>1</v>
      </c>
      <c r="P53" s="55" t="n">
        <f aca="false">IF(O53,IF(01_因子設定!$B$13="最大化",M53-01_因子設定!$B$14,IF(01_因子設定!$B$13="最小化",01_因子設定!$B$15-N53,MIN(M53-01_因子設定!$B$14,01_因子設定!$B$15-N53))),-1E+030)</f>
        <v>-1.81538464660346</v>
      </c>
      <c r="Q53" s="55" t="n">
        <f aca="false">IF(P53&gt;=0,1,0)</f>
        <v>0</v>
      </c>
    </row>
    <row r="54" customFormat="false" ht="15" hidden="false" customHeight="false" outlineLevel="0" collapsed="false">
      <c r="A54" s="0" t="n">
        <v>2</v>
      </c>
      <c r="B54" s="0" t="n">
        <v>-0.6</v>
      </c>
      <c r="C54" s="57" t="n">
        <f aca="false">07_最適化!$B$6</f>
        <v>0.45</v>
      </c>
      <c r="D54" s="55" t="n">
        <f aca="false">B54</f>
        <v>-0.6</v>
      </c>
      <c r="E54" s="55" t="n">
        <f aca="false">1</f>
        <v>1</v>
      </c>
      <c r="F54" s="57" t="n">
        <f aca="false">C54</f>
        <v>0.45</v>
      </c>
      <c r="G54" s="55" t="n">
        <f aca="false">D54</f>
        <v>-0.6</v>
      </c>
      <c r="H54" s="55" t="n">
        <f aca="false">C54*D54</f>
        <v>-0.27</v>
      </c>
      <c r="I54" s="55" t="n">
        <f aca="false">C54*C54</f>
        <v>0.2025</v>
      </c>
      <c r="J54" s="55" t="n">
        <f aca="false">D54*D54</f>
        <v>0.36</v>
      </c>
      <c r="K54" s="55" t="n">
        <f aca="false">SUMPRODUCT(E54:J54,_XtX!$B$53:$G$53)</f>
        <v>46.4049267241379</v>
      </c>
      <c r="L54" s="55" t="n">
        <f aca="false">SUMPRODUCT(MMULT(E54:J54,_XtX!$B$44:$G$49),E54:J54)</f>
        <v>0.20967036637931</v>
      </c>
      <c r="M54" s="55" t="n">
        <f aca="false">K54-04_回帰ANOVA!$K$19*04_回帰ANOVA!$K$14*SQRT(1+L54)</f>
        <v>44.9145018390984</v>
      </c>
      <c r="N54" s="55" t="n">
        <f aca="false">K54+04_回帰ANOVA!$K$19*04_回帰ANOVA!$K$14*SQRT(1+L54)</f>
        <v>47.8953516091774</v>
      </c>
      <c r="O54" s="54" t="b">
        <f aca="false">AND(C54&gt;=01_因子設定!$L$5-0.000000001,C54&lt;=01_因子設定!$M$5+0.000000001,D54&gt;=01_因子設定!$L$6-0.000000001,D54&lt;=01_因子設定!$M$6+0.000000001,IF(01_因子設定!$B$20="Box-Behnken",C54^2+D54^2&lt;=2+0.000000001,TRUE()))</f>
        <v>1</v>
      </c>
      <c r="P54" s="55" t="n">
        <f aca="false">IF(O54,IF(01_因子設定!$B$13="最大化",M54-01_因子設定!$B$14,IF(01_因子設定!$B$13="最小化",01_因子設定!$B$15-N54,MIN(M54-01_因子設定!$B$14,01_因子設定!$B$15-N54))),-1E+030)</f>
        <v>-1.58549816090158</v>
      </c>
      <c r="Q54" s="55" t="n">
        <f aca="false">IF(P54&gt;=0,1,0)</f>
        <v>0</v>
      </c>
    </row>
    <row r="55" customFormat="false" ht="15" hidden="false" customHeight="false" outlineLevel="0" collapsed="false">
      <c r="A55" s="0" t="n">
        <v>2</v>
      </c>
      <c r="B55" s="0" t="n">
        <v>-0.55</v>
      </c>
      <c r="C55" s="57" t="n">
        <f aca="false">07_最適化!$B$6</f>
        <v>0.45</v>
      </c>
      <c r="D55" s="55" t="n">
        <f aca="false">B55</f>
        <v>-0.55</v>
      </c>
      <c r="E55" s="55" t="n">
        <f aca="false">1</f>
        <v>1</v>
      </c>
      <c r="F55" s="57" t="n">
        <f aca="false">C55</f>
        <v>0.45</v>
      </c>
      <c r="G55" s="55" t="n">
        <f aca="false">D55</f>
        <v>-0.55</v>
      </c>
      <c r="H55" s="55" t="n">
        <f aca="false">C55*D55</f>
        <v>-0.2475</v>
      </c>
      <c r="I55" s="55" t="n">
        <f aca="false">C55*C55</f>
        <v>0.2025</v>
      </c>
      <c r="J55" s="55" t="n">
        <f aca="false">D55*D55</f>
        <v>0.3025</v>
      </c>
      <c r="K55" s="55" t="n">
        <f aca="false">SUMPRODUCT(E55:J55,_XtX!$B$53:$G$53)</f>
        <v>46.6179676724138</v>
      </c>
      <c r="L55" s="55" t="n">
        <f aca="false">SUMPRODUCT(MMULT(E55:J55,_XtX!$B$44:$G$49),E55:J55)</f>
        <v>0.19849215158046</v>
      </c>
      <c r="M55" s="55" t="n">
        <f aca="false">K55-04_回帰ANOVA!$K$19*04_回帰ANOVA!$K$14*SQRT(1+L55)</f>
        <v>45.134445063013</v>
      </c>
      <c r="N55" s="55" t="n">
        <f aca="false">K55+04_回帰ANOVA!$K$19*04_回帰ANOVA!$K$14*SQRT(1+L55)</f>
        <v>48.1014902818146</v>
      </c>
      <c r="O55" s="54" t="b">
        <f aca="false">AND(C55&gt;=01_因子設定!$L$5-0.000000001,C55&lt;=01_因子設定!$M$5+0.000000001,D55&gt;=01_因子設定!$L$6-0.000000001,D55&lt;=01_因子設定!$M$6+0.000000001,IF(01_因子設定!$B$20="Box-Behnken",C55^2+D55^2&lt;=2+0.000000001,TRUE()))</f>
        <v>1</v>
      </c>
      <c r="P55" s="55" t="n">
        <f aca="false">IF(O55,IF(01_因子設定!$B$13="最大化",M55-01_因子設定!$B$14,IF(01_因子設定!$B$13="最小化",01_因子設定!$B$15-N55,MIN(M55-01_因子設定!$B$14,01_因子設定!$B$15-N55))),-1E+030)</f>
        <v>-1.36555493698697</v>
      </c>
      <c r="Q55" s="55" t="n">
        <f aca="false">IF(P55&gt;=0,1,0)</f>
        <v>0</v>
      </c>
    </row>
    <row r="56" customFormat="false" ht="15" hidden="false" customHeight="false" outlineLevel="0" collapsed="false">
      <c r="A56" s="0" t="n">
        <v>2</v>
      </c>
      <c r="B56" s="0" t="n">
        <v>-0.5</v>
      </c>
      <c r="C56" s="57" t="n">
        <f aca="false">07_最適化!$B$6</f>
        <v>0.45</v>
      </c>
      <c r="D56" s="55" t="n">
        <f aca="false">B56</f>
        <v>-0.5</v>
      </c>
      <c r="E56" s="55" t="n">
        <f aca="false">1</f>
        <v>1</v>
      </c>
      <c r="F56" s="57" t="n">
        <f aca="false">C56</f>
        <v>0.45</v>
      </c>
      <c r="G56" s="55" t="n">
        <f aca="false">D56</f>
        <v>-0.5</v>
      </c>
      <c r="H56" s="55" t="n">
        <f aca="false">C56*D56</f>
        <v>-0.225</v>
      </c>
      <c r="I56" s="55" t="n">
        <f aca="false">C56*C56</f>
        <v>0.2025</v>
      </c>
      <c r="J56" s="55" t="n">
        <f aca="false">D56*D56</f>
        <v>0.25</v>
      </c>
      <c r="K56" s="55" t="n">
        <f aca="false">SUMPRODUCT(E56:J56,_XtX!$B$53:$G$53)</f>
        <v>46.8232931034483</v>
      </c>
      <c r="L56" s="55" t="n">
        <f aca="false">SUMPRODUCT(MMULT(E56:J56,_XtX!$B$44:$G$49),E56:J56)</f>
        <v>0.190376903735632</v>
      </c>
      <c r="M56" s="55" t="n">
        <f aca="false">K56-04_回帰ANOVA!$K$19*04_回帰ANOVA!$K$14*SQRT(1+L56)</f>
        <v>45.3448016504296</v>
      </c>
      <c r="N56" s="55" t="n">
        <f aca="false">K56+04_回帰ANOVA!$K$19*04_回帰ANOVA!$K$14*SQRT(1+L56)</f>
        <v>48.301784556467</v>
      </c>
      <c r="O56" s="54" t="b">
        <f aca="false">AND(C56&gt;=01_因子設定!$L$5-0.000000001,C56&lt;=01_因子設定!$M$5+0.000000001,D56&gt;=01_因子設定!$L$6-0.000000001,D56&lt;=01_因子設定!$M$6+0.000000001,IF(01_因子設定!$B$20="Box-Behnken",C56^2+D56^2&lt;=2+0.000000001,TRUE()))</f>
        <v>1</v>
      </c>
      <c r="P56" s="55" t="n">
        <f aca="false">IF(O56,IF(01_因子設定!$B$13="最大化",M56-01_因子設定!$B$14,IF(01_因子設定!$B$13="最小化",01_因子設定!$B$15-N56,MIN(M56-01_因子設定!$B$14,01_因子設定!$B$15-N56))),-1E+030)</f>
        <v>-1.15519834957045</v>
      </c>
      <c r="Q56" s="55" t="n">
        <f aca="false">IF(P56&gt;=0,1,0)</f>
        <v>0</v>
      </c>
    </row>
    <row r="57" customFormat="false" ht="15" hidden="false" customHeight="false" outlineLevel="0" collapsed="false">
      <c r="A57" s="0" t="n">
        <v>2</v>
      </c>
      <c r="B57" s="0" t="n">
        <v>-0.45</v>
      </c>
      <c r="C57" s="57" t="n">
        <f aca="false">07_最適化!$B$6</f>
        <v>0.45</v>
      </c>
      <c r="D57" s="55" t="n">
        <f aca="false">B57</f>
        <v>-0.45</v>
      </c>
      <c r="E57" s="55" t="n">
        <f aca="false">1</f>
        <v>1</v>
      </c>
      <c r="F57" s="57" t="n">
        <f aca="false">C57</f>
        <v>0.45</v>
      </c>
      <c r="G57" s="55" t="n">
        <f aca="false">D57</f>
        <v>-0.45</v>
      </c>
      <c r="H57" s="55" t="n">
        <f aca="false">C57*D57</f>
        <v>-0.2025</v>
      </c>
      <c r="I57" s="55" t="n">
        <f aca="false">C57*C57</f>
        <v>0.2025</v>
      </c>
      <c r="J57" s="55" t="n">
        <f aca="false">D57*D57</f>
        <v>0.2025</v>
      </c>
      <c r="K57" s="55" t="n">
        <f aca="false">SUMPRODUCT(E57:J57,_XtX!$B$53:$G$53)</f>
        <v>47.0209030172414</v>
      </c>
      <c r="L57" s="55" t="n">
        <f aca="false">SUMPRODUCT(MMULT(E57:J57,_XtX!$B$44:$G$49),E57:J57)</f>
        <v>0.184754364224138</v>
      </c>
      <c r="M57" s="55" t="n">
        <f aca="false">K57-04_回帰ANOVA!$K$19*04_回帰ANOVA!$K$14*SQRT(1+L57)</f>
        <v>45.5459073964863</v>
      </c>
      <c r="N57" s="55" t="n">
        <f aca="false">K57+04_回帰ANOVA!$K$19*04_回帰ANOVA!$K$14*SQRT(1+L57)</f>
        <v>48.4958986379965</v>
      </c>
      <c r="O57" s="54" t="b">
        <f aca="false">AND(C57&gt;=01_因子設定!$L$5-0.000000001,C57&lt;=01_因子設定!$M$5+0.000000001,D57&gt;=01_因子設定!$L$6-0.000000001,D57&lt;=01_因子設定!$M$6+0.000000001,IF(01_因子設定!$B$20="Box-Behnken",C57^2+D57^2&lt;=2+0.000000001,TRUE()))</f>
        <v>1</v>
      </c>
      <c r="P57" s="55" t="n">
        <f aca="false">IF(O57,IF(01_因子設定!$B$13="最大化",M57-01_因子設定!$B$14,IF(01_因子設定!$B$13="最小化",01_因子設定!$B$15-N57,MIN(M57-01_因子設定!$B$14,01_因子設定!$B$15-N57))),-1E+030)</f>
        <v>-0.954092603513729</v>
      </c>
      <c r="Q57" s="55" t="n">
        <f aca="false">IF(P57&gt;=0,1,0)</f>
        <v>0</v>
      </c>
    </row>
    <row r="58" customFormat="false" ht="15" hidden="false" customHeight="false" outlineLevel="0" collapsed="false">
      <c r="A58" s="0" t="n">
        <v>2</v>
      </c>
      <c r="B58" s="0" t="n">
        <v>-0.4</v>
      </c>
      <c r="C58" s="57" t="n">
        <f aca="false">07_最適化!$B$6</f>
        <v>0.45</v>
      </c>
      <c r="D58" s="55" t="n">
        <f aca="false">B58</f>
        <v>-0.4</v>
      </c>
      <c r="E58" s="55" t="n">
        <f aca="false">1</f>
        <v>1</v>
      </c>
      <c r="F58" s="57" t="n">
        <f aca="false">C58</f>
        <v>0.45</v>
      </c>
      <c r="G58" s="55" t="n">
        <f aca="false">D58</f>
        <v>-0.4</v>
      </c>
      <c r="H58" s="55" t="n">
        <f aca="false">C58*D58</f>
        <v>-0.18</v>
      </c>
      <c r="I58" s="55" t="n">
        <f aca="false">C58*C58</f>
        <v>0.2025</v>
      </c>
      <c r="J58" s="55" t="n">
        <f aca="false">D58*D58</f>
        <v>0.16</v>
      </c>
      <c r="K58" s="55" t="n">
        <f aca="false">SUMPRODUCT(E58:J58,_XtX!$B$53:$G$53)</f>
        <v>47.2107974137931</v>
      </c>
      <c r="L58" s="55" t="n">
        <f aca="false">SUMPRODUCT(MMULT(E58:J58,_XtX!$B$44:$G$49),E58:J58)</f>
        <v>0.181108584770115</v>
      </c>
      <c r="M58" s="55" t="n">
        <f aca="false">K58-04_回帰ANOVA!$K$19*04_回帰ANOVA!$K$14*SQRT(1+L58)</f>
        <v>45.7380730031078</v>
      </c>
      <c r="N58" s="55" t="n">
        <f aca="false">K58+04_回帰ANOVA!$K$19*04_回帰ANOVA!$K$14*SQRT(1+L58)</f>
        <v>48.6835218244785</v>
      </c>
      <c r="O58" s="54" t="b">
        <f aca="false">AND(C58&gt;=01_因子設定!$L$5-0.000000001,C58&lt;=01_因子設定!$M$5+0.000000001,D58&gt;=01_因子設定!$L$6-0.000000001,D58&lt;=01_因子設定!$M$6+0.000000001,IF(01_因子設定!$B$20="Box-Behnken",C58^2+D58^2&lt;=2+0.000000001,TRUE()))</f>
        <v>1</v>
      </c>
      <c r="P58" s="55" t="n">
        <f aca="false">IF(O58,IF(01_因子設定!$B$13="最大化",M58-01_因子設定!$B$14,IF(01_因子設定!$B$13="最小化",01_因子設定!$B$15-N58,MIN(M58-01_因子設定!$B$14,01_因子設定!$B$15-N58))),-1E+030)</f>
        <v>-0.76192699689225</v>
      </c>
      <c r="Q58" s="55" t="n">
        <f aca="false">IF(P58&gt;=0,1,0)</f>
        <v>0</v>
      </c>
    </row>
    <row r="59" customFormat="false" ht="15" hidden="false" customHeight="false" outlineLevel="0" collapsed="false">
      <c r="A59" s="0" t="n">
        <v>2</v>
      </c>
      <c r="B59" s="0" t="n">
        <v>-0.35</v>
      </c>
      <c r="C59" s="57" t="n">
        <f aca="false">07_最適化!$B$6</f>
        <v>0.45</v>
      </c>
      <c r="D59" s="55" t="n">
        <f aca="false">B59</f>
        <v>-0.35</v>
      </c>
      <c r="E59" s="55" t="n">
        <f aca="false">1</f>
        <v>1</v>
      </c>
      <c r="F59" s="57" t="n">
        <f aca="false">C59</f>
        <v>0.45</v>
      </c>
      <c r="G59" s="55" t="n">
        <f aca="false">D59</f>
        <v>-0.35</v>
      </c>
      <c r="H59" s="55" t="n">
        <f aca="false">C59*D59</f>
        <v>-0.1575</v>
      </c>
      <c r="I59" s="55" t="n">
        <f aca="false">C59*C59</f>
        <v>0.2025</v>
      </c>
      <c r="J59" s="55" t="n">
        <f aca="false">D59*D59</f>
        <v>0.1225</v>
      </c>
      <c r="K59" s="55" t="n">
        <f aca="false">SUMPRODUCT(E59:J59,_XtX!$B$53:$G$53)</f>
        <v>47.3929762931034</v>
      </c>
      <c r="L59" s="55" t="n">
        <f aca="false">SUMPRODUCT(MMULT(E59:J59,_XtX!$B$44:$G$49),E59:J59)</f>
        <v>0.178977927442529</v>
      </c>
      <c r="M59" s="55" t="n">
        <f aca="false">K59-04_回帰ANOVA!$K$19*04_回帰ANOVA!$K$14*SQRT(1+L59)</f>
        <v>45.9215808404469</v>
      </c>
      <c r="N59" s="55" t="n">
        <f aca="false">K59+04_回帰ANOVA!$K$19*04_回帰ANOVA!$K$14*SQRT(1+L59)</f>
        <v>48.86437174576</v>
      </c>
      <c r="O59" s="54" t="b">
        <f aca="false">AND(C59&gt;=01_因子設定!$L$5-0.000000001,C59&lt;=01_因子設定!$M$5+0.000000001,D59&gt;=01_因子設定!$L$6-0.000000001,D59&lt;=01_因子設定!$M$6+0.000000001,IF(01_因子設定!$B$20="Box-Behnken",C59^2+D59^2&lt;=2+0.000000001,TRUE()))</f>
        <v>1</v>
      </c>
      <c r="P59" s="55" t="n">
        <f aca="false">IF(O59,IF(01_因子設定!$B$13="最大化",M59-01_因子設定!$B$14,IF(01_因子設定!$B$13="最小化",01_因子設定!$B$15-N59,MIN(M59-01_因子設定!$B$14,01_因子設定!$B$15-N59))),-1E+030)</f>
        <v>-0.578419159553079</v>
      </c>
      <c r="Q59" s="55" t="n">
        <f aca="false">IF(P59&gt;=0,1,0)</f>
        <v>0</v>
      </c>
    </row>
    <row r="60" customFormat="false" ht="15" hidden="false" customHeight="false" outlineLevel="0" collapsed="false">
      <c r="A60" s="0" t="n">
        <v>2</v>
      </c>
      <c r="B60" s="0" t="n">
        <v>-0.3</v>
      </c>
      <c r="C60" s="57" t="n">
        <f aca="false">07_最適化!$B$6</f>
        <v>0.45</v>
      </c>
      <c r="D60" s="55" t="n">
        <f aca="false">B60</f>
        <v>-0.3</v>
      </c>
      <c r="E60" s="55" t="n">
        <f aca="false">1</f>
        <v>1</v>
      </c>
      <c r="F60" s="57" t="n">
        <f aca="false">C60</f>
        <v>0.45</v>
      </c>
      <c r="G60" s="55" t="n">
        <f aca="false">D60</f>
        <v>-0.3</v>
      </c>
      <c r="H60" s="55" t="n">
        <f aca="false">C60*D60</f>
        <v>-0.135</v>
      </c>
      <c r="I60" s="55" t="n">
        <f aca="false">C60*C60</f>
        <v>0.2025</v>
      </c>
      <c r="J60" s="55" t="n">
        <f aca="false">D60*D60</f>
        <v>0.09</v>
      </c>
      <c r="K60" s="55" t="n">
        <f aca="false">SUMPRODUCT(E60:J60,_XtX!$B$53:$G$53)</f>
        <v>47.5674396551724</v>
      </c>
      <c r="L60" s="55" t="n">
        <f aca="false">SUMPRODUCT(MMULT(E60:J60,_XtX!$B$44:$G$49),E60:J60)</f>
        <v>0.177955064655172</v>
      </c>
      <c r="M60" s="55" t="n">
        <f aca="false">K60-04_回帰ANOVA!$K$19*04_回帰ANOVA!$K$14*SQRT(1+L60)</f>
        <v>46.0966826208429</v>
      </c>
      <c r="N60" s="55" t="n">
        <f aca="false">K60+04_回帰ANOVA!$K$19*04_回帰ANOVA!$K$14*SQRT(1+L60)</f>
        <v>49.0381966895019</v>
      </c>
      <c r="O60" s="54" t="b">
        <f aca="false">AND(C60&gt;=01_因子設定!$L$5-0.000000001,C60&lt;=01_因子設定!$M$5+0.000000001,D60&gt;=01_因子設定!$L$6-0.000000001,D60&lt;=01_因子設定!$M$6+0.000000001,IF(01_因子設定!$B$20="Box-Behnken",C60^2+D60^2&lt;=2+0.000000001,TRUE()))</f>
        <v>1</v>
      </c>
      <c r="P60" s="55" t="n">
        <f aca="false">IF(O60,IF(01_因子設定!$B$13="最大化",M60-01_因子設定!$B$14,IF(01_因子設定!$B$13="最小化",01_因子設定!$B$15-N60,MIN(M60-01_因子設定!$B$14,01_因子設定!$B$15-N60))),-1E+030)</f>
        <v>-0.403317379157109</v>
      </c>
      <c r="Q60" s="55" t="n">
        <f aca="false">IF(P60&gt;=0,1,0)</f>
        <v>0</v>
      </c>
    </row>
    <row r="61" customFormat="false" ht="15" hidden="false" customHeight="false" outlineLevel="0" collapsed="false">
      <c r="A61" s="0" t="n">
        <v>2</v>
      </c>
      <c r="B61" s="0" t="n">
        <v>-0.25</v>
      </c>
      <c r="C61" s="57" t="n">
        <f aca="false">07_最適化!$B$6</f>
        <v>0.45</v>
      </c>
      <c r="D61" s="55" t="n">
        <f aca="false">B61</f>
        <v>-0.25</v>
      </c>
      <c r="E61" s="55" t="n">
        <f aca="false">1</f>
        <v>1</v>
      </c>
      <c r="F61" s="57" t="n">
        <f aca="false">C61</f>
        <v>0.45</v>
      </c>
      <c r="G61" s="55" t="n">
        <f aca="false">D61</f>
        <v>-0.25</v>
      </c>
      <c r="H61" s="55" t="n">
        <f aca="false">C61*D61</f>
        <v>-0.1125</v>
      </c>
      <c r="I61" s="55" t="n">
        <f aca="false">C61*C61</f>
        <v>0.2025</v>
      </c>
      <c r="J61" s="55" t="n">
        <f aca="false">D61*D61</f>
        <v>0.0625</v>
      </c>
      <c r="K61" s="55" t="n">
        <f aca="false">SUMPRODUCT(E61:J61,_XtX!$B$53:$G$53)</f>
        <v>47.7341875</v>
      </c>
      <c r="L61" s="55" t="n">
        <f aca="false">SUMPRODUCT(MMULT(E61:J61,_XtX!$B$44:$G$49),E61:J61)</f>
        <v>0.177686979166667</v>
      </c>
      <c r="M61" s="55" t="n">
        <f aca="false">K61-04_回帰ANOVA!$K$19*04_回帰ANOVA!$K$14*SQRT(1+L61)</f>
        <v>46.2635978366789</v>
      </c>
      <c r="N61" s="55" t="n">
        <f aca="false">K61+04_回帰ANOVA!$K$19*04_回帰ANOVA!$K$14*SQRT(1+L61)</f>
        <v>49.2047771633211</v>
      </c>
      <c r="O61" s="54" t="b">
        <f aca="false">AND(C61&gt;=01_因子設定!$L$5-0.000000001,C61&lt;=01_因子設定!$M$5+0.000000001,D61&gt;=01_因子設定!$L$6-0.000000001,D61&lt;=01_因子設定!$M$6+0.000000001,IF(01_因子設定!$B$20="Box-Behnken",C61^2+D61^2&lt;=2+0.000000001,TRUE()))</f>
        <v>1</v>
      </c>
      <c r="P61" s="55" t="n">
        <f aca="false">IF(O61,IF(01_因子設定!$B$13="最大化",M61-01_因子設定!$B$14,IF(01_因子設定!$B$13="最小化",01_因子設定!$B$15-N61,MIN(M61-01_因子設定!$B$14,01_因子設定!$B$15-N61))),-1E+030)</f>
        <v>-0.236402163321067</v>
      </c>
      <c r="Q61" s="55" t="n">
        <f aca="false">IF(P61&gt;=0,1,0)</f>
        <v>0</v>
      </c>
    </row>
    <row r="62" customFormat="false" ht="15" hidden="false" customHeight="false" outlineLevel="0" collapsed="false">
      <c r="A62" s="0" t="n">
        <v>2</v>
      </c>
      <c r="B62" s="0" t="n">
        <v>-0.2</v>
      </c>
      <c r="C62" s="57" t="n">
        <f aca="false">07_最適化!$B$6</f>
        <v>0.45</v>
      </c>
      <c r="D62" s="55" t="n">
        <f aca="false">B62</f>
        <v>-0.2</v>
      </c>
      <c r="E62" s="55" t="n">
        <f aca="false">1</f>
        <v>1</v>
      </c>
      <c r="F62" s="57" t="n">
        <f aca="false">C62</f>
        <v>0.45</v>
      </c>
      <c r="G62" s="55" t="n">
        <f aca="false">D62</f>
        <v>-0.2</v>
      </c>
      <c r="H62" s="55" t="n">
        <f aca="false">C62*D62</f>
        <v>-0.09</v>
      </c>
      <c r="I62" s="55" t="n">
        <f aca="false">C62*C62</f>
        <v>0.2025</v>
      </c>
      <c r="J62" s="55" t="n">
        <f aca="false">D62*D62</f>
        <v>0.04</v>
      </c>
      <c r="K62" s="55" t="n">
        <f aca="false">SUMPRODUCT(E62:J62,_XtX!$B$53:$G$53)</f>
        <v>47.8932198275862</v>
      </c>
      <c r="L62" s="55" t="n">
        <f aca="false">SUMPRODUCT(MMULT(E62:J62,_XtX!$B$44:$G$49),E62:J62)</f>
        <v>0.17787496408046</v>
      </c>
      <c r="M62" s="55" t="n">
        <f aca="false">K62-04_回帰ANOVA!$K$19*04_回帰ANOVA!$K$14*SQRT(1+L62)</f>
        <v>46.4225127996152</v>
      </c>
      <c r="N62" s="55" t="n">
        <f aca="false">K62+04_回帰ANOVA!$K$19*04_回帰ANOVA!$K$14*SQRT(1+L62)</f>
        <v>49.3639268555572</v>
      </c>
      <c r="O62" s="54" t="b">
        <f aca="false">AND(C62&gt;=01_因子設定!$L$5-0.000000001,C62&lt;=01_因子設定!$M$5+0.000000001,D62&gt;=01_因子設定!$L$6-0.000000001,D62&lt;=01_因子設定!$M$6+0.000000001,IF(01_因子設定!$B$20="Box-Behnken",C62^2+D62^2&lt;=2+0.000000001,TRUE()))</f>
        <v>1</v>
      </c>
      <c r="P62" s="55" t="n">
        <f aca="false">IF(O62,IF(01_因子設定!$B$13="最大化",M62-01_因子設定!$B$14,IF(01_因子設定!$B$13="最小化",01_因子設定!$B$15-N62,MIN(M62-01_因子設定!$B$14,01_因子設定!$B$15-N62))),-1E+030)</f>
        <v>-0.0774872003848159</v>
      </c>
      <c r="Q62" s="55" t="n">
        <f aca="false">IF(P62&gt;=0,1,0)</f>
        <v>0</v>
      </c>
    </row>
    <row r="63" customFormat="false" ht="15" hidden="false" customHeight="false" outlineLevel="0" collapsed="false">
      <c r="A63" s="0" t="n">
        <v>2</v>
      </c>
      <c r="B63" s="0" t="n">
        <v>-0.15</v>
      </c>
      <c r="C63" s="57" t="n">
        <f aca="false">07_最適化!$B$6</f>
        <v>0.45</v>
      </c>
      <c r="D63" s="55" t="n">
        <f aca="false">B63</f>
        <v>-0.15</v>
      </c>
      <c r="E63" s="55" t="n">
        <f aca="false">1</f>
        <v>1</v>
      </c>
      <c r="F63" s="57" t="n">
        <f aca="false">C63</f>
        <v>0.45</v>
      </c>
      <c r="G63" s="55" t="n">
        <f aca="false">D63</f>
        <v>-0.15</v>
      </c>
      <c r="H63" s="55" t="n">
        <f aca="false">C63*D63</f>
        <v>-0.0675</v>
      </c>
      <c r="I63" s="55" t="n">
        <f aca="false">C63*C63</f>
        <v>0.2025</v>
      </c>
      <c r="J63" s="55" t="n">
        <f aca="false">D63*D63</f>
        <v>0.0225</v>
      </c>
      <c r="K63" s="55" t="n">
        <f aca="false">SUMPRODUCT(E63:J63,_XtX!$B$53:$G$53)</f>
        <v>48.044536637931</v>
      </c>
      <c r="L63" s="55" t="n">
        <f aca="false">SUMPRODUCT(MMULT(E63:J63,_XtX!$B$44:$G$49),E63:J63)</f>
        <v>0.178274622844828</v>
      </c>
      <c r="M63" s="55" t="n">
        <f aca="false">K63-04_回帰ANOVA!$K$19*04_回帰ANOVA!$K$14*SQRT(1+L63)</f>
        <v>46.5735801220599</v>
      </c>
      <c r="N63" s="55" t="n">
        <f aca="false">K63+04_回帰ANOVA!$K$19*04_回帰ANOVA!$K$14*SQRT(1+L63)</f>
        <v>49.5154931538022</v>
      </c>
      <c r="O63" s="54" t="b">
        <f aca="false">AND(C63&gt;=01_因子設定!$L$5-0.000000001,C63&lt;=01_因子設定!$M$5+0.000000001,D63&gt;=01_因子設定!$L$6-0.000000001,D63&lt;=01_因子設定!$M$6+0.000000001,IF(01_因子設定!$B$20="Box-Behnken",C63^2+D63^2&lt;=2+0.000000001,TRUE()))</f>
        <v>1</v>
      </c>
      <c r="P63" s="55" t="n">
        <f aca="false">IF(O63,IF(01_因子設定!$B$13="最大化",M63-01_因子設定!$B$14,IF(01_因子設定!$B$13="最小化",01_因子設定!$B$15-N63,MIN(M63-01_因子設定!$B$14,01_因子設定!$B$15-N63))),-1E+030)</f>
        <v>0.0735801220599015</v>
      </c>
      <c r="Q63" s="55" t="n">
        <f aca="false">IF(P63&gt;=0,1,0)</f>
        <v>1</v>
      </c>
    </row>
    <row r="64" customFormat="false" ht="15" hidden="false" customHeight="false" outlineLevel="0" collapsed="false">
      <c r="A64" s="0" t="n">
        <v>2</v>
      </c>
      <c r="B64" s="0" t="n">
        <v>-0.1</v>
      </c>
      <c r="C64" s="57" t="n">
        <f aca="false">07_最適化!$B$6</f>
        <v>0.45</v>
      </c>
      <c r="D64" s="55" t="n">
        <f aca="false">B64</f>
        <v>-0.1</v>
      </c>
      <c r="E64" s="55" t="n">
        <f aca="false">1</f>
        <v>1</v>
      </c>
      <c r="F64" s="57" t="n">
        <f aca="false">C64</f>
        <v>0.45</v>
      </c>
      <c r="G64" s="55" t="n">
        <f aca="false">D64</f>
        <v>-0.1</v>
      </c>
      <c r="H64" s="55" t="n">
        <f aca="false">C64*D64</f>
        <v>-0.045</v>
      </c>
      <c r="I64" s="55" t="n">
        <f aca="false">C64*C64</f>
        <v>0.2025</v>
      </c>
      <c r="J64" s="55" t="n">
        <f aca="false">D64*D64</f>
        <v>0.01</v>
      </c>
      <c r="K64" s="55" t="n">
        <f aca="false">SUMPRODUCT(E64:J64,_XtX!$B$53:$G$53)</f>
        <v>48.1881379310345</v>
      </c>
      <c r="L64" s="55" t="n">
        <f aca="false">SUMPRODUCT(MMULT(E64:J64,_XtX!$B$44:$G$49),E64:J64)</f>
        <v>0.178695869252874</v>
      </c>
      <c r="M64" s="55" t="n">
        <f aca="false">K64-04_回帰ANOVA!$K$19*04_回帰ANOVA!$K$14*SQRT(1+L64)</f>
        <v>46.7169184969247</v>
      </c>
      <c r="N64" s="55" t="n">
        <f aca="false">K64+04_回帰ANOVA!$K$19*04_回帰ANOVA!$K$14*SQRT(1+L64)</f>
        <v>49.6593573651443</v>
      </c>
      <c r="O64" s="54" t="b">
        <f aca="false">AND(C64&gt;=01_因子設定!$L$5-0.000000001,C64&lt;=01_因子設定!$M$5+0.000000001,D64&gt;=01_因子設定!$L$6-0.000000001,D64&lt;=01_因子設定!$M$6+0.000000001,IF(01_因子設定!$B$20="Box-Behnken",C64^2+D64^2&lt;=2+0.000000001,TRUE()))</f>
        <v>1</v>
      </c>
      <c r="P64" s="55" t="n">
        <f aca="false">IF(O64,IF(01_因子設定!$B$13="最大化",M64-01_因子設定!$B$14,IF(01_因子設定!$B$13="最小化",01_因子設定!$B$15-N64,MIN(M64-01_因子設定!$B$14,01_因子設定!$B$15-N64))),-1E+030)</f>
        <v>0.216918496924698</v>
      </c>
      <c r="Q64" s="55" t="n">
        <f aca="false">IF(P64&gt;=0,1,0)</f>
        <v>1</v>
      </c>
    </row>
    <row r="65" customFormat="false" ht="15" hidden="false" customHeight="false" outlineLevel="0" collapsed="false">
      <c r="A65" s="0" t="n">
        <v>2</v>
      </c>
      <c r="B65" s="0" t="n">
        <v>-0.05</v>
      </c>
      <c r="C65" s="57" t="n">
        <f aca="false">07_最適化!$B$6</f>
        <v>0.45</v>
      </c>
      <c r="D65" s="55" t="n">
        <f aca="false">B65</f>
        <v>-0.05</v>
      </c>
      <c r="E65" s="55" t="n">
        <f aca="false">1</f>
        <v>1</v>
      </c>
      <c r="F65" s="57" t="n">
        <f aca="false">C65</f>
        <v>0.45</v>
      </c>
      <c r="G65" s="55" t="n">
        <f aca="false">D65</f>
        <v>-0.05</v>
      </c>
      <c r="H65" s="55" t="n">
        <f aca="false">C65*D65</f>
        <v>-0.0225</v>
      </c>
      <c r="I65" s="55" t="n">
        <f aca="false">C65*C65</f>
        <v>0.2025</v>
      </c>
      <c r="J65" s="55" t="n">
        <f aca="false">D65*D65</f>
        <v>0.0025</v>
      </c>
      <c r="K65" s="55" t="n">
        <f aca="false">SUMPRODUCT(E65:J65,_XtX!$B$53:$G$53)</f>
        <v>48.3240237068966</v>
      </c>
      <c r="L65" s="55" t="n">
        <f aca="false">SUMPRODUCT(MMULT(E65:J65,_XtX!$B$44:$G$49),E65:J65)</f>
        <v>0.179002927442529</v>
      </c>
      <c r="M65" s="55" t="n">
        <f aca="false">K65-04_回帰ANOVA!$K$19*04_回帰ANOVA!$K$14*SQRT(1+L65)</f>
        <v>46.8526126539941</v>
      </c>
      <c r="N65" s="55" t="n">
        <f aca="false">K65+04_回帰ANOVA!$K$19*04_回帰ANOVA!$K$14*SQRT(1+L65)</f>
        <v>49.795434759799</v>
      </c>
      <c r="O65" s="54" t="b">
        <f aca="false">AND(C65&gt;=01_因子設定!$L$5-0.000000001,C65&lt;=01_因子設定!$M$5+0.000000001,D65&gt;=01_因子設定!$L$6-0.000000001,D65&lt;=01_因子設定!$M$6+0.000000001,IF(01_因子設定!$B$20="Box-Behnken",C65^2+D65^2&lt;=2+0.000000001,TRUE()))</f>
        <v>1</v>
      </c>
      <c r="P65" s="55" t="n">
        <f aca="false">IF(O65,IF(01_因子設定!$B$13="最大化",M65-01_因子設定!$B$14,IF(01_因子設定!$B$13="最小化",01_因子設定!$B$15-N65,MIN(M65-01_因子設定!$B$14,01_因子設定!$B$15-N65))),-1E+030)</f>
        <v>0.352612653994058</v>
      </c>
      <c r="Q65" s="55" t="n">
        <f aca="false">IF(P65&gt;=0,1,0)</f>
        <v>1</v>
      </c>
    </row>
    <row r="66" customFormat="false" ht="15" hidden="false" customHeight="false" outlineLevel="0" collapsed="false">
      <c r="A66" s="0" t="n">
        <v>2</v>
      </c>
      <c r="B66" s="0" t="n">
        <v>0</v>
      </c>
      <c r="C66" s="57" t="n">
        <f aca="false">07_最適化!$B$6</f>
        <v>0.45</v>
      </c>
      <c r="D66" s="55" t="n">
        <f aca="false">B66</f>
        <v>0</v>
      </c>
      <c r="E66" s="55" t="n">
        <f aca="false">1</f>
        <v>1</v>
      </c>
      <c r="F66" s="57" t="n">
        <f aca="false">C66</f>
        <v>0.45</v>
      </c>
      <c r="G66" s="55" t="n">
        <f aca="false">D66</f>
        <v>0</v>
      </c>
      <c r="H66" s="55" t="n">
        <f aca="false">C66*D66</f>
        <v>0</v>
      </c>
      <c r="I66" s="55" t="n">
        <f aca="false">C66*C66</f>
        <v>0.2025</v>
      </c>
      <c r="J66" s="55" t="n">
        <f aca="false">D66*D66</f>
        <v>0</v>
      </c>
      <c r="K66" s="55" t="n">
        <f aca="false">SUMPRODUCT(E66:J66,_XtX!$B$53:$G$53)</f>
        <v>48.4521939655172</v>
      </c>
      <c r="L66" s="55" t="n">
        <f aca="false">SUMPRODUCT(MMULT(E66:J66,_XtX!$B$44:$G$49),E66:J66)</f>
        <v>0.179114331896552</v>
      </c>
      <c r="M66" s="55" t="n">
        <f aca="false">K66-04_回帰ANOVA!$K$19*04_回帰ANOVA!$K$14*SQRT(1+L66)</f>
        <v>46.98071339715</v>
      </c>
      <c r="N66" s="55" t="n">
        <f aca="false">K66+04_回帰ANOVA!$K$19*04_回帰ANOVA!$K$14*SQRT(1+L66)</f>
        <v>49.9236745338845</v>
      </c>
      <c r="O66" s="54" t="b">
        <f aca="false">AND(C66&gt;=01_因子設定!$L$5-0.000000001,C66&lt;=01_因子設定!$M$5+0.000000001,D66&gt;=01_因子設定!$L$6-0.000000001,D66&lt;=01_因子設定!$M$6+0.000000001,IF(01_因子設定!$B$20="Box-Behnken",C66^2+D66^2&lt;=2+0.000000001,TRUE()))</f>
        <v>1</v>
      </c>
      <c r="P66" s="55" t="n">
        <f aca="false">IF(O66,IF(01_因子設定!$B$13="最大化",M66-01_因子設定!$B$14,IF(01_因子設定!$B$13="最小化",01_因子設定!$B$15-N66,MIN(M66-01_因子設定!$B$14,01_因子設定!$B$15-N66))),-1E+030)</f>
        <v>0.480713397149984</v>
      </c>
      <c r="Q66" s="55" t="n">
        <f aca="false">IF(P66&gt;=0,1,0)</f>
        <v>1</v>
      </c>
    </row>
    <row r="67" customFormat="false" ht="15" hidden="false" customHeight="false" outlineLevel="0" collapsed="false">
      <c r="A67" s="0" t="n">
        <v>2</v>
      </c>
      <c r="B67" s="0" t="n">
        <v>0.05</v>
      </c>
      <c r="C67" s="57" t="n">
        <f aca="false">07_最適化!$B$6</f>
        <v>0.45</v>
      </c>
      <c r="D67" s="55" t="n">
        <f aca="false">B67</f>
        <v>0.05</v>
      </c>
      <c r="E67" s="55" t="n">
        <f aca="false">1</f>
        <v>1</v>
      </c>
      <c r="F67" s="57" t="n">
        <f aca="false">C67</f>
        <v>0.45</v>
      </c>
      <c r="G67" s="55" t="n">
        <f aca="false">D67</f>
        <v>0.05</v>
      </c>
      <c r="H67" s="55" t="n">
        <f aca="false">C67*D67</f>
        <v>0.0225</v>
      </c>
      <c r="I67" s="55" t="n">
        <f aca="false">C67*C67</f>
        <v>0.2025</v>
      </c>
      <c r="J67" s="55" t="n">
        <f aca="false">D67*D67</f>
        <v>0.0025</v>
      </c>
      <c r="K67" s="55" t="n">
        <f aca="false">SUMPRODUCT(E67:J67,_XtX!$B$53:$G$53)</f>
        <v>48.5726487068965</v>
      </c>
      <c r="L67" s="55" t="n">
        <f aca="false">SUMPRODUCT(MMULT(E67:J67,_XtX!$B$44:$G$49),E67:J67)</f>
        <v>0.179002927442529</v>
      </c>
      <c r="M67" s="55" t="n">
        <f aca="false">K67-04_回帰ANOVA!$K$19*04_回帰ANOVA!$K$14*SQRT(1+L67)</f>
        <v>47.1012376539941</v>
      </c>
      <c r="N67" s="55" t="n">
        <f aca="false">K67+04_回帰ANOVA!$K$19*04_回帰ANOVA!$K$14*SQRT(1+L67)</f>
        <v>50.044059759799</v>
      </c>
      <c r="O67" s="54" t="b">
        <f aca="false">AND(C67&gt;=01_因子設定!$L$5-0.000000001,C67&lt;=01_因子設定!$M$5+0.000000001,D67&gt;=01_因子設定!$L$6-0.000000001,D67&lt;=01_因子設定!$M$6+0.000000001,IF(01_因子設定!$B$20="Box-Behnken",C67^2+D67^2&lt;=2+0.000000001,TRUE()))</f>
        <v>1</v>
      </c>
      <c r="P67" s="55" t="n">
        <f aca="false">IF(O67,IF(01_因子設定!$B$13="最大化",M67-01_因子設定!$B$14,IF(01_因子設定!$B$13="最小化",01_因子設定!$B$15-N67,MIN(M67-01_因子設定!$B$14,01_因子設定!$B$15-N67))),-1E+030)</f>
        <v>0.601237653994055</v>
      </c>
      <c r="Q67" s="55" t="n">
        <f aca="false">IF(P67&gt;=0,1,0)</f>
        <v>1</v>
      </c>
    </row>
    <row r="68" customFormat="false" ht="15" hidden="false" customHeight="false" outlineLevel="0" collapsed="false">
      <c r="A68" s="0" t="n">
        <v>2</v>
      </c>
      <c r="B68" s="0" t="n">
        <v>0.1</v>
      </c>
      <c r="C68" s="57" t="n">
        <f aca="false">07_最適化!$B$6</f>
        <v>0.45</v>
      </c>
      <c r="D68" s="55" t="n">
        <f aca="false">B68</f>
        <v>0.1</v>
      </c>
      <c r="E68" s="55" t="n">
        <f aca="false">1</f>
        <v>1</v>
      </c>
      <c r="F68" s="57" t="n">
        <f aca="false">C68</f>
        <v>0.45</v>
      </c>
      <c r="G68" s="55" t="n">
        <f aca="false">D68</f>
        <v>0.1</v>
      </c>
      <c r="H68" s="55" t="n">
        <f aca="false">C68*D68</f>
        <v>0.045</v>
      </c>
      <c r="I68" s="55" t="n">
        <f aca="false">C68*C68</f>
        <v>0.2025</v>
      </c>
      <c r="J68" s="55" t="n">
        <f aca="false">D68*D68</f>
        <v>0.01</v>
      </c>
      <c r="K68" s="55" t="n">
        <f aca="false">SUMPRODUCT(E68:J68,_XtX!$B$53:$G$53)</f>
        <v>48.6853879310345</v>
      </c>
      <c r="L68" s="55" t="n">
        <f aca="false">SUMPRODUCT(MMULT(E68:J68,_XtX!$B$44:$G$49),E68:J68)</f>
        <v>0.178695869252874</v>
      </c>
      <c r="M68" s="55" t="n">
        <f aca="false">K68-04_回帰ANOVA!$K$19*04_回帰ANOVA!$K$14*SQRT(1+L68)</f>
        <v>47.2141684969247</v>
      </c>
      <c r="N68" s="55" t="n">
        <f aca="false">K68+04_回帰ANOVA!$K$19*04_回帰ANOVA!$K$14*SQRT(1+L68)</f>
        <v>50.1566073651443</v>
      </c>
      <c r="O68" s="54" t="b">
        <f aca="false">AND(C68&gt;=01_因子設定!$L$5-0.000000001,C68&lt;=01_因子設定!$M$5+0.000000001,D68&gt;=01_因子設定!$L$6-0.000000001,D68&lt;=01_因子設定!$M$6+0.000000001,IF(01_因子設定!$B$20="Box-Behnken",C68^2+D68^2&lt;=2+0.000000001,TRUE()))</f>
        <v>1</v>
      </c>
      <c r="P68" s="55" t="n">
        <f aca="false">IF(O68,IF(01_因子設定!$B$13="最大化",M68-01_因子設定!$B$14,IF(01_因子設定!$B$13="最小化",01_因子設定!$B$15-N68,MIN(M68-01_因子設定!$B$14,01_因子設定!$B$15-N68))),-1E+030)</f>
        <v>0.7141684969247</v>
      </c>
      <c r="Q68" s="55" t="n">
        <f aca="false">IF(P68&gt;=0,1,0)</f>
        <v>1</v>
      </c>
    </row>
    <row r="69" customFormat="false" ht="15" hidden="false" customHeight="false" outlineLevel="0" collapsed="false">
      <c r="A69" s="0" t="n">
        <v>2</v>
      </c>
      <c r="B69" s="0" t="n">
        <v>0.15</v>
      </c>
      <c r="C69" s="57" t="n">
        <f aca="false">07_最適化!$B$6</f>
        <v>0.45</v>
      </c>
      <c r="D69" s="55" t="n">
        <f aca="false">B69</f>
        <v>0.15</v>
      </c>
      <c r="E69" s="55" t="n">
        <f aca="false">1</f>
        <v>1</v>
      </c>
      <c r="F69" s="57" t="n">
        <f aca="false">C69</f>
        <v>0.45</v>
      </c>
      <c r="G69" s="55" t="n">
        <f aca="false">D69</f>
        <v>0.15</v>
      </c>
      <c r="H69" s="55" t="n">
        <f aca="false">C69*D69</f>
        <v>0.0675</v>
      </c>
      <c r="I69" s="55" t="n">
        <f aca="false">C69*C69</f>
        <v>0.2025</v>
      </c>
      <c r="J69" s="55" t="n">
        <f aca="false">D69*D69</f>
        <v>0.0225</v>
      </c>
      <c r="K69" s="55" t="n">
        <f aca="false">SUMPRODUCT(E69:J69,_XtX!$B$53:$G$53)</f>
        <v>48.790411637931</v>
      </c>
      <c r="L69" s="55" t="n">
        <f aca="false">SUMPRODUCT(MMULT(E69:J69,_XtX!$B$44:$G$49),E69:J69)</f>
        <v>0.178274622844828</v>
      </c>
      <c r="M69" s="55" t="n">
        <f aca="false">K69-04_回帰ANOVA!$K$19*04_回帰ANOVA!$K$14*SQRT(1+L69)</f>
        <v>47.3194551220599</v>
      </c>
      <c r="N69" s="55" t="n">
        <f aca="false">K69+04_回帰ANOVA!$K$19*04_回帰ANOVA!$K$14*SQRT(1+L69)</f>
        <v>50.2613681538022</v>
      </c>
      <c r="O69" s="54" t="b">
        <f aca="false">AND(C69&gt;=01_因子設定!$L$5-0.000000001,C69&lt;=01_因子設定!$M$5+0.000000001,D69&gt;=01_因子設定!$L$6-0.000000001,D69&lt;=01_因子設定!$M$6+0.000000001,IF(01_因子設定!$B$20="Box-Behnken",C69^2+D69^2&lt;=2+0.000000001,TRUE()))</f>
        <v>1</v>
      </c>
      <c r="P69" s="55" t="n">
        <f aca="false">IF(O69,IF(01_因子設定!$B$13="最大化",M69-01_因子設定!$B$14,IF(01_因子設定!$B$13="最小化",01_因子設定!$B$15-N69,MIN(M69-01_因子設定!$B$14,01_因子設定!$B$15-N69))),-1E+030)</f>
        <v>0.8194551220599</v>
      </c>
      <c r="Q69" s="55" t="n">
        <f aca="false">IF(P69&gt;=0,1,0)</f>
        <v>1</v>
      </c>
    </row>
    <row r="70" customFormat="false" ht="15" hidden="false" customHeight="false" outlineLevel="0" collapsed="false">
      <c r="A70" s="0" t="n">
        <v>2</v>
      </c>
      <c r="B70" s="0" t="n">
        <v>0.2</v>
      </c>
      <c r="C70" s="57" t="n">
        <f aca="false">07_最適化!$B$6</f>
        <v>0.45</v>
      </c>
      <c r="D70" s="55" t="n">
        <f aca="false">B70</f>
        <v>0.2</v>
      </c>
      <c r="E70" s="55" t="n">
        <f aca="false">1</f>
        <v>1</v>
      </c>
      <c r="F70" s="57" t="n">
        <f aca="false">C70</f>
        <v>0.45</v>
      </c>
      <c r="G70" s="55" t="n">
        <f aca="false">D70</f>
        <v>0.2</v>
      </c>
      <c r="H70" s="55" t="n">
        <f aca="false">C70*D70</f>
        <v>0.09</v>
      </c>
      <c r="I70" s="55" t="n">
        <f aca="false">C70*C70</f>
        <v>0.2025</v>
      </c>
      <c r="J70" s="55" t="n">
        <f aca="false">D70*D70</f>
        <v>0.04</v>
      </c>
      <c r="K70" s="55" t="n">
        <f aca="false">SUMPRODUCT(E70:J70,_XtX!$B$53:$G$53)</f>
        <v>48.8877198275862</v>
      </c>
      <c r="L70" s="55" t="n">
        <f aca="false">SUMPRODUCT(MMULT(E70:J70,_XtX!$B$44:$G$49),E70:J70)</f>
        <v>0.17787496408046</v>
      </c>
      <c r="M70" s="55" t="n">
        <f aca="false">K70-04_回帰ANOVA!$K$19*04_回帰ANOVA!$K$14*SQRT(1+L70)</f>
        <v>47.4170127996152</v>
      </c>
      <c r="N70" s="55" t="n">
        <f aca="false">K70+04_回帰ANOVA!$K$19*04_回帰ANOVA!$K$14*SQRT(1+L70)</f>
        <v>50.3584268555572</v>
      </c>
      <c r="O70" s="54" t="b">
        <f aca="false">AND(C70&gt;=01_因子設定!$L$5-0.000000001,C70&lt;=01_因子設定!$M$5+0.000000001,D70&gt;=01_因子設定!$L$6-0.000000001,D70&lt;=01_因子設定!$M$6+0.000000001,IF(01_因子設定!$B$20="Box-Behnken",C70^2+D70^2&lt;=2+0.000000001,TRUE()))</f>
        <v>1</v>
      </c>
      <c r="P70" s="55" t="n">
        <f aca="false">IF(O70,IF(01_因子設定!$B$13="最大化",M70-01_因子設定!$B$14,IF(01_因子設定!$B$13="最小化",01_因子設定!$B$15-N70,MIN(M70-01_因子設定!$B$14,01_因子設定!$B$15-N70))),-1E+030)</f>
        <v>0.917012799615186</v>
      </c>
      <c r="Q70" s="55" t="n">
        <f aca="false">IF(P70&gt;=0,1,0)</f>
        <v>1</v>
      </c>
    </row>
    <row r="71" customFormat="false" ht="15" hidden="false" customHeight="false" outlineLevel="0" collapsed="false">
      <c r="A71" s="0" t="n">
        <v>2</v>
      </c>
      <c r="B71" s="0" t="n">
        <v>0.25</v>
      </c>
      <c r="C71" s="57" t="n">
        <f aca="false">07_最適化!$B$6</f>
        <v>0.45</v>
      </c>
      <c r="D71" s="55" t="n">
        <f aca="false">B71</f>
        <v>0.25</v>
      </c>
      <c r="E71" s="55" t="n">
        <f aca="false">1</f>
        <v>1</v>
      </c>
      <c r="F71" s="57" t="n">
        <f aca="false">C71</f>
        <v>0.45</v>
      </c>
      <c r="G71" s="55" t="n">
        <f aca="false">D71</f>
        <v>0.25</v>
      </c>
      <c r="H71" s="55" t="n">
        <f aca="false">C71*D71</f>
        <v>0.1125</v>
      </c>
      <c r="I71" s="55" t="n">
        <f aca="false">C71*C71</f>
        <v>0.2025</v>
      </c>
      <c r="J71" s="55" t="n">
        <f aca="false">D71*D71</f>
        <v>0.0625</v>
      </c>
      <c r="K71" s="55" t="n">
        <f aca="false">SUMPRODUCT(E71:J71,_XtX!$B$53:$G$53)</f>
        <v>48.9773125</v>
      </c>
      <c r="L71" s="55" t="n">
        <f aca="false">SUMPRODUCT(MMULT(E71:J71,_XtX!$B$44:$G$49),E71:J71)</f>
        <v>0.177686979166667</v>
      </c>
      <c r="M71" s="55" t="n">
        <f aca="false">K71-04_回帰ANOVA!$K$19*04_回帰ANOVA!$K$14*SQRT(1+L71)</f>
        <v>47.5067228366789</v>
      </c>
      <c r="N71" s="55" t="n">
        <f aca="false">K71+04_回帰ANOVA!$K$19*04_回帰ANOVA!$K$14*SQRT(1+L71)</f>
        <v>50.4479021633211</v>
      </c>
      <c r="O71" s="54" t="b">
        <f aca="false">AND(C71&gt;=01_因子設定!$L$5-0.000000001,C71&lt;=01_因子設定!$M$5+0.000000001,D71&gt;=01_因子設定!$L$6-0.000000001,D71&lt;=01_因子設定!$M$6+0.000000001,IF(01_因子設定!$B$20="Box-Behnken",C71^2+D71^2&lt;=2+0.000000001,TRUE()))</f>
        <v>1</v>
      </c>
      <c r="P71" s="55" t="n">
        <f aca="false">IF(O71,IF(01_因子設定!$B$13="最大化",M71-01_因子設定!$B$14,IF(01_因子設定!$B$13="最小化",01_因子設定!$B$15-N71,MIN(M71-01_因子設定!$B$14,01_因子設定!$B$15-N71))),-1E+030)</f>
        <v>1.00672283667893</v>
      </c>
      <c r="Q71" s="55" t="n">
        <f aca="false">IF(P71&gt;=0,1,0)</f>
        <v>1</v>
      </c>
    </row>
    <row r="72" customFormat="false" ht="15" hidden="false" customHeight="false" outlineLevel="0" collapsed="false">
      <c r="A72" s="0" t="n">
        <v>2</v>
      </c>
      <c r="B72" s="0" t="n">
        <v>0.3</v>
      </c>
      <c r="C72" s="57" t="n">
        <f aca="false">07_最適化!$B$6</f>
        <v>0.45</v>
      </c>
      <c r="D72" s="55" t="n">
        <f aca="false">B72</f>
        <v>0.3</v>
      </c>
      <c r="E72" s="55" t="n">
        <f aca="false">1</f>
        <v>1</v>
      </c>
      <c r="F72" s="57" t="n">
        <f aca="false">C72</f>
        <v>0.45</v>
      </c>
      <c r="G72" s="55" t="n">
        <f aca="false">D72</f>
        <v>0.3</v>
      </c>
      <c r="H72" s="55" t="n">
        <f aca="false">C72*D72</f>
        <v>0.135</v>
      </c>
      <c r="I72" s="55" t="n">
        <f aca="false">C72*C72</f>
        <v>0.2025</v>
      </c>
      <c r="J72" s="55" t="n">
        <f aca="false">D72*D72</f>
        <v>0.09</v>
      </c>
      <c r="K72" s="55" t="n">
        <f aca="false">SUMPRODUCT(E72:J72,_XtX!$B$53:$G$53)</f>
        <v>49.0591896551724</v>
      </c>
      <c r="L72" s="55" t="n">
        <f aca="false">SUMPRODUCT(MMULT(E72:J72,_XtX!$B$44:$G$49),E72:J72)</f>
        <v>0.177955064655172</v>
      </c>
      <c r="M72" s="55" t="n">
        <f aca="false">K72-04_回帰ANOVA!$K$19*04_回帰ANOVA!$K$14*SQRT(1+L72)</f>
        <v>47.5884326208429</v>
      </c>
      <c r="N72" s="55" t="n">
        <f aca="false">K72+04_回帰ANOVA!$K$19*04_回帰ANOVA!$K$14*SQRT(1+L72)</f>
        <v>50.5299466895019</v>
      </c>
      <c r="O72" s="54" t="b">
        <f aca="false">AND(C72&gt;=01_因子設定!$L$5-0.000000001,C72&lt;=01_因子設定!$M$5+0.000000001,D72&gt;=01_因子設定!$L$6-0.000000001,D72&lt;=01_因子設定!$M$6+0.000000001,IF(01_因子設定!$B$20="Box-Behnken",C72^2+D72^2&lt;=2+0.000000001,TRUE()))</f>
        <v>1</v>
      </c>
      <c r="P72" s="55" t="n">
        <f aca="false">IF(O72,IF(01_因子設定!$B$13="最大化",M72-01_因子設定!$B$14,IF(01_因子設定!$B$13="最小化",01_因子設定!$B$15-N72,MIN(M72-01_因子設定!$B$14,01_因子設定!$B$15-N72))),-1E+030)</f>
        <v>1.08843262084289</v>
      </c>
      <c r="Q72" s="55" t="n">
        <f aca="false">IF(P72&gt;=0,1,0)</f>
        <v>1</v>
      </c>
    </row>
    <row r="73" customFormat="false" ht="15" hidden="false" customHeight="false" outlineLevel="0" collapsed="false">
      <c r="A73" s="0" t="n">
        <v>2</v>
      </c>
      <c r="B73" s="0" t="n">
        <v>0.35</v>
      </c>
      <c r="C73" s="57" t="n">
        <f aca="false">07_最適化!$B$6</f>
        <v>0.45</v>
      </c>
      <c r="D73" s="55" t="n">
        <f aca="false">B73</f>
        <v>0.35</v>
      </c>
      <c r="E73" s="55" t="n">
        <f aca="false">1</f>
        <v>1</v>
      </c>
      <c r="F73" s="57" t="n">
        <f aca="false">C73</f>
        <v>0.45</v>
      </c>
      <c r="G73" s="55" t="n">
        <f aca="false">D73</f>
        <v>0.35</v>
      </c>
      <c r="H73" s="55" t="n">
        <f aca="false">C73*D73</f>
        <v>0.1575</v>
      </c>
      <c r="I73" s="55" t="n">
        <f aca="false">C73*C73</f>
        <v>0.2025</v>
      </c>
      <c r="J73" s="55" t="n">
        <f aca="false">D73*D73</f>
        <v>0.1225</v>
      </c>
      <c r="K73" s="55" t="n">
        <f aca="false">SUMPRODUCT(E73:J73,_XtX!$B$53:$G$53)</f>
        <v>49.1333512931034</v>
      </c>
      <c r="L73" s="55" t="n">
        <f aca="false">SUMPRODUCT(MMULT(E73:J73,_XtX!$B$44:$G$49),E73:J73)</f>
        <v>0.178977927442529</v>
      </c>
      <c r="M73" s="55" t="n">
        <f aca="false">K73-04_回帰ANOVA!$K$19*04_回帰ANOVA!$K$14*SQRT(1+L73)</f>
        <v>47.6619558404469</v>
      </c>
      <c r="N73" s="55" t="n">
        <f aca="false">K73+04_回帰ANOVA!$K$19*04_回帰ANOVA!$K$14*SQRT(1+L73)</f>
        <v>50.60474674576</v>
      </c>
      <c r="O73" s="54" t="b">
        <f aca="false">AND(C73&gt;=01_因子設定!$L$5-0.000000001,C73&lt;=01_因子設定!$M$5+0.000000001,D73&gt;=01_因子設定!$L$6-0.000000001,D73&lt;=01_因子設定!$M$6+0.000000001,IF(01_因子設定!$B$20="Box-Behnken",C73^2+D73^2&lt;=2+0.000000001,TRUE()))</f>
        <v>1</v>
      </c>
      <c r="P73" s="55" t="n">
        <f aca="false">IF(O73,IF(01_因子設定!$B$13="最大化",M73-01_因子設定!$B$14,IF(01_因子設定!$B$13="最小化",01_因子設定!$B$15-N73,MIN(M73-01_因子設定!$B$14,01_因子設定!$B$15-N73))),-1E+030)</f>
        <v>1.16195584044692</v>
      </c>
      <c r="Q73" s="55" t="n">
        <f aca="false">IF(P73&gt;=0,1,0)</f>
        <v>1</v>
      </c>
    </row>
    <row r="74" customFormat="false" ht="15" hidden="false" customHeight="false" outlineLevel="0" collapsed="false">
      <c r="A74" s="0" t="n">
        <v>2</v>
      </c>
      <c r="B74" s="0" t="n">
        <v>0.4</v>
      </c>
      <c r="C74" s="57" t="n">
        <f aca="false">07_最適化!$B$6</f>
        <v>0.45</v>
      </c>
      <c r="D74" s="55" t="n">
        <f aca="false">B74</f>
        <v>0.4</v>
      </c>
      <c r="E74" s="55" t="n">
        <f aca="false">1</f>
        <v>1</v>
      </c>
      <c r="F74" s="57" t="n">
        <f aca="false">C74</f>
        <v>0.45</v>
      </c>
      <c r="G74" s="55" t="n">
        <f aca="false">D74</f>
        <v>0.4</v>
      </c>
      <c r="H74" s="55" t="n">
        <f aca="false">C74*D74</f>
        <v>0.18</v>
      </c>
      <c r="I74" s="55" t="n">
        <f aca="false">C74*C74</f>
        <v>0.2025</v>
      </c>
      <c r="J74" s="55" t="n">
        <f aca="false">D74*D74</f>
        <v>0.16</v>
      </c>
      <c r="K74" s="55" t="n">
        <f aca="false">SUMPRODUCT(E74:J74,_XtX!$B$53:$G$53)</f>
        <v>49.1997974137931</v>
      </c>
      <c r="L74" s="55" t="n">
        <f aca="false">SUMPRODUCT(MMULT(E74:J74,_XtX!$B$44:$G$49),E74:J74)</f>
        <v>0.181108584770115</v>
      </c>
      <c r="M74" s="55" t="n">
        <f aca="false">K74-04_回帰ANOVA!$K$19*04_回帰ANOVA!$K$14*SQRT(1+L74)</f>
        <v>47.7270730031078</v>
      </c>
      <c r="N74" s="55" t="n">
        <f aca="false">K74+04_回帰ANOVA!$K$19*04_回帰ANOVA!$K$14*SQRT(1+L74)</f>
        <v>50.6725218244785</v>
      </c>
      <c r="O74" s="54" t="b">
        <f aca="false">AND(C74&gt;=01_因子設定!$L$5-0.000000001,C74&lt;=01_因子設定!$M$5+0.000000001,D74&gt;=01_因子設定!$L$6-0.000000001,D74&lt;=01_因子設定!$M$6+0.000000001,IF(01_因子設定!$B$20="Box-Behnken",C74^2+D74^2&lt;=2+0.000000001,TRUE()))</f>
        <v>1</v>
      </c>
      <c r="P74" s="55" t="n">
        <f aca="false">IF(O74,IF(01_因子設定!$B$13="最大化",M74-01_因子設定!$B$14,IF(01_因子設定!$B$13="最小化",01_因子設定!$B$15-N74,MIN(M74-01_因子設定!$B$14,01_因子設定!$B$15-N74))),-1E+030)</f>
        <v>1.22707300310775</v>
      </c>
      <c r="Q74" s="55" t="n">
        <f aca="false">IF(P74&gt;=0,1,0)</f>
        <v>1</v>
      </c>
    </row>
    <row r="75" customFormat="false" ht="15" hidden="false" customHeight="false" outlineLevel="0" collapsed="false">
      <c r="A75" s="0" t="n">
        <v>2</v>
      </c>
      <c r="B75" s="0" t="n">
        <v>0.45</v>
      </c>
      <c r="C75" s="57" t="n">
        <f aca="false">07_最適化!$B$6</f>
        <v>0.45</v>
      </c>
      <c r="D75" s="55" t="n">
        <f aca="false">B75</f>
        <v>0.45</v>
      </c>
      <c r="E75" s="55" t="n">
        <f aca="false">1</f>
        <v>1</v>
      </c>
      <c r="F75" s="57" t="n">
        <f aca="false">C75</f>
        <v>0.45</v>
      </c>
      <c r="G75" s="55" t="n">
        <f aca="false">D75</f>
        <v>0.45</v>
      </c>
      <c r="H75" s="55" t="n">
        <f aca="false">C75*D75</f>
        <v>0.2025</v>
      </c>
      <c r="I75" s="55" t="n">
        <f aca="false">C75*C75</f>
        <v>0.2025</v>
      </c>
      <c r="J75" s="55" t="n">
        <f aca="false">D75*D75</f>
        <v>0.2025</v>
      </c>
      <c r="K75" s="55" t="n">
        <f aca="false">SUMPRODUCT(E75:J75,_XtX!$B$53:$G$53)</f>
        <v>49.2585280172414</v>
      </c>
      <c r="L75" s="55" t="n">
        <f aca="false">SUMPRODUCT(MMULT(E75:J75,_XtX!$B$44:$G$49),E75:J75)</f>
        <v>0.184754364224138</v>
      </c>
      <c r="M75" s="55" t="n">
        <f aca="false">K75-04_回帰ANOVA!$K$19*04_回帰ANOVA!$K$14*SQRT(1+L75)</f>
        <v>47.7835323964863</v>
      </c>
      <c r="N75" s="55" t="n">
        <f aca="false">K75+04_回帰ANOVA!$K$19*04_回帰ANOVA!$K$14*SQRT(1+L75)</f>
        <v>50.7335236379965</v>
      </c>
      <c r="O75" s="54" t="b">
        <f aca="false">AND(C75&gt;=01_因子設定!$L$5-0.000000001,C75&lt;=01_因子設定!$M$5+0.000000001,D75&gt;=01_因子設定!$L$6-0.000000001,D75&lt;=01_因子設定!$M$6+0.000000001,IF(01_因子設定!$B$20="Box-Behnken",C75^2+D75^2&lt;=2+0.000000001,TRUE()))</f>
        <v>1</v>
      </c>
      <c r="P75" s="55" t="n">
        <f aca="false">IF(O75,IF(01_因子設定!$B$13="最大化",M75-01_因子設定!$B$14,IF(01_因子設定!$B$13="最小化",01_因子設定!$B$15-N75,MIN(M75-01_因子設定!$B$14,01_因子設定!$B$15-N75))),-1E+030)</f>
        <v>1.28353239648627</v>
      </c>
      <c r="Q75" s="55" t="n">
        <f aca="false">IF(P75&gt;=0,1,0)</f>
        <v>1</v>
      </c>
    </row>
    <row r="76" customFormat="false" ht="15" hidden="false" customHeight="false" outlineLevel="0" collapsed="false">
      <c r="A76" s="0" t="n">
        <v>2</v>
      </c>
      <c r="B76" s="0" t="n">
        <v>0.5</v>
      </c>
      <c r="C76" s="57" t="n">
        <f aca="false">07_最適化!$B$6</f>
        <v>0.45</v>
      </c>
      <c r="D76" s="55" t="n">
        <f aca="false">B76</f>
        <v>0.5</v>
      </c>
      <c r="E76" s="55" t="n">
        <f aca="false">1</f>
        <v>1</v>
      </c>
      <c r="F76" s="57" t="n">
        <f aca="false">C76</f>
        <v>0.45</v>
      </c>
      <c r="G76" s="55" t="n">
        <f aca="false">D76</f>
        <v>0.5</v>
      </c>
      <c r="H76" s="55" t="n">
        <f aca="false">C76*D76</f>
        <v>0.225</v>
      </c>
      <c r="I76" s="55" t="n">
        <f aca="false">C76*C76</f>
        <v>0.2025</v>
      </c>
      <c r="J76" s="55" t="n">
        <f aca="false">D76*D76</f>
        <v>0.25</v>
      </c>
      <c r="K76" s="55" t="n">
        <f aca="false">SUMPRODUCT(E76:J76,_XtX!$B$53:$G$53)</f>
        <v>49.3095431034483</v>
      </c>
      <c r="L76" s="55" t="n">
        <f aca="false">SUMPRODUCT(MMULT(E76:J76,_XtX!$B$44:$G$49),E76:J76)</f>
        <v>0.190376903735632</v>
      </c>
      <c r="M76" s="55" t="n">
        <f aca="false">K76-04_回帰ANOVA!$K$19*04_回帰ANOVA!$K$14*SQRT(1+L76)</f>
        <v>47.8310516504296</v>
      </c>
      <c r="N76" s="55" t="n">
        <f aca="false">K76+04_回帰ANOVA!$K$19*04_回帰ANOVA!$K$14*SQRT(1+L76)</f>
        <v>50.788034556467</v>
      </c>
      <c r="O76" s="54" t="b">
        <f aca="false">AND(C76&gt;=01_因子設定!$L$5-0.000000001,C76&lt;=01_因子設定!$M$5+0.000000001,D76&gt;=01_因子設定!$L$6-0.000000001,D76&lt;=01_因子設定!$M$6+0.000000001,IF(01_因子設定!$B$20="Box-Behnken",C76^2+D76^2&lt;=2+0.000000001,TRUE()))</f>
        <v>1</v>
      </c>
      <c r="P76" s="55" t="n">
        <f aca="false">IF(O76,IF(01_因子設定!$B$13="最大化",M76-01_因子設定!$B$14,IF(01_因子設定!$B$13="最小化",01_因子設定!$B$15-N76,MIN(M76-01_因子設定!$B$14,01_因子設定!$B$15-N76))),-1E+030)</f>
        <v>1.33105165042955</v>
      </c>
      <c r="Q76" s="55" t="n">
        <f aca="false">IF(P76&gt;=0,1,0)</f>
        <v>1</v>
      </c>
    </row>
    <row r="77" customFormat="false" ht="15" hidden="false" customHeight="false" outlineLevel="0" collapsed="false">
      <c r="A77" s="0" t="n">
        <v>2</v>
      </c>
      <c r="B77" s="0" t="n">
        <v>0.55</v>
      </c>
      <c r="C77" s="57" t="n">
        <f aca="false">07_最適化!$B$6</f>
        <v>0.45</v>
      </c>
      <c r="D77" s="55" t="n">
        <f aca="false">B77</f>
        <v>0.55</v>
      </c>
      <c r="E77" s="55" t="n">
        <f aca="false">1</f>
        <v>1</v>
      </c>
      <c r="F77" s="57" t="n">
        <f aca="false">C77</f>
        <v>0.45</v>
      </c>
      <c r="G77" s="55" t="n">
        <f aca="false">D77</f>
        <v>0.55</v>
      </c>
      <c r="H77" s="55" t="n">
        <f aca="false">C77*D77</f>
        <v>0.2475</v>
      </c>
      <c r="I77" s="55" t="n">
        <f aca="false">C77*C77</f>
        <v>0.2025</v>
      </c>
      <c r="J77" s="55" t="n">
        <f aca="false">D77*D77</f>
        <v>0.3025</v>
      </c>
      <c r="K77" s="55" t="n">
        <f aca="false">SUMPRODUCT(E77:J77,_XtX!$B$53:$G$53)</f>
        <v>49.3528426724138</v>
      </c>
      <c r="L77" s="55" t="n">
        <f aca="false">SUMPRODUCT(MMULT(E77:J77,_XtX!$B$44:$G$49),E77:J77)</f>
        <v>0.19849215158046</v>
      </c>
      <c r="M77" s="55" t="n">
        <f aca="false">K77-04_回帰ANOVA!$K$19*04_回帰ANOVA!$K$14*SQRT(1+L77)</f>
        <v>47.869320063013</v>
      </c>
      <c r="N77" s="55" t="n">
        <f aca="false">K77+04_回帰ANOVA!$K$19*04_回帰ANOVA!$K$14*SQRT(1+L77)</f>
        <v>50.8363652818145</v>
      </c>
      <c r="O77" s="54" t="b">
        <f aca="false">AND(C77&gt;=01_因子設定!$L$5-0.000000001,C77&lt;=01_因子設定!$M$5+0.000000001,D77&gt;=01_因子設定!$L$6-0.000000001,D77&lt;=01_因子設定!$M$6+0.000000001,IF(01_因子設定!$B$20="Box-Behnken",C77^2+D77^2&lt;=2+0.000000001,TRUE()))</f>
        <v>1</v>
      </c>
      <c r="P77" s="55" t="n">
        <f aca="false">IF(O77,IF(01_因子設定!$B$13="最大化",M77-01_因子設定!$B$14,IF(01_因子設定!$B$13="最小化",01_因子設定!$B$15-N77,MIN(M77-01_因子設定!$B$14,01_因子設定!$B$15-N77))),-1E+030)</f>
        <v>1.36932006301303</v>
      </c>
      <c r="Q77" s="55" t="n">
        <f aca="false">IF(P77&gt;=0,1,0)</f>
        <v>1</v>
      </c>
    </row>
    <row r="78" customFormat="false" ht="15" hidden="false" customHeight="false" outlineLevel="0" collapsed="false">
      <c r="A78" s="0" t="n">
        <v>2</v>
      </c>
      <c r="B78" s="0" t="n">
        <v>0.6</v>
      </c>
      <c r="C78" s="57" t="n">
        <f aca="false">07_最適化!$B$6</f>
        <v>0.45</v>
      </c>
      <c r="D78" s="55" t="n">
        <f aca="false">B78</f>
        <v>0.6</v>
      </c>
      <c r="E78" s="55" t="n">
        <f aca="false">1</f>
        <v>1</v>
      </c>
      <c r="F78" s="57" t="n">
        <f aca="false">C78</f>
        <v>0.45</v>
      </c>
      <c r="G78" s="55" t="n">
        <f aca="false">D78</f>
        <v>0.6</v>
      </c>
      <c r="H78" s="55" t="n">
        <f aca="false">C78*D78</f>
        <v>0.27</v>
      </c>
      <c r="I78" s="55" t="n">
        <f aca="false">C78*C78</f>
        <v>0.2025</v>
      </c>
      <c r="J78" s="55" t="n">
        <f aca="false">D78*D78</f>
        <v>0.36</v>
      </c>
      <c r="K78" s="55" t="n">
        <f aca="false">SUMPRODUCT(E78:J78,_XtX!$B$53:$G$53)</f>
        <v>49.3884267241379</v>
      </c>
      <c r="L78" s="55" t="n">
        <f aca="false">SUMPRODUCT(MMULT(E78:J78,_XtX!$B$44:$G$49),E78:J78)</f>
        <v>0.20967036637931</v>
      </c>
      <c r="M78" s="55" t="n">
        <f aca="false">K78-04_回帰ANOVA!$K$19*04_回帰ANOVA!$K$14*SQRT(1+L78)</f>
        <v>47.8980018390984</v>
      </c>
      <c r="N78" s="55" t="n">
        <f aca="false">K78+04_回帰ANOVA!$K$19*04_回帰ANOVA!$K$14*SQRT(1+L78)</f>
        <v>50.8788516091774</v>
      </c>
      <c r="O78" s="54" t="b">
        <f aca="false">AND(C78&gt;=01_因子設定!$L$5-0.000000001,C78&lt;=01_因子設定!$M$5+0.000000001,D78&gt;=01_因子設定!$L$6-0.000000001,D78&lt;=01_因子設定!$M$6+0.000000001,IF(01_因子設定!$B$20="Box-Behnken",C78^2+D78^2&lt;=2+0.000000001,TRUE()))</f>
        <v>1</v>
      </c>
      <c r="P78" s="55" t="n">
        <f aca="false">IF(O78,IF(01_因子設定!$B$13="最大化",M78-01_因子設定!$B$14,IF(01_因子設定!$B$13="最小化",01_因子設定!$B$15-N78,MIN(M78-01_因子設定!$B$14,01_因子設定!$B$15-N78))),-1E+030)</f>
        <v>1.39800183909842</v>
      </c>
      <c r="Q78" s="55" t="n">
        <f aca="false">IF(P78&gt;=0,1,0)</f>
        <v>1</v>
      </c>
    </row>
    <row r="79" customFormat="false" ht="15" hidden="false" customHeight="false" outlineLevel="0" collapsed="false">
      <c r="A79" s="0" t="n">
        <v>2</v>
      </c>
      <c r="B79" s="0" t="n">
        <v>0.65</v>
      </c>
      <c r="C79" s="57" t="n">
        <f aca="false">07_最適化!$B$6</f>
        <v>0.45</v>
      </c>
      <c r="D79" s="55" t="n">
        <f aca="false">B79</f>
        <v>0.65</v>
      </c>
      <c r="E79" s="55" t="n">
        <f aca="false">1</f>
        <v>1</v>
      </c>
      <c r="F79" s="57" t="n">
        <f aca="false">C79</f>
        <v>0.45</v>
      </c>
      <c r="G79" s="55" t="n">
        <f aca="false">D79</f>
        <v>0.65</v>
      </c>
      <c r="H79" s="55" t="n">
        <f aca="false">C79*D79</f>
        <v>0.2925</v>
      </c>
      <c r="I79" s="55" t="n">
        <f aca="false">C79*C79</f>
        <v>0.2025</v>
      </c>
      <c r="J79" s="55" t="n">
        <f aca="false">D79*D79</f>
        <v>0.4225</v>
      </c>
      <c r="K79" s="55" t="n">
        <f aca="false">SUMPRODUCT(E79:J79,_XtX!$B$53:$G$53)</f>
        <v>49.4162952586207</v>
      </c>
      <c r="L79" s="55" t="n">
        <f aca="false">SUMPRODUCT(MMULT(E79:J79,_XtX!$B$44:$G$49),E79:J79)</f>
        <v>0.224536117097701</v>
      </c>
      <c r="M79" s="55" t="n">
        <f aca="false">K79-04_回帰ANOVA!$K$19*04_回帰ANOVA!$K$14*SQRT(1+L79)</f>
        <v>47.9167403533965</v>
      </c>
      <c r="N79" s="55" t="n">
        <f aca="false">K79+04_回帰ANOVA!$K$19*04_回帰ANOVA!$K$14*SQRT(1+L79)</f>
        <v>50.9158501638448</v>
      </c>
      <c r="O79" s="54" t="b">
        <f aca="false">AND(C79&gt;=01_因子設定!$L$5-0.000000001,C79&lt;=01_因子設定!$M$5+0.000000001,D79&gt;=01_因子設定!$L$6-0.000000001,D79&lt;=01_因子設定!$M$6+0.000000001,IF(01_因子設定!$B$20="Box-Behnken",C79^2+D79^2&lt;=2+0.000000001,TRUE()))</f>
        <v>1</v>
      </c>
      <c r="P79" s="55" t="n">
        <f aca="false">IF(O79,IF(01_因子設定!$B$13="最大化",M79-01_因子設定!$B$14,IF(01_因子設定!$B$13="最小化",01_因子設定!$B$15-N79,MIN(M79-01_因子設定!$B$14,01_因子設定!$B$15-N79))),-1E+030)</f>
        <v>1.41674035339653</v>
      </c>
      <c r="Q79" s="55" t="n">
        <f aca="false">IF(P79&gt;=0,1,0)</f>
        <v>1</v>
      </c>
    </row>
    <row r="80" customFormat="false" ht="15" hidden="false" customHeight="false" outlineLevel="0" collapsed="false">
      <c r="A80" s="0" t="n">
        <v>2</v>
      </c>
      <c r="B80" s="0" t="n">
        <v>0.7</v>
      </c>
      <c r="C80" s="57" t="n">
        <f aca="false">07_最適化!$B$6</f>
        <v>0.45</v>
      </c>
      <c r="D80" s="55" t="n">
        <f aca="false">B80</f>
        <v>0.7</v>
      </c>
      <c r="E80" s="55" t="n">
        <f aca="false">1</f>
        <v>1</v>
      </c>
      <c r="F80" s="57" t="n">
        <f aca="false">C80</f>
        <v>0.45</v>
      </c>
      <c r="G80" s="55" t="n">
        <f aca="false">D80</f>
        <v>0.7</v>
      </c>
      <c r="H80" s="55" t="n">
        <f aca="false">C80*D80</f>
        <v>0.315</v>
      </c>
      <c r="I80" s="55" t="n">
        <f aca="false">C80*C80</f>
        <v>0.2025</v>
      </c>
      <c r="J80" s="55" t="n">
        <f aca="false">D80*D80</f>
        <v>0.49</v>
      </c>
      <c r="K80" s="55" t="n">
        <f aca="false">SUMPRODUCT(E80:J80,_XtX!$B$53:$G$53)</f>
        <v>49.4364482758621</v>
      </c>
      <c r="L80" s="55" t="n">
        <f aca="false">SUMPRODUCT(MMULT(E80:J80,_XtX!$B$44:$G$49),E80:J80)</f>
        <v>0.243768283045977</v>
      </c>
      <c r="M80" s="55" t="n">
        <f aca="false">K80-04_回帰ANOVA!$K$19*04_回帰ANOVA!$K$14*SQRT(1+L80)</f>
        <v>47.9251634868528</v>
      </c>
      <c r="N80" s="55" t="n">
        <f aca="false">K80+04_回帰ANOVA!$K$19*04_回帰ANOVA!$K$14*SQRT(1+L80)</f>
        <v>50.9477330648713</v>
      </c>
      <c r="O80" s="54" t="b">
        <f aca="false">AND(C80&gt;=01_因子設定!$L$5-0.000000001,C80&lt;=01_因子設定!$M$5+0.000000001,D80&gt;=01_因子設定!$L$6-0.000000001,D80&lt;=01_因子設定!$M$6+0.000000001,IF(01_因子設定!$B$20="Box-Behnken",C80^2+D80^2&lt;=2+0.000000001,TRUE()))</f>
        <v>1</v>
      </c>
      <c r="P80" s="55" t="n">
        <f aca="false">IF(O80,IF(01_因子設定!$B$13="最大化",M80-01_因子設定!$B$14,IF(01_因子設定!$B$13="最小化",01_因子設定!$B$15-N80,MIN(M80-01_因子設定!$B$14,01_因子設定!$B$15-N80))),-1E+030)</f>
        <v>1.4251634868528</v>
      </c>
      <c r="Q80" s="55" t="n">
        <f aca="false">IF(P80&gt;=0,1,0)</f>
        <v>1</v>
      </c>
    </row>
    <row r="81" customFormat="false" ht="15" hidden="false" customHeight="false" outlineLevel="0" collapsed="false">
      <c r="A81" s="0" t="n">
        <v>2</v>
      </c>
      <c r="B81" s="0" t="n">
        <v>0.75</v>
      </c>
      <c r="C81" s="57" t="n">
        <f aca="false">07_最適化!$B$6</f>
        <v>0.45</v>
      </c>
      <c r="D81" s="55" t="n">
        <f aca="false">B81</f>
        <v>0.75</v>
      </c>
      <c r="E81" s="55" t="n">
        <f aca="false">1</f>
        <v>1</v>
      </c>
      <c r="F81" s="57" t="n">
        <f aca="false">C81</f>
        <v>0.45</v>
      </c>
      <c r="G81" s="55" t="n">
        <f aca="false">D81</f>
        <v>0.75</v>
      </c>
      <c r="H81" s="55" t="n">
        <f aca="false">C81*D81</f>
        <v>0.3375</v>
      </c>
      <c r="I81" s="55" t="n">
        <f aca="false">C81*C81</f>
        <v>0.2025</v>
      </c>
      <c r="J81" s="55" t="n">
        <f aca="false">D81*D81</f>
        <v>0.5625</v>
      </c>
      <c r="K81" s="55" t="n">
        <f aca="false">SUMPRODUCT(E81:J81,_XtX!$B$53:$G$53)</f>
        <v>49.4488857758621</v>
      </c>
      <c r="L81" s="55" t="n">
        <f aca="false">SUMPRODUCT(MMULT(E81:J81,_XtX!$B$44:$G$49),E81:J81)</f>
        <v>0.26810005387931</v>
      </c>
      <c r="M81" s="55" t="n">
        <f aca="false">K81-04_回帰ANOVA!$K$19*04_回帰ANOVA!$K$14*SQRT(1+L81)</f>
        <v>47.9228899951604</v>
      </c>
      <c r="N81" s="55" t="n">
        <f aca="false">K81+04_回帰ANOVA!$K$19*04_回帰ANOVA!$K$14*SQRT(1+L81)</f>
        <v>50.9748815565637</v>
      </c>
      <c r="O81" s="54" t="b">
        <f aca="false">AND(C81&gt;=01_因子設定!$L$5-0.000000001,C81&lt;=01_因子設定!$M$5+0.000000001,D81&gt;=01_因子設定!$L$6-0.000000001,D81&lt;=01_因子設定!$M$6+0.000000001,IF(01_因子設定!$B$20="Box-Behnken",C81^2+D81^2&lt;=2+0.000000001,TRUE()))</f>
        <v>1</v>
      </c>
      <c r="P81" s="55" t="n">
        <f aca="false">IF(O81,IF(01_因子設定!$B$13="最大化",M81-01_因子設定!$B$14,IF(01_因子設定!$B$13="最小化",01_因子設定!$B$15-N81,MIN(M81-01_因子設定!$B$14,01_因子設定!$B$15-N81))),-1E+030)</f>
        <v>1.42288999516041</v>
      </c>
      <c r="Q81" s="55" t="n">
        <f aca="false">IF(P81&gt;=0,1,0)</f>
        <v>1</v>
      </c>
    </row>
    <row r="82" customFormat="false" ht="15" hidden="false" customHeight="false" outlineLevel="0" collapsed="false">
      <c r="A82" s="0" t="n">
        <v>2</v>
      </c>
      <c r="B82" s="0" t="n">
        <v>0.8</v>
      </c>
      <c r="C82" s="57" t="n">
        <f aca="false">07_最適化!$B$6</f>
        <v>0.45</v>
      </c>
      <c r="D82" s="55" t="n">
        <f aca="false">B82</f>
        <v>0.8</v>
      </c>
      <c r="E82" s="55" t="n">
        <f aca="false">1</f>
        <v>1</v>
      </c>
      <c r="F82" s="57" t="n">
        <f aca="false">C82</f>
        <v>0.45</v>
      </c>
      <c r="G82" s="55" t="n">
        <f aca="false">D82</f>
        <v>0.8</v>
      </c>
      <c r="H82" s="55" t="n">
        <f aca="false">C82*D82</f>
        <v>0.36</v>
      </c>
      <c r="I82" s="55" t="n">
        <f aca="false">C82*C82</f>
        <v>0.2025</v>
      </c>
      <c r="J82" s="55" t="n">
        <f aca="false">D82*D82</f>
        <v>0.64</v>
      </c>
      <c r="K82" s="55" t="n">
        <f aca="false">SUMPRODUCT(E82:J82,_XtX!$B$53:$G$53)</f>
        <v>49.4536077586207</v>
      </c>
      <c r="L82" s="55" t="n">
        <f aca="false">SUMPRODUCT(MMULT(E82:J82,_XtX!$B$44:$G$49),E82:J82)</f>
        <v>0.298318929597701</v>
      </c>
      <c r="M82" s="55" t="n">
        <f aca="false">K82-04_回帰ANOVA!$K$19*04_回帰ANOVA!$K$14*SQRT(1+L82)</f>
        <v>47.9095367565664</v>
      </c>
      <c r="N82" s="55" t="n">
        <f aca="false">K82+04_回帰ANOVA!$K$19*04_回帰ANOVA!$K$14*SQRT(1+L82)</f>
        <v>50.9976787606749</v>
      </c>
      <c r="O82" s="54" t="b">
        <f aca="false">AND(C82&gt;=01_因子設定!$L$5-0.000000001,C82&lt;=01_因子設定!$M$5+0.000000001,D82&gt;=01_因子設定!$L$6-0.000000001,D82&lt;=01_因子設定!$M$6+0.000000001,IF(01_因子設定!$B$20="Box-Behnken",C82^2+D82^2&lt;=2+0.000000001,TRUE()))</f>
        <v>1</v>
      </c>
      <c r="P82" s="55" t="n">
        <f aca="false">IF(O82,IF(01_因子設定!$B$13="最大化",M82-01_因子設定!$B$14,IF(01_因子設定!$B$13="最小化",01_因子設定!$B$15-N82,MIN(M82-01_因子設定!$B$14,01_因子設定!$B$15-N82))),-1E+030)</f>
        <v>1.40953675656644</v>
      </c>
      <c r="Q82" s="55" t="n">
        <f aca="false">IF(P82&gt;=0,1,0)</f>
        <v>1</v>
      </c>
    </row>
    <row r="83" customFormat="false" ht="15" hidden="false" customHeight="false" outlineLevel="0" collapsed="false">
      <c r="A83" s="0" t="n">
        <v>2</v>
      </c>
      <c r="B83" s="0" t="n">
        <v>0.85</v>
      </c>
      <c r="C83" s="57" t="n">
        <f aca="false">07_最適化!$B$6</f>
        <v>0.45</v>
      </c>
      <c r="D83" s="55" t="n">
        <f aca="false">B83</f>
        <v>0.85</v>
      </c>
      <c r="E83" s="55" t="n">
        <f aca="false">1</f>
        <v>1</v>
      </c>
      <c r="F83" s="57" t="n">
        <f aca="false">C83</f>
        <v>0.45</v>
      </c>
      <c r="G83" s="55" t="n">
        <f aca="false">D83</f>
        <v>0.85</v>
      </c>
      <c r="H83" s="55" t="n">
        <f aca="false">C83*D83</f>
        <v>0.3825</v>
      </c>
      <c r="I83" s="55" t="n">
        <f aca="false">C83*C83</f>
        <v>0.2025</v>
      </c>
      <c r="J83" s="55" t="n">
        <f aca="false">D83*D83</f>
        <v>0.7225</v>
      </c>
      <c r="K83" s="55" t="n">
        <f aca="false">SUMPRODUCT(E83:J83,_XtX!$B$53:$G$53)</f>
        <v>49.4506142241379</v>
      </c>
      <c r="L83" s="55" t="n">
        <f aca="false">SUMPRODUCT(MMULT(E83:J83,_XtX!$B$44:$G$49),E83:J83)</f>
        <v>0.335266720545977</v>
      </c>
      <c r="M83" s="55" t="n">
        <f aca="false">K83-04_回帰ANOVA!$K$19*04_回帰ANOVA!$K$14*SQRT(1+L83)</f>
        <v>47.8847266248272</v>
      </c>
      <c r="N83" s="55" t="n">
        <f aca="false">K83+04_回帰ANOVA!$K$19*04_回帰ANOVA!$K$14*SQRT(1+L83)</f>
        <v>51.0165018234487</v>
      </c>
      <c r="O83" s="54" t="b">
        <f aca="false">AND(C83&gt;=01_因子設定!$L$5-0.000000001,C83&lt;=01_因子設定!$M$5+0.000000001,D83&gt;=01_因子設定!$L$6-0.000000001,D83&lt;=01_因子設定!$M$6+0.000000001,IF(01_因子設定!$B$20="Box-Behnken",C83^2+D83^2&lt;=2+0.000000001,TRUE()))</f>
        <v>1</v>
      </c>
      <c r="P83" s="55" t="n">
        <f aca="false">IF(O83,IF(01_因子設定!$B$13="最大化",M83-01_因子設定!$B$14,IF(01_因子設定!$B$13="最小化",01_因子設定!$B$15-N83,MIN(M83-01_因子設定!$B$14,01_因子設定!$B$15-N83))),-1E+030)</f>
        <v>1.3847266248272</v>
      </c>
      <c r="Q83" s="55" t="n">
        <f aca="false">IF(P83&gt;=0,1,0)</f>
        <v>1</v>
      </c>
    </row>
    <row r="84" customFormat="false" ht="15" hidden="false" customHeight="false" outlineLevel="0" collapsed="false">
      <c r="A84" s="0" t="n">
        <v>2</v>
      </c>
      <c r="B84" s="0" t="n">
        <v>0.9</v>
      </c>
      <c r="C84" s="57" t="n">
        <f aca="false">07_最適化!$B$6</f>
        <v>0.45</v>
      </c>
      <c r="D84" s="55" t="n">
        <f aca="false">B84</f>
        <v>0.9</v>
      </c>
      <c r="E84" s="55" t="n">
        <f aca="false">1</f>
        <v>1</v>
      </c>
      <c r="F84" s="57" t="n">
        <f aca="false">C84</f>
        <v>0.45</v>
      </c>
      <c r="G84" s="55" t="n">
        <f aca="false">D84</f>
        <v>0.9</v>
      </c>
      <c r="H84" s="55" t="n">
        <f aca="false">C84*D84</f>
        <v>0.405</v>
      </c>
      <c r="I84" s="55" t="n">
        <f aca="false">C84*C84</f>
        <v>0.2025</v>
      </c>
      <c r="J84" s="55" t="n">
        <f aca="false">D84*D84</f>
        <v>0.81</v>
      </c>
      <c r="K84" s="55" t="n">
        <f aca="false">SUMPRODUCT(E84:J84,_XtX!$B$53:$G$53)</f>
        <v>49.4399051724138</v>
      </c>
      <c r="L84" s="55" t="n">
        <f aca="false">SUMPRODUCT(MMULT(E84:J84,_XtX!$B$44:$G$49),E84:J84)</f>
        <v>0.379839547413793</v>
      </c>
      <c r="M84" s="55" t="n">
        <f aca="false">K84-04_回帰ANOVA!$K$19*04_回帰ANOVA!$K$14*SQRT(1+L84)</f>
        <v>47.8480965004786</v>
      </c>
      <c r="N84" s="55" t="n">
        <f aca="false">K84+04_回帰ANOVA!$K$19*04_回帰ANOVA!$K$14*SQRT(1+L84)</f>
        <v>51.031713844349</v>
      </c>
      <c r="O84" s="54" t="b">
        <f aca="false">AND(C84&gt;=01_因子設定!$L$5-0.000000001,C84&lt;=01_因子設定!$M$5+0.000000001,D84&gt;=01_因子設定!$L$6-0.000000001,D84&lt;=01_因子設定!$M$6+0.000000001,IF(01_因子設定!$B$20="Box-Behnken",C84^2+D84^2&lt;=2+0.000000001,TRUE()))</f>
        <v>1</v>
      </c>
      <c r="P84" s="55" t="n">
        <f aca="false">IF(O84,IF(01_因子設定!$B$13="最大化",M84-01_因子設定!$B$14,IF(01_因子設定!$B$13="最小化",01_因子設定!$B$15-N84,MIN(M84-01_因子設定!$B$14,01_因子設定!$B$15-N84))),-1E+030)</f>
        <v>1.34809650047859</v>
      </c>
      <c r="Q84" s="55" t="n">
        <f aca="false">IF(P84&gt;=0,1,0)</f>
        <v>1</v>
      </c>
    </row>
    <row r="85" customFormat="false" ht="15" hidden="false" customHeight="false" outlineLevel="0" collapsed="false">
      <c r="A85" s="0" t="n">
        <v>2</v>
      </c>
      <c r="B85" s="0" t="n">
        <v>0.95</v>
      </c>
      <c r="C85" s="57" t="n">
        <f aca="false">07_最適化!$B$6</f>
        <v>0.45</v>
      </c>
      <c r="D85" s="55" t="n">
        <f aca="false">B85</f>
        <v>0.95</v>
      </c>
      <c r="E85" s="55" t="n">
        <f aca="false">1</f>
        <v>1</v>
      </c>
      <c r="F85" s="57" t="n">
        <f aca="false">C85</f>
        <v>0.45</v>
      </c>
      <c r="G85" s="55" t="n">
        <f aca="false">D85</f>
        <v>0.95</v>
      </c>
      <c r="H85" s="55" t="n">
        <f aca="false">C85*D85</f>
        <v>0.4275</v>
      </c>
      <c r="I85" s="55" t="n">
        <f aca="false">C85*C85</f>
        <v>0.2025</v>
      </c>
      <c r="J85" s="55" t="n">
        <f aca="false">D85*D85</f>
        <v>0.9025</v>
      </c>
      <c r="K85" s="55" t="n">
        <f aca="false">SUMPRODUCT(E85:J85,_XtX!$B$53:$G$53)</f>
        <v>49.4214806034483</v>
      </c>
      <c r="L85" s="55" t="n">
        <f aca="false">SUMPRODUCT(MMULT(E85:J85,_XtX!$B$44:$G$49),E85:J85)</f>
        <v>0.432987841235632</v>
      </c>
      <c r="M85" s="55" t="n">
        <f aca="false">K85-04_回帰ANOVA!$K$19*04_回帰ANOVA!$K$14*SQRT(1+L85)</f>
        <v>47.7993051513988</v>
      </c>
      <c r="N85" s="55" t="n">
        <f aca="false">K85+04_回帰ANOVA!$K$19*04_回帰ANOVA!$K$14*SQRT(1+L85)</f>
        <v>51.0436560554977</v>
      </c>
      <c r="O85" s="54" t="b">
        <f aca="false">AND(C85&gt;=01_因子設定!$L$5-0.000000001,C85&lt;=01_因子設定!$M$5+0.000000001,D85&gt;=01_因子設定!$L$6-0.000000001,D85&lt;=01_因子設定!$M$6+0.000000001,IF(01_因子設定!$B$20="Box-Behnken",C85^2+D85^2&lt;=2+0.000000001,TRUE()))</f>
        <v>1</v>
      </c>
      <c r="P85" s="55" t="n">
        <f aca="false">IF(O85,IF(01_因子設定!$B$13="最大化",M85-01_因子設定!$B$14,IF(01_因子設定!$B$13="最小化",01_因子設定!$B$15-N85,MIN(M85-01_因子設定!$B$14,01_因子設定!$B$15-N85))),-1E+030)</f>
        <v>1.29930515139884</v>
      </c>
      <c r="Q85" s="55" t="n">
        <f aca="false">IF(P85&gt;=0,1,0)</f>
        <v>1</v>
      </c>
    </row>
    <row r="86" customFormat="false" ht="15" hidden="false" customHeight="false" outlineLevel="0" collapsed="false">
      <c r="A86" s="0" t="n">
        <v>2</v>
      </c>
      <c r="B86" s="0" t="n">
        <v>1</v>
      </c>
      <c r="C86" s="57" t="n">
        <f aca="false">07_最適化!$B$6</f>
        <v>0.45</v>
      </c>
      <c r="D86" s="55" t="n">
        <f aca="false">B86</f>
        <v>1</v>
      </c>
      <c r="E86" s="55" t="n">
        <f aca="false">1</f>
        <v>1</v>
      </c>
      <c r="F86" s="57" t="n">
        <f aca="false">C86</f>
        <v>0.45</v>
      </c>
      <c r="G86" s="55" t="n">
        <f aca="false">D86</f>
        <v>1</v>
      </c>
      <c r="H86" s="55" t="n">
        <f aca="false">C86*D86</f>
        <v>0.45</v>
      </c>
      <c r="I86" s="55" t="n">
        <f aca="false">C86*C86</f>
        <v>0.2025</v>
      </c>
      <c r="J86" s="55" t="n">
        <f aca="false">D86*D86</f>
        <v>1</v>
      </c>
      <c r="K86" s="55" t="n">
        <f aca="false">SUMPRODUCT(E86:J86,_XtX!$B$53:$G$53)</f>
        <v>49.3953405172414</v>
      </c>
      <c r="L86" s="55" t="n">
        <f aca="false">SUMPRODUCT(MMULT(E86:J86,_XtX!$B$44:$G$49),E86:J86)</f>
        <v>0.495716343390805</v>
      </c>
      <c r="M86" s="55" t="n">
        <f aca="false">K86-04_回帰ANOVA!$K$19*04_回帰ANOVA!$K$14*SQRT(1+L86)</f>
        <v>47.7380402824546</v>
      </c>
      <c r="N86" s="55" t="n">
        <f aca="false">K86+04_回帰ANOVA!$K$19*04_回帰ANOVA!$K$14*SQRT(1+L86)</f>
        <v>51.0526407520282</v>
      </c>
      <c r="O86" s="54" t="b">
        <f aca="false">AND(C86&gt;=01_因子設定!$L$5-0.000000001,C86&lt;=01_因子設定!$M$5+0.000000001,D86&gt;=01_因子設定!$L$6-0.000000001,D86&lt;=01_因子設定!$M$6+0.000000001,IF(01_因子設定!$B$20="Box-Behnken",C86^2+D86^2&lt;=2+0.000000001,TRUE()))</f>
        <v>1</v>
      </c>
      <c r="P86" s="55" t="n">
        <f aca="false">IF(O86,IF(01_因子設定!$B$13="最大化",M86-01_因子設定!$B$14,IF(01_因子設定!$B$13="最小化",01_因子設定!$B$15-N86,MIN(M86-01_因子設定!$B$14,01_因子設定!$B$15-N86))),-1E+030)</f>
        <v>1.23804028245457</v>
      </c>
      <c r="Q86" s="55" t="n">
        <f aca="false">IF(P86&gt;=0,1,0)</f>
        <v>1</v>
      </c>
    </row>
    <row r="90" customFormat="false" ht="15" hidden="false" customHeight="false" outlineLevel="0" collapsed="false">
      <c r="A90" s="9" t="s">
        <v>275</v>
      </c>
      <c r="B90" s="9" t="s">
        <v>276</v>
      </c>
      <c r="C90" s="9" t="s">
        <v>334</v>
      </c>
      <c r="D90" s="9" t="s">
        <v>335</v>
      </c>
      <c r="E90" s="9" t="s">
        <v>64</v>
      </c>
      <c r="F90" s="9" t="s">
        <v>69</v>
      </c>
      <c r="G90" s="10" t="s">
        <v>136</v>
      </c>
      <c r="H90" s="9" t="s">
        <v>64</v>
      </c>
      <c r="I90" s="9" t="s">
        <v>69</v>
      </c>
      <c r="J90" s="9" t="s">
        <v>140</v>
      </c>
      <c r="K90" s="9" t="s">
        <v>142</v>
      </c>
      <c r="L90" s="9" t="s">
        <v>144</v>
      </c>
      <c r="M90" s="10" t="s">
        <v>220</v>
      </c>
      <c r="N90" s="9" t="s">
        <v>225</v>
      </c>
      <c r="O90" s="10" t="s">
        <v>331</v>
      </c>
      <c r="P90" s="10" t="s">
        <v>332</v>
      </c>
      <c r="Q90" s="10" t="s">
        <v>277</v>
      </c>
      <c r="R90" s="10" t="s">
        <v>221</v>
      </c>
    </row>
    <row r="91" customFormat="false" ht="15" hidden="false" customHeight="false" outlineLevel="0" collapsed="false">
      <c r="A91" s="0" t="n">
        <v>0</v>
      </c>
      <c r="B91" s="0" t="n">
        <v>0</v>
      </c>
      <c r="C91" s="0" t="n">
        <f aca="false">08_工程窓!$C$72+A91*(08_工程窓!$D$72-08_工程窓!$C$72)/2</f>
        <v>62.5</v>
      </c>
      <c r="D91" s="0" t="n">
        <f aca="false">08_工程窓!$C$73+B91*(08_工程窓!$D$73-08_工程窓!$C$73)/2</f>
        <v>28.5</v>
      </c>
      <c r="E91" s="0" t="n">
        <f aca="false">(C91-01_因子設定!$G$5)/01_因子設定!$H$5</f>
        <v>-0.25</v>
      </c>
      <c r="F91" s="0" t="n">
        <f aca="false">(D91-01_因子設定!$G$6)/01_因子設定!$H$6</f>
        <v>-0.15</v>
      </c>
      <c r="G91" s="0" t="n">
        <f aca="false">1</f>
        <v>1</v>
      </c>
      <c r="H91" s="0" t="n">
        <f aca="false">E91</f>
        <v>-0.25</v>
      </c>
      <c r="I91" s="0" t="n">
        <f aca="false">F91</f>
        <v>-0.15</v>
      </c>
      <c r="J91" s="0" t="n">
        <f aca="false">E91*F91</f>
        <v>0.0375</v>
      </c>
      <c r="K91" s="0" t="n">
        <f aca="false">E91*E91</f>
        <v>0.0625</v>
      </c>
      <c r="L91" s="0" t="n">
        <f aca="false">F91*F91</f>
        <v>0.0225</v>
      </c>
      <c r="M91" s="0" t="n">
        <f aca="false">SUMPRODUCT(G91:L91,_XtX!$B$53:$G$53)</f>
        <v>47.002029454023</v>
      </c>
      <c r="N91" s="0" t="n">
        <f aca="false">SUMPRODUCT(MMULT(G91:L91,_XtX!$B$44:$G$49),G91:L91)</f>
        <v>0.170555513649425</v>
      </c>
      <c r="O91" s="0" t="n">
        <f aca="false">M91-04_回帰ANOVA!$K$19*04_回帰ANOVA!$K$14*SQRT(1+N91)</f>
        <v>45.5358991184247</v>
      </c>
      <c r="P91" s="0" t="n">
        <f aca="false">M91+04_回帰ANOVA!$K$19*04_回帰ANOVA!$K$14*SQRT(1+N91)</f>
        <v>48.4681597896213</v>
      </c>
      <c r="Q91" s="54" t="b">
        <f aca="false">AND(E91&gt;=01_因子設定!$L$5-0.000000001,E91&lt;=01_因子設定!$M$5+0.000000001,F91&gt;=01_因子設定!$L$6-0.000000001,F91&lt;=01_因子設定!$M$6+0.000000001,IF(01_因子設定!$B$20="Box-Behnken",E91^2+F91^2&lt;=2+0.000000001,TRUE()))</f>
        <v>1</v>
      </c>
      <c r="R91" s="55" t="n">
        <f aca="false">IF(01_因子設定!$B$13="最大化",O91-01_因子設定!$B$14,IF(01_因子設定!$B$13="最小化",01_因子設定!$B$15-P91,MIN(O91-01_因子設定!$B$14,01_因子設定!$B$15-P91)))</f>
        <v>-0.964100881575341</v>
      </c>
    </row>
    <row r="92" customFormat="false" ht="15" hidden="false" customHeight="false" outlineLevel="0" collapsed="false">
      <c r="A92" s="0" t="n">
        <v>0</v>
      </c>
      <c r="B92" s="0" t="n">
        <v>1</v>
      </c>
      <c r="C92" s="0" t="n">
        <f aca="false">08_工程窓!$C$72+A92*(08_工程窓!$D$72-08_工程窓!$C$72)/2</f>
        <v>62.5</v>
      </c>
      <c r="D92" s="0" t="n">
        <f aca="false">08_工程窓!$C$73+B92*(08_工程窓!$D$73-08_工程窓!$C$73)/2</f>
        <v>34.25</v>
      </c>
      <c r="E92" s="0" t="n">
        <f aca="false">(C92-01_因子設定!$G$5)/01_因子設定!$H$5</f>
        <v>-0.25</v>
      </c>
      <c r="F92" s="0" t="n">
        <f aca="false">(D92-01_因子設定!$G$6)/01_因子設定!$H$6</f>
        <v>0.425</v>
      </c>
      <c r="G92" s="0" t="n">
        <f aca="false">1</f>
        <v>1</v>
      </c>
      <c r="H92" s="0" t="n">
        <f aca="false">E92</f>
        <v>-0.25</v>
      </c>
      <c r="I92" s="0" t="n">
        <f aca="false">F92</f>
        <v>0.425</v>
      </c>
      <c r="J92" s="0" t="n">
        <f aca="false">E92*F92</f>
        <v>-0.10625</v>
      </c>
      <c r="K92" s="0" t="n">
        <f aca="false">E92*E92</f>
        <v>0.0625</v>
      </c>
      <c r="L92" s="0" t="n">
        <f aca="false">F92*F92</f>
        <v>0.180625</v>
      </c>
      <c r="M92" s="0" t="n">
        <f aca="false">SUMPRODUCT(G92:L92,_XtX!$B$53:$G$53)</f>
        <v>47.9763074712644</v>
      </c>
      <c r="N92" s="0" t="n">
        <f aca="false">SUMPRODUCT(MMULT(G92:L92,_XtX!$B$44:$G$49),G92:L92)</f>
        <v>0.175567917115661</v>
      </c>
      <c r="O92" s="0" t="n">
        <f aca="false">M92-04_回帰ANOVA!$K$19*04_回帰ANOVA!$K$14*SQRT(1+N92)</f>
        <v>46.5070414507598</v>
      </c>
      <c r="P92" s="0" t="n">
        <f aca="false">M92+04_回帰ANOVA!$K$19*04_回帰ANOVA!$K$14*SQRT(1+N92)</f>
        <v>49.4455734917689</v>
      </c>
      <c r="Q92" s="54" t="b">
        <f aca="false">AND(E92&gt;=01_因子設定!$L$5-0.000000001,E92&lt;=01_因子設定!$M$5+0.000000001,F92&gt;=01_因子設定!$L$6-0.000000001,F92&lt;=01_因子設定!$M$6+0.000000001,IF(01_因子設定!$B$20="Box-Behnken",E92^2+F92^2&lt;=2+0.000000001,TRUE()))</f>
        <v>1</v>
      </c>
      <c r="R92" s="55" t="n">
        <f aca="false">IF(01_因子設定!$B$13="最大化",O92-01_因子設定!$B$14,IF(01_因子設定!$B$13="最小化",01_因子設定!$B$15-P92,MIN(O92-01_因子設定!$B$14,01_因子設定!$B$15-P92)))</f>
        <v>0.00704145075984286</v>
      </c>
    </row>
    <row r="93" customFormat="false" ht="15" hidden="false" customHeight="false" outlineLevel="0" collapsed="false">
      <c r="A93" s="0" t="n">
        <v>0</v>
      </c>
      <c r="B93" s="0" t="n">
        <v>2</v>
      </c>
      <c r="C93" s="0" t="n">
        <f aca="false">08_工程窓!$C$72+A93*(08_工程窓!$D$72-08_工程窓!$C$72)/2</f>
        <v>62.5</v>
      </c>
      <c r="D93" s="0" t="n">
        <f aca="false">08_工程窓!$C$73+B93*(08_工程窓!$D$73-08_工程窓!$C$73)/2</f>
        <v>40</v>
      </c>
      <c r="E93" s="0" t="n">
        <f aca="false">(C93-01_因子設定!$G$5)/01_因子設定!$H$5</f>
        <v>-0.25</v>
      </c>
      <c r="F93" s="0" t="n">
        <f aca="false">(D93-01_因子設定!$G$6)/01_因子設定!$H$6</f>
        <v>1</v>
      </c>
      <c r="G93" s="0" t="n">
        <f aca="false">1</f>
        <v>1</v>
      </c>
      <c r="H93" s="0" t="n">
        <f aca="false">E93</f>
        <v>-0.25</v>
      </c>
      <c r="I93" s="0" t="n">
        <f aca="false">F93</f>
        <v>1</v>
      </c>
      <c r="J93" s="0" t="n">
        <f aca="false">E93*F93</f>
        <v>-0.25</v>
      </c>
      <c r="K93" s="0" t="n">
        <f aca="false">E93*E93</f>
        <v>0.0625</v>
      </c>
      <c r="L93" s="0" t="n">
        <f aca="false">F93*F93</f>
        <v>1</v>
      </c>
      <c r="M93" s="0" t="n">
        <f aca="false">SUMPRODUCT(G93:L93,_XtX!$B$53:$G$53)</f>
        <v>47.9302083333333</v>
      </c>
      <c r="N93" s="0" t="n">
        <f aca="false">SUMPRODUCT(MMULT(G93:L93,_XtX!$B$44:$G$49),G93:L93)</f>
        <v>0.491536458333333</v>
      </c>
      <c r="O93" s="0" t="n">
        <f aca="false">M93-04_回帰ANOVA!$K$19*04_回帰ANOVA!$K$14*SQRT(1+N93)</f>
        <v>46.2752254400052</v>
      </c>
      <c r="P93" s="0" t="n">
        <f aca="false">M93+04_回帰ANOVA!$K$19*04_回帰ANOVA!$K$14*SQRT(1+N93)</f>
        <v>49.5851912266615</v>
      </c>
      <c r="Q93" s="54" t="b">
        <f aca="false">AND(E93&gt;=01_因子設定!$L$5-0.000000001,E93&lt;=01_因子設定!$M$5+0.000000001,F93&gt;=01_因子設定!$L$6-0.000000001,F93&lt;=01_因子設定!$M$6+0.000000001,IF(01_因子設定!$B$20="Box-Behnken",E93^2+F93^2&lt;=2+0.000000001,TRUE()))</f>
        <v>1</v>
      </c>
      <c r="R93" s="55" t="n">
        <f aca="false">IF(01_因子設定!$B$13="最大化",O93-01_因子設定!$B$14,IF(01_因子設定!$B$13="最小化",01_因子設定!$B$15-P93,MIN(O93-01_因子設定!$B$14,01_因子設定!$B$15-P93)))</f>
        <v>-0.224774559994792</v>
      </c>
    </row>
    <row r="94" customFormat="false" ht="15" hidden="false" customHeight="false" outlineLevel="0" collapsed="false">
      <c r="A94" s="0" t="n">
        <v>1</v>
      </c>
      <c r="B94" s="0" t="n">
        <v>0</v>
      </c>
      <c r="C94" s="0" t="n">
        <f aca="false">08_工程窓!$C$72+A94*(08_工程窓!$D$72-08_工程窓!$C$72)/2</f>
        <v>68.75</v>
      </c>
      <c r="D94" s="0" t="n">
        <f aca="false">08_工程窓!$C$73+B94*(08_工程窓!$D$73-08_工程窓!$C$73)/2</f>
        <v>28.5</v>
      </c>
      <c r="E94" s="0" t="n">
        <f aca="false">(C94-01_因子設定!$G$5)/01_因子設定!$H$5</f>
        <v>0.375</v>
      </c>
      <c r="F94" s="0" t="n">
        <f aca="false">(D94-01_因子設定!$G$6)/01_因子設定!$H$6</f>
        <v>-0.15</v>
      </c>
      <c r="G94" s="0" t="n">
        <f aca="false">1</f>
        <v>1</v>
      </c>
      <c r="H94" s="0" t="n">
        <f aca="false">E94</f>
        <v>0.375</v>
      </c>
      <c r="I94" s="0" t="n">
        <f aca="false">F94</f>
        <v>-0.15</v>
      </c>
      <c r="J94" s="0" t="n">
        <f aca="false">E94*F94</f>
        <v>-0.05625</v>
      </c>
      <c r="K94" s="0" t="n">
        <f aca="false">E94*E94</f>
        <v>0.140625</v>
      </c>
      <c r="L94" s="0" t="n">
        <f aca="false">F94*F94</f>
        <v>0.0225</v>
      </c>
      <c r="M94" s="0" t="n">
        <f aca="false">SUMPRODUCT(G94:L94,_XtX!$B$53:$G$53)</f>
        <v>48.0614224137931</v>
      </c>
      <c r="N94" s="0" t="n">
        <f aca="false">SUMPRODUCT(MMULT(G94:L94,_XtX!$B$44:$G$49),G94:L94)</f>
        <v>0.173112816540948</v>
      </c>
      <c r="O94" s="0" t="n">
        <f aca="false">M94-04_回帰ANOVA!$K$19*04_回帰ANOVA!$K$14*SQRT(1+N94)</f>
        <v>46.5936914305753</v>
      </c>
      <c r="P94" s="0" t="n">
        <f aca="false">M94+04_回帰ANOVA!$K$19*04_回帰ANOVA!$K$14*SQRT(1+N94)</f>
        <v>49.5291533970109</v>
      </c>
      <c r="Q94" s="54" t="b">
        <f aca="false">AND(E94&gt;=01_因子設定!$L$5-0.000000001,E94&lt;=01_因子設定!$M$5+0.000000001,F94&gt;=01_因子設定!$L$6-0.000000001,F94&lt;=01_因子設定!$M$6+0.000000001,IF(01_因子設定!$B$20="Box-Behnken",E94^2+F94^2&lt;=2+0.000000001,TRUE()))</f>
        <v>1</v>
      </c>
      <c r="R94" s="55" t="n">
        <f aca="false">IF(01_因子設定!$B$13="最大化",O94-01_因子設定!$B$14,IF(01_因子設定!$B$13="最小化",01_因子設定!$B$15-P94,MIN(O94-01_因子設定!$B$14,01_因子設定!$B$15-P94)))</f>
        <v>0.0936914305752836</v>
      </c>
    </row>
    <row r="95" customFormat="false" ht="15" hidden="false" customHeight="false" outlineLevel="0" collapsed="false">
      <c r="A95" s="0" t="n">
        <v>1</v>
      </c>
      <c r="B95" s="0" t="n">
        <v>1</v>
      </c>
      <c r="C95" s="0" t="n">
        <f aca="false">08_工程窓!$C$72+A95*(08_工程窓!$D$72-08_工程窓!$C$72)/2</f>
        <v>68.75</v>
      </c>
      <c r="D95" s="0" t="n">
        <f aca="false">08_工程窓!$C$73+B95*(08_工程窓!$D$73-08_工程窓!$C$73)/2</f>
        <v>34.25</v>
      </c>
      <c r="E95" s="0" t="n">
        <f aca="false">(C95-01_因子設定!$G$5)/01_因子設定!$H$5</f>
        <v>0.375</v>
      </c>
      <c r="F95" s="0" t="n">
        <f aca="false">(D95-01_因子設定!$G$6)/01_因子設定!$H$6</f>
        <v>0.425</v>
      </c>
      <c r="G95" s="0" t="n">
        <f aca="false">1</f>
        <v>1</v>
      </c>
      <c r="H95" s="0" t="n">
        <f aca="false">E95</f>
        <v>0.375</v>
      </c>
      <c r="I95" s="0" t="n">
        <f aca="false">F95</f>
        <v>0.425</v>
      </c>
      <c r="J95" s="0" t="n">
        <f aca="false">E95*F95</f>
        <v>0.159375</v>
      </c>
      <c r="K95" s="0" t="n">
        <f aca="false">E95*E95</f>
        <v>0.140625</v>
      </c>
      <c r="L95" s="0" t="n">
        <f aca="false">F95*F95</f>
        <v>0.180625</v>
      </c>
      <c r="M95" s="0" t="n">
        <f aca="false">SUMPRODUCT(G95:L95,_XtX!$B$53:$G$53)</f>
        <v>49.2243723060345</v>
      </c>
      <c r="N95" s="0" t="n">
        <f aca="false">SUMPRODUCT(MMULT(G95:L95,_XtX!$B$44:$G$49),G95:L95)</f>
        <v>0.177805732534124</v>
      </c>
      <c r="O95" s="0" t="n">
        <f aca="false">M95-04_回帰ANOVA!$K$19*04_回帰ANOVA!$K$14*SQRT(1+N95)</f>
        <v>47.7537085003158</v>
      </c>
      <c r="P95" s="0" t="n">
        <f aca="false">M95+04_回帰ANOVA!$K$19*04_回帰ANOVA!$K$14*SQRT(1+N95)</f>
        <v>50.6950361117531</v>
      </c>
      <c r="Q95" s="54" t="b">
        <f aca="false">AND(E95&gt;=01_因子設定!$L$5-0.000000001,E95&lt;=01_因子設定!$M$5+0.000000001,F95&gt;=01_因子設定!$L$6-0.000000001,F95&lt;=01_因子設定!$M$6+0.000000001,IF(01_因子設定!$B$20="Box-Behnken",E95^2+F95^2&lt;=2+0.000000001,TRUE()))</f>
        <v>1</v>
      </c>
      <c r="R95" s="55" t="n">
        <f aca="false">IF(01_因子設定!$B$13="最大化",O95-01_因子設定!$B$14,IF(01_因子設定!$B$13="最小化",01_因子設定!$B$15-P95,MIN(O95-01_因子設定!$B$14,01_因子設定!$B$15-P95)))</f>
        <v>1.25370850031585</v>
      </c>
    </row>
    <row r="96" customFormat="false" ht="15" hidden="false" customHeight="false" outlineLevel="0" collapsed="false">
      <c r="A96" s="0" t="n">
        <v>1</v>
      </c>
      <c r="B96" s="0" t="n">
        <v>2</v>
      </c>
      <c r="C96" s="0" t="n">
        <f aca="false">08_工程窓!$C$72+A96*(08_工程窓!$D$72-08_工程窓!$C$72)/2</f>
        <v>68.75</v>
      </c>
      <c r="D96" s="0" t="n">
        <f aca="false">08_工程窓!$C$73+B96*(08_工程窓!$D$73-08_工程窓!$C$73)/2</f>
        <v>40</v>
      </c>
      <c r="E96" s="0" t="n">
        <f aca="false">(C96-01_因子設定!$G$5)/01_因子設定!$H$5</f>
        <v>0.375</v>
      </c>
      <c r="F96" s="0" t="n">
        <f aca="false">(D96-01_因子設定!$G$6)/01_因子設定!$H$6</f>
        <v>1</v>
      </c>
      <c r="G96" s="0" t="n">
        <f aca="false">1</f>
        <v>1</v>
      </c>
      <c r="H96" s="0" t="n">
        <f aca="false">E96</f>
        <v>0.375</v>
      </c>
      <c r="I96" s="0" t="n">
        <f aca="false">F96</f>
        <v>1</v>
      </c>
      <c r="J96" s="0" t="n">
        <f aca="false">E96*F96</f>
        <v>0.375</v>
      </c>
      <c r="K96" s="0" t="n">
        <f aca="false">E96*E96</f>
        <v>0.140625</v>
      </c>
      <c r="L96" s="0" t="n">
        <f aca="false">F96*F96</f>
        <v>1</v>
      </c>
      <c r="M96" s="0" t="n">
        <f aca="false">SUMPRODUCT(G96:L96,_XtX!$B$53:$G$53)</f>
        <v>49.3669450431035</v>
      </c>
      <c r="N96" s="0" t="n">
        <f aca="false">SUMPRODUCT(MMULT(G96:L96,_XtX!$B$44:$G$49),G96:L96)</f>
        <v>0.492118747755029</v>
      </c>
      <c r="O96" s="0" t="n">
        <f aca="false">M96-04_回帰ANOVA!$K$19*04_回帰ANOVA!$K$14*SQRT(1+N96)</f>
        <v>47.7116391321948</v>
      </c>
      <c r="P96" s="0" t="n">
        <f aca="false">M96+04_回帰ANOVA!$K$19*04_回帰ANOVA!$K$14*SQRT(1+N96)</f>
        <v>51.0222509540121</v>
      </c>
      <c r="Q96" s="54" t="b">
        <f aca="false">AND(E96&gt;=01_因子設定!$L$5-0.000000001,E96&lt;=01_因子設定!$M$5+0.000000001,F96&gt;=01_因子設定!$L$6-0.000000001,F96&lt;=01_因子設定!$M$6+0.000000001,IF(01_因子設定!$B$20="Box-Behnken",E96^2+F96^2&lt;=2+0.000000001,TRUE()))</f>
        <v>1</v>
      </c>
      <c r="R96" s="55" t="n">
        <f aca="false">IF(01_因子設定!$B$13="最大化",O96-01_因子設定!$B$14,IF(01_因子設定!$B$13="最小化",01_因子設定!$B$15-P96,MIN(O96-01_因子設定!$B$14,01_因子設定!$B$15-P96)))</f>
        <v>1.21163913219476</v>
      </c>
    </row>
    <row r="97" customFormat="false" ht="15" hidden="false" customHeight="false" outlineLevel="0" collapsed="false">
      <c r="A97" s="0" t="n">
        <v>2</v>
      </c>
      <c r="B97" s="0" t="n">
        <v>0</v>
      </c>
      <c r="C97" s="0" t="n">
        <f aca="false">08_工程窓!$C$72+A97*(08_工程窓!$D$72-08_工程窓!$C$72)/2</f>
        <v>75</v>
      </c>
      <c r="D97" s="0" t="n">
        <f aca="false">08_工程窓!$C$73+B97*(08_工程窓!$D$73-08_工程窓!$C$73)/2</f>
        <v>28.5</v>
      </c>
      <c r="E97" s="0" t="n">
        <f aca="false">(C97-01_因子設定!$G$5)/01_因子設定!$H$5</f>
        <v>1</v>
      </c>
      <c r="F97" s="0" t="n">
        <f aca="false">(D97-01_因子設定!$G$6)/01_因子設定!$H$6</f>
        <v>-0.15</v>
      </c>
      <c r="G97" s="0" t="n">
        <f aca="false">1</f>
        <v>1</v>
      </c>
      <c r="H97" s="0" t="n">
        <f aca="false">E97</f>
        <v>1</v>
      </c>
      <c r="I97" s="0" t="n">
        <f aca="false">F97</f>
        <v>-0.15</v>
      </c>
      <c r="J97" s="0" t="n">
        <f aca="false">E97*F97</f>
        <v>-0.15</v>
      </c>
      <c r="K97" s="0" t="n">
        <f aca="false">E97*E97</f>
        <v>1</v>
      </c>
      <c r="L97" s="0" t="n">
        <f aca="false">F97*F97</f>
        <v>0.0225</v>
      </c>
      <c r="M97" s="0" t="n">
        <f aca="false">SUMPRODUCT(G97:L97,_XtX!$B$53:$G$53)</f>
        <v>46.9777658045977</v>
      </c>
      <c r="N97" s="0" t="n">
        <f aca="false">SUMPRODUCT(MMULT(G97:L97,_XtX!$B$44:$G$49),G97:L97)</f>
        <v>0.492949102011494</v>
      </c>
      <c r="O97" s="0" t="n">
        <f aca="false">M97-04_回帰ANOVA!$K$19*04_回帰ANOVA!$K$14*SQRT(1+N97)</f>
        <v>45.3219993743301</v>
      </c>
      <c r="P97" s="0" t="n">
        <f aca="false">M97+04_回帰ANOVA!$K$19*04_回帰ANOVA!$K$14*SQRT(1+N97)</f>
        <v>48.6335322348653</v>
      </c>
      <c r="Q97" s="54" t="b">
        <f aca="false">AND(E97&gt;=01_因子設定!$L$5-0.000000001,E97&lt;=01_因子設定!$M$5+0.000000001,F97&gt;=01_因子設定!$L$6-0.000000001,F97&lt;=01_因子設定!$M$6+0.000000001,IF(01_因子設定!$B$20="Box-Behnken",E97^2+F97^2&lt;=2+0.000000001,TRUE()))</f>
        <v>1</v>
      </c>
      <c r="R97" s="55" t="n">
        <f aca="false">IF(01_因子設定!$B$13="最大化",O97-01_因子設定!$B$14,IF(01_因子設定!$B$13="最小化",01_因子設定!$B$15-P97,MIN(O97-01_因子設定!$B$14,01_因子設定!$B$15-P97)))</f>
        <v>-1.17800062566995</v>
      </c>
    </row>
    <row r="98" customFormat="false" ht="15" hidden="false" customHeight="false" outlineLevel="0" collapsed="false">
      <c r="A98" s="0" t="n">
        <v>2</v>
      </c>
      <c r="B98" s="0" t="n">
        <v>1</v>
      </c>
      <c r="C98" s="0" t="n">
        <f aca="false">08_工程窓!$C$72+A98*(08_工程窓!$D$72-08_工程窓!$C$72)/2</f>
        <v>75</v>
      </c>
      <c r="D98" s="0" t="n">
        <f aca="false">08_工程窓!$C$73+B98*(08_工程窓!$D$73-08_工程窓!$C$73)/2</f>
        <v>34.25</v>
      </c>
      <c r="E98" s="0" t="n">
        <f aca="false">(C98-01_因子設定!$G$5)/01_因子設定!$H$5</f>
        <v>1</v>
      </c>
      <c r="F98" s="0" t="n">
        <f aca="false">(D98-01_因子設定!$G$6)/01_因子設定!$H$6</f>
        <v>0.425</v>
      </c>
      <c r="G98" s="0" t="n">
        <f aca="false">1</f>
        <v>1</v>
      </c>
      <c r="H98" s="0" t="n">
        <f aca="false">E98</f>
        <v>1</v>
      </c>
      <c r="I98" s="0" t="n">
        <f aca="false">F98</f>
        <v>0.425</v>
      </c>
      <c r="J98" s="0" t="n">
        <f aca="false">E98*F98</f>
        <v>0.425</v>
      </c>
      <c r="K98" s="0" t="n">
        <f aca="false">E98*E98</f>
        <v>1</v>
      </c>
      <c r="L98" s="0" t="n">
        <f aca="false">F98*F98</f>
        <v>0.180625</v>
      </c>
      <c r="M98" s="0" t="n">
        <f aca="false">SUMPRODUCT(G98:L98,_XtX!$B$53:$G$53)</f>
        <v>48.3293875718391</v>
      </c>
      <c r="N98" s="0" t="n">
        <f aca="false">SUMPRODUCT(MMULT(G98:L98,_XtX!$B$44:$G$49),G98:L98)</f>
        <v>0.494127655801006</v>
      </c>
      <c r="O98" s="0" t="n">
        <f aca="false">M98-04_回帰ANOVA!$K$19*04_回帰ANOVA!$K$14*SQRT(1+N98)</f>
        <v>46.6729677285271</v>
      </c>
      <c r="P98" s="0" t="n">
        <f aca="false">M98+04_回帰ANOVA!$K$19*04_回帰ANOVA!$K$14*SQRT(1+N98)</f>
        <v>49.9858074151511</v>
      </c>
      <c r="Q98" s="54" t="b">
        <f aca="false">AND(E98&gt;=01_因子設定!$L$5-0.000000001,E98&lt;=01_因子設定!$M$5+0.000000001,F98&gt;=01_因子設定!$L$6-0.000000001,F98&lt;=01_因子設定!$M$6+0.000000001,IF(01_因子設定!$B$20="Box-Behnken",E98^2+F98^2&lt;=2+0.000000001,TRUE()))</f>
        <v>1</v>
      </c>
      <c r="R98" s="55" t="n">
        <f aca="false">IF(01_因子設定!$B$13="最大化",O98-01_因子設定!$B$14,IF(01_因子設定!$B$13="最小化",01_因子設定!$B$15-P98,MIN(O98-01_因子設定!$B$14,01_因子設定!$B$15-P98)))</f>
        <v>0.172967728527048</v>
      </c>
    </row>
    <row r="99" customFormat="false" ht="15" hidden="false" customHeight="false" outlineLevel="0" collapsed="false">
      <c r="A99" s="0" t="n">
        <v>2</v>
      </c>
      <c r="B99" s="0" t="n">
        <v>2</v>
      </c>
      <c r="C99" s="0" t="n">
        <f aca="false">08_工程窓!$C$72+A99*(08_工程窓!$D$72-08_工程窓!$C$72)/2</f>
        <v>75</v>
      </c>
      <c r="D99" s="0" t="n">
        <f aca="false">08_工程窓!$C$73+B99*(08_工程窓!$D$73-08_工程窓!$C$73)/2</f>
        <v>40</v>
      </c>
      <c r="E99" s="0" t="n">
        <f aca="false">(C99-01_因子設定!$G$5)/01_因子設定!$H$5</f>
        <v>1</v>
      </c>
      <c r="F99" s="0" t="n">
        <f aca="false">(D99-01_因子設定!$G$6)/01_因子設定!$H$6</f>
        <v>1</v>
      </c>
      <c r="G99" s="0" t="n">
        <f aca="false">1</f>
        <v>1</v>
      </c>
      <c r="H99" s="0" t="n">
        <f aca="false">E99</f>
        <v>1</v>
      </c>
      <c r="I99" s="0" t="n">
        <f aca="false">F99</f>
        <v>1</v>
      </c>
      <c r="J99" s="0" t="n">
        <f aca="false">E99*F99</f>
        <v>1</v>
      </c>
      <c r="K99" s="0" t="n">
        <f aca="false">E99*E99</f>
        <v>1</v>
      </c>
      <c r="L99" s="0" t="n">
        <f aca="false">F99*F99</f>
        <v>1</v>
      </c>
      <c r="M99" s="0" t="n">
        <f aca="false">SUMPRODUCT(G99:L99,_XtX!$B$53:$G$53)</f>
        <v>48.660632183908</v>
      </c>
      <c r="N99" s="0" t="n">
        <f aca="false">SUMPRODUCT(MMULT(G99:L99,_XtX!$B$44:$G$49),G99:L99)</f>
        <v>0.790229885057471</v>
      </c>
      <c r="O99" s="0" t="n">
        <f aca="false">M99-04_回帰ANOVA!$K$19*04_回帰ANOVA!$K$14*SQRT(1+N99)</f>
        <v>46.8474937093331</v>
      </c>
      <c r="P99" s="0" t="n">
        <f aca="false">M99+04_回帰ANOVA!$K$19*04_回帰ANOVA!$K$14*SQRT(1+N99)</f>
        <v>50.473770658483</v>
      </c>
      <c r="Q99" s="54" t="b">
        <f aca="false">AND(E99&gt;=01_因子設定!$L$5-0.000000001,E99&lt;=01_因子設定!$M$5+0.000000001,F99&gt;=01_因子設定!$L$6-0.000000001,F99&lt;=01_因子設定!$M$6+0.000000001,IF(01_因子設定!$B$20="Box-Behnken",E99^2+F99^2&lt;=2+0.000000001,TRUE()))</f>
        <v>1</v>
      </c>
      <c r="R99" s="55" t="n">
        <f aca="false">IF(01_因子設定!$B$13="最大化",O99-01_因子設定!$B$14,IF(01_因子設定!$B$13="最小化",01_因子設定!$B$15-P99,MIN(O99-01_因子設定!$B$14,01_因子設定!$B$15-P99)))</f>
        <v>0.347493709333051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2026-09-30T05:50:17Z</dcterms:created>
  <dc:creator>openpyxl</dc:creator>
  <dc:description/>
  <dc:language>en-US</dc:language>
  <cp:lastModifiedBy/>
  <dcterms:modified xsi:type="dcterms:W3CDTF">2026-09-30T14:50:21Z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